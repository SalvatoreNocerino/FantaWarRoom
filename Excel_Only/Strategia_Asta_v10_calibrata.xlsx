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Guida" sheetId="1" state="visible" r:id="rId3"/>
    <sheet name="Stato Asta" sheetId="2" state="visible" r:id="rId4"/>
    <sheet name="Info Lega" sheetId="3" state="visible" r:id="rId5"/>
    <sheet name="Info Strategia" sheetId="4" state="visible" r:id="rId6"/>
    <sheet name="Input Giocatori 2026_27" sheetId="5" state="visible" r:id="rId7"/>
    <sheet name="Output Utente" sheetId="6" state="visible" r:id="rId8"/>
    <sheet name="Validazione Dati" sheetId="7" state="visible" r:id="rId9"/>
    <sheet name="Parametri Modello" sheetId="8" state="visible" r:id="rId10"/>
    <sheet name="Giocatori Liberi" sheetId="9" state="visible" r:id="rId11"/>
    <sheet name="La Mia Rosa" sheetId="10" state="visible" r:id="rId12"/>
    <sheet name="Input Statistiche 2025_26" sheetId="11" state="visible" r:id="rId13"/>
  </sheets>
  <definedNames>
    <definedName function="false" hidden="true" localSheetId="8" name="_xlnm._FilterDatabase" vbProcedure="false">'Giocatori Liberi'!$A$3:$N$494</definedName>
    <definedName function="false" hidden="true" localSheetId="9" name="_xlnm._FilterDatabase" vbProcedure="false">'La Mia Rosa'!$A$3:$L$494</definedName>
    <definedName function="false" hidden="true" localSheetId="5" name="_xlnm._FilterDatabase" vbProcedure="false">'Output Utente'!$A$1:$R$492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Quanto e‘ aggressivo sui giocatori preferiti</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FantaValoreMercato</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Offerta Max ora tiene conto di: quotazione di mercato (Qt.A), budget/rosa della lega, modificatori difesa/centrocampo, aggressivita', whichlist E fantamedia reale 2025/26 rispetto alla media del ruolo (peso in Parametri Modello!B9).</t>
        </r>
      </text>
    </comment>
    <comment ref="G1" authorId="0">
      <text>
        <r>
          <rPr>
            <sz val="10"/>
            <rFont val="Arial"/>
            <family val="2"/>
          </rPr>
          <t xml:space="preserve">Prezzo base = quota del budget di ruolo (calibrato su aste reali FantAlba 2023/2025, Parametri Modello righe 50-53) assegnata al giocatore in proporzione al suo FVM dentro il pool del ruolo. Sopra si applicano modificatori ruolo, performance storica e scarsita' live.</t>
        </r>
      </text>
    </comment>
    <comment ref="I1" authorId="0">
      <text>
        <r>
          <rPr>
            <sz val="10"/>
            <rFont val="Arial"/>
            <family val="2"/>
          </rPr>
          <t xml:space="preserve">Presenze (partite a voto) stagione 2025/26. Vuoto = nessuno storico disponibile (giocatore nuovo in Serie A o senza voti l'anno scorso).</t>
        </r>
      </text>
    </comment>
    <comment ref="M1" authorId="0">
      <text>
        <r>
          <rPr>
            <sz val="10"/>
            <rFont val="Arial"/>
            <family val="2"/>
          </rPr>
          <t xml:space="preserve">Inserisci qui il prezzo REALE pagato all'asta quando assegni un giocatore in colonna D. Serve per il tracking budget nel foglio 'La Mia Rosa'.</t>
        </r>
      </text>
    </comment>
    <comment ref="P1" authorId="0">
      <text>
        <r>
          <rPr>
            <sz val="10"/>
            <rFont val="Arial"/>
            <family val="2"/>
          </rPr>
          <t xml:space="preserve">Fascia calcolata sul posizionamento del FVM all'interno del ruolo (percentile). Non e' una previsione di rendimento: e' una lettura di quanto il mercato valuta gia' oggi quel giocatore rispetto ai suoi colleghi di ruolo.</t>
        </r>
      </text>
    </comment>
    <comment ref="AE1" authorId="0">
      <text>
        <r>
          <rPr>
            <sz val="10"/>
            <rFont val="Arial"/>
            <family val="2"/>
          </rPr>
          <t xml:space="preserve">Segnale informativo (Stato Asta): quanti giocatori Top/Buono restano nel tuo ruolo rispetto agli slot ancora da riempire in tutta la lega. NON influenza il prezzo consigliato (F/G/H) — e' solo per aiutarti a decidere se aspettare o no.</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O12" authorId="0">
      <text>
        <r>
          <rPr>
            <sz val="10"/>
            <rFont val="Arial"/>
            <family val="2"/>
          </rPr>
          <t xml:space="preserve">Budget Rimanente diviso per gli slot che ti mancano ancora (di tutti i ruoli). E' la base per il segnale di Sostenibilita' Budget nei fogli Output Utente e Giocatori Liberi.</t>
        </r>
      </text>
    </comment>
  </commentList>
</comments>
</file>

<file path=xl/sharedStrings.xml><?xml version="1.0" encoding="utf-8"?>
<sst xmlns="http://schemas.openxmlformats.org/spreadsheetml/2006/main" count="5406" uniqueCount="1050">
  <si>
    <t xml:space="preserve">Guida — Motore Prezzi Asta Fantacalcio</t>
  </si>
  <si>
    <t xml:space="preserve">Questo file calcola automaticamente un prezzo massimo consigliato e un range di valutazione per ciascun giocatore, in base al budget, alla rosa, alle regole della lega e ai dati FVM/statistici. Il motore si aggiorna modificando i parametri e gli assegnamenti dell'asta.</t>
  </si>
  <si>
    <t xml:space="preserve">Come e' organizzato il file</t>
  </si>
  <si>
    <t xml:space="preserve">• Info Lega: dati della tua lega (budget, rosa, regole, nomi squadre). 'La Mia Squadra' (B28) identifica la tua squadra.</t>
  </si>
  <si>
    <t xml:space="preserve">• Info Strategia: modulo preferito, aggressivita' e lista 'Giocatori Preferiti' (colonna D).</t>
  </si>
  <si>
    <t xml:space="preserve">• Parametri Modello: tutte le leve del motore prezzi, incluse soglia minima di presenze storiche e gestione della scarsita'.</t>
  </si>
  <si>
    <t xml:space="preserve">• Input Giocatori 2026_27: il listone originale, invariato — e' la fonte dati.</t>
  </si>
  <si>
    <t xml:space="preserve">• Output Utente: tabella madre con un giocatore per riga, prezzo consigliato, range, statistiche e stato dell'asta.</t>
  </si>
  <si>
    <t xml:space="preserve">• Giocatori Liberi: elenco ordinato dei giocatori non ancora assegnati; il calcolo della scarsita' puo' escludere i giocatori con Qt.A=1.</t>
  </si>
  <si>
    <t xml:space="preserve">• La Mia Rosa: la tua rosa attuale + budget speso/rimanente + slot per ruolo, live durante l'asta.</t>
  </si>
  <si>
    <t xml:space="preserve">Come si calcola il prezzo (Output Utente)</t>
  </si>
  <si>
    <t xml:space="preserve">1. Prezzo Base FVM = (FVM del giocatore / Somma FVM Pool Totale) × Budget Totale Lega. Il pool comprende, per ciascun ruolo, i migliori N giocatori per FVM, dove N e' il numero totale di slot di quel ruolo nella lega. Il denominatore e' la somma dei pool di tutti i ruoli.</t>
  </si>
  <si>
    <t xml:space="preserve">2. Se il Modificatore Difesa o Centrocampo della tua lega e' attivo, il Prezzo Base del ruolo interessato viene aumentato del Boost Modificatore Ruolo (default +15%).</t>
  </si>
  <si>
    <t xml:space="preserve">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</si>
  <si>
    <t xml:space="preserve">4. Scarsita' di ruolo: il motore confronta giocatori disponibili e slot ancora da riempire. Se il rapporto scende sotto 1, il prezzo sale; se e' sopra 1, il prezzo scende. I giocatori con Qt.A=1 possono essere esclusi dal conteggio per evitare di considerare riserve/panchinari difficilmente utilizzabili.</t>
  </si>
  <si>
    <t xml:space="preserve">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</si>
  <si>
    <t xml:space="preserve">Statistiche stagione precedente — filtro minimo presenze</t>
  </si>
  <si>
    <t xml:space="preserve">Le colonne Presenze / Gol / Assist / Media Voto / Fantamedia 2025/26 sono collegate al foglio 'Input Statistiche 2025_26'.</t>
  </si>
  <si>
    <t xml:space="preserve">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</si>
  <si>
    <t xml:space="preserve">I giocatori senza storico o sotto la soglia minima non ricevono bonus/malus dalla performance storica: il loro prezzo resta determinato dagli altri componenti del motore.</t>
  </si>
  <si>
    <t xml:space="preserve">Fascia Aspettativa</t>
  </si>
  <si>
    <t xml:space="preserve">Il posizionamento del FVM nel ruolo (Top / Buono / Nella Media / Scommessa) misura quanto il mercato valuta oggi il giocatore. E' complementare alla Fantamedia storica.</t>
  </si>
  <si>
    <t xml:space="preserve">Come usare il motore durante l'asta</t>
  </si>
  <si>
    <t xml:space="preserve">• Quando un giocatore viene acquistato, inserisci Squadra Assegnata e Prezzo Pagato: la scarsita' e i dati della rosa si aggiornano.</t>
  </si>
  <si>
    <t xml:space="preserve">• L'Offerta Max rappresenta il tetto consigliato dalla strategia. Per una versione live piu' avanzata, il prossimo passo e' confrontare questo tetto con budget residuo, slot residui e alternative ancora disponibili.</t>
  </si>
  <si>
    <t xml:space="preserve">• La logica puo' essere portata in una web app mantenendo Excel come ambiente di validazione e test del motore.</t>
  </si>
  <si>
    <t xml:space="preserve">Validazione del motore tramite simulazione</t>
  </si>
  <si>
    <t xml:space="preserve">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</si>
  <si>
    <t xml:space="preserve">Confidence Storico: indicatore informativo della solidita' del dato storico, basato sulle presenze. Non modifica il prezzo. Serve a distinguere una Fantamedia ottenuta su molte partite da una ottenuta su un campione molto piccolo.</t>
  </si>
  <si>
    <t xml:space="preserve">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</si>
  <si>
    <t xml:space="preserve">STATO ASTA — Auction State (si aggiorna da solo mentre assegni giocatori)</t>
  </si>
  <si>
    <t xml:space="preserve">Giocatori chiamati / Totale listone</t>
  </si>
  <si>
    <t xml:space="preserve">% Asta completata</t>
  </si>
  <si>
    <t xml:space="preserve">Budget medio residuo squadre attive</t>
  </si>
  <si>
    <t xml:space="preserve">Prezzo medio pagato finora (tutti i ruoli)</t>
  </si>
  <si>
    <t xml:space="preserve">Ruolo</t>
  </si>
  <si>
    <t xml:space="preserve">Top Rimasti</t>
  </si>
  <si>
    <t xml:space="preserve">Buoni Rimasti</t>
  </si>
  <si>
    <t xml:space="preserve">Top+Buoni Rimasti</t>
  </si>
  <si>
    <t xml:space="preserve">Slot Ancora da Riempire (Lega)</t>
  </si>
  <si>
    <t xml:space="preserve">Rapporto Qualità/Slot</t>
  </si>
  <si>
    <t xml:space="preserve">Pressione Asta</t>
  </si>
  <si>
    <t xml:space="preserve">Prezzo Medio Pagato</t>
  </si>
  <si>
    <t xml:space="preserve">P</t>
  </si>
  <si>
    <t xml:space="preserve">D</t>
  </si>
  <si>
    <t xml:space="preserve">C</t>
  </si>
  <si>
    <t xml:space="preserve">A</t>
  </si>
  <si>
    <t xml:space="preserve">Nota: Top/Buoni sono la Fascia Aspettativa di Output Utente (posizione nel FVM di ruolo), non una previsione — quindi "Top rimasti" scende man mano che chiami giocatori di quella fascia, indipendentemente da chi li compra.</t>
  </si>
  <si>
    <t xml:space="preserve">Nome Lega</t>
  </si>
  <si>
    <t xml:space="preserve">Lega Amici</t>
  </si>
  <si>
    <t xml:space="preserve">Opzionale</t>
  </si>
  <si>
    <t xml:space="preserve">Numero di Partecipanti</t>
  </si>
  <si>
    <t xml:space="preserve">Budget Iniziale</t>
  </si>
  <si>
    <t xml:space="preserve">Portieri Rosa</t>
  </si>
  <si>
    <t xml:space="preserve">Difensori Rosa</t>
  </si>
  <si>
    <t xml:space="preserve">Centrocampisti Rosa</t>
  </si>
  <si>
    <t xml:space="preserve">Attaccanti Rosa</t>
  </si>
  <si>
    <t xml:space="preserve">Attiva</t>
  </si>
  <si>
    <t xml:space="preserve">Nome Squadra 1</t>
  </si>
  <si>
    <t xml:space="preserve">xxx1</t>
  </si>
  <si>
    <t xml:space="preserve">Nome Squadra 2</t>
  </si>
  <si>
    <t xml:space="preserve">xxx2</t>
  </si>
  <si>
    <t xml:space="preserve">Nome Squadra 3</t>
  </si>
  <si>
    <t xml:space="preserve">xxx3</t>
  </si>
  <si>
    <t xml:space="preserve">Nome Squadra 4</t>
  </si>
  <si>
    <t xml:space="preserve">xxx4</t>
  </si>
  <si>
    <t xml:space="preserve">Nome Squadra 5</t>
  </si>
  <si>
    <t xml:space="preserve">xxx5</t>
  </si>
  <si>
    <t xml:space="preserve">Nome Squadra 6</t>
  </si>
  <si>
    <t xml:space="preserve">xxx6</t>
  </si>
  <si>
    <t xml:space="preserve">Nome Squadra 7</t>
  </si>
  <si>
    <t xml:space="preserve">xxx7</t>
  </si>
  <si>
    <t xml:space="preserve">Nome Squadra 8</t>
  </si>
  <si>
    <t xml:space="preserve">xxx8</t>
  </si>
  <si>
    <t xml:space="preserve">Nome Squadra 9</t>
  </si>
  <si>
    <t xml:space="preserve">xxx9</t>
  </si>
  <si>
    <t xml:space="preserve">Nome Squadra 10</t>
  </si>
  <si>
    <t xml:space="preserve">xxx10</t>
  </si>
  <si>
    <t xml:space="preserve">Nome Squadra 11</t>
  </si>
  <si>
    <t xml:space="preserve">xxx11</t>
  </si>
  <si>
    <t xml:space="preserve">Nome Squadra 12</t>
  </si>
  <si>
    <t xml:space="preserve">xxx12</t>
  </si>
  <si>
    <t xml:space="preserve">Nome Squadra 13</t>
  </si>
  <si>
    <t xml:space="preserve">xxx13</t>
  </si>
  <si>
    <t xml:space="preserve">Nome Squadra 14</t>
  </si>
  <si>
    <t xml:space="preserve">xxx14</t>
  </si>
  <si>
    <t xml:space="preserve">Nome Squadra 15</t>
  </si>
  <si>
    <t xml:space="preserve">xxx15</t>
  </si>
  <si>
    <t xml:space="preserve">Nome Squadra 16</t>
  </si>
  <si>
    <t xml:space="preserve">xxx16</t>
  </si>
  <si>
    <t xml:space="preserve">Modificatore Difesa</t>
  </si>
  <si>
    <t xml:space="preserve">Si</t>
  </si>
  <si>
    <t xml:space="preserve">Modificatore Centrocampo</t>
  </si>
  <si>
    <t xml:space="preserve">No</t>
  </si>
  <si>
    <t xml:space="preserve">Regole chiamata giocatori</t>
  </si>
  <si>
    <t xml:space="preserve">A Chiamata Libera</t>
  </si>
  <si>
    <t xml:space="preserve">La Mia Squadra</t>
  </si>
  <si>
    <t xml:space="preserve">Seleziona il tuo nome squadra dalla lista sopra (B9:B24)</t>
  </si>
  <si>
    <t xml:space="preserve">Modulo Preferito</t>
  </si>
  <si>
    <t xml:space="preserve">3-4-3</t>
  </si>
  <si>
    <t xml:space="preserve">Lista Giocatori Preferiti (nome esatto come in Input Giocatori)</t>
  </si>
  <si>
    <t xml:space="preserve">Giocatori Preferiti</t>
  </si>
  <si>
    <t xml:space="preserve">Aggressivita</t>
  </si>
  <si>
    <t xml:space="preserve"> </t>
  </si>
  <si>
    <t xml:space="preserve">Quotazioni Fantacalcio Stagione 2026 27</t>
  </si>
  <si>
    <t xml:space="preserve">Id</t>
  </si>
  <si>
    <t xml:space="preserve">R</t>
  </si>
  <si>
    <t xml:space="preserve">Nome</t>
  </si>
  <si>
    <t xml:space="preserve">Squadra</t>
  </si>
  <si>
    <t xml:space="preserve">Qt.A</t>
  </si>
  <si>
    <t xml:space="preserve">Qt.I</t>
  </si>
  <si>
    <t xml:space="preserve">FVM/1000</t>
  </si>
  <si>
    <t xml:space="preserve">Svilar</t>
  </si>
  <si>
    <t xml:space="preserve">Roma</t>
  </si>
  <si>
    <t xml:space="preserve">Martinez Jo.</t>
  </si>
  <si>
    <t xml:space="preserve">Inter</t>
  </si>
  <si>
    <t xml:space="preserve">Carnesecchi</t>
  </si>
  <si>
    <t xml:space="preserve">Atalanta</t>
  </si>
  <si>
    <t xml:space="preserve">Butez</t>
  </si>
  <si>
    <t xml:space="preserve">Como</t>
  </si>
  <si>
    <t xml:space="preserve">Maignan</t>
  </si>
  <si>
    <t xml:space="preserve">Milan</t>
  </si>
  <si>
    <t xml:space="preserve">De Gea</t>
  </si>
  <si>
    <t xml:space="preserve">Fiorentina</t>
  </si>
  <si>
    <t xml:space="preserve">Meret</t>
  </si>
  <si>
    <t xml:space="preserve">Napoli</t>
  </si>
  <si>
    <t xml:space="preserve">Skorupski</t>
  </si>
  <si>
    <t xml:space="preserve">Bologna</t>
  </si>
  <si>
    <t xml:space="preserve">Caprile</t>
  </si>
  <si>
    <t xml:space="preserve">Cagliari</t>
  </si>
  <si>
    <t xml:space="preserve">Di Gregorio</t>
  </si>
  <si>
    <t xml:space="preserve">Juventus</t>
  </si>
  <si>
    <t xml:space="preserve">Mandas</t>
  </si>
  <si>
    <t xml:space="preserve">Lazio</t>
  </si>
  <si>
    <t xml:space="preserve">Okoye</t>
  </si>
  <si>
    <t xml:space="preserve">Udinese</t>
  </si>
  <si>
    <t xml:space="preserve">Bijlow</t>
  </si>
  <si>
    <t xml:space="preserve">Genoa</t>
  </si>
  <si>
    <t xml:space="preserve">Falcone</t>
  </si>
  <si>
    <t xml:space="preserve">Lecce</t>
  </si>
  <si>
    <t xml:space="preserve">Daffara</t>
  </si>
  <si>
    <t xml:space="preserve">Parma</t>
  </si>
  <si>
    <t xml:space="preserve">Suzuki</t>
  </si>
  <si>
    <t xml:space="preserve">Muric</t>
  </si>
  <si>
    <t xml:space="preserve">Sassuolo</t>
  </si>
  <si>
    <t xml:space="preserve">Perin</t>
  </si>
  <si>
    <t xml:space="preserve">Stankovic F.</t>
  </si>
  <si>
    <t xml:space="preserve">Venezia</t>
  </si>
  <si>
    <t xml:space="preserve">Thiam</t>
  </si>
  <si>
    <t xml:space="preserve">Monza</t>
  </si>
  <si>
    <t xml:space="preserve">Milinkovic-Savic V.</t>
  </si>
  <si>
    <t xml:space="preserve">Palmisani</t>
  </si>
  <si>
    <t xml:space="preserve">Frosinone</t>
  </si>
  <si>
    <t xml:space="preserve">Desplanches</t>
  </si>
  <si>
    <t xml:space="preserve">Provedel</t>
  </si>
  <si>
    <t xml:space="preserve">Rossi F.</t>
  </si>
  <si>
    <t xml:space="preserve">Sportiello</t>
  </si>
  <si>
    <t xml:space="preserve">Happonen</t>
  </si>
  <si>
    <t xml:space="preserve">Pessina Mas.</t>
  </si>
  <si>
    <t xml:space="preserve">Ciocci</t>
  </si>
  <si>
    <t xml:space="preserve">Sherri</t>
  </si>
  <si>
    <t xml:space="preserve">Tornqvist</t>
  </si>
  <si>
    <t xml:space="preserve">Vigorito</t>
  </si>
  <si>
    <t xml:space="preserve">Christensen O.</t>
  </si>
  <si>
    <t xml:space="preserve">Lezzerini</t>
  </si>
  <si>
    <t xml:space="preserve">Lolic</t>
  </si>
  <si>
    <t xml:space="preserve">Sommariva</t>
  </si>
  <si>
    <t xml:space="preserve">Stolz</t>
  </si>
  <si>
    <t xml:space="preserve">Di Gennaro</t>
  </si>
  <si>
    <t xml:space="preserve">Pinsoglio</t>
  </si>
  <si>
    <t xml:space="preserve">Motta</t>
  </si>
  <si>
    <t xml:space="preserve">Renzetti</t>
  </si>
  <si>
    <t xml:space="preserve">Samooja</t>
  </si>
  <si>
    <t xml:space="preserve">Terracciano</t>
  </si>
  <si>
    <t xml:space="preserve">Torriani</t>
  </si>
  <si>
    <t xml:space="preserve">Pizzignacco</t>
  </si>
  <si>
    <t xml:space="preserve">Strajnar</t>
  </si>
  <si>
    <t xml:space="preserve">Contini</t>
  </si>
  <si>
    <t xml:space="preserve">Corvi</t>
  </si>
  <si>
    <t xml:space="preserve">De Marzi</t>
  </si>
  <si>
    <t xml:space="preserve">Gollini</t>
  </si>
  <si>
    <t xml:space="preserve">Russo A.</t>
  </si>
  <si>
    <t xml:space="preserve">Turati</t>
  </si>
  <si>
    <t xml:space="preserve">Mascardi</t>
  </si>
  <si>
    <t xml:space="preserve">Torino</t>
  </si>
  <si>
    <t xml:space="preserve">Paleari</t>
  </si>
  <si>
    <t xml:space="preserve">Siviero</t>
  </si>
  <si>
    <t xml:space="preserve">Padelli</t>
  </si>
  <si>
    <t xml:space="preserve">Piana</t>
  </si>
  <si>
    <t xml:space="preserve">Grandi</t>
  </si>
  <si>
    <t xml:space="preserve">Pozzi</t>
  </si>
  <si>
    <t xml:space="preserve">Dimarco</t>
  </si>
  <si>
    <t xml:space="preserve">Wesley</t>
  </si>
  <si>
    <t xml:space="preserve">Akanji</t>
  </si>
  <si>
    <t xml:space="preserve">Bremer</t>
  </si>
  <si>
    <t xml:space="preserve">Mancini</t>
  </si>
  <si>
    <t xml:space="preserve">Bastoni</t>
  </si>
  <si>
    <t xml:space="preserve">Pavlovic</t>
  </si>
  <si>
    <t xml:space="preserve">Rrahmani</t>
  </si>
  <si>
    <t xml:space="preserve">Kalulu</t>
  </si>
  <si>
    <t xml:space="preserve">N'Dicka</t>
  </si>
  <si>
    <t xml:space="preserve">Solet</t>
  </si>
  <si>
    <t xml:space="preserve">Stones</t>
  </si>
  <si>
    <t xml:space="preserve">Gila</t>
  </si>
  <si>
    <t xml:space="preserve">Di Lorenzo</t>
  </si>
  <si>
    <t xml:space="preserve">Ostigard</t>
  </si>
  <si>
    <t xml:space="preserve">Bisseck</t>
  </si>
  <si>
    <t xml:space="preserve">Scalvini</t>
  </si>
  <si>
    <t xml:space="preserve">Ramon</t>
  </si>
  <si>
    <t xml:space="preserve">Dodò</t>
  </si>
  <si>
    <t xml:space="preserve">Hermoso</t>
  </si>
  <si>
    <t xml:space="preserve">Vasquez</t>
  </si>
  <si>
    <t xml:space="preserve">Cambiaso</t>
  </si>
  <si>
    <t xml:space="preserve">Hien</t>
  </si>
  <si>
    <t xml:space="preserve">Zappacosta</t>
  </si>
  <si>
    <t xml:space="preserve">Lucumì</t>
  </si>
  <si>
    <t xml:space="preserve">Miranda J.</t>
  </si>
  <si>
    <t xml:space="preserve">Mina</t>
  </si>
  <si>
    <t xml:space="preserve">Dragusin</t>
  </si>
  <si>
    <t xml:space="preserve">Jimenez A.</t>
  </si>
  <si>
    <t xml:space="preserve">Norton-Cuffy</t>
  </si>
  <si>
    <t xml:space="preserve">Celik</t>
  </si>
  <si>
    <t xml:space="preserve">Bartesaghi</t>
  </si>
  <si>
    <t xml:space="preserve">Spinazzola</t>
  </si>
  <si>
    <t xml:space="preserve">Delprato</t>
  </si>
  <si>
    <t xml:space="preserve">Valeri</t>
  </si>
  <si>
    <t xml:space="preserve">Koulierakis</t>
  </si>
  <si>
    <t xml:space="preserve">Vojvoda</t>
  </si>
  <si>
    <t xml:space="preserve">Djimsiti</t>
  </si>
  <si>
    <t xml:space="preserve">Obert</t>
  </si>
  <si>
    <t xml:space="preserve">Kaiki</t>
  </si>
  <si>
    <t xml:space="preserve">Carlos Augusto</t>
  </si>
  <si>
    <t xml:space="preserve">Doekhi</t>
  </si>
  <si>
    <t xml:space="preserve">Romagnoli</t>
  </si>
  <si>
    <t xml:space="preserve">Tiago Gabriel</t>
  </si>
  <si>
    <t xml:space="preserve">Gabbia</t>
  </si>
  <si>
    <t xml:space="preserve">Tomori</t>
  </si>
  <si>
    <t xml:space="preserve">Buongiorno</t>
  </si>
  <si>
    <t xml:space="preserve">Idzes</t>
  </si>
  <si>
    <t xml:space="preserve">Coco</t>
  </si>
  <si>
    <t xml:space="preserve">Ismajli</t>
  </si>
  <si>
    <t xml:space="preserve">Kristensen T.</t>
  </si>
  <si>
    <t xml:space="preserve">Ahanor</t>
  </si>
  <si>
    <t xml:space="preserve">Bellanova</t>
  </si>
  <si>
    <t xml:space="preserve">Bernasconi</t>
  </si>
  <si>
    <t xml:space="preserve">Heggem</t>
  </si>
  <si>
    <t xml:space="preserve">Zortea</t>
  </si>
  <si>
    <t xml:space="preserve">Valle</t>
  </si>
  <si>
    <t xml:space="preserve">Valdepenas</t>
  </si>
  <si>
    <t xml:space="preserve">Viery</t>
  </si>
  <si>
    <t xml:space="preserve">Monterisi</t>
  </si>
  <si>
    <t xml:space="preserve">Marcandalli</t>
  </si>
  <si>
    <t xml:space="preserve">Pavard</t>
  </si>
  <si>
    <t xml:space="preserve">Tavares N.</t>
  </si>
  <si>
    <t xml:space="preserve">Marusic</t>
  </si>
  <si>
    <t xml:space="preserve">Gallo</t>
  </si>
  <si>
    <t xml:space="preserve">Mangas</t>
  </si>
  <si>
    <t xml:space="preserve">Beukema</t>
  </si>
  <si>
    <t xml:space="preserve">Circati</t>
  </si>
  <si>
    <t xml:space="preserve">Comuzzo</t>
  </si>
  <si>
    <t xml:space="preserve">Kamara H.</t>
  </si>
  <si>
    <t xml:space="preserve">Bella-Kotchap</t>
  </si>
  <si>
    <t xml:space="preserve">Kolasinac</t>
  </si>
  <si>
    <t xml:space="preserve">Vitik</t>
  </si>
  <si>
    <t xml:space="preserve">Holm</t>
  </si>
  <si>
    <t xml:space="preserve">Kofler</t>
  </si>
  <si>
    <t xml:space="preserve">Zè Pedro</t>
  </si>
  <si>
    <t xml:space="preserve">Kempf</t>
  </si>
  <si>
    <t xml:space="preserve">Parisi</t>
  </si>
  <si>
    <t xml:space="preserve">Bracaglia</t>
  </si>
  <si>
    <t xml:space="preserve">Oyono A.</t>
  </si>
  <si>
    <t xml:space="preserve">Martin</t>
  </si>
  <si>
    <t xml:space="preserve">Kelly L.</t>
  </si>
  <si>
    <t xml:space="preserve">Pedraza</t>
  </si>
  <si>
    <t xml:space="preserve">Gaspar K.</t>
  </si>
  <si>
    <t xml:space="preserve">Veiga D.</t>
  </si>
  <si>
    <t xml:space="preserve">Olivera</t>
  </si>
  <si>
    <t xml:space="preserve">Rensch</t>
  </si>
  <si>
    <t xml:space="preserve">Pedersen</t>
  </si>
  <si>
    <t xml:space="preserve">Moreno M.</t>
  </si>
  <si>
    <t xml:space="preserve">Haps</t>
  </si>
  <si>
    <t xml:space="preserve">Zappa</t>
  </si>
  <si>
    <t xml:space="preserve">Smolcic I.</t>
  </si>
  <si>
    <t xml:space="preserve">Pongracic</t>
  </si>
  <si>
    <t xml:space="preserve">Calvani</t>
  </si>
  <si>
    <t xml:space="preserve">Mitaj</t>
  </si>
  <si>
    <t xml:space="preserve">Gatti</t>
  </si>
  <si>
    <t xml:space="preserve">Siebert</t>
  </si>
  <si>
    <t xml:space="preserve">Delli Carri</t>
  </si>
  <si>
    <t xml:space="preserve">Lucchesi</t>
  </si>
  <si>
    <t xml:space="preserve">Birindelli</t>
  </si>
  <si>
    <t xml:space="preserve">Valenti</t>
  </si>
  <si>
    <t xml:space="preserve">Ghilardi</t>
  </si>
  <si>
    <t xml:space="preserve">Walukiewicz</t>
  </si>
  <si>
    <t xml:space="preserve">Doig</t>
  </si>
  <si>
    <t xml:space="preserve">Comert</t>
  </si>
  <si>
    <t xml:space="preserve">Kabasele</t>
  </si>
  <si>
    <t xml:space="preserve">Bertola</t>
  </si>
  <si>
    <t xml:space="preserve">Zanoli</t>
  </si>
  <si>
    <t xml:space="preserve">Arizala</t>
  </si>
  <si>
    <t xml:space="preserve">Halhal</t>
  </si>
  <si>
    <t xml:space="preserve">Correia T.</t>
  </si>
  <si>
    <t xml:space="preserve">Kossounou</t>
  </si>
  <si>
    <t xml:space="preserve">Casale</t>
  </si>
  <si>
    <t xml:space="preserve">Rodriguez Ju.</t>
  </si>
  <si>
    <t xml:space="preserve">Idrissi R.</t>
  </si>
  <si>
    <t xml:space="preserve">Ranieri L.</t>
  </si>
  <si>
    <t xml:space="preserve">Joao Mario</t>
  </si>
  <si>
    <t xml:space="preserve">Akpoguma</t>
  </si>
  <si>
    <t xml:space="preserve">Cittadini</t>
  </si>
  <si>
    <t xml:space="preserve">Provstgaard</t>
  </si>
  <si>
    <t xml:space="preserve">Floriani Mussolini</t>
  </si>
  <si>
    <t xml:space="preserve">De Winter</t>
  </si>
  <si>
    <t xml:space="preserve">Athekame</t>
  </si>
  <si>
    <t xml:space="preserve">Estupinan</t>
  </si>
  <si>
    <t xml:space="preserve">Kouadio</t>
  </si>
  <si>
    <t xml:space="preserve">Carboni A.</t>
  </si>
  <si>
    <t xml:space="preserve">Troilo</t>
  </si>
  <si>
    <t xml:space="preserve">Britschgi</t>
  </si>
  <si>
    <t xml:space="preserve">Candè</t>
  </si>
  <si>
    <t xml:space="preserve">Schingtienne</t>
  </si>
  <si>
    <t xml:space="preserve">Sverko</t>
  </si>
  <si>
    <t xml:space="preserve">Hainaut</t>
  </si>
  <si>
    <t xml:space="preserve">Helland</t>
  </si>
  <si>
    <t xml:space="preserve">Alhassane</t>
  </si>
  <si>
    <t xml:space="preserve">Van Der Brempt</t>
  </si>
  <si>
    <t xml:space="preserve">Otoa</t>
  </si>
  <si>
    <t xml:space="preserve">Puczka</t>
  </si>
  <si>
    <t xml:space="preserve">Sabelli</t>
  </si>
  <si>
    <t xml:space="preserve">Lazzari</t>
  </si>
  <si>
    <t xml:space="preserve">Pellegrini Lu.</t>
  </si>
  <si>
    <t xml:space="preserve">Jean</t>
  </si>
  <si>
    <t xml:space="preserve">Diawara S.</t>
  </si>
  <si>
    <t xml:space="preserve">Marin R.</t>
  </si>
  <si>
    <t xml:space="preserve">Biraghi</t>
  </si>
  <si>
    <t xml:space="preserve">Palma</t>
  </si>
  <si>
    <t xml:space="preserve">Ebosse</t>
  </si>
  <si>
    <t xml:space="preserve">Franjic</t>
  </si>
  <si>
    <t xml:space="preserve">Sagrado</t>
  </si>
  <si>
    <t xml:space="preserve">De Silvestri</t>
  </si>
  <si>
    <t xml:space="preserve">Raterink</t>
  </si>
  <si>
    <t xml:space="preserve">Goldaniga</t>
  </si>
  <si>
    <t xml:space="preserve">Cuenca A.</t>
  </si>
  <si>
    <t xml:space="preserve">Amey</t>
  </si>
  <si>
    <t xml:space="preserve">Gelli J.</t>
  </si>
  <si>
    <t xml:space="preserve">Oyono J.</t>
  </si>
  <si>
    <t xml:space="preserve">Corrado</t>
  </si>
  <si>
    <t xml:space="preserve">Vogliacco</t>
  </si>
  <si>
    <t xml:space="preserve">Matturro</t>
  </si>
  <si>
    <t xml:space="preserve">Rugani</t>
  </si>
  <si>
    <t xml:space="preserve">Cabal</t>
  </si>
  <si>
    <t xml:space="preserve">Patric</t>
  </si>
  <si>
    <t xml:space="preserve">Perez M.</t>
  </si>
  <si>
    <t xml:space="preserve">Ndaba</t>
  </si>
  <si>
    <t xml:space="preserve">Antov</t>
  </si>
  <si>
    <t xml:space="preserve">Bakoune</t>
  </si>
  <si>
    <t xml:space="preserve">Marianucci</t>
  </si>
  <si>
    <t xml:space="preserve">Mazzocchi</t>
  </si>
  <si>
    <t xml:space="preserve">Ndiaye</t>
  </si>
  <si>
    <t xml:space="preserve">Carboni F.</t>
  </si>
  <si>
    <t xml:space="preserve">Ziolkowski</t>
  </si>
  <si>
    <t xml:space="preserve">Missori</t>
  </si>
  <si>
    <t xml:space="preserve">Pieragnolo</t>
  </si>
  <si>
    <t xml:space="preserve">Mlacic</t>
  </si>
  <si>
    <t xml:space="preserve">Abankwah</t>
  </si>
  <si>
    <t xml:space="preserve">Gomes</t>
  </si>
  <si>
    <t xml:space="preserve">Paz N.</t>
  </si>
  <si>
    <t xml:space="preserve">McTominay</t>
  </si>
  <si>
    <t xml:space="preserve">Calhanoglu</t>
  </si>
  <si>
    <t xml:space="preserve">Orsolini</t>
  </si>
  <si>
    <t xml:space="preserve">Pulisic</t>
  </si>
  <si>
    <t xml:space="preserve">Rabiot</t>
  </si>
  <si>
    <t xml:space="preserve">Baturina</t>
  </si>
  <si>
    <t xml:space="preserve">Da Cunha</t>
  </si>
  <si>
    <t xml:space="preserve">Zaniolo</t>
  </si>
  <si>
    <t xml:space="preserve">Atta</t>
  </si>
  <si>
    <t xml:space="preserve">Barella</t>
  </si>
  <si>
    <t xml:space="preserve">McKennie</t>
  </si>
  <si>
    <t xml:space="preserve">Zaccagni</t>
  </si>
  <si>
    <t xml:space="preserve">De Bruyne</t>
  </si>
  <si>
    <t xml:space="preserve">Vlasic</t>
  </si>
  <si>
    <t xml:space="preserve">Gudmundsson A.</t>
  </si>
  <si>
    <t xml:space="preserve">Taylor K.</t>
  </si>
  <si>
    <t xml:space="preserve">Ederson D.S.</t>
  </si>
  <si>
    <t xml:space="preserve">Samardzic</t>
  </si>
  <si>
    <t xml:space="preserve">Rodriguez Je.</t>
  </si>
  <si>
    <t xml:space="preserve">Alajbegovic</t>
  </si>
  <si>
    <t xml:space="preserve">Conceicao</t>
  </si>
  <si>
    <t xml:space="preserve">Modric</t>
  </si>
  <si>
    <t xml:space="preserve">Rowe</t>
  </si>
  <si>
    <t xml:space="preserve">Baldanzi</t>
  </si>
  <si>
    <t xml:space="preserve">Zambo Anguissa</t>
  </si>
  <si>
    <t xml:space="preserve">Perrone</t>
  </si>
  <si>
    <t xml:space="preserve">Zielinski</t>
  </si>
  <si>
    <t xml:space="preserve">Thuram K.</t>
  </si>
  <si>
    <t xml:space="preserve">Saelemaekers</t>
  </si>
  <si>
    <t xml:space="preserve">Politano</t>
  </si>
  <si>
    <t xml:space="preserve">Konè M.</t>
  </si>
  <si>
    <t xml:space="preserve">Thorstvedt</t>
  </si>
  <si>
    <t xml:space="preserve">Casadei</t>
  </si>
  <si>
    <t xml:space="preserve">Ekkelenkamp</t>
  </si>
  <si>
    <t xml:space="preserve">Pasalic</t>
  </si>
  <si>
    <t xml:space="preserve">Bernardeschi</t>
  </si>
  <si>
    <t xml:space="preserve">Mandragora</t>
  </si>
  <si>
    <t xml:space="preserve">Cancellieri</t>
  </si>
  <si>
    <t xml:space="preserve">Isaksen</t>
  </si>
  <si>
    <t xml:space="preserve">Konè I.</t>
  </si>
  <si>
    <t xml:space="preserve">Odgaard</t>
  </si>
  <si>
    <t xml:space="preserve">Cambiaghi</t>
  </si>
  <si>
    <t xml:space="preserve">Fagioli</t>
  </si>
  <si>
    <t xml:space="preserve">Ndour</t>
  </si>
  <si>
    <t xml:space="preserve">Diouf</t>
  </si>
  <si>
    <t xml:space="preserve">Sucic P.</t>
  </si>
  <si>
    <t xml:space="preserve">Locatelli</t>
  </si>
  <si>
    <t xml:space="preserve">Colpani</t>
  </si>
  <si>
    <t xml:space="preserve">Vergara</t>
  </si>
  <si>
    <t xml:space="preserve">Cristante</t>
  </si>
  <si>
    <t xml:space="preserve">Gaetano</t>
  </si>
  <si>
    <t xml:space="preserve">Ferguson</t>
  </si>
  <si>
    <t xml:space="preserve">Fazzini</t>
  </si>
  <si>
    <t xml:space="preserve">Calò</t>
  </si>
  <si>
    <t xml:space="preserve">Frendrup</t>
  </si>
  <si>
    <t xml:space="preserve">Frattesi</t>
  </si>
  <si>
    <t xml:space="preserve">Pessina</t>
  </si>
  <si>
    <t xml:space="preserve">Lobotka</t>
  </si>
  <si>
    <t xml:space="preserve">Bernabè</t>
  </si>
  <si>
    <t xml:space="preserve">Volpato</t>
  </si>
  <si>
    <t xml:space="preserve">Oristanio</t>
  </si>
  <si>
    <t xml:space="preserve">Unai Gomez</t>
  </si>
  <si>
    <t xml:space="preserve">Zalewski</t>
  </si>
  <si>
    <t xml:space="preserve">Pobega</t>
  </si>
  <si>
    <t xml:space="preserve">Adopo</t>
  </si>
  <si>
    <t xml:space="preserve">Winks</t>
  </si>
  <si>
    <t xml:space="preserve">Caqueret</t>
  </si>
  <si>
    <t xml:space="preserve">Liberali</t>
  </si>
  <si>
    <t xml:space="preserve">Oulai</t>
  </si>
  <si>
    <t xml:space="preserve">Ellertsson</t>
  </si>
  <si>
    <t xml:space="preserve">Zhegrova</t>
  </si>
  <si>
    <t xml:space="preserve">Rovella</t>
  </si>
  <si>
    <t xml:space="preserve">Coulibaly L.</t>
  </si>
  <si>
    <t xml:space="preserve">Pierotti</t>
  </si>
  <si>
    <t xml:space="preserve">Chukwueze</t>
  </si>
  <si>
    <t xml:space="preserve">Akinsanmiro</t>
  </si>
  <si>
    <t xml:space="preserve">Nicolussi Caviglia</t>
  </si>
  <si>
    <t xml:space="preserve">Karlstrom</t>
  </si>
  <si>
    <t xml:space="preserve">Basic</t>
  </si>
  <si>
    <t xml:space="preserve">Amondarain</t>
  </si>
  <si>
    <t xml:space="preserve">Romano</t>
  </si>
  <si>
    <t xml:space="preserve">Felici</t>
  </si>
  <si>
    <t xml:space="preserve">Milla</t>
  </si>
  <si>
    <t xml:space="preserve">Addai</t>
  </si>
  <si>
    <t xml:space="preserve">Zerbin</t>
  </si>
  <si>
    <t xml:space="preserve">Meichtry</t>
  </si>
  <si>
    <t xml:space="preserve">Traorè Hj.</t>
  </si>
  <si>
    <t xml:space="preserve">Mkhitaryan</t>
  </si>
  <si>
    <t xml:space="preserve">Koopmeiners</t>
  </si>
  <si>
    <t xml:space="preserve">Dele-Bashiru</t>
  </si>
  <si>
    <t xml:space="preserve">Berisha M.</t>
  </si>
  <si>
    <t xml:space="preserve">Gandelman</t>
  </si>
  <si>
    <t xml:space="preserve">Fofana Y.</t>
  </si>
  <si>
    <t xml:space="preserve">Keita M.</t>
  </si>
  <si>
    <t xml:space="preserve">Ondrejka</t>
  </si>
  <si>
    <t xml:space="preserve">Pisilli</t>
  </si>
  <si>
    <t xml:space="preserve">Matic</t>
  </si>
  <si>
    <t xml:space="preserve">Adzic</t>
  </si>
  <si>
    <t xml:space="preserve">Bakola</t>
  </si>
  <si>
    <t xml:space="preserve">Cacciamani</t>
  </si>
  <si>
    <t xml:space="preserve">Gineitis</t>
  </si>
  <si>
    <t xml:space="preserve">Piotrowski</t>
  </si>
  <si>
    <t xml:space="preserve">Busio</t>
  </si>
  <si>
    <t xml:space="preserve">Sohm</t>
  </si>
  <si>
    <t xml:space="preserve">Perez K.</t>
  </si>
  <si>
    <t xml:space="preserve">De Roon</t>
  </si>
  <si>
    <t xml:space="preserve">Moro N.</t>
  </si>
  <si>
    <t xml:space="preserve">Prati</t>
  </si>
  <si>
    <t xml:space="preserve">Fabbian</t>
  </si>
  <si>
    <t xml:space="preserve">Cichella</t>
  </si>
  <si>
    <t xml:space="preserve">Koutsoupias</t>
  </si>
  <si>
    <t xml:space="preserve">Amorim</t>
  </si>
  <si>
    <t xml:space="preserve">Luis Henrique</t>
  </si>
  <si>
    <t xml:space="preserve">Douglas Luiz</t>
  </si>
  <si>
    <t xml:space="preserve">Cataldi</t>
  </si>
  <si>
    <t xml:space="preserve">Ngom</t>
  </si>
  <si>
    <t xml:space="preserve">Ricci S.</t>
  </si>
  <si>
    <t xml:space="preserve">Jashari</t>
  </si>
  <si>
    <t xml:space="preserve">Loftus-Cheek</t>
  </si>
  <si>
    <t xml:space="preserve">Folorunsho</t>
  </si>
  <si>
    <t xml:space="preserve">Almqvist</t>
  </si>
  <si>
    <t xml:space="preserve">El Aynaoui</t>
  </si>
  <si>
    <t xml:space="preserve">Fitz-Jim</t>
  </si>
  <si>
    <t xml:space="preserve">Ilkhan</t>
  </si>
  <si>
    <t xml:space="preserve">Njie</t>
  </si>
  <si>
    <t xml:space="preserve">Sulemana I.</t>
  </si>
  <si>
    <t xml:space="preserve">Dominguez B.</t>
  </si>
  <si>
    <t xml:space="preserve">Deiola</t>
  </si>
  <si>
    <t xml:space="preserve">Brescianini</t>
  </si>
  <si>
    <t xml:space="preserve">Gelli F.</t>
  </si>
  <si>
    <t xml:space="preserve">Fini </t>
  </si>
  <si>
    <t xml:space="preserve">Messias</t>
  </si>
  <si>
    <t xml:space="preserve">Stankovic A.</t>
  </si>
  <si>
    <t xml:space="preserve">Miretti</t>
  </si>
  <si>
    <t xml:space="preserve">Colombo L.</t>
  </si>
  <si>
    <t xml:space="preserve">Gilmour</t>
  </si>
  <si>
    <t xml:space="preserve">Sorensen O.</t>
  </si>
  <si>
    <t xml:space="preserve">Diallo O.</t>
  </si>
  <si>
    <t xml:space="preserve">Aboukhlal</t>
  </si>
  <si>
    <t xml:space="preserve">Miller L.</t>
  </si>
  <si>
    <t xml:space="preserve">Helgason</t>
  </si>
  <si>
    <t xml:space="preserve">El Azzouzi O.</t>
  </si>
  <si>
    <t xml:space="preserve">Fadera</t>
  </si>
  <si>
    <t xml:space="preserve">Hasa</t>
  </si>
  <si>
    <t xml:space="preserve">Masini</t>
  </si>
  <si>
    <t xml:space="preserve">Venturino</t>
  </si>
  <si>
    <t xml:space="preserve">Maleh</t>
  </si>
  <si>
    <t xml:space="preserve">Musah</t>
  </si>
  <si>
    <t xml:space="preserve">Ciurria</t>
  </si>
  <si>
    <t xml:space="preserve">Ordonez C.</t>
  </si>
  <si>
    <t xml:space="preserve">Boloca</t>
  </si>
  <si>
    <t xml:space="preserve">Lipani</t>
  </si>
  <si>
    <t xml:space="preserve">Chakvetadze</t>
  </si>
  <si>
    <t xml:space="preserve">Duncan</t>
  </si>
  <si>
    <t xml:space="preserve">Liteta</t>
  </si>
  <si>
    <t xml:space="preserve">Lahdo</t>
  </si>
  <si>
    <t xml:space="preserve">El Azzouzi A.</t>
  </si>
  <si>
    <t xml:space="preserve">Kone B.</t>
  </si>
  <si>
    <t xml:space="preserve">Belahyane</t>
  </si>
  <si>
    <t xml:space="preserve">Przyborek</t>
  </si>
  <si>
    <t xml:space="preserve">Gorter</t>
  </si>
  <si>
    <t xml:space="preserve">Kaba</t>
  </si>
  <si>
    <t xml:space="preserve">Fofana Sa.</t>
  </si>
  <si>
    <t xml:space="preserve">Cremaschi</t>
  </si>
  <si>
    <t xml:space="preserve">Iannoni</t>
  </si>
  <si>
    <t xml:space="preserve">Ilic</t>
  </si>
  <si>
    <t xml:space="preserve">Anjorin</t>
  </si>
  <si>
    <t xml:space="preserve">Camara A.</t>
  </si>
  <si>
    <t xml:space="preserve">Zarraga</t>
  </si>
  <si>
    <t xml:space="preserve">Bjarkason</t>
  </si>
  <si>
    <t xml:space="preserve">Dagasso</t>
  </si>
  <si>
    <t xml:space="preserve">Martinez L.</t>
  </si>
  <si>
    <t xml:space="preserve">Malen</t>
  </si>
  <si>
    <t xml:space="preserve">Thuram</t>
  </si>
  <si>
    <t xml:space="preserve">Hojlund</t>
  </si>
  <si>
    <t xml:space="preserve">Ramos G.</t>
  </si>
  <si>
    <t xml:space="preserve">Kolo Muani</t>
  </si>
  <si>
    <t xml:space="preserve">Kean</t>
  </si>
  <si>
    <t xml:space="preserve">Yildiz</t>
  </si>
  <si>
    <t xml:space="preserve">Douvikas</t>
  </si>
  <si>
    <t xml:space="preserve">Scamacca</t>
  </si>
  <si>
    <t xml:space="preserve">Davis K.</t>
  </si>
  <si>
    <t xml:space="preserve">Krstovic</t>
  </si>
  <si>
    <t xml:space="preserve">Leao</t>
  </si>
  <si>
    <t xml:space="preserve">Berardi</t>
  </si>
  <si>
    <t xml:space="preserve">De Ketelaere</t>
  </si>
  <si>
    <t xml:space="preserve">Dovbyk</t>
  </si>
  <si>
    <t xml:space="preserve">Esposito F.P.</t>
  </si>
  <si>
    <t xml:space="preserve">Pellegrino M.</t>
  </si>
  <si>
    <t xml:space="preserve">Laurientè</t>
  </si>
  <si>
    <t xml:space="preserve">Simeone</t>
  </si>
  <si>
    <t xml:space="preserve">Santos A.</t>
  </si>
  <si>
    <t xml:space="preserve">Dybala</t>
  </si>
  <si>
    <t xml:space="preserve">Castro S.</t>
  </si>
  <si>
    <t xml:space="preserve">Raspadori</t>
  </si>
  <si>
    <t xml:space="preserve">Esposito Se.</t>
  </si>
  <si>
    <t xml:space="preserve">Nkunku</t>
  </si>
  <si>
    <t xml:space="preserve">Pinamonti</t>
  </si>
  <si>
    <t xml:space="preserve">Soulè</t>
  </si>
  <si>
    <t xml:space="preserve">Adams A.</t>
  </si>
  <si>
    <t xml:space="preserve">Diao</t>
  </si>
  <si>
    <t xml:space="preserve">Colombo</t>
  </si>
  <si>
    <t xml:space="preserve">Dia</t>
  </si>
  <si>
    <t xml:space="preserve">Ratkov</t>
  </si>
  <si>
    <t xml:space="preserve">Lukaku</t>
  </si>
  <si>
    <t xml:space="preserve">Bowie</t>
  </si>
  <si>
    <t xml:space="preserve">Ghedjemis</t>
  </si>
  <si>
    <t xml:space="preserve">David</t>
  </si>
  <si>
    <t xml:space="preserve">Geubbels</t>
  </si>
  <si>
    <t xml:space="preserve">Cutrone</t>
  </si>
  <si>
    <t xml:space="preserve">Adams C.</t>
  </si>
  <si>
    <t xml:space="preserve">Dallinga</t>
  </si>
  <si>
    <t xml:space="preserve">Piccoli</t>
  </si>
  <si>
    <t xml:space="preserve">Vitinha O.</t>
  </si>
  <si>
    <t xml:space="preserve">Yeboah J.</t>
  </si>
  <si>
    <t xml:space="preserve">Rrahmani Al.</t>
  </si>
  <si>
    <t xml:space="preserve">Raimondo</t>
  </si>
  <si>
    <t xml:space="preserve">Bonny</t>
  </si>
  <si>
    <t xml:space="preserve">Stulic</t>
  </si>
  <si>
    <t xml:space="preserve">Zapata D.</t>
  </si>
  <si>
    <t xml:space="preserve">Sulemana K.</t>
  </si>
  <si>
    <t xml:space="preserve">Mutandwa</t>
  </si>
  <si>
    <t xml:space="preserve">Boga</t>
  </si>
  <si>
    <t xml:space="preserve">Noslin</t>
  </si>
  <si>
    <t xml:space="preserve">Gimenez</t>
  </si>
  <si>
    <t xml:space="preserve">Neres</t>
  </si>
  <si>
    <t xml:space="preserve">Maldini</t>
  </si>
  <si>
    <t xml:space="preserve">Camarda</t>
  </si>
  <si>
    <t xml:space="preserve">Mota</t>
  </si>
  <si>
    <t xml:space="preserve">Frigan</t>
  </si>
  <si>
    <t xml:space="preserve">Adorante</t>
  </si>
  <si>
    <t xml:space="preserve">Borrelli</t>
  </si>
  <si>
    <t xml:space="preserve">Mendy P.</t>
  </si>
  <si>
    <t xml:space="preserve">Morata</t>
  </si>
  <si>
    <t xml:space="preserve">Kvernadze</t>
  </si>
  <si>
    <t xml:space="preserve">Havel</t>
  </si>
  <si>
    <t xml:space="preserve">Giovane</t>
  </si>
  <si>
    <t xml:space="preserve">Kulenovic</t>
  </si>
  <si>
    <t xml:space="preserve">Gueye</t>
  </si>
  <si>
    <t xml:space="preserve">Kuhn</t>
  </si>
  <si>
    <t xml:space="preserve">Ekhator</t>
  </si>
  <si>
    <t xml:space="preserve">N'Dri</t>
  </si>
  <si>
    <t xml:space="preserve">Varela G.</t>
  </si>
  <si>
    <t xml:space="preserve">Lang</t>
  </si>
  <si>
    <t xml:space="preserve">Lucca</t>
  </si>
  <si>
    <t xml:space="preserve">Elphege</t>
  </si>
  <si>
    <t xml:space="preserve">Petagna</t>
  </si>
  <si>
    <t xml:space="preserve">Buksa </t>
  </si>
  <si>
    <t xml:space="preserve">Albarracin</t>
  </si>
  <si>
    <t xml:space="preserve">Trepy</t>
  </si>
  <si>
    <t xml:space="preserve">Azon</t>
  </si>
  <si>
    <t xml:space="preserve">Vaz</t>
  </si>
  <si>
    <t xml:space="preserve">Moro L.</t>
  </si>
  <si>
    <t xml:space="preserve">Bayo V.</t>
  </si>
  <si>
    <t xml:space="preserve">Lisman</t>
  </si>
  <si>
    <t xml:space="preserve">Lauberbach</t>
  </si>
  <si>
    <t xml:space="preserve">Squadra Assegnata</t>
  </si>
  <si>
    <t xml:space="preserve">Whichlist</t>
  </si>
  <si>
    <t xml:space="preserve">Offerta Max</t>
  </si>
  <si>
    <t xml:space="preserve">Valutazione Min</t>
  </si>
  <si>
    <t xml:space="preserve">Valutazione Max</t>
  </si>
  <si>
    <t xml:space="preserve">Presenze 25/26 (Pv)</t>
  </si>
  <si>
    <t xml:space="preserve">Assenze 25/26 (stim.)</t>
  </si>
  <si>
    <t xml:space="preserve">Gol 25/26</t>
  </si>
  <si>
    <t xml:space="preserve">Assist 25/26</t>
  </si>
  <si>
    <t xml:space="preserve">Prezzo Pagato</t>
  </si>
  <si>
    <t xml:space="preserve">_OrdineLiberi</t>
  </si>
  <si>
    <t xml:space="preserve">_OrdineMiaRosa</t>
  </si>
  <si>
    <t xml:space="preserve">Mv 25/26</t>
  </si>
  <si>
    <t xml:space="preserve">Fm 25/26</t>
  </si>
  <si>
    <t xml:space="preserve">Sostenibilità Budget</t>
  </si>
  <si>
    <t xml:space="preserve">Rank FVM nel Ruolo</t>
  </si>
  <si>
    <t xml:space="preserve">Budget Residuo</t>
  </si>
  <si>
    <t xml:space="preserve">Slot Residui</t>
  </si>
  <si>
    <t xml:space="preserve">Budget Minimo Riserva</t>
  </si>
  <si>
    <t xml:space="preserve">Budget Spendibile</t>
  </si>
  <si>
    <t xml:space="preserve">Offerta Max Dinamica</t>
  </si>
  <si>
    <t xml:space="preserve">Prezzo Corrente</t>
  </si>
  <si>
    <t xml:space="preserve">Decisione Live</t>
  </si>
  <si>
    <t xml:space="preserve">Confidence Storico</t>
  </si>
  <si>
    <t xml:space="preserve">Pressione Ruolo</t>
  </si>
  <si>
    <t xml:space="preserve">Ordine Alfabetico</t>
  </si>
  <si>
    <t xml:space="preserve">3-5-2</t>
  </si>
  <si>
    <t xml:space="preserve">Ruolo &amp; Quotazione</t>
  </si>
  <si>
    <t xml:space="preserve">3-6-1</t>
  </si>
  <si>
    <t xml:space="preserve">Busta Chiusa</t>
  </si>
  <si>
    <t xml:space="preserve">4-3-3</t>
  </si>
  <si>
    <t xml:space="preserve">4-4-2</t>
  </si>
  <si>
    <t xml:space="preserve">4-5-1</t>
  </si>
  <si>
    <t xml:space="preserve">5-4-1</t>
  </si>
  <si>
    <t xml:space="preserve">5-3-2</t>
  </si>
  <si>
    <t xml:space="preserve">6-3-1</t>
  </si>
  <si>
    <t xml:space="preserve">PARAMETRI MOTORE DI PRICING</t>
  </si>
  <si>
    <t xml:space="preserve">Budget Base Listone (standard Fantacalcio.it)</t>
  </si>
  <si>
    <t xml:space="preserve">Le quotazioni Qt.A del listone sono tarate su un budget standard di 500 crediti e una rosa 3P-8D-8C-6A. I prezzi vengono riscalati sul tuo Budget Iniziale (Info Lega!B4).</t>
  </si>
  <si>
    <t xml:space="preserve">Boost Modificatore Ruolo (%)</t>
  </si>
  <si>
    <t xml:space="preserve">Se attivo il Modificatore Difesa o Centrocampo (Info Lega), il prezzo base del ruolo interessato viene aumentato di questa percentuale.</t>
  </si>
  <si>
    <t xml:space="preserve">Boost Whichlist / Preferiti (%)</t>
  </si>
  <si>
    <t xml:space="preserve">Boost MASSIMO applicato all'Offerta Max se il giocatore e' whichlist. Ora scala con l'Aggressivita' (Info Strategia!B6): aggressivita'=0 -&gt; nessun sovrapprezzo, aggressivita'=1 -&gt; boost pieno.</t>
  </si>
  <si>
    <t xml:space="preserve">Peso Performance Storica (Fantamedia vs media ruolo, %)</t>
  </si>
  <si>
    <t xml:space="preserve">Quanto la Fantamedia reale 2025/26 (rispetto alla media di ruolo) sposta il prezzo in piu' o in meno. 0% = ignora la storia, guarda solo il mercato. Il fattore e' limitato a +/-25% per non far esplodere i prezzi su piccoli campioni.</t>
  </si>
  <si>
    <t xml:space="preserve">Ampiezza range di valutazione per ruolo (Spread %)</t>
  </si>
  <si>
    <t xml:space="preserve">Spread %</t>
  </si>
  <si>
    <t xml:space="preserve">Spread = quanto Valutazione Min/Max si allontanano dal prezzo base scalato. Ruoli piu' cari (A, C) hanno piu' varianza di mercato.</t>
  </si>
  <si>
    <t xml:space="preserve">Fantamedia media per ruolo (calcolata sui giocatori con dati storici)</t>
  </si>
  <si>
    <t xml:space="preserve">Media della Fantamedia per ruolo, calcolata solo sui giocatori che raggiungono la soglia minima di presenze.</t>
  </si>
  <si>
    <t xml:space="preserve">Fantamedia Media</t>
  </si>
  <si>
    <t xml:space="preserve">Presenze minime per storico (media/performance)</t>
  </si>
  <si>
    <t xml:space="preserve">Un giocatore con meno di questa soglia di presenze non influenza la Fantamedia media del ruolo e non riceve bonus/malus dalla performance storica. La soglia e' modificabile.</t>
  </si>
  <si>
    <t xml:space="preserve">Soglia 'OK' (x credito medio per slot rimanente)</t>
  </si>
  <si>
    <t xml:space="preserve">Sotto la soglia OK: offerta compatibile col ritmo di spesa che ti puoi permettere. Tra OK e Attenzione: fattibile ma ti restringe le prossime chiamate. Sopra: rischi di restare senza budget per gli slot che mancano.</t>
  </si>
  <si>
    <t xml:space="preserve">Soglia 'Attenzione' (x credito medio per slot rimanente)</t>
  </si>
  <si>
    <t xml:space="preserve">Fattore Scarsità di Ruolo attivo (Si/No)</t>
  </si>
  <si>
    <t xml:space="preserve">Confronta, per ogni ruolo, quanti giocatori disponibili restano rispetto agli slot ancora da riempire in tutta la lega. I giocatori con Qt.A=1 possono essere esclusi dal conteggio tramite il parametro dedicato. Il rapporto si aggiorna quando assegni giocatori in Output Utente.</t>
  </si>
  <si>
    <t xml:space="preserve">Peso massimo Scarsità (premio/sconto max, %)</t>
  </si>
  <si>
    <t xml:space="preserve">Escludi Qt.A=1 dalla scarsita' (Si/No)</t>
  </si>
  <si>
    <t xml:space="preserve">Se attivo, i giocatori con Qt.A=1 e ancora non assegnati non vengono conteggiati tra i giocatori disponibili per il calcolo della scarsita'. Restano comunque visibili nel listone.</t>
  </si>
  <si>
    <t xml:space="preserve">Riserva minima per slot (crediti)</t>
  </si>
  <si>
    <t xml:space="preserve">Crediti minimi da conservare per ogni slot ancora da riempire. Con base d'asta a 1, il minimo teorico è 1 credito per slot.</t>
  </si>
  <si>
    <t xml:space="preserve">Max Bid dinamico</t>
  </si>
  <si>
    <t xml:space="preserve">ATTIVO</t>
  </si>
  <si>
    <t xml:space="preserve">Il Max Bid dinamico viene limitato dal budget realmente spendibile: Budget residuo meno la riserva minima necessaria per tutti gli slot ancora vuoti.</t>
  </si>
  <si>
    <t xml:space="preserve">Slot Ancora da Riempire</t>
  </si>
  <si>
    <t xml:space="preserve">Giocatori Liberi nel Listone</t>
  </si>
  <si>
    <t xml:space="preserve">Rapporto Off./Dom.</t>
  </si>
  <si>
    <t xml:space="preserve">Base di prezzo: pool FVM proporzionale al budget di lega</t>
  </si>
  <si>
    <t xml:space="preserve">Pool FVM: per ogni ruolo prende tutti i giocatori fino alla soglia del N-esimo FVM (N = slot totali di quel ruolo nella lega). In caso di pari FVM sulla soglia, tutti i giocatori a pari FVM entrano nel pool. Questo evita un tie-break arbitrario.</t>
  </si>
  <si>
    <t xml:space="preserve">Slot Totali Lega</t>
  </si>
  <si>
    <t xml:space="preserve">Somma FVM Pool</t>
  </si>
  <si>
    <t xml:space="preserve">Somma FVM Pool TOTALE (tutti i ruoli, denominatore comune)</t>
  </si>
  <si>
    <t xml:space="preserve">Correzione: ogni ruolo deve condividere lo stesso budget di lega, non riceverne uno intero a testa. Questa e' la somma di TUTTI i pool per ruolo, usata come denominatore comune.</t>
  </si>
  <si>
    <t xml:space="preserve">Budget Totale Lega (Numero Partecipanti x Budget Iniziale)</t>
  </si>
  <si>
    <t xml:space="preserve">Soglia Pressione VERDE (Top+Buoni rimasti / slot residui lega, &gt;=)</t>
  </si>
  <si>
    <t xml:space="preserve">Sotto la soglia gialla: Pressione ROSSA (non aspettare). Esempio ChatGPT: 7 Top/Buoni per 3 slot=2.33 (verde), 4 per 3=1.33 (giallo), 2 per 3=0.67 (rosso).</t>
  </si>
  <si>
    <t xml:space="preserve">Soglia Pressione GIALLA (&gt;=)</t>
  </si>
  <si>
    <t xml:space="preserve">Target storico % budget per ruolo (calibrato su aste reali)</t>
  </si>
  <si>
    <t xml:space="preserve">Fonte: Rose_fantalba 2023 e 2025 (dati reali, 8 squadre, 16 aste-ruolo). Sostituisce la distribuzione derivata dal solo FVM, che sovrastimava i difensori (18%-&gt;reale 11.6%) e sottostimava portieri e attaccanti.</t>
  </si>
  <si>
    <t xml:space="preserve">% Budget Target (storico)</t>
  </si>
  <si>
    <t xml:space="preserve">GIOCATORI ANCORA DISPONIBILI (non ancora chiamati all'asta)</t>
  </si>
  <si>
    <t xml:space="preserve">#</t>
  </si>
  <si>
    <t xml:space="preserve">Squadra Serie A</t>
  </si>
  <si>
    <t xml:space="preserve">Sostenibilità</t>
  </si>
  <si>
    <t xml:space="preserve">LA MIA ROSA</t>
  </si>
  <si>
    <t xml:space="preserve">RIEPILOGO</t>
  </si>
  <si>
    <t xml:space="preserve">LIVE AUCTION</t>
  </si>
  <si>
    <t xml:space="preserve">Budget residuo</t>
  </si>
  <si>
    <t xml:space="preserve">Slot residui</t>
  </si>
  <si>
    <t xml:space="preserve">Budget Totale</t>
  </si>
  <si>
    <t xml:space="preserve">Budget Speso</t>
  </si>
  <si>
    <t xml:space="preserve">Nota</t>
  </si>
  <si>
    <t xml:space="preserve">Budget Rimanente</t>
  </si>
  <si>
    <t xml:space="preserve">Per ogni giocatore, Offerta Max Dinamica = MIN(Offerta Max strategica, Budget Spendibile). Il Budget Spendibile conserva 1 credito per ogni slot ancora vuoto.</t>
  </si>
  <si>
    <t xml:space="preserve">Portieri (presi/tot)</t>
  </si>
  <si>
    <t xml:space="preserve">Difensori (presi/tot)</t>
  </si>
  <si>
    <t xml:space="preserve">Centrocampisti (presi/tot)</t>
  </si>
  <si>
    <t xml:space="preserve">Attaccanti (presi/tot)</t>
  </si>
  <si>
    <t xml:space="preserve">Slot Totali Rimanenti</t>
  </si>
  <si>
    <t xml:space="preserve">Credito Medio per Slot Rimanente</t>
  </si>
  <si>
    <t xml:space="preserve">Statistiche reali Fantacalcio.it — Stagione 2025/26 (fonte: fantacalcio.it/statistiche-serie-a)</t>
  </si>
  <si>
    <t xml:space="preserve">Rm</t>
  </si>
  <si>
    <t xml:space="preserve">Pv</t>
  </si>
  <si>
    <t xml:space="preserve">Mv</t>
  </si>
  <si>
    <t xml:space="preserve">Fm</t>
  </si>
  <si>
    <t xml:space="preserve">Gf</t>
  </si>
  <si>
    <t xml:space="preserve">Gs</t>
  </si>
  <si>
    <t xml:space="preserve">Rp</t>
  </si>
  <si>
    <t xml:space="preserve">Rc</t>
  </si>
  <si>
    <t xml:space="preserve">R+</t>
  </si>
  <si>
    <t xml:space="preserve">R-</t>
  </si>
  <si>
    <t xml:space="preserve">Ass</t>
  </si>
  <si>
    <t xml:space="preserve">Amm</t>
  </si>
  <si>
    <t xml:space="preserve">Esp</t>
  </si>
  <si>
    <t xml:space="preserve">Au</t>
  </si>
  <si>
    <t xml:space="preserve">Por</t>
  </si>
  <si>
    <t xml:space="preserve">Sommer</t>
  </si>
  <si>
    <t xml:space="preserve">Audero</t>
  </si>
  <si>
    <t xml:space="preserve">Cremonese</t>
  </si>
  <si>
    <t xml:space="preserve">Montipò</t>
  </si>
  <si>
    <t xml:space="preserve">Verona</t>
  </si>
  <si>
    <t xml:space="preserve">Leali</t>
  </si>
  <si>
    <t xml:space="preserve">Semper</t>
  </si>
  <si>
    <t xml:space="preserve">Pisa</t>
  </si>
  <si>
    <t xml:space="preserve">Ravaglia F.</t>
  </si>
  <si>
    <t xml:space="preserve">Furlanetto</t>
  </si>
  <si>
    <t xml:space="preserve">Guaita</t>
  </si>
  <si>
    <t xml:space="preserve">Radunovic</t>
  </si>
  <si>
    <t xml:space="preserve">Nava</t>
  </si>
  <si>
    <t xml:space="preserve">Martinelli T.</t>
  </si>
  <si>
    <t xml:space="preserve">Siegrist</t>
  </si>
  <si>
    <t xml:space="preserve">Fruchtl</t>
  </si>
  <si>
    <t xml:space="preserve">Rinaldi</t>
  </si>
  <si>
    <t xml:space="preserve">Nicolas</t>
  </si>
  <si>
    <t xml:space="preserve">Scuffet</t>
  </si>
  <si>
    <t xml:space="preserve">Zelezny</t>
  </si>
  <si>
    <t xml:space="preserve">Satalino</t>
  </si>
  <si>
    <t xml:space="preserve">Donnarumma An.</t>
  </si>
  <si>
    <t xml:space="preserve">Israel</t>
  </si>
  <si>
    <t xml:space="preserve">Popa</t>
  </si>
  <si>
    <t xml:space="preserve">Sava</t>
  </si>
  <si>
    <t xml:space="preserve">Perilli</t>
  </si>
  <si>
    <t xml:space="preserve">Vasquez D.</t>
  </si>
  <si>
    <t xml:space="preserve">Nunziante</t>
  </si>
  <si>
    <t xml:space="preserve">Silvestri</t>
  </si>
  <si>
    <t xml:space="preserve">Toniolo</t>
  </si>
  <si>
    <t xml:space="preserve">Cavlina</t>
  </si>
  <si>
    <t xml:space="preserve">Ferrante</t>
  </si>
  <si>
    <t xml:space="preserve">Calligaris</t>
  </si>
  <si>
    <t xml:space="preserve">Pannozzo</t>
  </si>
  <si>
    <t xml:space="preserve">Giacomone</t>
  </si>
  <si>
    <t xml:space="preserve">E</t>
  </si>
  <si>
    <t xml:space="preserve">Dc</t>
  </si>
  <si>
    <t xml:space="preserve">Palestra</t>
  </si>
  <si>
    <t xml:space="preserve">Ds;E</t>
  </si>
  <si>
    <t xml:space="preserve">Dd;Dc</t>
  </si>
  <si>
    <t xml:space="preserve">B;Dd;E</t>
  </si>
  <si>
    <t xml:space="preserve">Dumfries</t>
  </si>
  <si>
    <t xml:space="preserve">Gosens</t>
  </si>
  <si>
    <t xml:space="preserve">Ds;Dc</t>
  </si>
  <si>
    <t xml:space="preserve">Dd;E</t>
  </si>
  <si>
    <t xml:space="preserve">B;Ds;E</t>
  </si>
  <si>
    <t xml:space="preserve">Belghali</t>
  </si>
  <si>
    <t xml:space="preserve">Gutierrez</t>
  </si>
  <si>
    <t xml:space="preserve">Obrador</t>
  </si>
  <si>
    <t xml:space="preserve">Posch</t>
  </si>
  <si>
    <t xml:space="preserve">Moreno Alb.</t>
  </si>
  <si>
    <t xml:space="preserve">Baschirotto</t>
  </si>
  <si>
    <t xml:space="preserve">Angori</t>
  </si>
  <si>
    <t xml:space="preserve">Luperto</t>
  </si>
  <si>
    <t xml:space="preserve">Dd;Ds;E</t>
  </si>
  <si>
    <t xml:space="preserve">Muharemovic</t>
  </si>
  <si>
    <t xml:space="preserve">Maripan</t>
  </si>
  <si>
    <t xml:space="preserve">Tchatchoua</t>
  </si>
  <si>
    <t xml:space="preserve">Diego Carlos</t>
  </si>
  <si>
    <t xml:space="preserve">Garcia U.</t>
  </si>
  <si>
    <t xml:space="preserve">Terracciano F.</t>
  </si>
  <si>
    <t xml:space="preserve">Leoni</t>
  </si>
  <si>
    <t xml:space="preserve">Angelino</t>
  </si>
  <si>
    <t xml:space="preserve">Ehizibue</t>
  </si>
  <si>
    <t xml:space="preserve">Frese</t>
  </si>
  <si>
    <t xml:space="preserve">Barbieri</t>
  </si>
  <si>
    <t xml:space="preserve">Caracciolo A.</t>
  </si>
  <si>
    <t xml:space="preserve">Bradaric</t>
  </si>
  <si>
    <t xml:space="preserve">Edmundsson</t>
  </si>
  <si>
    <t xml:space="preserve">Dossena</t>
  </si>
  <si>
    <t xml:space="preserve">Acerbi</t>
  </si>
  <si>
    <t xml:space="preserve">Canestrelli</t>
  </si>
  <si>
    <t xml:space="preserve">Cuadrado</t>
  </si>
  <si>
    <t xml:space="preserve">Nelsson</t>
  </si>
  <si>
    <t xml:space="preserve">Bianchetti</t>
  </si>
  <si>
    <t xml:space="preserve">Folino</t>
  </si>
  <si>
    <t xml:space="preserve">Pezzella Giu.</t>
  </si>
  <si>
    <t xml:space="preserve">Thiaw</t>
  </si>
  <si>
    <t xml:space="preserve">Juan Jesus</t>
  </si>
  <si>
    <t xml:space="preserve">Salah-Eddine</t>
  </si>
  <si>
    <t xml:space="preserve">Lazaro</t>
  </si>
  <si>
    <t xml:space="preserve">Unai Nunez</t>
  </si>
  <si>
    <t xml:space="preserve">Oyegoke</t>
  </si>
  <si>
    <t xml:space="preserve">Coulibaly W.</t>
  </si>
  <si>
    <t xml:space="preserve">Erlic</t>
  </si>
  <si>
    <t xml:space="preserve">Azzi</t>
  </si>
  <si>
    <t xml:space="preserve">De Vrij</t>
  </si>
  <si>
    <t xml:space="preserve">Darmian</t>
  </si>
  <si>
    <t xml:space="preserve">Savona</t>
  </si>
  <si>
    <t xml:space="preserve">Balogh</t>
  </si>
  <si>
    <t xml:space="preserve">Calabresi</t>
  </si>
  <si>
    <t xml:space="preserve">Giannetti L.</t>
  </si>
  <si>
    <t xml:space="preserve">Zemura</t>
  </si>
  <si>
    <t xml:space="preserve">Valentini N.</t>
  </si>
  <si>
    <t xml:space="preserve">Tsimikas</t>
  </si>
  <si>
    <t xml:space="preserve">Zatterstrom</t>
  </si>
  <si>
    <t xml:space="preserve">Pedro Felipe</t>
  </si>
  <si>
    <t xml:space="preserve">Bonfanti</t>
  </si>
  <si>
    <t xml:space="preserve">Lykogiannis</t>
  </si>
  <si>
    <t xml:space="preserve">Di Pardo</t>
  </si>
  <si>
    <t xml:space="preserve">Jack</t>
  </si>
  <si>
    <t xml:space="preserve">Ravanelli</t>
  </si>
  <si>
    <t xml:space="preserve">Marì</t>
  </si>
  <si>
    <t xml:space="preserve">Viti</t>
  </si>
  <si>
    <t xml:space="preserve">Fortini</t>
  </si>
  <si>
    <t xml:space="preserve">Lovik</t>
  </si>
  <si>
    <t xml:space="preserve">Mateus Lusuardi</t>
  </si>
  <si>
    <t xml:space="preserve">Rus</t>
  </si>
  <si>
    <t xml:space="preserve">Kumbulla</t>
  </si>
  <si>
    <t xml:space="preserve">Masina</t>
  </si>
  <si>
    <t xml:space="preserve">Slotsager</t>
  </si>
  <si>
    <t xml:space="preserve">Goglichidze</t>
  </si>
  <si>
    <t xml:space="preserve">Cham</t>
  </si>
  <si>
    <t xml:space="preserve">Nkounkou</t>
  </si>
  <si>
    <t xml:space="preserve">Lirola</t>
  </si>
  <si>
    <t xml:space="preserve">Tchoca</t>
  </si>
  <si>
    <t xml:space="preserve">Balbo</t>
  </si>
  <si>
    <t xml:space="preserve">Ilic M.</t>
  </si>
  <si>
    <t xml:space="preserve">Wieteska</t>
  </si>
  <si>
    <t xml:space="preserve">Veroli</t>
  </si>
  <si>
    <t xml:space="preserve">Ceccherini</t>
  </si>
  <si>
    <t xml:space="preserve">Quagliata</t>
  </si>
  <si>
    <t xml:space="preserve">Sernicola</t>
  </si>
  <si>
    <t xml:space="preserve">Rouhi</t>
  </si>
  <si>
    <t xml:space="preserve">Gigot</t>
  </si>
  <si>
    <t xml:space="preserve">Hysaj</t>
  </si>
  <si>
    <t xml:space="preserve">Kouassi</t>
  </si>
  <si>
    <t xml:space="preserve">Coppola F.</t>
  </si>
  <si>
    <t xml:space="preserve">Mbambi</t>
  </si>
  <si>
    <t xml:space="preserve">Esteves T.</t>
  </si>
  <si>
    <t xml:space="preserve">Abdulhamid</t>
  </si>
  <si>
    <t xml:space="preserve">Odenthal</t>
  </si>
  <si>
    <t xml:space="preserve">Romagna</t>
  </si>
  <si>
    <t xml:space="preserve">Paz Y.</t>
  </si>
  <si>
    <t xml:space="preserve">Schuurs</t>
  </si>
  <si>
    <t xml:space="preserve">Dembelè A.</t>
  </si>
  <si>
    <t xml:space="preserve">Rui Modesto</t>
  </si>
  <si>
    <t xml:space="preserve">Denoon</t>
  </si>
  <si>
    <t xml:space="preserve">B;Dd;Ds</t>
  </si>
  <si>
    <t xml:space="preserve">Godfrey</t>
  </si>
  <si>
    <t xml:space="preserve">Lamptey</t>
  </si>
  <si>
    <t xml:space="preserve">Faye</t>
  </si>
  <si>
    <t xml:space="preserve">Odogu</t>
  </si>
  <si>
    <t xml:space="preserve">Albiol</t>
  </si>
  <si>
    <t xml:space="preserve">Palacios T.</t>
  </si>
  <si>
    <t xml:space="preserve">Bozhinov</t>
  </si>
  <si>
    <t xml:space="preserve">T;A</t>
  </si>
  <si>
    <t xml:space="preserve">C;T</t>
  </si>
  <si>
    <t xml:space="preserve">T</t>
  </si>
  <si>
    <t xml:space="preserve">M;C</t>
  </si>
  <si>
    <t xml:space="preserve">C;W;T</t>
  </si>
  <si>
    <t xml:space="preserve">W</t>
  </si>
  <si>
    <t xml:space="preserve">Ndoye</t>
  </si>
  <si>
    <t xml:space="preserve">W;A</t>
  </si>
  <si>
    <t xml:space="preserve">C;W</t>
  </si>
  <si>
    <t xml:space="preserve">Malinovskyi</t>
  </si>
  <si>
    <t xml:space="preserve">E;W</t>
  </si>
  <si>
    <t xml:space="preserve">W;T</t>
  </si>
  <si>
    <t xml:space="preserve">Strefezza</t>
  </si>
  <si>
    <t xml:space="preserve">Vazquez</t>
  </si>
  <si>
    <t xml:space="preserve">Guendouzi</t>
  </si>
  <si>
    <t xml:space="preserve">Pellegrini Lo.</t>
  </si>
  <si>
    <t xml:space="preserve">Thorsby</t>
  </si>
  <si>
    <t xml:space="preserve">Vandeputte</t>
  </si>
  <si>
    <t xml:space="preserve">Man</t>
  </si>
  <si>
    <t xml:space="preserve">Harrison</t>
  </si>
  <si>
    <t xml:space="preserve">Leris</t>
  </si>
  <si>
    <t xml:space="preserve">Mazzitelli</t>
  </si>
  <si>
    <t xml:space="preserve">Kostic</t>
  </si>
  <si>
    <t xml:space="preserve">El Shaarawy</t>
  </si>
  <si>
    <t xml:space="preserve">Freuler</t>
  </si>
  <si>
    <t xml:space="preserve">Ramadani</t>
  </si>
  <si>
    <t xml:space="preserve">Sottil</t>
  </si>
  <si>
    <t xml:space="preserve">Bailey</t>
  </si>
  <si>
    <t xml:space="preserve">Weah</t>
  </si>
  <si>
    <t xml:space="preserve">Bernede</t>
  </si>
  <si>
    <t xml:space="preserve">Elmas</t>
  </si>
  <si>
    <t xml:space="preserve">Gagliardini</t>
  </si>
  <si>
    <t xml:space="preserve">Aebischer</t>
  </si>
  <si>
    <t xml:space="preserve">Vecino</t>
  </si>
  <si>
    <t xml:space="preserve">Tramoni M.</t>
  </si>
  <si>
    <t xml:space="preserve">Serdar</t>
  </si>
  <si>
    <t xml:space="preserve">Grassi</t>
  </si>
  <si>
    <t xml:space="preserve">Zanimacchia</t>
  </si>
  <si>
    <t xml:space="preserve">Bondo</t>
  </si>
  <si>
    <t xml:space="preserve">Estevez</t>
  </si>
  <si>
    <t xml:space="preserve">E;M</t>
  </si>
  <si>
    <t xml:space="preserve">Tourè I.</t>
  </si>
  <si>
    <t xml:space="preserve">Payero</t>
  </si>
  <si>
    <t xml:space="preserve">Akpa Akpro</t>
  </si>
  <si>
    <t xml:space="preserve">Loyola</t>
  </si>
  <si>
    <t xml:space="preserve">Carboni V.</t>
  </si>
  <si>
    <t xml:space="preserve">Piccinini G.</t>
  </si>
  <si>
    <t xml:space="preserve">Ghion</t>
  </si>
  <si>
    <t xml:space="preserve">Harroui</t>
  </si>
  <si>
    <t xml:space="preserve">Suslov</t>
  </si>
  <si>
    <t xml:space="preserve">W;T;A</t>
  </si>
  <si>
    <t xml:space="preserve">Zaragoza</t>
  </si>
  <si>
    <t xml:space="preserve">El Azzouzi</t>
  </si>
  <si>
    <t xml:space="preserve">Sergi Roberto</t>
  </si>
  <si>
    <t xml:space="preserve">Castagnetti</t>
  </si>
  <si>
    <t xml:space="preserve">Tete Morente</t>
  </si>
  <si>
    <t xml:space="preserve">Hojholt</t>
  </si>
  <si>
    <t xml:space="preserve">Vural</t>
  </si>
  <si>
    <t xml:space="preserve">Lovric</t>
  </si>
  <si>
    <t xml:space="preserve">Lorran</t>
  </si>
  <si>
    <t xml:space="preserve">Sarmiento J.</t>
  </si>
  <si>
    <t xml:space="preserve">Iling Junior</t>
  </si>
  <si>
    <t xml:space="preserve">Engelhardt</t>
  </si>
  <si>
    <t xml:space="preserve">Collocolo</t>
  </si>
  <si>
    <t xml:space="preserve">Pickel</t>
  </si>
  <si>
    <t xml:space="preserve">Richardson</t>
  </si>
  <si>
    <t xml:space="preserve">Sabiri</t>
  </si>
  <si>
    <t xml:space="preserve">Gronbaek</t>
  </si>
  <si>
    <t xml:space="preserve">Asllani</t>
  </si>
  <si>
    <t xml:space="preserve">Hernani</t>
  </si>
  <si>
    <t xml:space="preserve">Marin M.</t>
  </si>
  <si>
    <t xml:space="preserve">Niasse</t>
  </si>
  <si>
    <t xml:space="preserve">Fini</t>
  </si>
  <si>
    <t xml:space="preserve">Al-Musrati</t>
  </si>
  <si>
    <t xml:space="preserve">Cornet</t>
  </si>
  <si>
    <t xml:space="preserve">Braunoder</t>
  </si>
  <si>
    <t xml:space="preserve">Alli</t>
  </si>
  <si>
    <t xml:space="preserve">Valoti</t>
  </si>
  <si>
    <t xml:space="preserve">Bianco</t>
  </si>
  <si>
    <t xml:space="preserve">Stanciu</t>
  </si>
  <si>
    <t xml:space="preserve">Pierret</t>
  </si>
  <si>
    <t xml:space="preserve">Rafia</t>
  </si>
  <si>
    <t xml:space="preserve">Marchwinski</t>
  </si>
  <si>
    <t xml:space="preserve">Arena</t>
  </si>
  <si>
    <t xml:space="preserve">Tameze</t>
  </si>
  <si>
    <t xml:space="preserve">Pafundi</t>
  </si>
  <si>
    <t xml:space="preserve">Santiago</t>
  </si>
  <si>
    <t xml:space="preserve">Kastanos</t>
  </si>
  <si>
    <t xml:space="preserve">Cissè A.</t>
  </si>
  <si>
    <t xml:space="preserve">Rog</t>
  </si>
  <si>
    <t xml:space="preserve">Cuenca H.</t>
  </si>
  <si>
    <t xml:space="preserve">Vranckx</t>
  </si>
  <si>
    <t xml:space="preserve">Sala A.</t>
  </si>
  <si>
    <t xml:space="preserve">Stengs</t>
  </si>
  <si>
    <t xml:space="preserve">Onana J.</t>
  </si>
  <si>
    <t xml:space="preserve">Pc</t>
  </si>
  <si>
    <t xml:space="preserve">Bonazzoli</t>
  </si>
  <si>
    <t xml:space="preserve">Castellanos</t>
  </si>
  <si>
    <t xml:space="preserve">Vlahovic</t>
  </si>
  <si>
    <t xml:space="preserve">Pedro</t>
  </si>
  <si>
    <t xml:space="preserve">Moreo</t>
  </si>
  <si>
    <t xml:space="preserve">Thauvin</t>
  </si>
  <si>
    <t xml:space="preserve">Vardy</t>
  </si>
  <si>
    <t xml:space="preserve">Banda</t>
  </si>
  <si>
    <t xml:space="preserve">Lookman</t>
  </si>
  <si>
    <t xml:space="preserve">Orban G.</t>
  </si>
  <si>
    <t xml:space="preserve">Kilicsoy</t>
  </si>
  <si>
    <t xml:space="preserve">Ekuban</t>
  </si>
  <si>
    <t xml:space="preserve">Gonzalez N.</t>
  </si>
  <si>
    <t xml:space="preserve">Cheddira</t>
  </si>
  <si>
    <t xml:space="preserve">Okereke</t>
  </si>
  <si>
    <t xml:space="preserve">Ferguson E.</t>
  </si>
  <si>
    <t xml:space="preserve">Nzola</t>
  </si>
  <si>
    <t xml:space="preserve">Fullkrug</t>
  </si>
  <si>
    <t xml:space="preserve">Durosinmi</t>
  </si>
  <si>
    <t xml:space="preserve">Ngonge</t>
  </si>
  <si>
    <t xml:space="preserve">Benedyczak</t>
  </si>
  <si>
    <t xml:space="preserve">Solomon</t>
  </si>
  <si>
    <t xml:space="preserve">Tourè E.</t>
  </si>
  <si>
    <t xml:space="preserve">Johnsen</t>
  </si>
  <si>
    <t xml:space="preserve">Buksa</t>
  </si>
  <si>
    <t xml:space="preserve">Beltran L.</t>
  </si>
  <si>
    <t xml:space="preserve">Sanchez</t>
  </si>
  <si>
    <t xml:space="preserve">Djuric</t>
  </si>
  <si>
    <t xml:space="preserve">Meister</t>
  </si>
  <si>
    <t xml:space="preserve">Mulattieri</t>
  </si>
  <si>
    <t xml:space="preserve">Belotti</t>
  </si>
  <si>
    <t xml:space="preserve">Immobile</t>
  </si>
  <si>
    <t xml:space="preserve">Taremi</t>
  </si>
  <si>
    <t xml:space="preserve">Okafor</t>
  </si>
  <si>
    <t xml:space="preserve">Lind</t>
  </si>
  <si>
    <t xml:space="preserve">Sanabria</t>
  </si>
  <si>
    <t xml:space="preserve">Bravo</t>
  </si>
  <si>
    <t xml:space="preserve">Sarr A.</t>
  </si>
  <si>
    <t xml:space="preserve">Mosquera</t>
  </si>
  <si>
    <t xml:space="preserve">Openda</t>
  </si>
  <si>
    <t xml:space="preserve">Stojilkovic</t>
  </si>
  <si>
    <t xml:space="preserve">Karlsson</t>
  </si>
  <si>
    <t xml:space="preserve">Luvumbo</t>
  </si>
  <si>
    <t xml:space="preserve">Pavoletti</t>
  </si>
  <si>
    <t xml:space="preserve">De Luca</t>
  </si>
  <si>
    <t xml:space="preserve">Dzeko</t>
  </si>
  <si>
    <t xml:space="preserve">Brenner</t>
  </si>
  <si>
    <t xml:space="preserve">Rocha Livramento</t>
  </si>
  <si>
    <t xml:space="preserve">Pierini</t>
  </si>
  <si>
    <t xml:space="preserve">Alvarez A.</t>
  </si>
  <si>
    <t xml:space="preserve">Braschi</t>
  </si>
  <si>
    <t xml:space="preserve">Ambrosino</t>
  </si>
  <si>
    <t xml:space="preserve">Moumbagna</t>
  </si>
  <si>
    <t xml:space="preserve">Mikolajewski</t>
  </si>
  <si>
    <t xml:space="preserve">Gabrielloni</t>
  </si>
  <si>
    <t xml:space="preserve">Nasti</t>
  </si>
  <si>
    <t xml:space="preserve">Milik</t>
  </si>
  <si>
    <t xml:space="preserve">Buffon L.</t>
  </si>
  <si>
    <t xml:space="preserve">Bonfanti N.</t>
  </si>
  <si>
    <t xml:space="preserve">Skjellerup</t>
  </si>
  <si>
    <t xml:space="preserve">Pizarro</t>
  </si>
  <si>
    <t xml:space="preserve">Kouamè</t>
  </si>
  <si>
    <t xml:space="preserve">Balentien</t>
  </si>
  <si>
    <t xml:space="preserve">Arena A.</t>
  </si>
  <si>
    <t xml:space="preserve">Isaac</t>
  </si>
  <si>
    <t xml:space="preserve">Vermesan</t>
  </si>
  <si>
    <t xml:space="preserve">Mosconi</t>
  </si>
</sst>
</file>

<file path=xl/styles.xml><?xml version="1.0" encoding="utf-8"?>
<styleSheet xmlns="http://schemas.openxmlformats.org/spreadsheetml/2006/main">
  <numFmts count="8">
    <numFmt numFmtId="164" formatCode="General"/>
    <numFmt numFmtId="165" formatCode="0.0%"/>
    <numFmt numFmtId="166" formatCode="0"/>
    <numFmt numFmtId="167" formatCode="0.0"/>
    <numFmt numFmtId="168" formatCode="0.00"/>
    <numFmt numFmtId="169" formatCode="General"/>
    <numFmt numFmtId="170" formatCode="0\%"/>
    <numFmt numFmtId="171" formatCode="@"/>
  </numFmts>
  <fonts count="20">
    <font>
      <sz val="11"/>
      <color theme="1"/>
      <name val="Calibri"/>
      <family val="2"/>
      <charset val="1"/>
    </font>
    <font>
      <sz val="10"/>
      <name val="Arial"/>
      <family val="0"/>
    </font>
    <font>
      <sz val="10"/>
      <name val="Arial"/>
      <family val="0"/>
    </font>
    <font>
      <sz val="10"/>
      <name val="Arial"/>
      <family val="0"/>
    </font>
    <font>
      <b val="true"/>
      <sz val="16"/>
      <color rgb="FF203864"/>
      <name val="Cambria"/>
      <family val="0"/>
      <charset val="1"/>
    </font>
    <font>
      <sz val="11"/>
      <name val="Cambria"/>
      <family val="0"/>
      <charset val="1"/>
    </font>
    <font>
      <b val="true"/>
      <sz val="12"/>
      <color rgb="FF203864"/>
      <name val="Cambria"/>
      <family val="0"/>
      <charset val="1"/>
    </font>
    <font>
      <i val="true"/>
      <sz val="11"/>
      <color rgb="FF375623"/>
      <name val="Cambria"/>
      <family val="0"/>
      <charset val="1"/>
    </font>
    <font>
      <b val="true"/>
      <sz val="13"/>
      <color rgb="FFFFFFFF"/>
      <name val="Cambria"/>
      <family val="0"/>
      <charset val="1"/>
    </font>
    <font>
      <sz val="11"/>
      <color rgb="FF000000"/>
      <name val="Calibri"/>
      <family val="0"/>
      <charset val="1"/>
    </font>
    <font>
      <b val="true"/>
      <sz val="11"/>
      <name val="Calibri"/>
      <family val="0"/>
      <charset val="1"/>
    </font>
    <font>
      <i val="true"/>
      <sz val="9"/>
      <color rgb="FF808080"/>
      <name val="Cambria"/>
      <family val="0"/>
      <charset val="1"/>
    </font>
    <font>
      <sz val="11"/>
      <color rgb="FFFF0000"/>
      <name val="Calibri"/>
      <family val="2"/>
      <charset val="1"/>
    </font>
    <font>
      <sz val="11"/>
      <color rgb="FFFF0000"/>
      <name val="Calibri"/>
      <family val="0"/>
      <charset val="1"/>
    </font>
    <font>
      <sz val="10"/>
      <name val="Arial"/>
      <family val="2"/>
    </font>
    <font>
      <b val="true"/>
      <sz val="11"/>
      <name val="Calibri"/>
      <family val="2"/>
      <charset val="1"/>
    </font>
    <font>
      <sz val="9"/>
      <color rgb="FFBFBFBF"/>
      <name val="Cambria"/>
      <family val="0"/>
      <charset val="1"/>
    </font>
    <font>
      <b val="true"/>
      <sz val="11"/>
      <color theme="1"/>
      <name val="Calibri"/>
      <family val="2"/>
      <charset val="1"/>
    </font>
    <font>
      <b val="true"/>
      <sz val="13"/>
      <name val="Cambria"/>
      <family val="0"/>
      <charset val="1"/>
    </font>
    <font>
      <i val="true"/>
      <sz val="9"/>
      <color rgb="FFC00000"/>
      <name val="Cambria"/>
      <family val="0"/>
      <charset val="1"/>
    </font>
  </fonts>
  <fills count="8">
    <fill>
      <patternFill patternType="none"/>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s>
  <borders count="3">
    <border diagonalUp="false" diagonalDown="false">
      <left/>
      <right/>
      <top/>
      <bottom/>
      <diagonal/>
    </border>
    <border diagonalUp="false" diagonalDown="false">
      <left/>
      <right/>
      <top/>
      <bottom style="thin"/>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5" fillId="4"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general" vertical="bottom" textRotation="0" wrapText="false" indent="0" shrinkToFit="false"/>
      <protection locked="true" hidden="false"/>
    </xf>
    <xf numFmtId="164" fontId="0" fillId="5" borderId="2" xfId="0" applyFont="true" applyBorder="true" applyAlignment="tru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6" fontId="9" fillId="0" borderId="2" xfId="0" applyFont="true" applyBorder="tru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9" fontId="16" fillId="0" borderId="2" xfId="0" applyFont="true" applyBorder="true" applyAlignment="true" applyProtection="false">
      <alignment horizontal="general" vertical="bottom" textRotation="0" wrapText="false" indent="0" shrinkToFit="false"/>
      <protection locked="true" hidden="false"/>
    </xf>
    <xf numFmtId="168" fontId="9" fillId="0" borderId="2" xfId="0" applyFont="true" applyBorder="true" applyAlignment="true" applyProtection="false">
      <alignment horizontal="general" vertical="bottom" textRotation="0" wrapText="false" indent="0" shrinkToFit="false"/>
      <protection locked="true" hidden="false"/>
    </xf>
    <xf numFmtId="170" fontId="0" fillId="0" borderId="2" xfId="0" applyFont="fals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true" indent="0" shrinkToFit="false"/>
      <protection locked="true" hidden="false"/>
    </xf>
    <xf numFmtId="165" fontId="13" fillId="0"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7" fontId="13"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tru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general" vertical="bottom" textRotation="0" wrapText="false" indent="0" shrinkToFit="false"/>
      <protection locked="true" hidden="false"/>
    </xf>
    <xf numFmtId="166" fontId="10" fillId="0" borderId="2"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bgColor rgb="FF000000"/>
        </patternFill>
      </fill>
    </dxf>
    <dxf>
      <fill>
        <patternFill patternType="solid">
          <fgColor rgb="FF000000"/>
          <bgColor rgb="FF000000"/>
        </patternFill>
      </fill>
    </dxf>
    <dxf>
      <fill>
        <patternFill patternType="solid">
          <fgColor rgb="FFD9E1F2"/>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BFBFBF"/>
          <bgColor rgb="FF000000"/>
        </patternFill>
      </fill>
    </dxf>
    <dxf>
      <fill>
        <patternFill patternType="solid">
          <fgColor rgb="FF375623"/>
          <bgColor rgb="FF000000"/>
        </patternFill>
      </fill>
    </dxf>
    <dxf>
      <fill>
        <patternFill patternType="solid">
          <fgColor rgb="FFBF8F00"/>
          <bgColor rgb="FF000000"/>
        </patternFill>
      </fill>
    </dxf>
    <dxf>
      <fill>
        <patternFill patternType="solid">
          <fgColor rgb="FFC00000"/>
          <bgColor rgb="FF000000"/>
        </patternFill>
      </fill>
    </dxf>
    <dxf>
      <font>
        <b val="1"/>
        <color rgb="FFC00000"/>
      </font>
    </dxf>
    <dxf>
      <font>
        <b val="1"/>
        <color rgb="FFBF8F00"/>
      </font>
    </dxf>
    <dxf>
      <font>
        <b val="1"/>
        <color rgb="FF375623"/>
      </font>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false" showOutlineSymbols="true" defaultGridColor="true" view="normal" topLeftCell="A17"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00"/>
  </cols>
  <sheetData>
    <row r="1" customFormat="false" ht="25.5" hidden="false" customHeight="true" outlineLevel="0" collapsed="false">
      <c r="A1" s="2" t="s">
        <v>0</v>
      </c>
    </row>
    <row r="2" customFormat="false" ht="31.5" hidden="false" customHeight="true" outlineLevel="0" collapsed="false">
      <c r="A2" s="3" t="s">
        <v>1</v>
      </c>
    </row>
    <row r="3" customFormat="false" ht="19.5" hidden="false" customHeight="true" outlineLevel="0" collapsed="false">
      <c r="A3" s="4" t="s">
        <v>2</v>
      </c>
    </row>
    <row r="5" customFormat="false" ht="31.5" hidden="false" customHeight="true" outlineLevel="0" collapsed="false">
      <c r="A5" s="3" t="s">
        <v>3</v>
      </c>
    </row>
    <row r="6" customFormat="false" ht="31.5" hidden="false" customHeight="true" outlineLevel="0" collapsed="false">
      <c r="A6" s="3" t="s">
        <v>4</v>
      </c>
    </row>
    <row r="7" customFormat="false" ht="31.5" hidden="false" customHeight="true" outlineLevel="0" collapsed="false">
      <c r="A7" s="3" t="s">
        <v>5</v>
      </c>
    </row>
    <row r="8" customFormat="false" ht="31.5" hidden="false" customHeight="true" outlineLevel="0" collapsed="false">
      <c r="A8" s="3" t="s">
        <v>6</v>
      </c>
    </row>
    <row r="9" customFormat="false" ht="31.5" hidden="false" customHeight="true" outlineLevel="0" collapsed="false">
      <c r="A9" s="3" t="s">
        <v>7</v>
      </c>
    </row>
    <row r="10" customFormat="false" ht="31.5" hidden="false" customHeight="true" outlineLevel="0" collapsed="false">
      <c r="A10" s="3" t="s">
        <v>8</v>
      </c>
    </row>
    <row r="11" customFormat="false" ht="31.5" hidden="false" customHeight="true" outlineLevel="0" collapsed="false">
      <c r="A11" s="3" t="s">
        <v>9</v>
      </c>
    </row>
    <row r="12" customFormat="false" ht="19.5" hidden="false" customHeight="true" outlineLevel="0" collapsed="false">
      <c r="A12" s="4" t="s">
        <v>10</v>
      </c>
    </row>
    <row r="14" customFormat="false" ht="31.5" hidden="false" customHeight="true" outlineLevel="0" collapsed="false">
      <c r="A14" s="3" t="s">
        <v>11</v>
      </c>
    </row>
    <row r="15" customFormat="false" ht="31.5" hidden="false" customHeight="true" outlineLevel="0" collapsed="false">
      <c r="A15" s="3" t="s">
        <v>12</v>
      </c>
    </row>
    <row r="16" customFormat="false" ht="31.5" hidden="false" customHeight="true" outlineLevel="0" collapsed="false">
      <c r="A16" s="3" t="s">
        <v>13</v>
      </c>
    </row>
    <row r="17" customFormat="false" ht="31.5" hidden="false" customHeight="true" outlineLevel="0" collapsed="false">
      <c r="A17" s="3" t="s">
        <v>14</v>
      </c>
    </row>
    <row r="18" customFormat="false" ht="31.5" hidden="false" customHeight="true" outlineLevel="0" collapsed="false">
      <c r="A18" s="3" t="s">
        <v>15</v>
      </c>
    </row>
    <row r="19" customFormat="false" ht="19.5" hidden="false" customHeight="true" outlineLevel="0" collapsed="false">
      <c r="A19" s="4" t="s">
        <v>16</v>
      </c>
    </row>
    <row r="20" customFormat="false" ht="42" hidden="false" customHeight="true" outlineLevel="0" collapsed="false">
      <c r="A20" s="5" t="s">
        <v>17</v>
      </c>
    </row>
    <row r="21" customFormat="false" ht="42" hidden="false" customHeight="true" outlineLevel="0" collapsed="false">
      <c r="A21" s="5" t="s">
        <v>18</v>
      </c>
    </row>
    <row r="22" customFormat="false" ht="31.5" hidden="false" customHeight="true" outlineLevel="0" collapsed="false">
      <c r="A22" s="3" t="s">
        <v>19</v>
      </c>
    </row>
    <row r="23" customFormat="false" ht="19.5" hidden="false" customHeight="true" outlineLevel="0" collapsed="false">
      <c r="A23" s="4" t="s">
        <v>20</v>
      </c>
    </row>
    <row r="24" customFormat="false" ht="31.5" hidden="false" customHeight="true" outlineLevel="0" collapsed="false">
      <c r="A24" s="3" t="s">
        <v>21</v>
      </c>
    </row>
    <row r="25" customFormat="false" ht="19.5" hidden="false" customHeight="true" outlineLevel="0" collapsed="false">
      <c r="A25" s="4" t="s">
        <v>22</v>
      </c>
    </row>
    <row r="26" customFormat="false" ht="31.5" hidden="false" customHeight="true" outlineLevel="0" collapsed="false">
      <c r="A26" s="3" t="s">
        <v>23</v>
      </c>
    </row>
    <row r="27" customFormat="false" ht="31.5" hidden="false" customHeight="true" outlineLevel="0" collapsed="false">
      <c r="A27" s="3" t="s">
        <v>24</v>
      </c>
    </row>
    <row r="28" customFormat="false" ht="31.5" hidden="false" customHeight="true" outlineLevel="0" collapsed="false">
      <c r="A28" s="3" t="s">
        <v>25</v>
      </c>
    </row>
    <row r="30" customFormat="false" ht="14.25" hidden="false" customHeight="true" outlineLevel="0" collapsed="false">
      <c r="A30" s="1" t="s">
        <v>26</v>
      </c>
    </row>
    <row r="31" customFormat="false" ht="14.25" hidden="false" customHeight="true" outlineLevel="0" collapsed="false">
      <c r="A31" s="1" t="s">
        <v>27</v>
      </c>
    </row>
    <row r="32" customFormat="false" ht="14.25" hidden="false" customHeight="true" outlineLevel="0" collapsed="false">
      <c r="A32" s="1" t="s">
        <v>28</v>
      </c>
    </row>
    <row r="33" customFormat="false" ht="14.25" hidden="false" customHeight="true" outlineLevel="0" collapsed="false">
      <c r="A33" s="1"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1"/>
    <col collapsed="false" customWidth="true" hidden="false" outlineLevel="0" max="3" min="3" style="1" width="12"/>
    <col collapsed="false" customWidth="true" hidden="false" outlineLevel="0" max="4" min="4" style="1" width="14"/>
    <col collapsed="false" customWidth="true" hidden="false" outlineLevel="0" max="5" min="5" style="1" width="20"/>
    <col collapsed="false" customWidth="true" hidden="false" outlineLevel="0" max="6" min="6" style="1" width="14"/>
    <col collapsed="false" customWidth="true" hidden="false" outlineLevel="0" max="7" min="7" style="1" width="20"/>
    <col collapsed="false" customWidth="true" hidden="false" outlineLevel="0" max="8" min="8" style="1" width="16"/>
  </cols>
  <sheetData>
    <row r="1" customFormat="false" ht="24" hidden="false" customHeight="true" outlineLevel="0" collapsed="false">
      <c r="A1" s="6" t="s">
        <v>30</v>
      </c>
      <c r="B1" s="6"/>
      <c r="C1" s="6"/>
      <c r="D1" s="6"/>
      <c r="E1" s="6"/>
      <c r="F1" s="6"/>
      <c r="G1" s="6"/>
      <c r="H1" s="6"/>
    </row>
    <row r="3" customFormat="false" ht="15" hidden="false" customHeight="true" outlineLevel="0" collapsed="false">
      <c r="A3" s="7" t="s">
        <v>31</v>
      </c>
      <c r="C3" s="8" t="str">
        <f aca="false">COUNTIFS('Output Utente'!$D$2:$D$492,"&lt;&gt;")&amp;" / "&amp;COUNTA('Output Utente'!$A$2:$A$492)</f>
        <v>0 / 491</v>
      </c>
    </row>
    <row r="4" customFormat="false" ht="15" hidden="false" customHeight="true" outlineLevel="0" collapsed="false">
      <c r="A4" s="7" t="s">
        <v>32</v>
      </c>
      <c r="C4" s="9" t="n">
        <f aca="false">COUNTIFS('Output Utente'!$D$2:$D$492,"&lt;&gt;")/COUNTA('Output Utente'!$A$2:$A$492)</f>
        <v>0</v>
      </c>
    </row>
    <row r="5" customFormat="false" ht="15" hidden="false" customHeight="true" outlineLevel="0" collapsed="false">
      <c r="A5" s="7" t="s">
        <v>33</v>
      </c>
      <c r="C5" s="10" t="n">
        <f aca="false" t="array" ref="C5:C5">AVERAGE(IF('Info Lega'!$D$9:$D$24="Si",'Info Lega'!$B$4-SUMIF('Output Utente'!$D$2:$D$492,'Info Lega'!$B$9:$B$24,'Output Utente'!$M$2:$M$492)))</f>
        <v>1000</v>
      </c>
    </row>
    <row r="6" customFormat="false" ht="15" hidden="false" customHeight="true" outlineLevel="0" collapsed="false">
      <c r="A6" s="7" t="s">
        <v>34</v>
      </c>
      <c r="C6" s="11" t="str">
        <f aca="false">IFERROR(AVERAGEIF('Output Utente'!$D$2:$D$492,"&lt;&gt;",'Output Utente'!$M$2:$M$492),"")</f>
        <v/>
      </c>
    </row>
    <row r="8" customFormat="false" ht="30" hidden="false" customHeight="true" outlineLevel="0" collapsed="false">
      <c r="A8" s="12" t="s">
        <v>35</v>
      </c>
      <c r="B8" s="12" t="s">
        <v>36</v>
      </c>
      <c r="C8" s="12" t="s">
        <v>37</v>
      </c>
      <c r="D8" s="12" t="s">
        <v>38</v>
      </c>
      <c r="E8" s="12" t="s">
        <v>39</v>
      </c>
      <c r="F8" s="12" t="s">
        <v>40</v>
      </c>
      <c r="G8" s="12" t="s">
        <v>41</v>
      </c>
      <c r="H8" s="12" t="s">
        <v>42</v>
      </c>
    </row>
    <row r="9" customFormat="false" ht="15" hidden="false" customHeight="true" outlineLevel="0" collapsed="false">
      <c r="A9" s="7" t="s">
        <v>43</v>
      </c>
      <c r="B9" s="7" t="n">
        <f aca="false">COUNTIFS('Output Utente'!$B$2:$B$492,"P",'Output Utente'!$P$2:$P$492,"Top",'Output Utente'!$D$2:$D$492,"")</f>
        <v>9</v>
      </c>
      <c r="C9" s="7" t="n">
        <f aca="false">COUNTIFS('Output Utente'!$B$2:$B$492,"P",'Output Utente'!$P$2:$P$492,"Buono",'Output Utente'!$D$2:$D$492,"")</f>
        <v>15</v>
      </c>
      <c r="D9" s="7" t="n">
        <f aca="false">$B9+$C9</f>
        <v>24</v>
      </c>
      <c r="E9" s="7" t="n">
        <f aca="false">'Parametri Modello'!$D$32</f>
        <v>24</v>
      </c>
      <c r="F9" s="13" t="n">
        <f aca="false">IFERROR($D9/$E9,"")</f>
        <v>1</v>
      </c>
      <c r="G9" s="8" t="str">
        <f aca="false">IF($E9=0,"— (ruolo esaurito)",IF($F9&gt;='Parametri Modello'!$B$46,"🟢 Puoi aspettare",IF($F9&gt;='Parametri Modello'!$B$47,"🟡 Attesa rischiosa","🔴 Non aspettare")))</f>
        <v>🟡 Attesa rischiosa</v>
      </c>
      <c r="H9" s="14" t="str">
        <f aca="false">IFERROR(AVERAGEIFS('Output Utente'!$M$2:$M$492,'Output Utente'!$B$2:$B$492,"P",'Output Utente'!$D$2:$D$492,"&lt;&gt;"),"")</f>
        <v/>
      </c>
    </row>
    <row r="10" customFormat="false" ht="15" hidden="false" customHeight="true" outlineLevel="0" collapsed="false">
      <c r="A10" s="7" t="s">
        <v>44</v>
      </c>
      <c r="B10" s="7" t="n">
        <f aca="false">COUNTIFS('Output Utente'!$B$2:$B$492,"D",'Output Utente'!$P$2:$P$492,"Top",'Output Utente'!$D$2:$D$492,"")</f>
        <v>30</v>
      </c>
      <c r="C10" s="7" t="n">
        <f aca="false">COUNTIFS('Output Utente'!$B$2:$B$492,"D",'Output Utente'!$P$2:$P$492,"Buono",'Output Utente'!$D$2:$D$492,"")</f>
        <v>47</v>
      </c>
      <c r="D10" s="7" t="n">
        <f aca="false">$B10+$C10</f>
        <v>77</v>
      </c>
      <c r="E10" s="7" t="n">
        <f aca="false">'Parametri Modello'!$D$33</f>
        <v>64</v>
      </c>
      <c r="F10" s="13" t="n">
        <f aca="false">IFERROR($D10/$E10,"")</f>
        <v>1.203125</v>
      </c>
      <c r="G10" s="8" t="str">
        <f aca="false">IF($E10=0,"— (ruolo esaurito)",IF($F10&gt;='Parametri Modello'!$B$46,"🟢 Puoi aspettare",IF($F10&gt;='Parametri Modello'!$B$47,"🟡 Attesa rischiosa","🔴 Non aspettare")))</f>
        <v>🟡 Attesa rischiosa</v>
      </c>
      <c r="H10" s="14" t="str">
        <f aca="false">IFERROR(AVERAGEIFS('Output Utente'!$M$2:$M$492,'Output Utente'!$B$2:$B$492,"D",'Output Utente'!$D$2:$D$492,"&lt;&gt;"),"")</f>
        <v/>
      </c>
    </row>
    <row r="11" customFormat="false" ht="15" hidden="false" customHeight="true" outlineLevel="0" collapsed="false">
      <c r="A11" s="7" t="s">
        <v>45</v>
      </c>
      <c r="B11" s="7" t="n">
        <f aca="false">COUNTIFS('Output Utente'!$B$2:$B$492,"C",'Output Utente'!$P$2:$P$492,"Top",'Output Utente'!$D$2:$D$492,"")</f>
        <v>26</v>
      </c>
      <c r="C11" s="7" t="n">
        <f aca="false">COUNTIFS('Output Utente'!$B$2:$B$492,"C",'Output Utente'!$P$2:$P$492,"Buono",'Output Utente'!$D$2:$D$492,"")</f>
        <v>44</v>
      </c>
      <c r="D11" s="7" t="n">
        <f aca="false">$B11+$C11</f>
        <v>70</v>
      </c>
      <c r="E11" s="7" t="n">
        <f aca="false">'Parametri Modello'!$D$34</f>
        <v>64</v>
      </c>
      <c r="F11" s="13" t="n">
        <f aca="false">IFERROR($D11/$E11,"")</f>
        <v>1.09375</v>
      </c>
      <c r="G11" s="8" t="str">
        <f aca="false">IF($E11=0,"— (ruolo esaurito)",IF($F11&gt;='Parametri Modello'!$B$46,"🟢 Puoi aspettare",IF($F11&gt;='Parametri Modello'!$B$47,"🟡 Attesa rischiosa","🔴 Non aspettare")))</f>
        <v>🟡 Attesa rischiosa</v>
      </c>
      <c r="H11" s="14" t="str">
        <f aca="false">IFERROR(AVERAGEIFS('Output Utente'!$M$2:$M$492,'Output Utente'!$B$2:$B$492,"C",'Output Utente'!$D$2:$D$492,"&lt;&gt;"),"")</f>
        <v/>
      </c>
    </row>
    <row r="12" customFormat="false" ht="15" hidden="false" customHeight="true" outlineLevel="0" collapsed="false">
      <c r="A12" s="7" t="s">
        <v>46</v>
      </c>
      <c r="B12" s="7" t="n">
        <f aca="false">COUNTIFS('Output Utente'!$B$2:$B$492,"A",'Output Utente'!$P$2:$P$492,"Top",'Output Utente'!$D$2:$D$492,"")</f>
        <v>13</v>
      </c>
      <c r="C12" s="7" t="n">
        <f aca="false">COUNTIFS('Output Utente'!$B$2:$B$492,"A",'Output Utente'!$P$2:$P$492,"Buono",'Output Utente'!$D$2:$D$492,"")</f>
        <v>22</v>
      </c>
      <c r="D12" s="7" t="n">
        <f aca="false">$B12+$C12</f>
        <v>35</v>
      </c>
      <c r="E12" s="7" t="n">
        <f aca="false">'Parametri Modello'!$D$35</f>
        <v>48</v>
      </c>
      <c r="F12" s="13" t="n">
        <f aca="false">IFERROR($D12/$E12,"")</f>
        <v>0.729166666666667</v>
      </c>
      <c r="G12" s="8" t="str">
        <f aca="false">IF($E12=0,"— (ruolo esaurito)",IF($F12&gt;='Parametri Modello'!$B$46,"🟢 Puoi aspettare",IF($F12&gt;='Parametri Modello'!$B$47,"🟡 Attesa rischiosa","🔴 Non aspettare")))</f>
        <v>🔴 Non aspettare</v>
      </c>
      <c r="H12" s="14" t="str">
        <f aca="false">IFERROR(AVERAGEIFS('Output Utente'!$M$2:$M$492,'Output Utente'!$B$2:$B$492,"A",'Output Utente'!$D$2:$D$492,"&lt;&gt;"),"")</f>
        <v/>
      </c>
    </row>
    <row r="15" customFormat="false" ht="21.75" hidden="false" customHeight="true" outlineLevel="0" collapsed="false">
      <c r="A15" s="15" t="s">
        <v>47</v>
      </c>
      <c r="B15" s="15"/>
      <c r="C15" s="15"/>
      <c r="D15" s="15"/>
      <c r="E15" s="15"/>
      <c r="F15" s="15"/>
      <c r="G15" s="15"/>
      <c r="H15" s="15"/>
    </row>
  </sheetData>
  <mergeCells count="2">
    <mergeCell ref="A1:H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6328125" defaultRowHeight="14.25" zeroHeight="false" outlineLevelRow="0" outlineLevelCol="0"/>
  <cols>
    <col collapsed="false" customWidth="true" hidden="false" outlineLevel="0" max="1" min="1" style="1" width="23.54"/>
    <col collapsed="false" customWidth="true" hidden="false" outlineLevel="0" max="2" min="2" style="16" width="16"/>
  </cols>
  <sheetData>
    <row r="2" customFormat="false" ht="14.25" hidden="false" customHeight="true" outlineLevel="0" collapsed="false">
      <c r="A2" s="1" t="s">
        <v>48</v>
      </c>
      <c r="B2" s="16" t="s">
        <v>49</v>
      </c>
      <c r="C2" s="1" t="s">
        <v>50</v>
      </c>
    </row>
    <row r="3" customFormat="false" ht="14.25" hidden="false" customHeight="true" outlineLevel="0" collapsed="false">
      <c r="A3" s="1" t="s">
        <v>51</v>
      </c>
      <c r="B3" s="16" t="n">
        <v>8</v>
      </c>
    </row>
    <row r="4" customFormat="false" ht="14.25" hidden="false" customHeight="true" outlineLevel="0" collapsed="false">
      <c r="A4" s="1" t="s">
        <v>52</v>
      </c>
      <c r="B4" s="16" t="n">
        <v>1000</v>
      </c>
    </row>
    <row r="5" customFormat="false" ht="14.25" hidden="false" customHeight="true" outlineLevel="0" collapsed="false">
      <c r="A5" s="1" t="s">
        <v>53</v>
      </c>
      <c r="B5" s="16" t="n">
        <v>3</v>
      </c>
    </row>
    <row r="6" customFormat="false" ht="14.25" hidden="false" customHeight="true" outlineLevel="0" collapsed="false">
      <c r="A6" s="1" t="s">
        <v>54</v>
      </c>
      <c r="B6" s="16" t="n">
        <v>8</v>
      </c>
    </row>
    <row r="7" customFormat="false" ht="14.25" hidden="false" customHeight="true" outlineLevel="0" collapsed="false">
      <c r="A7" s="1" t="s">
        <v>55</v>
      </c>
      <c r="B7" s="16" t="n">
        <v>8</v>
      </c>
    </row>
    <row r="8" customFormat="false" ht="14.25" hidden="false" customHeight="true" outlineLevel="0" collapsed="false">
      <c r="A8" s="1" t="s">
        <v>56</v>
      </c>
      <c r="B8" s="16" t="n">
        <v>6</v>
      </c>
      <c r="D8" s="8" t="s">
        <v>57</v>
      </c>
    </row>
    <row r="9" customFormat="false" ht="14.25" hidden="false" customHeight="true" outlineLevel="0" collapsed="false">
      <c r="A9" s="1" t="s">
        <v>58</v>
      </c>
      <c r="B9" s="16" t="s">
        <v>59</v>
      </c>
      <c r="D9" s="7" t="str">
        <f aca="false">IF(ROW()-8&lt;=$B$3,"Si","No")</f>
        <v>Si</v>
      </c>
    </row>
    <row r="10" customFormat="false" ht="14.25" hidden="false" customHeight="true" outlineLevel="0" collapsed="false">
      <c r="A10" s="1" t="s">
        <v>60</v>
      </c>
      <c r="B10" s="16" t="s">
        <v>61</v>
      </c>
      <c r="D10" s="7" t="str">
        <f aca="false">IF(ROW()-8&lt;=$B$3,"Si","No")</f>
        <v>Si</v>
      </c>
    </row>
    <row r="11" customFormat="false" ht="14.25" hidden="false" customHeight="true" outlineLevel="0" collapsed="false">
      <c r="A11" s="1" t="s">
        <v>62</v>
      </c>
      <c r="B11" s="16" t="s">
        <v>63</v>
      </c>
      <c r="D11" s="7" t="str">
        <f aca="false">IF(ROW()-8&lt;=$B$3,"Si","No")</f>
        <v>Si</v>
      </c>
    </row>
    <row r="12" customFormat="false" ht="14.25" hidden="false" customHeight="true" outlineLevel="0" collapsed="false">
      <c r="A12" s="1" t="s">
        <v>64</v>
      </c>
      <c r="B12" s="16" t="s">
        <v>65</v>
      </c>
      <c r="D12" s="7" t="str">
        <f aca="false">IF(ROW()-8&lt;=$B$3,"Si","No")</f>
        <v>Si</v>
      </c>
    </row>
    <row r="13" customFormat="false" ht="14.25" hidden="false" customHeight="true" outlineLevel="0" collapsed="false">
      <c r="A13" s="1" t="s">
        <v>66</v>
      </c>
      <c r="B13" s="16" t="s">
        <v>67</v>
      </c>
      <c r="D13" s="7" t="str">
        <f aca="false">IF(ROW()-8&lt;=$B$3,"Si","No")</f>
        <v>Si</v>
      </c>
    </row>
    <row r="14" customFormat="false" ht="14.25" hidden="false" customHeight="true" outlineLevel="0" collapsed="false">
      <c r="A14" s="1" t="s">
        <v>68</v>
      </c>
      <c r="B14" s="16" t="s">
        <v>69</v>
      </c>
      <c r="D14" s="7" t="str">
        <f aca="false">IF(ROW()-8&lt;=$B$3,"Si","No")</f>
        <v>Si</v>
      </c>
    </row>
    <row r="15" customFormat="false" ht="14.25" hidden="false" customHeight="true" outlineLevel="0" collapsed="false">
      <c r="A15" s="1" t="s">
        <v>70</v>
      </c>
      <c r="B15" s="16" t="s">
        <v>71</v>
      </c>
      <c r="D15" s="7" t="str">
        <f aca="false">IF(ROW()-8&lt;=$B$3,"Si","No")</f>
        <v>Si</v>
      </c>
    </row>
    <row r="16" customFormat="false" ht="14.25" hidden="false" customHeight="true" outlineLevel="0" collapsed="false">
      <c r="A16" s="1" t="s">
        <v>72</v>
      </c>
      <c r="B16" s="16" t="s">
        <v>73</v>
      </c>
      <c r="D16" s="7" t="str">
        <f aca="false">IF(ROW()-8&lt;=$B$3,"Si","No")</f>
        <v>Si</v>
      </c>
    </row>
    <row r="17" customFormat="false" ht="14.25" hidden="false" customHeight="true" outlineLevel="0" collapsed="false">
      <c r="A17" s="1" t="s">
        <v>74</v>
      </c>
      <c r="B17" s="16" t="s">
        <v>75</v>
      </c>
      <c r="D17" s="7" t="str">
        <f aca="false">IF(ROW()-8&lt;=$B$3,"Si","No")</f>
        <v>No</v>
      </c>
    </row>
    <row r="18" customFormat="false" ht="14.25" hidden="false" customHeight="true" outlineLevel="0" collapsed="false">
      <c r="A18" s="1" t="s">
        <v>76</v>
      </c>
      <c r="B18" s="16" t="s">
        <v>77</v>
      </c>
      <c r="D18" s="7" t="str">
        <f aca="false">IF(ROW()-8&lt;=$B$3,"Si","No")</f>
        <v>No</v>
      </c>
    </row>
    <row r="19" customFormat="false" ht="14.25" hidden="false" customHeight="true" outlineLevel="0" collapsed="false">
      <c r="A19" s="1" t="s">
        <v>78</v>
      </c>
      <c r="B19" s="16" t="s">
        <v>79</v>
      </c>
      <c r="D19" s="7" t="str">
        <f aca="false">IF(ROW()-8&lt;=$B$3,"Si","No")</f>
        <v>No</v>
      </c>
    </row>
    <row r="20" customFormat="false" ht="14.25" hidden="false" customHeight="true" outlineLevel="0" collapsed="false">
      <c r="A20" s="1" t="s">
        <v>80</v>
      </c>
      <c r="B20" s="16" t="s">
        <v>81</v>
      </c>
      <c r="D20" s="7" t="str">
        <f aca="false">IF(ROW()-8&lt;=$B$3,"Si","No")</f>
        <v>No</v>
      </c>
    </row>
    <row r="21" customFormat="false" ht="14.25" hidden="false" customHeight="true" outlineLevel="0" collapsed="false">
      <c r="A21" s="1" t="s">
        <v>82</v>
      </c>
      <c r="B21" s="16" t="s">
        <v>83</v>
      </c>
      <c r="D21" s="7" t="str">
        <f aca="false">IF(ROW()-8&lt;=$B$3,"Si","No")</f>
        <v>No</v>
      </c>
    </row>
    <row r="22" customFormat="false" ht="14.25" hidden="false" customHeight="true" outlineLevel="0" collapsed="false">
      <c r="A22" s="1" t="s">
        <v>84</v>
      </c>
      <c r="B22" s="16" t="s">
        <v>85</v>
      </c>
      <c r="D22" s="7" t="str">
        <f aca="false">IF(ROW()-8&lt;=$B$3,"Si","No")</f>
        <v>No</v>
      </c>
    </row>
    <row r="23" customFormat="false" ht="14.25" hidden="false" customHeight="true" outlineLevel="0" collapsed="false">
      <c r="A23" s="1" t="s">
        <v>86</v>
      </c>
      <c r="B23" s="16" t="s">
        <v>87</v>
      </c>
      <c r="D23" s="7" t="str">
        <f aca="false">IF(ROW()-8&lt;=$B$3,"Si","No")</f>
        <v>No</v>
      </c>
    </row>
    <row r="24" customFormat="false" ht="14.25" hidden="false" customHeight="true" outlineLevel="0" collapsed="false">
      <c r="A24" s="1" t="s">
        <v>88</v>
      </c>
      <c r="B24" s="16" t="s">
        <v>89</v>
      </c>
      <c r="D24" s="7" t="str">
        <f aca="false">IF(ROW()-8&lt;=$B$3,"Si","No")</f>
        <v>No</v>
      </c>
    </row>
    <row r="25" customFormat="false" ht="14.25" hidden="false" customHeight="true" outlineLevel="0" collapsed="false">
      <c r="A25" s="1" t="s">
        <v>90</v>
      </c>
      <c r="B25" s="16" t="s">
        <v>91</v>
      </c>
    </row>
    <row r="26" customFormat="false" ht="14.25" hidden="false" customHeight="true" outlineLevel="0" collapsed="false">
      <c r="A26" s="1" t="s">
        <v>92</v>
      </c>
      <c r="B26" s="16" t="s">
        <v>93</v>
      </c>
    </row>
    <row r="27" customFormat="false" ht="14.25" hidden="false" customHeight="true" outlineLevel="0" collapsed="false">
      <c r="A27" s="1" t="s">
        <v>94</v>
      </c>
      <c r="B27" s="16" t="s">
        <v>95</v>
      </c>
    </row>
    <row r="28" customFormat="false" ht="14.25" hidden="false" customHeight="true" outlineLevel="0" collapsed="false">
      <c r="A28" s="1" t="s">
        <v>96</v>
      </c>
      <c r="B28" s="17" t="s">
        <v>59</v>
      </c>
      <c r="C28" s="1" t="s">
        <v>97</v>
      </c>
    </row>
  </sheetData>
  <dataValidations count="1">
    <dataValidation allowBlank="true" errorStyle="stop" operator="between" showDropDown="false" showErrorMessage="false" showInputMessage="false" sqref="B28" type="list">
      <formula1>$B$9:$B$24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6328125" defaultRowHeight="14.25" zeroHeight="false" outlineLevelRow="0" outlineLevelCol="0"/>
  <cols>
    <col collapsed="false" customWidth="true" hidden="false" outlineLevel="0" max="1" min="1" style="1" width="15.54"/>
    <col collapsed="false" customWidth="true" hidden="false" outlineLevel="0" max="2" min="2" style="18" width="8.73"/>
    <col collapsed="false" customWidth="true" hidden="false" outlineLevel="0" max="4" min="4" style="1" width="28"/>
  </cols>
  <sheetData>
    <row r="1" customFormat="false" ht="27.75" hidden="false" customHeight="true" outlineLevel="0" collapsed="false">
      <c r="A1" s="1" t="s">
        <v>98</v>
      </c>
      <c r="B1" s="18" t="s">
        <v>99</v>
      </c>
      <c r="D1" s="19" t="s">
        <v>100</v>
      </c>
    </row>
    <row r="2" customFormat="false" ht="14.25" hidden="false" customHeight="true" outlineLevel="0" collapsed="false">
      <c r="A2" s="1" t="s">
        <v>44</v>
      </c>
      <c r="B2" s="18" t="str">
        <f aca="false">MID(B1,1,1)</f>
        <v>3</v>
      </c>
      <c r="D2" s="17"/>
    </row>
    <row r="3" customFormat="false" ht="14.25" hidden="false" customHeight="true" outlineLevel="0" collapsed="false">
      <c r="A3" s="1" t="s">
        <v>45</v>
      </c>
      <c r="B3" s="18" t="str">
        <f aca="false">MID(B1,3,1)</f>
        <v>4</v>
      </c>
      <c r="D3" s="17"/>
    </row>
    <row r="4" customFormat="false" ht="14.25" hidden="false" customHeight="true" outlineLevel="0" collapsed="false">
      <c r="A4" s="1" t="s">
        <v>46</v>
      </c>
      <c r="B4" s="18" t="str">
        <f aca="false">MID(B1,5,1)</f>
        <v>3</v>
      </c>
      <c r="D4" s="17"/>
    </row>
    <row r="5" customFormat="false" ht="14.25" hidden="false" customHeight="true" outlineLevel="0" collapsed="false">
      <c r="A5" s="1" t="s">
        <v>101</v>
      </c>
      <c r="D5" s="17"/>
    </row>
    <row r="6" customFormat="false" ht="14.25" hidden="false" customHeight="true" outlineLevel="0" collapsed="false">
      <c r="A6" s="1" t="s">
        <v>102</v>
      </c>
      <c r="B6" s="18" t="n">
        <v>0.7</v>
      </c>
      <c r="D6" s="17"/>
    </row>
    <row r="7" customFormat="false" ht="14.25" hidden="false" customHeight="true" outlineLevel="0" collapsed="false">
      <c r="D7" s="17"/>
    </row>
    <row r="8" customFormat="false" ht="14.25" hidden="false" customHeight="true" outlineLevel="0" collapsed="false">
      <c r="D8" s="17"/>
    </row>
    <row r="9" customFormat="false" ht="14.25" hidden="false" customHeight="true" outlineLevel="0" collapsed="false">
      <c r="D9" s="17"/>
    </row>
    <row r="10" customFormat="false" ht="14.25" hidden="false" customHeight="true" outlineLevel="0" collapsed="false">
      <c r="D10" s="17"/>
    </row>
    <row r="11" customFormat="false" ht="14.25" hidden="false" customHeight="true" outlineLevel="0" collapsed="false">
      <c r="D11" s="17"/>
    </row>
    <row r="12" customFormat="false" ht="14.25" hidden="false" customHeight="true" outlineLevel="0" collapsed="false">
      <c r="D12" s="17"/>
      <c r="G12" s="1" t="s">
        <v>103</v>
      </c>
    </row>
    <row r="13" customFormat="false" ht="14.25" hidden="false" customHeight="true" outlineLevel="0" collapsed="false">
      <c r="D13" s="17"/>
    </row>
    <row r="14" customFormat="false" ht="14.25" hidden="false" customHeight="true" outlineLevel="0" collapsed="false">
      <c r="D14" s="17"/>
    </row>
    <row r="15" customFormat="false" ht="14.25" hidden="false" customHeight="true" outlineLevel="0" collapsed="false">
      <c r="D15" s="17"/>
    </row>
    <row r="16" customFormat="false" ht="14.25" hidden="false" customHeight="true" outlineLevel="0" collapsed="false">
      <c r="D16" s="17"/>
    </row>
    <row r="17" customFormat="false" ht="14.25" hidden="false" customHeight="true" outlineLevel="0" collapsed="false">
      <c r="D17" s="17"/>
    </row>
    <row r="18" customFormat="false" ht="14.25" hidden="false" customHeight="true" outlineLevel="0" collapsed="false">
      <c r="D18" s="17"/>
    </row>
    <row r="19" customFormat="false" ht="14.25" hidden="false" customHeight="true" outlineLevel="0" collapsed="false">
      <c r="D19" s="17"/>
    </row>
    <row r="20" customFormat="false" ht="14.25" hidden="false" customHeight="true" outlineLevel="0" collapsed="false">
      <c r="D20" s="17"/>
    </row>
    <row r="21" customFormat="false" ht="14.25" hidden="false" customHeight="true" outlineLevel="0" collapsed="false">
      <c r="D21" s="17"/>
    </row>
    <row r="22" customFormat="false" ht="14.25" hidden="false" customHeight="true" outlineLevel="0" collapsed="false">
      <c r="D22" s="17"/>
    </row>
    <row r="23" customFormat="false" ht="14.25" hidden="false" customHeight="true" outlineLevel="0" collapsed="false">
      <c r="D23" s="17"/>
    </row>
    <row r="24" customFormat="false" ht="14.25" hidden="false" customHeight="true" outlineLevel="0" collapsed="false">
      <c r="D24" s="17"/>
    </row>
    <row r="25" customFormat="false" ht="14.25" hidden="false" customHeight="true" outlineLevel="0" collapsed="false">
      <c r="D25" s="17"/>
    </row>
    <row r="26" customFormat="false" ht="14.25" hidden="false" customHeight="true" outlineLevel="0" collapsed="false">
      <c r="D26" s="17"/>
    </row>
    <row r="27" customFormat="false" ht="14.25" hidden="false" customHeight="true" outlineLevel="0" collapsed="false">
      <c r="D27" s="17"/>
    </row>
    <row r="28" customFormat="false" ht="14.25" hidden="false" customHeight="true" outlineLevel="0" collapsed="false">
      <c r="D28" s="17"/>
    </row>
    <row r="29" customFormat="false" ht="14.25" hidden="false" customHeight="true" outlineLevel="0" collapsed="false">
      <c r="D29" s="17"/>
    </row>
    <row r="30" customFormat="false" ht="14.25" hidden="false" customHeight="true" outlineLevel="0" collapsed="false">
      <c r="D30" s="17"/>
    </row>
    <row r="31" customFormat="false" ht="14.25" hidden="false" customHeight="true" outlineLevel="0" collapsed="false">
      <c r="D31" s="17"/>
    </row>
    <row r="32" customFormat="false" ht="14.25" hidden="false" customHeight="true" outlineLevel="0" collapsed="false">
      <c r="D32" s="17"/>
    </row>
    <row r="33" customFormat="false" ht="14.25" hidden="false" customHeight="true" outlineLevel="0" collapsed="false">
      <c r="D33" s="17"/>
    </row>
    <row r="34" customFormat="false" ht="14.25" hidden="false" customHeight="true" outlineLevel="0" collapsed="false">
      <c r="D34" s="17"/>
    </row>
    <row r="35" customFormat="false" ht="14.25" hidden="false" customHeight="true" outlineLevel="0" collapsed="false">
      <c r="D35" s="17"/>
    </row>
    <row r="36" customFormat="false" ht="14.25" hidden="false" customHeight="true" outlineLevel="0" collapsed="false">
      <c r="D36" s="17"/>
    </row>
    <row r="37" customFormat="false" ht="14.25" hidden="false" customHeight="true" outlineLevel="0" collapsed="false">
      <c r="D37" s="17"/>
    </row>
    <row r="38" customFormat="false" ht="14.25" hidden="false" customHeight="true" outlineLevel="0" collapsed="false">
      <c r="D38" s="17"/>
    </row>
    <row r="39" customFormat="false" ht="14.25" hidden="false" customHeight="true" outlineLevel="0" collapsed="false">
      <c r="D39" s="17"/>
    </row>
    <row r="40" customFormat="false" ht="14.25" hidden="false" customHeight="true" outlineLevel="0" collapsed="false">
      <c r="D40" s="17"/>
    </row>
    <row r="41" customFormat="false" ht="14.25" hidden="false" customHeight="true" outlineLevel="0" collapsed="false">
      <c r="D41" s="17"/>
    </row>
    <row r="42" customFormat="false" ht="14.25" hidden="false" customHeight="true" outlineLevel="0" collapsed="false">
      <c r="D42" s="17"/>
    </row>
    <row r="43" customFormat="false" ht="14.25" hidden="false" customHeight="true" outlineLevel="0" collapsed="false">
      <c r="D43" s="17"/>
    </row>
    <row r="44" customFormat="false" ht="14.25" hidden="false" customHeight="true" outlineLevel="0" collapsed="false">
      <c r="D44" s="17"/>
    </row>
    <row r="45" customFormat="false" ht="14.25" hidden="false" customHeight="true" outlineLevel="0" collapsed="false">
      <c r="D45" s="17"/>
    </row>
    <row r="46" customFormat="false" ht="14.25" hidden="false" customHeight="true" outlineLevel="0" collapsed="false">
      <c r="D46" s="17"/>
    </row>
    <row r="47" customFormat="false" ht="14.25" hidden="false" customHeight="true" outlineLevel="0" collapsed="false">
      <c r="D47" s="17"/>
    </row>
    <row r="48" customFormat="false" ht="14.25" hidden="false" customHeight="true" outlineLevel="0" collapsed="false">
      <c r="D48" s="17"/>
    </row>
    <row r="49" customFormat="false" ht="14.25" hidden="false" customHeight="true" outlineLevel="0" collapsed="false">
      <c r="D49" s="17"/>
    </row>
    <row r="50" customFormat="false" ht="14.25" hidden="false" customHeight="true" outlineLevel="0" collapsed="false">
      <c r="D50" s="17"/>
    </row>
    <row r="51" customFormat="false" ht="14.25" hidden="false" customHeight="true" outlineLevel="0" collapsed="false">
      <c r="D51"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3"/>
    <col collapsed="false" customWidth="true" hidden="false" outlineLevel="0" max="3" min="3" style="1" width="21"/>
    <col collapsed="false" customWidth="true" hidden="false" outlineLevel="0" max="4" min="4" style="1" width="12"/>
    <col collapsed="false" customWidth="true" hidden="false" outlineLevel="0" max="6" min="5" style="1" width="6"/>
    <col collapsed="false" customWidth="true" hidden="false" outlineLevel="0" max="7" min="7" style="1" width="7"/>
  </cols>
  <sheetData>
    <row r="1" customFormat="false" ht="14.25" hidden="false" customHeight="true" outlineLevel="0" collapsed="false">
      <c r="A1" s="20" t="s">
        <v>104</v>
      </c>
      <c r="B1" s="20"/>
      <c r="C1" s="20"/>
      <c r="D1" s="20"/>
      <c r="E1" s="20"/>
      <c r="F1" s="20"/>
      <c r="G1" s="20"/>
    </row>
    <row r="2" customFormat="false" ht="14.25" hidden="false" customHeight="true" outlineLevel="0" collapsed="false">
      <c r="A2" s="1" t="s">
        <v>105</v>
      </c>
      <c r="B2" s="1" t="s">
        <v>106</v>
      </c>
      <c r="C2" s="1" t="s">
        <v>107</v>
      </c>
      <c r="D2" s="1" t="s">
        <v>108</v>
      </c>
      <c r="E2" s="1" t="s">
        <v>109</v>
      </c>
      <c r="F2" s="1" t="s">
        <v>110</v>
      </c>
      <c r="G2" s="1" t="s">
        <v>111</v>
      </c>
    </row>
    <row r="3" customFormat="false" ht="14.25" hidden="false" customHeight="true" outlineLevel="0" collapsed="false">
      <c r="A3" s="1" t="n">
        <v>5841</v>
      </c>
      <c r="B3" s="1" t="s">
        <v>43</v>
      </c>
      <c r="C3" s="1" t="s">
        <v>112</v>
      </c>
      <c r="D3" s="1" t="s">
        <v>113</v>
      </c>
      <c r="E3" s="1" t="n">
        <v>18</v>
      </c>
      <c r="F3" s="1" t="n">
        <v>18</v>
      </c>
      <c r="G3" s="1" t="n">
        <v>65</v>
      </c>
    </row>
    <row r="4" customFormat="false" ht="14.25" hidden="false" customHeight="true" outlineLevel="0" collapsed="false">
      <c r="A4" s="1" t="n">
        <v>5116</v>
      </c>
      <c r="B4" s="1" t="s">
        <v>43</v>
      </c>
      <c r="C4" s="1" t="s">
        <v>114</v>
      </c>
      <c r="D4" s="1" t="s">
        <v>115</v>
      </c>
      <c r="E4" s="1" t="n">
        <v>17</v>
      </c>
      <c r="F4" s="1" t="n">
        <v>17</v>
      </c>
      <c r="G4" s="1" t="n">
        <v>63</v>
      </c>
    </row>
    <row r="5" customFormat="false" ht="14.25" hidden="false" customHeight="true" outlineLevel="0" collapsed="false">
      <c r="A5" s="1" t="n">
        <v>4431</v>
      </c>
      <c r="B5" s="1" t="s">
        <v>43</v>
      </c>
      <c r="C5" s="1" t="s">
        <v>116</v>
      </c>
      <c r="D5" s="1" t="s">
        <v>117</v>
      </c>
      <c r="E5" s="1" t="n">
        <v>16</v>
      </c>
      <c r="F5" s="1" t="n">
        <v>16</v>
      </c>
      <c r="G5" s="1" t="n">
        <v>52</v>
      </c>
    </row>
    <row r="6" customFormat="false" ht="14.25" hidden="false" customHeight="true" outlineLevel="0" collapsed="false">
      <c r="A6" s="1" t="n">
        <v>6966</v>
      </c>
      <c r="B6" s="1" t="s">
        <v>43</v>
      </c>
      <c r="C6" s="1" t="s">
        <v>118</v>
      </c>
      <c r="D6" s="1" t="s">
        <v>119</v>
      </c>
      <c r="E6" s="1" t="n">
        <v>16</v>
      </c>
      <c r="F6" s="1" t="n">
        <v>16</v>
      </c>
      <c r="G6" s="1" t="n">
        <v>56</v>
      </c>
    </row>
    <row r="7" customFormat="false" ht="14.25" hidden="false" customHeight="true" outlineLevel="0" collapsed="false">
      <c r="A7" s="1" t="n">
        <v>4312</v>
      </c>
      <c r="B7" s="1" t="s">
        <v>43</v>
      </c>
      <c r="C7" s="1" t="s">
        <v>120</v>
      </c>
      <c r="D7" s="1" t="s">
        <v>121</v>
      </c>
      <c r="E7" s="1" t="n">
        <v>15</v>
      </c>
      <c r="F7" s="1" t="n">
        <v>15</v>
      </c>
      <c r="G7" s="1" t="n">
        <v>50</v>
      </c>
    </row>
    <row r="8" customFormat="false" ht="14.25" hidden="false" customHeight="true" outlineLevel="0" collapsed="false">
      <c r="A8" s="1" t="n">
        <v>2521</v>
      </c>
      <c r="B8" s="1" t="s">
        <v>43</v>
      </c>
      <c r="C8" s="1" t="s">
        <v>122</v>
      </c>
      <c r="D8" s="1" t="s">
        <v>123</v>
      </c>
      <c r="E8" s="1" t="n">
        <v>13</v>
      </c>
      <c r="F8" s="1" t="n">
        <v>13</v>
      </c>
      <c r="G8" s="1" t="n">
        <v>45</v>
      </c>
    </row>
    <row r="9" customFormat="false" ht="14.25" hidden="false" customHeight="true" outlineLevel="0" collapsed="false">
      <c r="A9" s="1" t="n">
        <v>572</v>
      </c>
      <c r="B9" s="1" t="s">
        <v>43</v>
      </c>
      <c r="C9" s="1" t="s">
        <v>124</v>
      </c>
      <c r="D9" s="1" t="s">
        <v>125</v>
      </c>
      <c r="E9" s="1" t="n">
        <v>11</v>
      </c>
      <c r="F9" s="1" t="n">
        <v>11</v>
      </c>
      <c r="G9" s="1" t="n">
        <v>45</v>
      </c>
    </row>
    <row r="10" customFormat="false" ht="14.25" hidden="false" customHeight="true" outlineLevel="0" collapsed="false">
      <c r="A10" s="1" t="n">
        <v>133</v>
      </c>
      <c r="B10" s="1" t="s">
        <v>43</v>
      </c>
      <c r="C10" s="1" t="s">
        <v>126</v>
      </c>
      <c r="D10" s="1" t="s">
        <v>127</v>
      </c>
      <c r="E10" s="1" t="n">
        <v>10</v>
      </c>
      <c r="F10" s="1" t="n">
        <v>10</v>
      </c>
      <c r="G10" s="1" t="n">
        <v>37</v>
      </c>
    </row>
    <row r="11" customFormat="false" ht="14.25" hidden="false" customHeight="true" outlineLevel="0" collapsed="false">
      <c r="A11" s="1" t="n">
        <v>4360</v>
      </c>
      <c r="B11" s="1" t="s">
        <v>43</v>
      </c>
      <c r="C11" s="1" t="s">
        <v>128</v>
      </c>
      <c r="D11" s="1" t="s">
        <v>129</v>
      </c>
      <c r="E11" s="1" t="n">
        <v>9</v>
      </c>
      <c r="F11" s="1" t="n">
        <v>9</v>
      </c>
      <c r="G11" s="1" t="n">
        <v>27</v>
      </c>
    </row>
    <row r="12" customFormat="false" ht="14.25" hidden="false" customHeight="true" outlineLevel="0" collapsed="false">
      <c r="A12" s="1" t="n">
        <v>5876</v>
      </c>
      <c r="B12" s="1" t="s">
        <v>43</v>
      </c>
      <c r="C12" s="1" t="s">
        <v>130</v>
      </c>
      <c r="D12" s="1" t="s">
        <v>131</v>
      </c>
      <c r="E12" s="1" t="n">
        <v>9</v>
      </c>
      <c r="F12" s="1" t="n">
        <v>9</v>
      </c>
      <c r="G12" s="1" t="n">
        <v>40</v>
      </c>
    </row>
    <row r="13" customFormat="false" ht="14.25" hidden="false" customHeight="true" outlineLevel="0" collapsed="false">
      <c r="A13" s="1" t="n">
        <v>6482</v>
      </c>
      <c r="B13" s="1" t="s">
        <v>43</v>
      </c>
      <c r="C13" s="1" t="s">
        <v>132</v>
      </c>
      <c r="D13" s="1" t="s">
        <v>133</v>
      </c>
      <c r="E13" s="1" t="n">
        <v>9</v>
      </c>
      <c r="F13" s="1" t="n">
        <v>9</v>
      </c>
      <c r="G13" s="1" t="n">
        <v>30</v>
      </c>
    </row>
    <row r="14" customFormat="false" ht="14.25" hidden="false" customHeight="true" outlineLevel="0" collapsed="false">
      <c r="A14" s="1" t="n">
        <v>6462</v>
      </c>
      <c r="B14" s="1" t="s">
        <v>43</v>
      </c>
      <c r="C14" s="1" t="s">
        <v>134</v>
      </c>
      <c r="D14" s="1" t="s">
        <v>135</v>
      </c>
      <c r="E14" s="1" t="n">
        <v>9</v>
      </c>
      <c r="F14" s="1" t="n">
        <v>9</v>
      </c>
      <c r="G14" s="1" t="n">
        <v>29</v>
      </c>
    </row>
    <row r="15" customFormat="false" ht="14.25" hidden="false" customHeight="true" outlineLevel="0" collapsed="false">
      <c r="A15" s="1" t="n">
        <v>7332</v>
      </c>
      <c r="B15" s="1" t="s">
        <v>43</v>
      </c>
      <c r="C15" s="1" t="s">
        <v>136</v>
      </c>
      <c r="D15" s="1" t="s">
        <v>137</v>
      </c>
      <c r="E15" s="1" t="n">
        <v>8</v>
      </c>
      <c r="F15" s="1" t="n">
        <v>8</v>
      </c>
      <c r="G15" s="1" t="n">
        <v>18</v>
      </c>
    </row>
    <row r="16" customFormat="false" ht="14.25" hidden="false" customHeight="true" outlineLevel="0" collapsed="false">
      <c r="A16" s="1" t="n">
        <v>2134</v>
      </c>
      <c r="B16" s="1" t="s">
        <v>43</v>
      </c>
      <c r="C16" s="1" t="s">
        <v>138</v>
      </c>
      <c r="D16" s="1" t="s">
        <v>139</v>
      </c>
      <c r="E16" s="1" t="n">
        <v>8</v>
      </c>
      <c r="F16" s="1" t="n">
        <v>8</v>
      </c>
      <c r="G16" s="1" t="n">
        <v>25</v>
      </c>
    </row>
    <row r="17" customFormat="false" ht="14.25" hidden="false" customHeight="true" outlineLevel="0" collapsed="false">
      <c r="A17" s="1" t="n">
        <v>7411</v>
      </c>
      <c r="B17" s="1" t="s">
        <v>43</v>
      </c>
      <c r="C17" s="1" t="s">
        <v>140</v>
      </c>
      <c r="D17" s="1" t="s">
        <v>141</v>
      </c>
      <c r="E17" s="1" t="n">
        <v>7</v>
      </c>
      <c r="F17" s="1" t="n">
        <v>7</v>
      </c>
      <c r="G17" s="1" t="n">
        <v>5</v>
      </c>
    </row>
    <row r="18" customFormat="false" ht="14.25" hidden="false" customHeight="true" outlineLevel="0" collapsed="false">
      <c r="A18" s="1" t="n">
        <v>6641</v>
      </c>
      <c r="B18" s="1" t="s">
        <v>43</v>
      </c>
      <c r="C18" s="1" t="s">
        <v>142</v>
      </c>
      <c r="D18" s="1" t="s">
        <v>141</v>
      </c>
      <c r="E18" s="1" t="n">
        <v>7</v>
      </c>
      <c r="F18" s="1" t="n">
        <v>7</v>
      </c>
      <c r="G18" s="1" t="n">
        <v>20</v>
      </c>
    </row>
    <row r="19" customFormat="false" ht="14.25" hidden="false" customHeight="true" outlineLevel="0" collapsed="false">
      <c r="A19" s="1" t="n">
        <v>4236</v>
      </c>
      <c r="B19" s="1" t="s">
        <v>43</v>
      </c>
      <c r="C19" s="1" t="s">
        <v>143</v>
      </c>
      <c r="D19" s="1" t="s">
        <v>144</v>
      </c>
      <c r="E19" s="1" t="n">
        <v>7</v>
      </c>
      <c r="F19" s="1" t="n">
        <v>7</v>
      </c>
      <c r="G19" s="1" t="n">
        <v>15</v>
      </c>
    </row>
    <row r="20" customFormat="false" ht="14.25" hidden="false" customHeight="true" outlineLevel="0" collapsed="false">
      <c r="A20" s="1" t="n">
        <v>218</v>
      </c>
      <c r="B20" s="1" t="s">
        <v>43</v>
      </c>
      <c r="C20" s="1" t="s">
        <v>145</v>
      </c>
      <c r="D20" s="1" t="s">
        <v>131</v>
      </c>
      <c r="E20" s="1" t="n">
        <v>6</v>
      </c>
      <c r="F20" s="1" t="n">
        <v>6</v>
      </c>
      <c r="G20" s="1" t="n">
        <v>10</v>
      </c>
    </row>
    <row r="21" customFormat="false" ht="14.25" hidden="false" customHeight="true" outlineLevel="0" collapsed="false">
      <c r="A21" s="1" t="n">
        <v>6248</v>
      </c>
      <c r="B21" s="1" t="s">
        <v>43</v>
      </c>
      <c r="C21" s="1" t="s">
        <v>146</v>
      </c>
      <c r="D21" s="1" t="s">
        <v>147</v>
      </c>
      <c r="E21" s="1" t="n">
        <v>6</v>
      </c>
      <c r="F21" s="1" t="n">
        <v>6</v>
      </c>
      <c r="G21" s="1" t="n">
        <v>14</v>
      </c>
    </row>
    <row r="22" customFormat="false" ht="14.25" hidden="false" customHeight="true" outlineLevel="0" collapsed="false">
      <c r="A22" s="1" t="n">
        <v>4485</v>
      </c>
      <c r="B22" s="1" t="s">
        <v>43</v>
      </c>
      <c r="C22" s="1" t="s">
        <v>148</v>
      </c>
      <c r="D22" s="1" t="s">
        <v>149</v>
      </c>
      <c r="E22" s="1" t="n">
        <v>5</v>
      </c>
      <c r="F22" s="1" t="n">
        <v>5</v>
      </c>
      <c r="G22" s="1" t="n">
        <v>12</v>
      </c>
    </row>
    <row r="23" customFormat="false" ht="14.25" hidden="false" customHeight="true" outlineLevel="0" collapsed="false">
      <c r="A23" s="1" t="n">
        <v>2170</v>
      </c>
      <c r="B23" s="1" t="s">
        <v>43</v>
      </c>
      <c r="C23" s="1" t="s">
        <v>150</v>
      </c>
      <c r="D23" s="1" t="s">
        <v>125</v>
      </c>
      <c r="E23" s="1" t="n">
        <v>5</v>
      </c>
      <c r="F23" s="1" t="n">
        <v>5</v>
      </c>
      <c r="G23" s="1" t="n">
        <v>10</v>
      </c>
    </row>
    <row r="24" customFormat="false" ht="14.25" hidden="false" customHeight="true" outlineLevel="0" collapsed="false">
      <c r="A24" s="1" t="n">
        <v>6415</v>
      </c>
      <c r="B24" s="1" t="s">
        <v>43</v>
      </c>
      <c r="C24" s="1" t="s">
        <v>151</v>
      </c>
      <c r="D24" s="1" t="s">
        <v>152</v>
      </c>
      <c r="E24" s="1" t="n">
        <v>4</v>
      </c>
      <c r="F24" s="1" t="n">
        <v>4</v>
      </c>
      <c r="G24" s="1" t="n">
        <v>8</v>
      </c>
    </row>
    <row r="25" customFormat="false" ht="14.25" hidden="false" customHeight="true" outlineLevel="0" collapsed="false">
      <c r="A25" s="1" t="n">
        <v>7463</v>
      </c>
      <c r="B25" s="1" t="s">
        <v>43</v>
      </c>
      <c r="C25" s="1" t="s">
        <v>153</v>
      </c>
      <c r="D25" s="1" t="s">
        <v>152</v>
      </c>
      <c r="E25" s="1" t="n">
        <v>2</v>
      </c>
      <c r="F25" s="1" t="n">
        <v>2</v>
      </c>
      <c r="G25" s="1" t="n">
        <v>8</v>
      </c>
    </row>
    <row r="26" customFormat="false" ht="14.25" hidden="false" customHeight="true" outlineLevel="0" collapsed="false">
      <c r="A26" s="1" t="n">
        <v>2814</v>
      </c>
      <c r="B26" s="1" t="s">
        <v>43</v>
      </c>
      <c r="C26" s="1" t="s">
        <v>154</v>
      </c>
      <c r="D26" s="1" t="s">
        <v>115</v>
      </c>
      <c r="E26" s="1" t="n">
        <v>2</v>
      </c>
      <c r="F26" s="1" t="n">
        <v>2</v>
      </c>
      <c r="G26" s="1" t="n">
        <v>5</v>
      </c>
    </row>
    <row r="27" customFormat="false" ht="14.25" hidden="false" customHeight="true" outlineLevel="0" collapsed="false">
      <c r="A27" s="1" t="n">
        <v>2297</v>
      </c>
      <c r="B27" s="1" t="s">
        <v>43</v>
      </c>
      <c r="C27" s="1" t="s">
        <v>155</v>
      </c>
      <c r="D27" s="1" t="s">
        <v>117</v>
      </c>
      <c r="E27" s="1" t="n">
        <v>1</v>
      </c>
      <c r="F27" s="1" t="n">
        <v>1</v>
      </c>
      <c r="G27" s="1" t="n">
        <v>1</v>
      </c>
    </row>
    <row r="28" customFormat="false" ht="14.25" hidden="false" customHeight="true" outlineLevel="0" collapsed="false">
      <c r="A28" s="1" t="n">
        <v>4</v>
      </c>
      <c r="B28" s="1" t="s">
        <v>43</v>
      </c>
      <c r="C28" s="1" t="s">
        <v>156</v>
      </c>
      <c r="D28" s="1" t="s">
        <v>117</v>
      </c>
      <c r="E28" s="1" t="n">
        <v>1</v>
      </c>
      <c r="F28" s="1" t="n">
        <v>1</v>
      </c>
      <c r="G28" s="1" t="n">
        <v>1</v>
      </c>
    </row>
    <row r="29" customFormat="false" ht="14.25" hidden="false" customHeight="true" outlineLevel="0" collapsed="false">
      <c r="A29" s="1" t="n">
        <v>7533</v>
      </c>
      <c r="B29" s="1" t="s">
        <v>43</v>
      </c>
      <c r="C29" s="1" t="s">
        <v>157</v>
      </c>
      <c r="D29" s="1" t="s">
        <v>127</v>
      </c>
      <c r="E29" s="1" t="n">
        <v>1</v>
      </c>
      <c r="F29" s="1" t="n">
        <v>1</v>
      </c>
      <c r="G29" s="1" t="n">
        <v>1</v>
      </c>
    </row>
    <row r="30" customFormat="false" ht="14.25" hidden="false" customHeight="true" outlineLevel="0" collapsed="false">
      <c r="A30" s="1" t="n">
        <v>7172</v>
      </c>
      <c r="B30" s="1" t="s">
        <v>43</v>
      </c>
      <c r="C30" s="1" t="s">
        <v>158</v>
      </c>
      <c r="D30" s="1" t="s">
        <v>127</v>
      </c>
      <c r="E30" s="1" t="n">
        <v>1</v>
      </c>
      <c r="F30" s="1" t="n">
        <v>1</v>
      </c>
      <c r="G30" s="1" t="n">
        <v>1</v>
      </c>
    </row>
    <row r="31" customFormat="false" ht="14.25" hidden="false" customHeight="true" outlineLevel="0" collapsed="false">
      <c r="A31" s="1" t="n">
        <v>4929</v>
      </c>
      <c r="B31" s="1" t="s">
        <v>43</v>
      </c>
      <c r="C31" s="1" t="s">
        <v>159</v>
      </c>
      <c r="D31" s="1" t="s">
        <v>129</v>
      </c>
      <c r="E31" s="1" t="n">
        <v>1</v>
      </c>
      <c r="F31" s="1" t="n">
        <v>1</v>
      </c>
      <c r="G31" s="1" t="n">
        <v>1</v>
      </c>
    </row>
    <row r="32" customFormat="false" ht="14.25" hidden="false" customHeight="true" outlineLevel="0" collapsed="false">
      <c r="A32" s="1" t="n">
        <v>6650</v>
      </c>
      <c r="B32" s="1" t="s">
        <v>43</v>
      </c>
      <c r="C32" s="1" t="s">
        <v>160</v>
      </c>
      <c r="D32" s="1" t="s">
        <v>129</v>
      </c>
      <c r="E32" s="1" t="n">
        <v>1</v>
      </c>
      <c r="F32" s="1" t="n">
        <v>1</v>
      </c>
      <c r="G32" s="1" t="n">
        <v>1</v>
      </c>
    </row>
    <row r="33" customFormat="false" ht="14.25" hidden="false" customHeight="true" outlineLevel="0" collapsed="false">
      <c r="A33" s="1" t="n">
        <v>7301</v>
      </c>
      <c r="B33" s="1" t="s">
        <v>43</v>
      </c>
      <c r="C33" s="1" t="s">
        <v>161</v>
      </c>
      <c r="D33" s="1" t="s">
        <v>119</v>
      </c>
      <c r="E33" s="1" t="n">
        <v>1</v>
      </c>
      <c r="F33" s="1" t="n">
        <v>1</v>
      </c>
      <c r="G33" s="1" t="n">
        <v>1</v>
      </c>
    </row>
    <row r="34" customFormat="false" ht="14.25" hidden="false" customHeight="true" outlineLevel="0" collapsed="false">
      <c r="A34" s="1" t="n">
        <v>2809</v>
      </c>
      <c r="B34" s="1" t="s">
        <v>43</v>
      </c>
      <c r="C34" s="1" t="s">
        <v>162</v>
      </c>
      <c r="D34" s="1" t="s">
        <v>119</v>
      </c>
      <c r="E34" s="1" t="n">
        <v>1</v>
      </c>
      <c r="F34" s="1" t="n">
        <v>1</v>
      </c>
      <c r="G34" s="1" t="n">
        <v>1</v>
      </c>
    </row>
    <row r="35" customFormat="false" ht="14.25" hidden="false" customHeight="true" outlineLevel="0" collapsed="false">
      <c r="A35" s="1" t="n">
        <v>6403</v>
      </c>
      <c r="B35" s="1" t="s">
        <v>43</v>
      </c>
      <c r="C35" s="1" t="s">
        <v>163</v>
      </c>
      <c r="D35" s="1" t="s">
        <v>123</v>
      </c>
      <c r="E35" s="1" t="n">
        <v>1</v>
      </c>
      <c r="F35" s="1" t="n">
        <v>1</v>
      </c>
      <c r="G35" s="1" t="n">
        <v>1</v>
      </c>
    </row>
    <row r="36" customFormat="false" ht="14.25" hidden="false" customHeight="true" outlineLevel="0" collapsed="false">
      <c r="A36" s="1" t="n">
        <v>158</v>
      </c>
      <c r="B36" s="1" t="s">
        <v>43</v>
      </c>
      <c r="C36" s="1" t="s">
        <v>164</v>
      </c>
      <c r="D36" s="1" t="s">
        <v>123</v>
      </c>
      <c r="E36" s="1" t="n">
        <v>1</v>
      </c>
      <c r="F36" s="1" t="n">
        <v>1</v>
      </c>
      <c r="G36" s="1" t="n">
        <v>1</v>
      </c>
    </row>
    <row r="37" customFormat="false" ht="14.25" hidden="false" customHeight="true" outlineLevel="0" collapsed="false">
      <c r="A37" s="1" t="n">
        <v>7466</v>
      </c>
      <c r="B37" s="1" t="s">
        <v>43</v>
      </c>
      <c r="C37" s="1" t="s">
        <v>165</v>
      </c>
      <c r="D37" s="1" t="s">
        <v>152</v>
      </c>
      <c r="E37" s="1" t="n">
        <v>1</v>
      </c>
      <c r="F37" s="1" t="n">
        <v>1</v>
      </c>
      <c r="G37" s="1" t="n">
        <v>1</v>
      </c>
    </row>
    <row r="38" customFormat="false" ht="14.25" hidden="false" customHeight="true" outlineLevel="0" collapsed="false">
      <c r="A38" s="1" t="n">
        <v>219</v>
      </c>
      <c r="B38" s="1" t="s">
        <v>43</v>
      </c>
      <c r="C38" s="1" t="s">
        <v>166</v>
      </c>
      <c r="D38" s="1" t="s">
        <v>137</v>
      </c>
      <c r="E38" s="1" t="n">
        <v>1</v>
      </c>
      <c r="F38" s="1" t="n">
        <v>1</v>
      </c>
      <c r="G38" s="1" t="n">
        <v>1</v>
      </c>
    </row>
    <row r="39" customFormat="false" ht="14.25" hidden="false" customHeight="true" outlineLevel="0" collapsed="false">
      <c r="A39" s="1" t="n">
        <v>6569</v>
      </c>
      <c r="B39" s="1" t="s">
        <v>43</v>
      </c>
      <c r="C39" s="1" t="s">
        <v>167</v>
      </c>
      <c r="D39" s="1" t="s">
        <v>137</v>
      </c>
      <c r="E39" s="1" t="n">
        <v>1</v>
      </c>
      <c r="F39" s="1" t="n">
        <v>1</v>
      </c>
      <c r="G39" s="1" t="n">
        <v>1</v>
      </c>
    </row>
    <row r="40" customFormat="false" ht="14.25" hidden="false" customHeight="true" outlineLevel="0" collapsed="false">
      <c r="A40" s="1" t="n">
        <v>1926</v>
      </c>
      <c r="B40" s="1" t="s">
        <v>43</v>
      </c>
      <c r="C40" s="1" t="s">
        <v>168</v>
      </c>
      <c r="D40" s="1" t="s">
        <v>115</v>
      </c>
      <c r="E40" s="1" t="n">
        <v>1</v>
      </c>
      <c r="F40" s="1" t="n">
        <v>1</v>
      </c>
      <c r="G40" s="1" t="n">
        <v>1</v>
      </c>
    </row>
    <row r="41" customFormat="false" ht="14.25" hidden="false" customHeight="true" outlineLevel="0" collapsed="false">
      <c r="A41" s="1" t="n">
        <v>1930</v>
      </c>
      <c r="B41" s="1" t="s">
        <v>43</v>
      </c>
      <c r="C41" s="1" t="s">
        <v>169</v>
      </c>
      <c r="D41" s="1" t="s">
        <v>131</v>
      </c>
      <c r="E41" s="1" t="n">
        <v>1</v>
      </c>
      <c r="F41" s="1" t="n">
        <v>1</v>
      </c>
      <c r="G41" s="1" t="n">
        <v>1</v>
      </c>
    </row>
    <row r="42" customFormat="false" ht="14.25" hidden="false" customHeight="true" outlineLevel="0" collapsed="false">
      <c r="A42" s="1" t="n">
        <v>7337</v>
      </c>
      <c r="B42" s="1" t="s">
        <v>43</v>
      </c>
      <c r="C42" s="1" t="s">
        <v>170</v>
      </c>
      <c r="D42" s="1" t="s">
        <v>133</v>
      </c>
      <c r="E42" s="1" t="n">
        <v>1</v>
      </c>
      <c r="F42" s="1" t="n">
        <v>1</v>
      </c>
      <c r="G42" s="1" t="n">
        <v>1</v>
      </c>
    </row>
    <row r="43" customFormat="false" ht="14.25" hidden="false" customHeight="true" outlineLevel="0" collapsed="false">
      <c r="A43" s="1" t="n">
        <v>7534</v>
      </c>
      <c r="B43" s="1" t="s">
        <v>43</v>
      </c>
      <c r="C43" s="1" t="s">
        <v>171</v>
      </c>
      <c r="D43" s="1" t="s">
        <v>133</v>
      </c>
      <c r="E43" s="1" t="n">
        <v>1</v>
      </c>
      <c r="F43" s="1" t="n">
        <v>1</v>
      </c>
      <c r="G43" s="1" t="n">
        <v>1</v>
      </c>
    </row>
    <row r="44" customFormat="false" ht="14.25" hidden="false" customHeight="true" outlineLevel="0" collapsed="false">
      <c r="A44" s="1" t="n">
        <v>6523</v>
      </c>
      <c r="B44" s="1" t="s">
        <v>43</v>
      </c>
      <c r="C44" s="1" t="s">
        <v>172</v>
      </c>
      <c r="D44" s="1" t="s">
        <v>139</v>
      </c>
      <c r="E44" s="1" t="n">
        <v>1</v>
      </c>
      <c r="F44" s="1" t="n">
        <v>1</v>
      </c>
      <c r="G44" s="1" t="n">
        <v>1</v>
      </c>
    </row>
    <row r="45" customFormat="false" ht="14.25" hidden="false" customHeight="true" outlineLevel="0" collapsed="false">
      <c r="A45" s="1" t="n">
        <v>2815</v>
      </c>
      <c r="B45" s="1" t="s">
        <v>43</v>
      </c>
      <c r="C45" s="1" t="s">
        <v>173</v>
      </c>
      <c r="D45" s="1" t="s">
        <v>121</v>
      </c>
      <c r="E45" s="1" t="n">
        <v>1</v>
      </c>
      <c r="F45" s="1" t="n">
        <v>1</v>
      </c>
      <c r="G45" s="1" t="n">
        <v>1</v>
      </c>
    </row>
    <row r="46" customFormat="false" ht="14.25" hidden="false" customHeight="true" outlineLevel="0" collapsed="false">
      <c r="A46" s="1" t="n">
        <v>6813</v>
      </c>
      <c r="B46" s="1" t="s">
        <v>43</v>
      </c>
      <c r="C46" s="1" t="s">
        <v>174</v>
      </c>
      <c r="D46" s="1" t="s">
        <v>121</v>
      </c>
      <c r="E46" s="1" t="n">
        <v>1</v>
      </c>
      <c r="F46" s="1" t="n">
        <v>1</v>
      </c>
      <c r="G46" s="1" t="n">
        <v>1</v>
      </c>
    </row>
    <row r="47" customFormat="false" ht="14.25" hidden="false" customHeight="true" outlineLevel="0" collapsed="false">
      <c r="A47" s="1" t="n">
        <v>6682</v>
      </c>
      <c r="B47" s="1" t="s">
        <v>43</v>
      </c>
      <c r="C47" s="1" t="s">
        <v>175</v>
      </c>
      <c r="D47" s="1" t="s">
        <v>149</v>
      </c>
      <c r="E47" s="1" t="n">
        <v>1</v>
      </c>
      <c r="F47" s="1" t="n">
        <v>1</v>
      </c>
      <c r="G47" s="1" t="n">
        <v>1</v>
      </c>
    </row>
    <row r="48" customFormat="false" ht="14.25" hidden="false" customHeight="true" outlineLevel="0" collapsed="false">
      <c r="A48" s="1" t="n">
        <v>7475</v>
      </c>
      <c r="B48" s="1" t="s">
        <v>43</v>
      </c>
      <c r="C48" s="1" t="s">
        <v>176</v>
      </c>
      <c r="D48" s="1" t="s">
        <v>149</v>
      </c>
      <c r="E48" s="1" t="n">
        <v>1</v>
      </c>
      <c r="F48" s="1" t="n">
        <v>1</v>
      </c>
      <c r="G48" s="1" t="n">
        <v>1</v>
      </c>
    </row>
    <row r="49" customFormat="false" ht="14.25" hidden="false" customHeight="true" outlineLevel="0" collapsed="false">
      <c r="A49" s="1" t="n">
        <v>2845</v>
      </c>
      <c r="B49" s="1" t="s">
        <v>43</v>
      </c>
      <c r="C49" s="1" t="s">
        <v>177</v>
      </c>
      <c r="D49" s="1" t="s">
        <v>125</v>
      </c>
      <c r="E49" s="1" t="n">
        <v>1</v>
      </c>
      <c r="F49" s="1" t="n">
        <v>1</v>
      </c>
      <c r="G49" s="1" t="n">
        <v>1</v>
      </c>
    </row>
    <row r="50" customFormat="false" ht="14.25" hidden="false" customHeight="true" outlineLevel="0" collapsed="false">
      <c r="A50" s="1" t="n">
        <v>6662</v>
      </c>
      <c r="B50" s="1" t="s">
        <v>43</v>
      </c>
      <c r="C50" s="1" t="s">
        <v>178</v>
      </c>
      <c r="D50" s="1" t="s">
        <v>141</v>
      </c>
      <c r="E50" s="1" t="n">
        <v>1</v>
      </c>
      <c r="F50" s="1" t="n">
        <v>1</v>
      </c>
      <c r="G50" s="1" t="n">
        <v>1</v>
      </c>
    </row>
    <row r="51" customFormat="false" ht="14.25" hidden="false" customHeight="true" outlineLevel="0" collapsed="false">
      <c r="A51" s="1" t="n">
        <v>7048</v>
      </c>
      <c r="B51" s="1" t="s">
        <v>43</v>
      </c>
      <c r="C51" s="1" t="s">
        <v>179</v>
      </c>
      <c r="D51" s="1" t="s">
        <v>113</v>
      </c>
      <c r="E51" s="1" t="n">
        <v>1</v>
      </c>
      <c r="F51" s="1" t="n">
        <v>1</v>
      </c>
      <c r="G51" s="1" t="n">
        <v>1</v>
      </c>
    </row>
    <row r="52" customFormat="false" ht="14.25" hidden="false" customHeight="true" outlineLevel="0" collapsed="false">
      <c r="A52" s="1" t="n">
        <v>610</v>
      </c>
      <c r="B52" s="1" t="s">
        <v>43</v>
      </c>
      <c r="C52" s="1" t="s">
        <v>180</v>
      </c>
      <c r="D52" s="1" t="s">
        <v>113</v>
      </c>
      <c r="E52" s="1" t="n">
        <v>1</v>
      </c>
      <c r="F52" s="1" t="n">
        <v>1</v>
      </c>
      <c r="G52" s="1" t="n">
        <v>1</v>
      </c>
    </row>
    <row r="53" customFormat="false" ht="14.25" hidden="false" customHeight="true" outlineLevel="0" collapsed="false">
      <c r="A53" s="1" t="n">
        <v>4518</v>
      </c>
      <c r="B53" s="1" t="s">
        <v>43</v>
      </c>
      <c r="C53" s="1" t="s">
        <v>181</v>
      </c>
      <c r="D53" s="1" t="s">
        <v>144</v>
      </c>
      <c r="E53" s="1" t="n">
        <v>1</v>
      </c>
      <c r="F53" s="1" t="n">
        <v>1</v>
      </c>
      <c r="G53" s="1" t="n">
        <v>1</v>
      </c>
    </row>
    <row r="54" customFormat="false" ht="14.25" hidden="false" customHeight="true" outlineLevel="0" collapsed="false">
      <c r="A54" s="1" t="n">
        <v>4867</v>
      </c>
      <c r="B54" s="1" t="s">
        <v>43</v>
      </c>
      <c r="C54" s="1" t="s">
        <v>182</v>
      </c>
      <c r="D54" s="1" t="s">
        <v>144</v>
      </c>
      <c r="E54" s="1" t="n">
        <v>1</v>
      </c>
      <c r="F54" s="1" t="n">
        <v>1</v>
      </c>
      <c r="G54" s="1" t="n">
        <v>3</v>
      </c>
    </row>
    <row r="55" customFormat="false" ht="14.25" hidden="false" customHeight="true" outlineLevel="0" collapsed="false">
      <c r="A55" s="1" t="n">
        <v>7457</v>
      </c>
      <c r="B55" s="1" t="s">
        <v>43</v>
      </c>
      <c r="C55" s="1" t="s">
        <v>183</v>
      </c>
      <c r="D55" s="1" t="s">
        <v>184</v>
      </c>
      <c r="E55" s="1" t="n">
        <v>1</v>
      </c>
      <c r="F55" s="1" t="n">
        <v>1</v>
      </c>
      <c r="G55" s="1" t="n">
        <v>1</v>
      </c>
    </row>
    <row r="56" customFormat="false" ht="14.25" hidden="false" customHeight="true" outlineLevel="0" collapsed="false">
      <c r="A56" s="1" t="n">
        <v>5320</v>
      </c>
      <c r="B56" s="1" t="s">
        <v>43</v>
      </c>
      <c r="C56" s="1" t="s">
        <v>185</v>
      </c>
      <c r="D56" s="1" t="s">
        <v>184</v>
      </c>
      <c r="E56" s="1" t="n">
        <v>1</v>
      </c>
      <c r="F56" s="1" t="n">
        <v>1</v>
      </c>
      <c r="G56" s="1" t="n">
        <v>1</v>
      </c>
    </row>
    <row r="57" customFormat="false" ht="14.25" hidden="false" customHeight="true" outlineLevel="0" collapsed="false">
      <c r="A57" s="1" t="n">
        <v>7363</v>
      </c>
      <c r="B57" s="1" t="s">
        <v>43</v>
      </c>
      <c r="C57" s="1" t="s">
        <v>186</v>
      </c>
      <c r="D57" s="1" t="s">
        <v>184</v>
      </c>
      <c r="E57" s="1" t="n">
        <v>1</v>
      </c>
      <c r="F57" s="1" t="n">
        <v>1</v>
      </c>
      <c r="G57" s="1" t="n">
        <v>1</v>
      </c>
    </row>
    <row r="58" customFormat="false" ht="14.25" hidden="false" customHeight="true" outlineLevel="0" collapsed="false">
      <c r="A58" s="1" t="n">
        <v>543</v>
      </c>
      <c r="B58" s="1" t="s">
        <v>43</v>
      </c>
      <c r="C58" s="1" t="s">
        <v>187</v>
      </c>
      <c r="D58" s="1" t="s">
        <v>135</v>
      </c>
      <c r="E58" s="1" t="n">
        <v>1</v>
      </c>
      <c r="F58" s="1" t="n">
        <v>1</v>
      </c>
      <c r="G58" s="1" t="n">
        <v>1</v>
      </c>
    </row>
    <row r="59" customFormat="false" ht="14.25" hidden="false" customHeight="true" outlineLevel="0" collapsed="false">
      <c r="A59" s="1" t="n">
        <v>5707</v>
      </c>
      <c r="B59" s="1" t="s">
        <v>43</v>
      </c>
      <c r="C59" s="1" t="s">
        <v>188</v>
      </c>
      <c r="D59" s="1" t="s">
        <v>135</v>
      </c>
      <c r="E59" s="1" t="n">
        <v>1</v>
      </c>
      <c r="F59" s="1" t="n">
        <v>1</v>
      </c>
      <c r="G59" s="1" t="n">
        <v>1</v>
      </c>
    </row>
    <row r="60" customFormat="false" ht="14.25" hidden="false" customHeight="true" outlineLevel="0" collapsed="false">
      <c r="A60" s="1" t="n">
        <v>6671</v>
      </c>
      <c r="B60" s="1" t="s">
        <v>43</v>
      </c>
      <c r="C60" s="1" t="s">
        <v>189</v>
      </c>
      <c r="D60" s="1" t="s">
        <v>147</v>
      </c>
      <c r="E60" s="1" t="n">
        <v>1</v>
      </c>
      <c r="F60" s="1" t="n">
        <v>1</v>
      </c>
      <c r="G60" s="1" t="n">
        <v>1</v>
      </c>
    </row>
    <row r="61" customFormat="false" ht="14.25" hidden="false" customHeight="true" outlineLevel="0" collapsed="false">
      <c r="A61" s="1" t="n">
        <v>7531</v>
      </c>
      <c r="B61" s="1" t="s">
        <v>43</v>
      </c>
      <c r="C61" s="1" t="s">
        <v>190</v>
      </c>
      <c r="D61" s="1" t="s">
        <v>147</v>
      </c>
      <c r="E61" s="1" t="n">
        <v>1</v>
      </c>
      <c r="F61" s="1" t="n">
        <v>1</v>
      </c>
      <c r="G61" s="1" t="n">
        <v>1</v>
      </c>
    </row>
    <row r="62" customFormat="false" ht="14.25" hidden="false" customHeight="true" outlineLevel="0" collapsed="false">
      <c r="A62" s="1" t="n">
        <v>254</v>
      </c>
      <c r="B62" s="1" t="s">
        <v>44</v>
      </c>
      <c r="C62" s="1" t="s">
        <v>191</v>
      </c>
      <c r="D62" s="1" t="s">
        <v>115</v>
      </c>
      <c r="E62" s="1" t="n">
        <v>32</v>
      </c>
      <c r="F62" s="1" t="n">
        <v>32</v>
      </c>
      <c r="G62" s="1" t="n">
        <v>265</v>
      </c>
    </row>
    <row r="63" customFormat="false" ht="14.25" hidden="false" customHeight="true" outlineLevel="0" collapsed="false">
      <c r="A63" s="1" t="n">
        <v>7181</v>
      </c>
      <c r="B63" s="1" t="s">
        <v>44</v>
      </c>
      <c r="C63" s="1" t="s">
        <v>192</v>
      </c>
      <c r="D63" s="1" t="s">
        <v>113</v>
      </c>
      <c r="E63" s="1" t="n">
        <v>17</v>
      </c>
      <c r="F63" s="1" t="n">
        <v>17</v>
      </c>
      <c r="G63" s="1" t="n">
        <v>90</v>
      </c>
    </row>
    <row r="64" customFormat="false" ht="14.25" hidden="false" customHeight="true" outlineLevel="0" collapsed="false">
      <c r="A64" s="1" t="n">
        <v>4159</v>
      </c>
      <c r="B64" s="1" t="s">
        <v>44</v>
      </c>
      <c r="C64" s="1" t="s">
        <v>193</v>
      </c>
      <c r="D64" s="1" t="s">
        <v>115</v>
      </c>
      <c r="E64" s="1" t="n">
        <v>16</v>
      </c>
      <c r="F64" s="1" t="n">
        <v>16</v>
      </c>
      <c r="G64" s="1" t="n">
        <v>55</v>
      </c>
    </row>
    <row r="65" customFormat="false" ht="14.25" hidden="false" customHeight="true" outlineLevel="0" collapsed="false">
      <c r="A65" s="1" t="n">
        <v>2788</v>
      </c>
      <c r="B65" s="1" t="s">
        <v>44</v>
      </c>
      <c r="C65" s="1" t="s">
        <v>194</v>
      </c>
      <c r="D65" s="1" t="s">
        <v>131</v>
      </c>
      <c r="E65" s="1" t="n">
        <v>15</v>
      </c>
      <c r="F65" s="1" t="n">
        <v>15</v>
      </c>
      <c r="G65" s="1" t="n">
        <v>50</v>
      </c>
    </row>
    <row r="66" customFormat="false" ht="14.25" hidden="false" customHeight="true" outlineLevel="0" collapsed="false">
      <c r="A66" s="1" t="n">
        <v>2296</v>
      </c>
      <c r="B66" s="1" t="s">
        <v>44</v>
      </c>
      <c r="C66" s="1" t="s">
        <v>195</v>
      </c>
      <c r="D66" s="1" t="s">
        <v>113</v>
      </c>
      <c r="E66" s="1" t="n">
        <v>15</v>
      </c>
      <c r="F66" s="1" t="n">
        <v>15</v>
      </c>
      <c r="G66" s="1" t="n">
        <v>49</v>
      </c>
    </row>
    <row r="67" customFormat="false" ht="14.25" hidden="false" customHeight="true" outlineLevel="0" collapsed="false">
      <c r="A67" s="1" t="n">
        <v>2120</v>
      </c>
      <c r="B67" s="1" t="s">
        <v>44</v>
      </c>
      <c r="C67" s="1" t="s">
        <v>196</v>
      </c>
      <c r="D67" s="1" t="s">
        <v>115</v>
      </c>
      <c r="E67" s="1" t="n">
        <v>14</v>
      </c>
      <c r="F67" s="1" t="n">
        <v>14</v>
      </c>
      <c r="G67" s="1" t="n">
        <v>44</v>
      </c>
    </row>
    <row r="68" customFormat="false" ht="14.25" hidden="false" customHeight="true" outlineLevel="0" collapsed="false">
      <c r="A68" s="1" t="n">
        <v>5022</v>
      </c>
      <c r="B68" s="1" t="s">
        <v>44</v>
      </c>
      <c r="C68" s="1" t="s">
        <v>197</v>
      </c>
      <c r="D68" s="1" t="s">
        <v>121</v>
      </c>
      <c r="E68" s="1" t="n">
        <v>14</v>
      </c>
      <c r="F68" s="1" t="n">
        <v>14</v>
      </c>
      <c r="G68" s="1" t="n">
        <v>48</v>
      </c>
    </row>
    <row r="69" customFormat="false" ht="14.25" hidden="false" customHeight="true" outlineLevel="0" collapsed="false">
      <c r="A69" s="1" t="n">
        <v>4409</v>
      </c>
      <c r="B69" s="1" t="s">
        <v>44</v>
      </c>
      <c r="C69" s="1" t="s">
        <v>198</v>
      </c>
      <c r="D69" s="1" t="s">
        <v>125</v>
      </c>
      <c r="E69" s="1" t="n">
        <v>14</v>
      </c>
      <c r="F69" s="1" t="n">
        <v>14</v>
      </c>
      <c r="G69" s="1" t="n">
        <v>47</v>
      </c>
    </row>
    <row r="70" customFormat="false" ht="14.25" hidden="false" customHeight="true" outlineLevel="0" collapsed="false">
      <c r="A70" s="1" t="n">
        <v>4976</v>
      </c>
      <c r="B70" s="1" t="s">
        <v>44</v>
      </c>
      <c r="C70" s="1" t="s">
        <v>199</v>
      </c>
      <c r="D70" s="1" t="s">
        <v>131</v>
      </c>
      <c r="E70" s="1" t="n">
        <v>13</v>
      </c>
      <c r="F70" s="1" t="n">
        <v>13</v>
      </c>
      <c r="G70" s="1" t="n">
        <v>46</v>
      </c>
    </row>
    <row r="71" customFormat="false" ht="14.25" hidden="false" customHeight="true" outlineLevel="0" collapsed="false">
      <c r="A71" s="1" t="n">
        <v>4317</v>
      </c>
      <c r="B71" s="1" t="s">
        <v>44</v>
      </c>
      <c r="C71" s="1" t="s">
        <v>200</v>
      </c>
      <c r="D71" s="1" t="s">
        <v>113</v>
      </c>
      <c r="E71" s="1" t="n">
        <v>13</v>
      </c>
      <c r="F71" s="1" t="n">
        <v>13</v>
      </c>
      <c r="G71" s="1" t="n">
        <v>44</v>
      </c>
    </row>
    <row r="72" customFormat="false" ht="14.25" hidden="false" customHeight="true" outlineLevel="0" collapsed="false">
      <c r="A72" s="1" t="n">
        <v>6956</v>
      </c>
      <c r="B72" s="1" t="s">
        <v>44</v>
      </c>
      <c r="C72" s="1" t="s">
        <v>201</v>
      </c>
      <c r="D72" s="1" t="s">
        <v>135</v>
      </c>
      <c r="E72" s="1" t="n">
        <v>13</v>
      </c>
      <c r="F72" s="1" t="n">
        <v>13</v>
      </c>
      <c r="G72" s="1" t="n">
        <v>46</v>
      </c>
    </row>
    <row r="73" customFormat="false" ht="14.25" hidden="false" customHeight="true" outlineLevel="0" collapsed="false">
      <c r="A73" s="1" t="n">
        <v>2514</v>
      </c>
      <c r="B73" s="1" t="s">
        <v>44</v>
      </c>
      <c r="C73" s="1" t="s">
        <v>202</v>
      </c>
      <c r="D73" s="1" t="s">
        <v>115</v>
      </c>
      <c r="E73" s="1" t="n">
        <v>12</v>
      </c>
      <c r="F73" s="1" t="n">
        <v>12</v>
      </c>
      <c r="G73" s="1" t="n">
        <v>38</v>
      </c>
    </row>
    <row r="74" customFormat="false" ht="14.25" hidden="false" customHeight="true" outlineLevel="0" collapsed="false">
      <c r="A74" s="1" t="n">
        <v>5833</v>
      </c>
      <c r="B74" s="1" t="s">
        <v>44</v>
      </c>
      <c r="C74" s="1" t="s">
        <v>203</v>
      </c>
      <c r="D74" s="1" t="s">
        <v>121</v>
      </c>
      <c r="E74" s="1" t="n">
        <v>12</v>
      </c>
      <c r="F74" s="1" t="n">
        <v>12</v>
      </c>
      <c r="G74" s="1" t="n">
        <v>31</v>
      </c>
    </row>
    <row r="75" customFormat="false" ht="14.25" hidden="false" customHeight="true" outlineLevel="0" collapsed="false">
      <c r="A75" s="1" t="n">
        <v>2816</v>
      </c>
      <c r="B75" s="1" t="s">
        <v>44</v>
      </c>
      <c r="C75" s="1" t="s">
        <v>204</v>
      </c>
      <c r="D75" s="1" t="s">
        <v>125</v>
      </c>
      <c r="E75" s="1" t="n">
        <v>12</v>
      </c>
      <c r="F75" s="1" t="n">
        <v>12</v>
      </c>
      <c r="G75" s="1" t="n">
        <v>40</v>
      </c>
    </row>
    <row r="76" customFormat="false" ht="14.25" hidden="false" customHeight="true" outlineLevel="0" collapsed="false">
      <c r="A76" s="1" t="n">
        <v>5750</v>
      </c>
      <c r="B76" s="1" t="s">
        <v>44</v>
      </c>
      <c r="C76" s="1" t="s">
        <v>205</v>
      </c>
      <c r="D76" s="1" t="s">
        <v>137</v>
      </c>
      <c r="E76" s="1" t="n">
        <v>11</v>
      </c>
      <c r="F76" s="1" t="n">
        <v>11</v>
      </c>
      <c r="G76" s="1" t="n">
        <v>40</v>
      </c>
    </row>
    <row r="77" customFormat="false" ht="14.25" hidden="false" customHeight="true" outlineLevel="0" collapsed="false">
      <c r="A77" s="1" t="n">
        <v>6217</v>
      </c>
      <c r="B77" s="1" t="s">
        <v>44</v>
      </c>
      <c r="C77" s="1" t="s">
        <v>206</v>
      </c>
      <c r="D77" s="1" t="s">
        <v>115</v>
      </c>
      <c r="E77" s="1" t="n">
        <v>11</v>
      </c>
      <c r="F77" s="1" t="n">
        <v>11</v>
      </c>
      <c r="G77" s="1" t="n">
        <v>33</v>
      </c>
    </row>
    <row r="78" customFormat="false" ht="14.25" hidden="false" customHeight="true" outlineLevel="0" collapsed="false">
      <c r="A78" s="1" t="n">
        <v>5526</v>
      </c>
      <c r="B78" s="1" t="s">
        <v>44</v>
      </c>
      <c r="C78" s="1" t="s">
        <v>207</v>
      </c>
      <c r="D78" s="1" t="s">
        <v>117</v>
      </c>
      <c r="E78" s="1" t="n">
        <v>10</v>
      </c>
      <c r="F78" s="1" t="n">
        <v>10</v>
      </c>
      <c r="G78" s="1" t="n">
        <v>28</v>
      </c>
    </row>
    <row r="79" customFormat="false" ht="14.25" hidden="false" customHeight="true" outlineLevel="0" collapsed="false">
      <c r="A79" s="1" t="n">
        <v>6869</v>
      </c>
      <c r="B79" s="1" t="s">
        <v>44</v>
      </c>
      <c r="C79" s="1" t="s">
        <v>208</v>
      </c>
      <c r="D79" s="1" t="s">
        <v>119</v>
      </c>
      <c r="E79" s="1" t="n">
        <v>10</v>
      </c>
      <c r="F79" s="1" t="n">
        <v>10</v>
      </c>
      <c r="G79" s="1" t="n">
        <v>32</v>
      </c>
    </row>
    <row r="80" customFormat="false" ht="14.25" hidden="false" customHeight="true" outlineLevel="0" collapsed="false">
      <c r="A80" s="1" t="n">
        <v>5885</v>
      </c>
      <c r="B80" s="1" t="s">
        <v>44</v>
      </c>
      <c r="C80" s="1" t="s">
        <v>209</v>
      </c>
      <c r="D80" s="1" t="s">
        <v>123</v>
      </c>
      <c r="E80" s="1" t="n">
        <v>10</v>
      </c>
      <c r="F80" s="1" t="n">
        <v>10</v>
      </c>
      <c r="G80" s="1" t="n">
        <v>30</v>
      </c>
    </row>
    <row r="81" customFormat="false" ht="14.25" hidden="false" customHeight="true" outlineLevel="0" collapsed="false">
      <c r="A81" s="1" t="n">
        <v>4807</v>
      </c>
      <c r="B81" s="1" t="s">
        <v>44</v>
      </c>
      <c r="C81" s="1" t="s">
        <v>210</v>
      </c>
      <c r="D81" s="1" t="s">
        <v>113</v>
      </c>
      <c r="E81" s="1" t="n">
        <v>10</v>
      </c>
      <c r="F81" s="1" t="n">
        <v>10</v>
      </c>
      <c r="G81" s="1" t="n">
        <v>26</v>
      </c>
    </row>
    <row r="82" customFormat="false" ht="14.25" hidden="false" customHeight="true" outlineLevel="0" collapsed="false">
      <c r="A82" s="1" t="n">
        <v>5514</v>
      </c>
      <c r="B82" s="1" t="s">
        <v>44</v>
      </c>
      <c r="C82" s="1" t="s">
        <v>211</v>
      </c>
      <c r="D82" s="1" t="s">
        <v>137</v>
      </c>
      <c r="E82" s="1" t="n">
        <v>9</v>
      </c>
      <c r="F82" s="1" t="n">
        <v>9</v>
      </c>
      <c r="G82" s="1" t="n">
        <v>33</v>
      </c>
    </row>
    <row r="83" customFormat="false" ht="14.25" hidden="false" customHeight="true" outlineLevel="0" collapsed="false">
      <c r="A83" s="1" t="n">
        <v>5520</v>
      </c>
      <c r="B83" s="1" t="s">
        <v>44</v>
      </c>
      <c r="C83" s="1" t="s">
        <v>212</v>
      </c>
      <c r="D83" s="1" t="s">
        <v>131</v>
      </c>
      <c r="E83" s="1" t="n">
        <v>9</v>
      </c>
      <c r="F83" s="1" t="n">
        <v>9</v>
      </c>
      <c r="G83" s="1" t="n">
        <v>27</v>
      </c>
    </row>
    <row r="84" customFormat="false" ht="14.25" hidden="false" customHeight="true" outlineLevel="0" collapsed="false">
      <c r="A84" s="1" t="n">
        <v>6046</v>
      </c>
      <c r="B84" s="1" t="s">
        <v>44</v>
      </c>
      <c r="C84" s="1" t="s">
        <v>213</v>
      </c>
      <c r="D84" s="1" t="s">
        <v>117</v>
      </c>
      <c r="E84" s="1" t="n">
        <v>8</v>
      </c>
      <c r="F84" s="1" t="n">
        <v>8</v>
      </c>
      <c r="G84" s="1" t="n">
        <v>16</v>
      </c>
    </row>
    <row r="85" customFormat="false" ht="14.25" hidden="false" customHeight="true" outlineLevel="0" collapsed="false">
      <c r="A85" s="1" t="n">
        <v>554</v>
      </c>
      <c r="B85" s="1" t="s">
        <v>44</v>
      </c>
      <c r="C85" s="1" t="s">
        <v>214</v>
      </c>
      <c r="D85" s="1" t="s">
        <v>117</v>
      </c>
      <c r="E85" s="1" t="n">
        <v>8</v>
      </c>
      <c r="F85" s="1" t="n">
        <v>8</v>
      </c>
      <c r="G85" s="1" t="n">
        <v>24</v>
      </c>
    </row>
    <row r="86" customFormat="false" ht="14.25" hidden="false" customHeight="true" outlineLevel="0" collapsed="false">
      <c r="A86" s="1" t="n">
        <v>6042</v>
      </c>
      <c r="B86" s="1" t="s">
        <v>44</v>
      </c>
      <c r="C86" s="1" t="s">
        <v>215</v>
      </c>
      <c r="D86" s="1" t="s">
        <v>127</v>
      </c>
      <c r="E86" s="1" t="n">
        <v>8</v>
      </c>
      <c r="F86" s="1" t="n">
        <v>8</v>
      </c>
      <c r="G86" s="1" t="n">
        <v>18</v>
      </c>
    </row>
    <row r="87" customFormat="false" ht="14.25" hidden="false" customHeight="true" outlineLevel="0" collapsed="false">
      <c r="A87" s="1" t="n">
        <v>4734</v>
      </c>
      <c r="B87" s="1" t="s">
        <v>44</v>
      </c>
      <c r="C87" s="1" t="s">
        <v>216</v>
      </c>
      <c r="D87" s="1" t="s">
        <v>127</v>
      </c>
      <c r="E87" s="1" t="n">
        <v>8</v>
      </c>
      <c r="F87" s="1" t="n">
        <v>8</v>
      </c>
      <c r="G87" s="1" t="n">
        <v>24</v>
      </c>
    </row>
    <row r="88" customFormat="false" ht="14.25" hidden="false" customHeight="true" outlineLevel="0" collapsed="false">
      <c r="A88" s="1" t="n">
        <v>4210</v>
      </c>
      <c r="B88" s="1" t="s">
        <v>44</v>
      </c>
      <c r="C88" s="1" t="s">
        <v>217</v>
      </c>
      <c r="D88" s="1" t="s">
        <v>129</v>
      </c>
      <c r="E88" s="1" t="n">
        <v>8</v>
      </c>
      <c r="F88" s="1" t="n">
        <v>8</v>
      </c>
      <c r="G88" s="1" t="n">
        <v>20</v>
      </c>
    </row>
    <row r="89" customFormat="false" ht="14.25" hidden="false" customHeight="true" outlineLevel="0" collapsed="false">
      <c r="A89" s="1" t="n">
        <v>5365</v>
      </c>
      <c r="B89" s="1" t="s">
        <v>44</v>
      </c>
      <c r="C89" s="1" t="s">
        <v>218</v>
      </c>
      <c r="D89" s="1" t="s">
        <v>123</v>
      </c>
      <c r="E89" s="1" t="n">
        <v>8</v>
      </c>
      <c r="F89" s="1" t="n">
        <v>8</v>
      </c>
      <c r="G89" s="1" t="n">
        <v>27</v>
      </c>
    </row>
    <row r="90" customFormat="false" ht="14.25" hidden="false" customHeight="true" outlineLevel="0" collapsed="false">
      <c r="A90" s="1" t="n">
        <v>6531</v>
      </c>
      <c r="B90" s="1" t="s">
        <v>44</v>
      </c>
      <c r="C90" s="1" t="s">
        <v>219</v>
      </c>
      <c r="D90" s="1" t="s">
        <v>123</v>
      </c>
      <c r="E90" s="1" t="n">
        <v>8</v>
      </c>
      <c r="F90" s="1" t="n">
        <v>8</v>
      </c>
      <c r="G90" s="1" t="n">
        <v>23</v>
      </c>
    </row>
    <row r="91" customFormat="false" ht="14.25" hidden="false" customHeight="true" outlineLevel="0" collapsed="false">
      <c r="A91" s="1" t="n">
        <v>6814</v>
      </c>
      <c r="B91" s="1" t="s">
        <v>44</v>
      </c>
      <c r="C91" s="1" t="s">
        <v>220</v>
      </c>
      <c r="D91" s="1" t="s">
        <v>137</v>
      </c>
      <c r="E91" s="1" t="n">
        <v>8</v>
      </c>
      <c r="F91" s="1" t="n">
        <v>8</v>
      </c>
      <c r="G91" s="1" t="n">
        <v>22</v>
      </c>
    </row>
    <row r="92" customFormat="false" ht="14.25" hidden="false" customHeight="true" outlineLevel="0" collapsed="false">
      <c r="A92" s="1" t="n">
        <v>4657</v>
      </c>
      <c r="B92" s="1" t="s">
        <v>44</v>
      </c>
      <c r="C92" s="1" t="s">
        <v>221</v>
      </c>
      <c r="D92" s="1" t="s">
        <v>131</v>
      </c>
      <c r="E92" s="1" t="n">
        <v>8</v>
      </c>
      <c r="F92" s="1" t="n">
        <v>8</v>
      </c>
      <c r="G92" s="1" t="n">
        <v>21</v>
      </c>
    </row>
    <row r="93" customFormat="false" ht="14.25" hidden="false" customHeight="true" outlineLevel="0" collapsed="false">
      <c r="A93" s="1" t="n">
        <v>6496</v>
      </c>
      <c r="B93" s="1" t="s">
        <v>44</v>
      </c>
      <c r="C93" s="1" t="s">
        <v>222</v>
      </c>
      <c r="D93" s="1" t="s">
        <v>121</v>
      </c>
      <c r="E93" s="1" t="n">
        <v>8</v>
      </c>
      <c r="F93" s="1" t="n">
        <v>8</v>
      </c>
      <c r="G93" s="1" t="n">
        <v>25</v>
      </c>
    </row>
    <row r="94" customFormat="false" ht="14.25" hidden="false" customHeight="true" outlineLevel="0" collapsed="false">
      <c r="A94" s="1" t="n">
        <v>1852</v>
      </c>
      <c r="B94" s="1" t="s">
        <v>44</v>
      </c>
      <c r="C94" s="1" t="s">
        <v>223</v>
      </c>
      <c r="D94" s="1" t="s">
        <v>125</v>
      </c>
      <c r="E94" s="1" t="n">
        <v>8</v>
      </c>
      <c r="F94" s="1" t="n">
        <v>8</v>
      </c>
      <c r="G94" s="1" t="n">
        <v>24</v>
      </c>
    </row>
    <row r="95" customFormat="false" ht="14.25" hidden="false" customHeight="true" outlineLevel="0" collapsed="false">
      <c r="A95" s="1" t="n">
        <v>6664</v>
      </c>
      <c r="B95" s="1" t="s">
        <v>44</v>
      </c>
      <c r="C95" s="1" t="s">
        <v>224</v>
      </c>
      <c r="D95" s="1" t="s">
        <v>141</v>
      </c>
      <c r="E95" s="1" t="n">
        <v>8</v>
      </c>
      <c r="F95" s="1" t="n">
        <v>8</v>
      </c>
      <c r="G95" s="1" t="n">
        <v>21</v>
      </c>
    </row>
    <row r="96" customFormat="false" ht="14.25" hidden="false" customHeight="true" outlineLevel="0" collapsed="false">
      <c r="A96" s="1" t="n">
        <v>5862</v>
      </c>
      <c r="B96" s="1" t="s">
        <v>44</v>
      </c>
      <c r="C96" s="1" t="s">
        <v>225</v>
      </c>
      <c r="D96" s="1" t="s">
        <v>141</v>
      </c>
      <c r="E96" s="1" t="n">
        <v>8</v>
      </c>
      <c r="F96" s="1" t="n">
        <v>8</v>
      </c>
      <c r="G96" s="1" t="n">
        <v>24</v>
      </c>
    </row>
    <row r="97" customFormat="false" ht="14.25" hidden="false" customHeight="true" outlineLevel="0" collapsed="false">
      <c r="A97" s="1" t="n">
        <v>7529</v>
      </c>
      <c r="B97" s="1" t="s">
        <v>44</v>
      </c>
      <c r="C97" s="1" t="s">
        <v>226</v>
      </c>
      <c r="D97" s="1" t="s">
        <v>113</v>
      </c>
      <c r="E97" s="1" t="n">
        <v>8</v>
      </c>
      <c r="F97" s="1" t="n">
        <v>8</v>
      </c>
      <c r="G97" s="1" t="n">
        <v>20</v>
      </c>
    </row>
    <row r="98" customFormat="false" ht="14.25" hidden="false" customHeight="true" outlineLevel="0" collapsed="false">
      <c r="A98" s="1" t="n">
        <v>4994</v>
      </c>
      <c r="B98" s="1" t="s">
        <v>44</v>
      </c>
      <c r="C98" s="1" t="s">
        <v>227</v>
      </c>
      <c r="D98" s="1" t="s">
        <v>135</v>
      </c>
      <c r="E98" s="1" t="n">
        <v>8</v>
      </c>
      <c r="F98" s="1" t="n">
        <v>8</v>
      </c>
      <c r="G98" s="1" t="n">
        <v>19</v>
      </c>
    </row>
    <row r="99" customFormat="false" ht="14.25" hidden="false" customHeight="true" outlineLevel="0" collapsed="false">
      <c r="A99" s="1" t="n">
        <v>787</v>
      </c>
      <c r="B99" s="1" t="s">
        <v>44</v>
      </c>
      <c r="C99" s="1" t="s">
        <v>228</v>
      </c>
      <c r="D99" s="1" t="s">
        <v>117</v>
      </c>
      <c r="E99" s="1" t="n">
        <v>7</v>
      </c>
      <c r="F99" s="1" t="n">
        <v>7</v>
      </c>
      <c r="G99" s="1" t="n">
        <v>16</v>
      </c>
    </row>
    <row r="100" customFormat="false" ht="14.25" hidden="false" customHeight="true" outlineLevel="0" collapsed="false">
      <c r="A100" s="1" t="n">
        <v>5701</v>
      </c>
      <c r="B100" s="1" t="s">
        <v>44</v>
      </c>
      <c r="C100" s="1" t="s">
        <v>229</v>
      </c>
      <c r="D100" s="1" t="s">
        <v>129</v>
      </c>
      <c r="E100" s="1" t="n">
        <v>7</v>
      </c>
      <c r="F100" s="1" t="n">
        <v>7</v>
      </c>
      <c r="G100" s="1" t="n">
        <v>14</v>
      </c>
    </row>
    <row r="101" customFormat="false" ht="14.25" hidden="false" customHeight="true" outlineLevel="0" collapsed="false">
      <c r="A101" s="1" t="n">
        <v>7414</v>
      </c>
      <c r="B101" s="1" t="s">
        <v>44</v>
      </c>
      <c r="C101" s="1" t="s">
        <v>230</v>
      </c>
      <c r="D101" s="1" t="s">
        <v>119</v>
      </c>
      <c r="E101" s="1" t="n">
        <v>7</v>
      </c>
      <c r="F101" s="1" t="n">
        <v>7</v>
      </c>
      <c r="G101" s="1" t="n">
        <v>23</v>
      </c>
    </row>
    <row r="102" customFormat="false" ht="14.25" hidden="false" customHeight="true" outlineLevel="0" collapsed="false">
      <c r="A102" s="1" t="n">
        <v>5877</v>
      </c>
      <c r="B102" s="1" t="s">
        <v>44</v>
      </c>
      <c r="C102" s="1" t="s">
        <v>231</v>
      </c>
      <c r="D102" s="1" t="s">
        <v>115</v>
      </c>
      <c r="E102" s="1" t="n">
        <v>7</v>
      </c>
      <c r="F102" s="1" t="n">
        <v>7</v>
      </c>
      <c r="G102" s="1" t="n">
        <v>27</v>
      </c>
    </row>
    <row r="103" customFormat="false" ht="14.25" hidden="false" customHeight="true" outlineLevel="0" collapsed="false">
      <c r="A103" s="1" t="n">
        <v>6320</v>
      </c>
      <c r="B103" s="1" t="s">
        <v>44</v>
      </c>
      <c r="C103" s="1" t="s">
        <v>232</v>
      </c>
      <c r="D103" s="1" t="s">
        <v>133</v>
      </c>
      <c r="E103" s="1" t="n">
        <v>7</v>
      </c>
      <c r="F103" s="1" t="n">
        <v>7</v>
      </c>
      <c r="G103" s="1" t="n">
        <v>22</v>
      </c>
    </row>
    <row r="104" customFormat="false" ht="14.25" hidden="false" customHeight="true" outlineLevel="0" collapsed="false">
      <c r="A104" s="1" t="n">
        <v>460</v>
      </c>
      <c r="B104" s="1" t="s">
        <v>44</v>
      </c>
      <c r="C104" s="1" t="s">
        <v>233</v>
      </c>
      <c r="D104" s="1" t="s">
        <v>133</v>
      </c>
      <c r="E104" s="1" t="n">
        <v>7</v>
      </c>
      <c r="F104" s="1" t="n">
        <v>7</v>
      </c>
      <c r="G104" s="1" t="n">
        <v>24</v>
      </c>
    </row>
    <row r="105" customFormat="false" ht="14.25" hidden="false" customHeight="true" outlineLevel="0" collapsed="false">
      <c r="A105" s="1" t="n">
        <v>6989</v>
      </c>
      <c r="B105" s="1" t="s">
        <v>44</v>
      </c>
      <c r="C105" s="1" t="s">
        <v>234</v>
      </c>
      <c r="D105" s="1" t="s">
        <v>139</v>
      </c>
      <c r="E105" s="1" t="n">
        <v>7</v>
      </c>
      <c r="F105" s="1" t="n">
        <v>7</v>
      </c>
      <c r="G105" s="1" t="n">
        <v>17</v>
      </c>
    </row>
    <row r="106" customFormat="false" ht="14.25" hidden="false" customHeight="true" outlineLevel="0" collapsed="false">
      <c r="A106" s="1" t="n">
        <v>4401</v>
      </c>
      <c r="B106" s="1" t="s">
        <v>44</v>
      </c>
      <c r="C106" s="1" t="s">
        <v>235</v>
      </c>
      <c r="D106" s="1" t="s">
        <v>121</v>
      </c>
      <c r="E106" s="1" t="n">
        <v>7</v>
      </c>
      <c r="F106" s="1" t="n">
        <v>7</v>
      </c>
      <c r="G106" s="1" t="n">
        <v>23</v>
      </c>
    </row>
    <row r="107" customFormat="false" ht="14.25" hidden="false" customHeight="true" outlineLevel="0" collapsed="false">
      <c r="A107" s="1" t="n">
        <v>4751</v>
      </c>
      <c r="B107" s="1" t="s">
        <v>44</v>
      </c>
      <c r="C107" s="1" t="s">
        <v>236</v>
      </c>
      <c r="D107" s="1" t="s">
        <v>121</v>
      </c>
      <c r="E107" s="1" t="n">
        <v>7</v>
      </c>
      <c r="F107" s="1" t="n">
        <v>7</v>
      </c>
      <c r="G107" s="1" t="n">
        <v>20</v>
      </c>
    </row>
    <row r="108" customFormat="false" ht="14.25" hidden="false" customHeight="true" outlineLevel="0" collapsed="false">
      <c r="A108" s="1" t="n">
        <v>2724</v>
      </c>
      <c r="B108" s="1" t="s">
        <v>44</v>
      </c>
      <c r="C108" s="1" t="s">
        <v>237</v>
      </c>
      <c r="D108" s="1" t="s">
        <v>125</v>
      </c>
      <c r="E108" s="1" t="n">
        <v>7</v>
      </c>
      <c r="F108" s="1" t="n">
        <v>7</v>
      </c>
      <c r="G108" s="1" t="n">
        <v>18</v>
      </c>
    </row>
    <row r="109" customFormat="false" ht="14.25" hidden="false" customHeight="true" outlineLevel="0" collapsed="false">
      <c r="A109" s="1" t="n">
        <v>6672</v>
      </c>
      <c r="B109" s="1" t="s">
        <v>44</v>
      </c>
      <c r="C109" s="1" t="s">
        <v>238</v>
      </c>
      <c r="D109" s="1" t="s">
        <v>144</v>
      </c>
      <c r="E109" s="1" t="n">
        <v>7</v>
      </c>
      <c r="F109" s="1" t="n">
        <v>7</v>
      </c>
      <c r="G109" s="1" t="n">
        <v>1</v>
      </c>
    </row>
    <row r="110" customFormat="false" ht="14.25" hidden="false" customHeight="true" outlineLevel="0" collapsed="false">
      <c r="A110" s="1" t="n">
        <v>6642</v>
      </c>
      <c r="B110" s="1" t="s">
        <v>44</v>
      </c>
      <c r="C110" s="1" t="s">
        <v>239</v>
      </c>
      <c r="D110" s="1" t="s">
        <v>184</v>
      </c>
      <c r="E110" s="1" t="n">
        <v>7</v>
      </c>
      <c r="F110" s="1" t="n">
        <v>7</v>
      </c>
      <c r="G110" s="1" t="n">
        <v>18</v>
      </c>
    </row>
    <row r="111" customFormat="false" ht="14.25" hidden="false" customHeight="true" outlineLevel="0" collapsed="false">
      <c r="A111" s="1" t="n">
        <v>5010</v>
      </c>
      <c r="B111" s="1" t="s">
        <v>44</v>
      </c>
      <c r="C111" s="1" t="s">
        <v>240</v>
      </c>
      <c r="D111" s="1" t="s">
        <v>184</v>
      </c>
      <c r="E111" s="1" t="n">
        <v>7</v>
      </c>
      <c r="F111" s="1" t="n">
        <v>7</v>
      </c>
      <c r="G111" s="1" t="n">
        <v>18</v>
      </c>
    </row>
    <row r="112" customFormat="false" ht="14.25" hidden="false" customHeight="true" outlineLevel="0" collapsed="false">
      <c r="A112" s="1" t="n">
        <v>6485</v>
      </c>
      <c r="B112" s="1" t="s">
        <v>44</v>
      </c>
      <c r="C112" s="1" t="s">
        <v>241</v>
      </c>
      <c r="D112" s="1" t="s">
        <v>135</v>
      </c>
      <c r="E112" s="1" t="n">
        <v>7</v>
      </c>
      <c r="F112" s="1" t="n">
        <v>7</v>
      </c>
      <c r="G112" s="1" t="n">
        <v>15</v>
      </c>
    </row>
    <row r="113" customFormat="false" ht="14.25" hidden="false" customHeight="true" outlineLevel="0" collapsed="false">
      <c r="A113" s="1" t="n">
        <v>6916</v>
      </c>
      <c r="B113" s="1" t="s">
        <v>44</v>
      </c>
      <c r="C113" s="1" t="s">
        <v>242</v>
      </c>
      <c r="D113" s="1" t="s">
        <v>117</v>
      </c>
      <c r="E113" s="1" t="n">
        <v>6</v>
      </c>
      <c r="F113" s="1" t="n">
        <v>6</v>
      </c>
      <c r="G113" s="1" t="n">
        <v>16</v>
      </c>
    </row>
    <row r="114" customFormat="false" ht="14.25" hidden="false" customHeight="true" outlineLevel="0" collapsed="false">
      <c r="A114" s="1" t="n">
        <v>4887</v>
      </c>
      <c r="B114" s="1" t="s">
        <v>44</v>
      </c>
      <c r="C114" s="1" t="s">
        <v>243</v>
      </c>
      <c r="D114" s="1" t="s">
        <v>117</v>
      </c>
      <c r="E114" s="1" t="n">
        <v>6</v>
      </c>
      <c r="F114" s="1" t="n">
        <v>6</v>
      </c>
      <c r="G114" s="1" t="n">
        <v>15</v>
      </c>
    </row>
    <row r="115" customFormat="false" ht="14.25" hidden="false" customHeight="true" outlineLevel="0" collapsed="false">
      <c r="A115" s="1" t="n">
        <v>7219</v>
      </c>
      <c r="B115" s="1" t="s">
        <v>44</v>
      </c>
      <c r="C115" s="1" t="s">
        <v>244</v>
      </c>
      <c r="D115" s="1" t="s">
        <v>117</v>
      </c>
      <c r="E115" s="1" t="n">
        <v>6</v>
      </c>
      <c r="F115" s="1" t="n">
        <v>6</v>
      </c>
      <c r="G115" s="1" t="n">
        <v>17</v>
      </c>
    </row>
    <row r="116" customFormat="false" ht="14.25" hidden="false" customHeight="true" outlineLevel="0" collapsed="false">
      <c r="A116" s="1" t="n">
        <v>7212</v>
      </c>
      <c r="B116" s="1" t="s">
        <v>44</v>
      </c>
      <c r="C116" s="1" t="s">
        <v>245</v>
      </c>
      <c r="D116" s="1" t="s">
        <v>127</v>
      </c>
      <c r="E116" s="1" t="n">
        <v>6</v>
      </c>
      <c r="F116" s="1" t="n">
        <v>6</v>
      </c>
      <c r="G116" s="1" t="n">
        <v>15</v>
      </c>
    </row>
    <row r="117" customFormat="false" ht="14.25" hidden="false" customHeight="true" outlineLevel="0" collapsed="false">
      <c r="A117" s="1" t="n">
        <v>4433</v>
      </c>
      <c r="B117" s="1" t="s">
        <v>44</v>
      </c>
      <c r="C117" s="1" t="s">
        <v>246</v>
      </c>
      <c r="D117" s="1" t="s">
        <v>127</v>
      </c>
      <c r="E117" s="1" t="n">
        <v>6</v>
      </c>
      <c r="F117" s="1" t="n">
        <v>6</v>
      </c>
      <c r="G117" s="1" t="n">
        <v>19</v>
      </c>
    </row>
    <row r="118" customFormat="false" ht="14.25" hidden="false" customHeight="true" outlineLevel="0" collapsed="false">
      <c r="A118" s="1" t="n">
        <v>6867</v>
      </c>
      <c r="B118" s="1" t="s">
        <v>44</v>
      </c>
      <c r="C118" s="1" t="s">
        <v>247</v>
      </c>
      <c r="D118" s="1" t="s">
        <v>119</v>
      </c>
      <c r="E118" s="1" t="n">
        <v>6</v>
      </c>
      <c r="F118" s="1" t="n">
        <v>6</v>
      </c>
      <c r="G118" s="1" t="n">
        <v>18</v>
      </c>
    </row>
    <row r="119" customFormat="false" ht="14.25" hidden="false" customHeight="true" outlineLevel="0" collapsed="false">
      <c r="A119" s="1" t="n">
        <v>7294</v>
      </c>
      <c r="B119" s="1" t="s">
        <v>44</v>
      </c>
      <c r="C119" s="1" t="s">
        <v>248</v>
      </c>
      <c r="D119" s="1" t="s">
        <v>123</v>
      </c>
      <c r="E119" s="1" t="n">
        <v>6</v>
      </c>
      <c r="F119" s="1" t="n">
        <v>6</v>
      </c>
      <c r="G119" s="1" t="n">
        <v>18</v>
      </c>
    </row>
    <row r="120" customFormat="false" ht="14.25" hidden="false" customHeight="true" outlineLevel="0" collapsed="false">
      <c r="A120" s="1" t="n">
        <v>7410</v>
      </c>
      <c r="B120" s="1" t="s">
        <v>44</v>
      </c>
      <c r="C120" s="1" t="s">
        <v>249</v>
      </c>
      <c r="D120" s="1" t="s">
        <v>123</v>
      </c>
      <c r="E120" s="1" t="n">
        <v>6</v>
      </c>
      <c r="F120" s="1" t="n">
        <v>6</v>
      </c>
      <c r="G120" s="1" t="n">
        <v>19</v>
      </c>
    </row>
    <row r="121" customFormat="false" ht="14.25" hidden="false" customHeight="true" outlineLevel="0" collapsed="false">
      <c r="A121" s="1" t="n">
        <v>4952</v>
      </c>
      <c r="B121" s="1" t="s">
        <v>44</v>
      </c>
      <c r="C121" s="1" t="s">
        <v>250</v>
      </c>
      <c r="D121" s="1" t="s">
        <v>152</v>
      </c>
      <c r="E121" s="1" t="n">
        <v>6</v>
      </c>
      <c r="F121" s="1" t="n">
        <v>6</v>
      </c>
      <c r="G121" s="1" t="n">
        <v>14</v>
      </c>
    </row>
    <row r="122" customFormat="false" ht="14.25" hidden="false" customHeight="true" outlineLevel="0" collapsed="false">
      <c r="A122" s="1" t="n">
        <v>6660</v>
      </c>
      <c r="B122" s="1" t="s">
        <v>44</v>
      </c>
      <c r="C122" s="1" t="s">
        <v>251</v>
      </c>
      <c r="D122" s="1" t="s">
        <v>137</v>
      </c>
      <c r="E122" s="1" t="n">
        <v>6</v>
      </c>
      <c r="F122" s="1" t="n">
        <v>6</v>
      </c>
      <c r="G122" s="1" t="n">
        <v>13</v>
      </c>
    </row>
    <row r="123" customFormat="false" ht="14.25" hidden="false" customHeight="true" outlineLevel="0" collapsed="false">
      <c r="A123" s="1" t="n">
        <v>4177</v>
      </c>
      <c r="B123" s="1" t="s">
        <v>44</v>
      </c>
      <c r="C123" s="1" t="s">
        <v>252</v>
      </c>
      <c r="D123" s="1" t="s">
        <v>115</v>
      </c>
      <c r="E123" s="1" t="n">
        <v>6</v>
      </c>
      <c r="F123" s="1" t="n">
        <v>6</v>
      </c>
      <c r="G123" s="1" t="n">
        <v>18</v>
      </c>
    </row>
    <row r="124" customFormat="false" ht="14.25" hidden="false" customHeight="true" outlineLevel="0" collapsed="false">
      <c r="A124" s="1" t="n">
        <v>5620</v>
      </c>
      <c r="B124" s="1" t="s">
        <v>44</v>
      </c>
      <c r="C124" s="1" t="s">
        <v>253</v>
      </c>
      <c r="D124" s="1" t="s">
        <v>133</v>
      </c>
      <c r="E124" s="1" t="n">
        <v>6</v>
      </c>
      <c r="F124" s="1" t="n">
        <v>6</v>
      </c>
      <c r="G124" s="1" t="n">
        <v>17</v>
      </c>
    </row>
    <row r="125" customFormat="false" ht="14.25" hidden="false" customHeight="true" outlineLevel="0" collapsed="false">
      <c r="A125" s="1" t="n">
        <v>2188</v>
      </c>
      <c r="B125" s="1" t="s">
        <v>44</v>
      </c>
      <c r="C125" s="1" t="s">
        <v>254</v>
      </c>
      <c r="D125" s="1" t="s">
        <v>133</v>
      </c>
      <c r="E125" s="1" t="n">
        <v>6</v>
      </c>
      <c r="F125" s="1" t="n">
        <v>6</v>
      </c>
      <c r="G125" s="1" t="n">
        <v>20</v>
      </c>
    </row>
    <row r="126" customFormat="false" ht="14.25" hidden="false" customHeight="true" outlineLevel="0" collapsed="false">
      <c r="A126" s="1" t="n">
        <v>4502</v>
      </c>
      <c r="B126" s="1" t="s">
        <v>44</v>
      </c>
      <c r="C126" s="1" t="s">
        <v>255</v>
      </c>
      <c r="D126" s="1" t="s">
        <v>139</v>
      </c>
      <c r="E126" s="1" t="n">
        <v>6</v>
      </c>
      <c r="F126" s="1" t="n">
        <v>6</v>
      </c>
      <c r="G126" s="1" t="n">
        <v>13</v>
      </c>
    </row>
    <row r="127" customFormat="false" ht="14.25" hidden="false" customHeight="true" outlineLevel="0" collapsed="false">
      <c r="A127" s="1" t="n">
        <v>7485</v>
      </c>
      <c r="B127" s="1" t="s">
        <v>44</v>
      </c>
      <c r="C127" s="1" t="s">
        <v>256</v>
      </c>
      <c r="D127" s="1" t="s">
        <v>149</v>
      </c>
      <c r="E127" s="1" t="n">
        <v>6</v>
      </c>
      <c r="F127" s="1" t="n">
        <v>6</v>
      </c>
      <c r="G127" s="1" t="n">
        <v>15</v>
      </c>
    </row>
    <row r="128" customFormat="false" ht="14.25" hidden="false" customHeight="true" outlineLevel="0" collapsed="false">
      <c r="A128" s="1" t="n">
        <v>6202</v>
      </c>
      <c r="B128" s="1" t="s">
        <v>44</v>
      </c>
      <c r="C128" s="1" t="s">
        <v>257</v>
      </c>
      <c r="D128" s="1" t="s">
        <v>125</v>
      </c>
      <c r="E128" s="1" t="n">
        <v>6</v>
      </c>
      <c r="F128" s="1" t="n">
        <v>6</v>
      </c>
      <c r="G128" s="1" t="n">
        <v>16</v>
      </c>
    </row>
    <row r="129" customFormat="false" ht="14.25" hidden="false" customHeight="true" outlineLevel="0" collapsed="false">
      <c r="A129" s="1" t="n">
        <v>6663</v>
      </c>
      <c r="B129" s="1" t="s">
        <v>44</v>
      </c>
      <c r="C129" s="1" t="s">
        <v>258</v>
      </c>
      <c r="D129" s="1" t="s">
        <v>141</v>
      </c>
      <c r="E129" s="1" t="n">
        <v>6</v>
      </c>
      <c r="F129" s="1" t="n">
        <v>6</v>
      </c>
      <c r="G129" s="1" t="n">
        <v>18</v>
      </c>
    </row>
    <row r="130" customFormat="false" ht="14.25" hidden="false" customHeight="true" outlineLevel="0" collapsed="false">
      <c r="A130" s="1" t="n">
        <v>6495</v>
      </c>
      <c r="B130" s="1" t="s">
        <v>44</v>
      </c>
      <c r="C130" s="1" t="s">
        <v>259</v>
      </c>
      <c r="D130" s="1" t="s">
        <v>184</v>
      </c>
      <c r="E130" s="1" t="n">
        <v>6</v>
      </c>
      <c r="F130" s="1" t="n">
        <v>6</v>
      </c>
      <c r="G130" s="1" t="n">
        <v>11</v>
      </c>
    </row>
    <row r="131" customFormat="false" ht="14.25" hidden="false" customHeight="true" outlineLevel="0" collapsed="false">
      <c r="A131" s="1" t="n">
        <v>5555</v>
      </c>
      <c r="B131" s="1" t="s">
        <v>44</v>
      </c>
      <c r="C131" s="1" t="s">
        <v>260</v>
      </c>
      <c r="D131" s="1" t="s">
        <v>135</v>
      </c>
      <c r="E131" s="1" t="n">
        <v>6</v>
      </c>
      <c r="F131" s="1" t="n">
        <v>6</v>
      </c>
      <c r="G131" s="1" t="n">
        <v>12</v>
      </c>
    </row>
    <row r="132" customFormat="false" ht="14.25" hidden="false" customHeight="true" outlineLevel="0" collapsed="false">
      <c r="A132" s="1" t="n">
        <v>7253</v>
      </c>
      <c r="B132" s="1" t="s">
        <v>44</v>
      </c>
      <c r="C132" s="1" t="s">
        <v>261</v>
      </c>
      <c r="D132" s="1" t="s">
        <v>147</v>
      </c>
      <c r="E132" s="1" t="n">
        <v>6</v>
      </c>
      <c r="F132" s="1" t="n">
        <v>6</v>
      </c>
      <c r="G132" s="1" t="n">
        <v>13</v>
      </c>
    </row>
    <row r="133" customFormat="false" ht="14.25" hidden="false" customHeight="true" outlineLevel="0" collapsed="false">
      <c r="A133" s="1" t="n">
        <v>2640</v>
      </c>
      <c r="B133" s="1" t="s">
        <v>44</v>
      </c>
      <c r="C133" s="1" t="s">
        <v>262</v>
      </c>
      <c r="D133" s="1" t="s">
        <v>117</v>
      </c>
      <c r="E133" s="1" t="n">
        <v>5</v>
      </c>
      <c r="F133" s="1" t="n">
        <v>5</v>
      </c>
      <c r="G133" s="1" t="n">
        <v>12</v>
      </c>
    </row>
    <row r="134" customFormat="false" ht="14.25" hidden="false" customHeight="true" outlineLevel="0" collapsed="false">
      <c r="A134" s="1" t="n">
        <v>7068</v>
      </c>
      <c r="B134" s="1" t="s">
        <v>44</v>
      </c>
      <c r="C134" s="1" t="s">
        <v>263</v>
      </c>
      <c r="D134" s="1" t="s">
        <v>127</v>
      </c>
      <c r="E134" s="1" t="n">
        <v>5</v>
      </c>
      <c r="F134" s="1" t="n">
        <v>5</v>
      </c>
      <c r="G134" s="1" t="n">
        <v>11</v>
      </c>
    </row>
    <row r="135" customFormat="false" ht="14.25" hidden="false" customHeight="true" outlineLevel="0" collapsed="false">
      <c r="A135" s="1" t="n">
        <v>5678</v>
      </c>
      <c r="B135" s="1" t="s">
        <v>44</v>
      </c>
      <c r="C135" s="1" t="s">
        <v>264</v>
      </c>
      <c r="D135" s="1" t="s">
        <v>127</v>
      </c>
      <c r="E135" s="1" t="n">
        <v>5</v>
      </c>
      <c r="F135" s="1" t="n">
        <v>5</v>
      </c>
      <c r="G135" s="1" t="n">
        <v>13</v>
      </c>
    </row>
    <row r="136" customFormat="false" ht="14.25" hidden="false" customHeight="true" outlineLevel="0" collapsed="false">
      <c r="A136" s="1" t="n">
        <v>7532</v>
      </c>
      <c r="B136" s="1" t="s">
        <v>44</v>
      </c>
      <c r="C136" s="1" t="s">
        <v>265</v>
      </c>
      <c r="D136" s="1" t="s">
        <v>129</v>
      </c>
      <c r="E136" s="1" t="n">
        <v>5</v>
      </c>
      <c r="F136" s="1" t="n">
        <v>5</v>
      </c>
      <c r="G136" s="1" t="n">
        <v>11</v>
      </c>
    </row>
    <row r="137" customFormat="false" ht="14.25" hidden="false" customHeight="true" outlineLevel="0" collapsed="false">
      <c r="A137" s="1" t="n">
        <v>7274</v>
      </c>
      <c r="B137" s="1" t="s">
        <v>44</v>
      </c>
      <c r="C137" s="1" t="s">
        <v>266</v>
      </c>
      <c r="D137" s="1" t="s">
        <v>129</v>
      </c>
      <c r="E137" s="1" t="n">
        <v>5</v>
      </c>
      <c r="F137" s="1" t="n">
        <v>5</v>
      </c>
      <c r="G137" s="1" t="n">
        <v>11</v>
      </c>
    </row>
    <row r="138" customFormat="false" ht="14.25" hidden="false" customHeight="true" outlineLevel="0" collapsed="false">
      <c r="A138" s="1" t="n">
        <v>6893</v>
      </c>
      <c r="B138" s="1" t="s">
        <v>44</v>
      </c>
      <c r="C138" s="1" t="s">
        <v>267</v>
      </c>
      <c r="D138" s="1" t="s">
        <v>119</v>
      </c>
      <c r="E138" s="1" t="n">
        <v>5</v>
      </c>
      <c r="F138" s="1" t="n">
        <v>5</v>
      </c>
      <c r="G138" s="1" t="n">
        <v>13</v>
      </c>
    </row>
    <row r="139" customFormat="false" ht="14.25" hidden="false" customHeight="true" outlineLevel="0" collapsed="false">
      <c r="A139" s="1" t="n">
        <v>5449</v>
      </c>
      <c r="B139" s="1" t="s">
        <v>44</v>
      </c>
      <c r="C139" s="1" t="s">
        <v>268</v>
      </c>
      <c r="D139" s="1" t="s">
        <v>123</v>
      </c>
      <c r="E139" s="1" t="n">
        <v>5</v>
      </c>
      <c r="F139" s="1" t="n">
        <v>5</v>
      </c>
      <c r="G139" s="1" t="n">
        <v>12</v>
      </c>
    </row>
    <row r="140" customFormat="false" ht="14.25" hidden="false" customHeight="true" outlineLevel="0" collapsed="false">
      <c r="A140" s="1" t="n">
        <v>7469</v>
      </c>
      <c r="B140" s="1" t="s">
        <v>44</v>
      </c>
      <c r="C140" s="1" t="s">
        <v>269</v>
      </c>
      <c r="D140" s="1" t="s">
        <v>152</v>
      </c>
      <c r="E140" s="1" t="n">
        <v>5</v>
      </c>
      <c r="F140" s="1" t="n">
        <v>5</v>
      </c>
      <c r="G140" s="1" t="n">
        <v>11</v>
      </c>
    </row>
    <row r="141" customFormat="false" ht="14.25" hidden="false" customHeight="true" outlineLevel="0" collapsed="false">
      <c r="A141" s="1" t="n">
        <v>6238</v>
      </c>
      <c r="B141" s="1" t="s">
        <v>44</v>
      </c>
      <c r="C141" s="1" t="s">
        <v>270</v>
      </c>
      <c r="D141" s="1" t="s">
        <v>152</v>
      </c>
      <c r="E141" s="1" t="n">
        <v>5</v>
      </c>
      <c r="F141" s="1" t="n">
        <v>5</v>
      </c>
      <c r="G141" s="1" t="n">
        <v>12</v>
      </c>
    </row>
    <row r="142" customFormat="false" ht="14.25" hidden="false" customHeight="true" outlineLevel="0" collapsed="false">
      <c r="A142" s="1" t="n">
        <v>2593</v>
      </c>
      <c r="B142" s="1" t="s">
        <v>44</v>
      </c>
      <c r="C142" s="1" t="s">
        <v>271</v>
      </c>
      <c r="D142" s="1" t="s">
        <v>137</v>
      </c>
      <c r="E142" s="1" t="n">
        <v>5</v>
      </c>
      <c r="F142" s="1" t="n">
        <v>5</v>
      </c>
      <c r="G142" s="1" t="n">
        <v>15</v>
      </c>
    </row>
    <row r="143" customFormat="false" ht="14.25" hidden="false" customHeight="true" outlineLevel="0" collapsed="false">
      <c r="A143" s="1" t="n">
        <v>6766</v>
      </c>
      <c r="B143" s="1" t="s">
        <v>44</v>
      </c>
      <c r="C143" s="1" t="s">
        <v>272</v>
      </c>
      <c r="D143" s="1" t="s">
        <v>131</v>
      </c>
      <c r="E143" s="1" t="n">
        <v>5</v>
      </c>
      <c r="F143" s="1" t="n">
        <v>5</v>
      </c>
      <c r="G143" s="1" t="n">
        <v>13</v>
      </c>
    </row>
    <row r="144" customFormat="false" ht="14.25" hidden="false" customHeight="true" outlineLevel="0" collapsed="false">
      <c r="A144" s="1" t="n">
        <v>4817</v>
      </c>
      <c r="B144" s="1" t="s">
        <v>44</v>
      </c>
      <c r="C144" s="1" t="s">
        <v>273</v>
      </c>
      <c r="D144" s="1" t="s">
        <v>133</v>
      </c>
      <c r="E144" s="1" t="n">
        <v>5</v>
      </c>
      <c r="F144" s="1" t="n">
        <v>5</v>
      </c>
      <c r="G144" s="1" t="n">
        <v>15</v>
      </c>
    </row>
    <row r="145" customFormat="false" ht="14.25" hidden="false" customHeight="true" outlineLevel="0" collapsed="false">
      <c r="A145" s="1" t="n">
        <v>6632</v>
      </c>
      <c r="B145" s="1" t="s">
        <v>44</v>
      </c>
      <c r="C145" s="1" t="s">
        <v>274</v>
      </c>
      <c r="D145" s="1" t="s">
        <v>139</v>
      </c>
      <c r="E145" s="1" t="n">
        <v>5</v>
      </c>
      <c r="F145" s="1" t="n">
        <v>5</v>
      </c>
      <c r="G145" s="1" t="n">
        <v>12</v>
      </c>
    </row>
    <row r="146" customFormat="false" ht="14.25" hidden="false" customHeight="true" outlineLevel="0" collapsed="false">
      <c r="A146" s="1" t="n">
        <v>6990</v>
      </c>
      <c r="B146" s="1" t="s">
        <v>44</v>
      </c>
      <c r="C146" s="1" t="s">
        <v>275</v>
      </c>
      <c r="D146" s="1" t="s">
        <v>139</v>
      </c>
      <c r="E146" s="1" t="n">
        <v>5</v>
      </c>
      <c r="F146" s="1" t="n">
        <v>5</v>
      </c>
      <c r="G146" s="1" t="n">
        <v>11</v>
      </c>
    </row>
    <row r="147" customFormat="false" ht="14.25" hidden="false" customHeight="true" outlineLevel="0" collapsed="false">
      <c r="A147" s="1" t="n">
        <v>5840</v>
      </c>
      <c r="B147" s="1" t="s">
        <v>44</v>
      </c>
      <c r="C147" s="1" t="s">
        <v>276</v>
      </c>
      <c r="D147" s="1" t="s">
        <v>125</v>
      </c>
      <c r="E147" s="1" t="n">
        <v>5</v>
      </c>
      <c r="F147" s="1" t="n">
        <v>5</v>
      </c>
      <c r="G147" s="1" t="n">
        <v>13</v>
      </c>
    </row>
    <row r="148" customFormat="false" ht="14.25" hidden="false" customHeight="true" outlineLevel="0" collapsed="false">
      <c r="A148" s="1" t="n">
        <v>6986</v>
      </c>
      <c r="B148" s="1" t="s">
        <v>44</v>
      </c>
      <c r="C148" s="1" t="s">
        <v>277</v>
      </c>
      <c r="D148" s="1" t="s">
        <v>113</v>
      </c>
      <c r="E148" s="1" t="n">
        <v>5</v>
      </c>
      <c r="F148" s="1" t="n">
        <v>5</v>
      </c>
      <c r="G148" s="1" t="n">
        <v>16</v>
      </c>
    </row>
    <row r="149" customFormat="false" ht="14.25" hidden="false" customHeight="true" outlineLevel="0" collapsed="false">
      <c r="A149" s="1" t="n">
        <v>6426</v>
      </c>
      <c r="B149" s="1" t="s">
        <v>44</v>
      </c>
      <c r="C149" s="1" t="s">
        <v>278</v>
      </c>
      <c r="D149" s="1" t="s">
        <v>184</v>
      </c>
      <c r="E149" s="1" t="n">
        <v>5</v>
      </c>
      <c r="F149" s="1" t="n">
        <v>5</v>
      </c>
      <c r="G149" s="1" t="n">
        <v>13</v>
      </c>
    </row>
    <row r="150" customFormat="false" ht="14.25" hidden="false" customHeight="true" outlineLevel="0" collapsed="false">
      <c r="A150" s="1" t="n">
        <v>6890</v>
      </c>
      <c r="B150" s="1" t="s">
        <v>44</v>
      </c>
      <c r="C150" s="1" t="s">
        <v>279</v>
      </c>
      <c r="D150" s="1" t="s">
        <v>147</v>
      </c>
      <c r="E150" s="1" t="n">
        <v>5</v>
      </c>
      <c r="F150" s="1" t="n">
        <v>5</v>
      </c>
      <c r="G150" s="1" t="n">
        <v>11</v>
      </c>
    </row>
    <row r="151" customFormat="false" ht="14.25" hidden="false" customHeight="true" outlineLevel="0" collapsed="false">
      <c r="A151" s="1" t="n">
        <v>5695</v>
      </c>
      <c r="B151" s="1" t="s">
        <v>44</v>
      </c>
      <c r="C151" s="1" t="s">
        <v>280</v>
      </c>
      <c r="D151" s="1" t="s">
        <v>147</v>
      </c>
      <c r="E151" s="1" t="n">
        <v>5</v>
      </c>
      <c r="F151" s="1" t="n">
        <v>5</v>
      </c>
      <c r="G151" s="1" t="n">
        <v>11</v>
      </c>
    </row>
    <row r="152" customFormat="false" ht="14.25" hidden="false" customHeight="true" outlineLevel="0" collapsed="false">
      <c r="A152" s="1" t="n">
        <v>4461</v>
      </c>
      <c r="B152" s="1" t="s">
        <v>44</v>
      </c>
      <c r="C152" s="1" t="s">
        <v>281</v>
      </c>
      <c r="D152" s="1" t="s">
        <v>129</v>
      </c>
      <c r="E152" s="1" t="n">
        <v>4</v>
      </c>
      <c r="F152" s="1" t="n">
        <v>4</v>
      </c>
      <c r="G152" s="1" t="n">
        <v>9</v>
      </c>
    </row>
    <row r="153" customFormat="false" ht="14.25" hidden="false" customHeight="true" outlineLevel="0" collapsed="false">
      <c r="A153" s="1" t="n">
        <v>7014</v>
      </c>
      <c r="B153" s="1" t="s">
        <v>44</v>
      </c>
      <c r="C153" s="1" t="s">
        <v>282</v>
      </c>
      <c r="D153" s="1" t="s">
        <v>119</v>
      </c>
      <c r="E153" s="1" t="n">
        <v>4</v>
      </c>
      <c r="F153" s="1" t="n">
        <v>4</v>
      </c>
      <c r="G153" s="1" t="n">
        <v>10</v>
      </c>
    </row>
    <row r="154" customFormat="false" ht="14.25" hidden="false" customHeight="true" outlineLevel="0" collapsed="false">
      <c r="A154" s="1" t="n">
        <v>5603</v>
      </c>
      <c r="B154" s="1" t="s">
        <v>44</v>
      </c>
      <c r="C154" s="1" t="s">
        <v>283</v>
      </c>
      <c r="D154" s="1" t="s">
        <v>123</v>
      </c>
      <c r="E154" s="1" t="n">
        <v>4</v>
      </c>
      <c r="F154" s="1" t="n">
        <v>4</v>
      </c>
      <c r="G154" s="1" t="n">
        <v>8</v>
      </c>
    </row>
    <row r="155" customFormat="false" ht="14.25" hidden="false" customHeight="true" outlineLevel="0" collapsed="false">
      <c r="A155" s="1" t="n">
        <v>7467</v>
      </c>
      <c r="B155" s="1" t="s">
        <v>44</v>
      </c>
      <c r="C155" s="1" t="s">
        <v>284</v>
      </c>
      <c r="D155" s="1" t="s">
        <v>152</v>
      </c>
      <c r="E155" s="1" t="n">
        <v>4</v>
      </c>
      <c r="F155" s="1" t="n">
        <v>4</v>
      </c>
      <c r="G155" s="1" t="n">
        <v>10</v>
      </c>
    </row>
    <row r="156" customFormat="false" ht="14.25" hidden="false" customHeight="true" outlineLevel="0" collapsed="false">
      <c r="A156" s="1" t="n">
        <v>7537</v>
      </c>
      <c r="B156" s="1" t="s">
        <v>44</v>
      </c>
      <c r="C156" s="1" t="s">
        <v>285</v>
      </c>
      <c r="D156" s="1" t="s">
        <v>137</v>
      </c>
      <c r="E156" s="1" t="n">
        <v>4</v>
      </c>
      <c r="F156" s="1" t="n">
        <v>4</v>
      </c>
      <c r="G156" s="1" t="n">
        <v>9</v>
      </c>
    </row>
    <row r="157" customFormat="false" ht="14.25" hidden="false" customHeight="true" outlineLevel="0" collapsed="false">
      <c r="A157" s="1" t="n">
        <v>5831</v>
      </c>
      <c r="B157" s="1" t="s">
        <v>44</v>
      </c>
      <c r="C157" s="1" t="s">
        <v>286</v>
      </c>
      <c r="D157" s="1" t="s">
        <v>131</v>
      </c>
      <c r="E157" s="1" t="n">
        <v>4</v>
      </c>
      <c r="F157" s="1" t="n">
        <v>4</v>
      </c>
      <c r="G157" s="1" t="n">
        <v>10</v>
      </c>
    </row>
    <row r="158" customFormat="false" ht="14.25" hidden="false" customHeight="true" outlineLevel="0" collapsed="false">
      <c r="A158" s="1" t="n">
        <v>7240</v>
      </c>
      <c r="B158" s="1" t="s">
        <v>44</v>
      </c>
      <c r="C158" s="1" t="s">
        <v>287</v>
      </c>
      <c r="D158" s="1" t="s">
        <v>139</v>
      </c>
      <c r="E158" s="1" t="n">
        <v>4</v>
      </c>
      <c r="F158" s="1" t="n">
        <v>4</v>
      </c>
      <c r="G158" s="1" t="n">
        <v>12</v>
      </c>
    </row>
    <row r="159" customFormat="false" ht="14.25" hidden="false" customHeight="true" outlineLevel="0" collapsed="false">
      <c r="A159" s="1" t="n">
        <v>2115</v>
      </c>
      <c r="B159" s="1" t="s">
        <v>44</v>
      </c>
      <c r="C159" s="1" t="s">
        <v>288</v>
      </c>
      <c r="D159" s="1" t="s">
        <v>149</v>
      </c>
      <c r="E159" s="1" t="n">
        <v>4</v>
      </c>
      <c r="F159" s="1" t="n">
        <v>4</v>
      </c>
      <c r="G159" s="1" t="n">
        <v>11</v>
      </c>
    </row>
    <row r="160" customFormat="false" ht="14.25" hidden="false" customHeight="true" outlineLevel="0" collapsed="false">
      <c r="A160" s="1" t="n">
        <v>6659</v>
      </c>
      <c r="B160" s="1" t="s">
        <v>44</v>
      </c>
      <c r="C160" s="1" t="s">
        <v>289</v>
      </c>
      <c r="D160" s="1" t="s">
        <v>149</v>
      </c>
      <c r="E160" s="1" t="n">
        <v>4</v>
      </c>
      <c r="F160" s="1" t="n">
        <v>4</v>
      </c>
      <c r="G160" s="1" t="n">
        <v>12</v>
      </c>
    </row>
    <row r="161" customFormat="false" ht="14.25" hidden="false" customHeight="true" outlineLevel="0" collapsed="false">
      <c r="A161" s="1" t="n">
        <v>5838</v>
      </c>
      <c r="B161" s="1" t="s">
        <v>44</v>
      </c>
      <c r="C161" s="1" t="s">
        <v>290</v>
      </c>
      <c r="D161" s="1" t="s">
        <v>149</v>
      </c>
      <c r="E161" s="1" t="n">
        <v>4</v>
      </c>
      <c r="F161" s="1" t="n">
        <v>4</v>
      </c>
      <c r="G161" s="1" t="n">
        <v>12</v>
      </c>
    </row>
    <row r="162" customFormat="false" ht="14.25" hidden="false" customHeight="true" outlineLevel="0" collapsed="false">
      <c r="A162" s="1" t="n">
        <v>5307</v>
      </c>
      <c r="B162" s="1" t="s">
        <v>44</v>
      </c>
      <c r="C162" s="1" t="s">
        <v>291</v>
      </c>
      <c r="D162" s="1" t="s">
        <v>141</v>
      </c>
      <c r="E162" s="1" t="n">
        <v>4</v>
      </c>
      <c r="F162" s="1" t="n">
        <v>4</v>
      </c>
      <c r="G162" s="1" t="n">
        <v>10</v>
      </c>
    </row>
    <row r="163" customFormat="false" ht="14.25" hidden="false" customHeight="true" outlineLevel="0" collapsed="false">
      <c r="A163" s="1" t="n">
        <v>6631</v>
      </c>
      <c r="B163" s="1" t="s">
        <v>44</v>
      </c>
      <c r="C163" s="1" t="s">
        <v>292</v>
      </c>
      <c r="D163" s="1" t="s">
        <v>113</v>
      </c>
      <c r="E163" s="1" t="n">
        <v>4</v>
      </c>
      <c r="F163" s="1" t="n">
        <v>4</v>
      </c>
      <c r="G163" s="1" t="n">
        <v>10</v>
      </c>
    </row>
    <row r="164" customFormat="false" ht="14.25" hidden="false" customHeight="true" outlineLevel="0" collapsed="false">
      <c r="A164" s="1" t="n">
        <v>4374</v>
      </c>
      <c r="B164" s="1" t="s">
        <v>44</v>
      </c>
      <c r="C164" s="1" t="s">
        <v>293</v>
      </c>
      <c r="D164" s="1" t="s">
        <v>144</v>
      </c>
      <c r="E164" s="1" t="n">
        <v>4</v>
      </c>
      <c r="F164" s="1" t="n">
        <v>4</v>
      </c>
      <c r="G164" s="1" t="n">
        <v>10</v>
      </c>
    </row>
    <row r="165" customFormat="false" ht="14.25" hidden="false" customHeight="true" outlineLevel="0" collapsed="false">
      <c r="A165" s="1" t="n">
        <v>5851</v>
      </c>
      <c r="B165" s="1" t="s">
        <v>44</v>
      </c>
      <c r="C165" s="1" t="s">
        <v>294</v>
      </c>
      <c r="D165" s="1" t="s">
        <v>144</v>
      </c>
      <c r="E165" s="1" t="n">
        <v>4</v>
      </c>
      <c r="F165" s="1" t="n">
        <v>4</v>
      </c>
      <c r="G165" s="1" t="n">
        <v>13</v>
      </c>
    </row>
    <row r="166" customFormat="false" ht="14.25" hidden="false" customHeight="true" outlineLevel="0" collapsed="false">
      <c r="A166" s="1" t="n">
        <v>7526</v>
      </c>
      <c r="B166" s="1" t="s">
        <v>44</v>
      </c>
      <c r="C166" s="1" t="s">
        <v>295</v>
      </c>
      <c r="D166" s="1" t="s">
        <v>184</v>
      </c>
      <c r="E166" s="1" t="n">
        <v>4</v>
      </c>
      <c r="F166" s="1" t="n">
        <v>4</v>
      </c>
      <c r="G166" s="1" t="n">
        <v>10</v>
      </c>
    </row>
    <row r="167" customFormat="false" ht="14.25" hidden="false" customHeight="true" outlineLevel="0" collapsed="false">
      <c r="A167" s="1" t="n">
        <v>4263</v>
      </c>
      <c r="B167" s="1" t="s">
        <v>44</v>
      </c>
      <c r="C167" s="1" t="s">
        <v>296</v>
      </c>
      <c r="D167" s="1" t="s">
        <v>135</v>
      </c>
      <c r="E167" s="1" t="n">
        <v>4</v>
      </c>
      <c r="F167" s="1" t="n">
        <v>4</v>
      </c>
      <c r="G167" s="1" t="n">
        <v>9</v>
      </c>
    </row>
    <row r="168" customFormat="false" ht="14.25" hidden="false" customHeight="true" outlineLevel="0" collapsed="false">
      <c r="A168" s="1" t="n">
        <v>5820</v>
      </c>
      <c r="B168" s="1" t="s">
        <v>44</v>
      </c>
      <c r="C168" s="1" t="s">
        <v>297</v>
      </c>
      <c r="D168" s="1" t="s">
        <v>135</v>
      </c>
      <c r="E168" s="1" t="n">
        <v>4</v>
      </c>
      <c r="F168" s="1" t="n">
        <v>4</v>
      </c>
      <c r="G168" s="1" t="n">
        <v>10</v>
      </c>
    </row>
    <row r="169" customFormat="false" ht="14.25" hidden="false" customHeight="true" outlineLevel="0" collapsed="false">
      <c r="A169" s="1" t="n">
        <v>5527</v>
      </c>
      <c r="B169" s="1" t="s">
        <v>44</v>
      </c>
      <c r="C169" s="1" t="s">
        <v>298</v>
      </c>
      <c r="D169" s="1" t="s">
        <v>135</v>
      </c>
      <c r="E169" s="1" t="n">
        <v>4</v>
      </c>
      <c r="F169" s="1" t="n">
        <v>4</v>
      </c>
      <c r="G169" s="1" t="n">
        <v>10</v>
      </c>
    </row>
    <row r="170" customFormat="false" ht="14.25" hidden="false" customHeight="true" outlineLevel="0" collapsed="false">
      <c r="A170" s="1" t="n">
        <v>7312</v>
      </c>
      <c r="B170" s="1" t="s">
        <v>44</v>
      </c>
      <c r="C170" s="1" t="s">
        <v>299</v>
      </c>
      <c r="D170" s="1" t="s">
        <v>135</v>
      </c>
      <c r="E170" s="1" t="n">
        <v>4</v>
      </c>
      <c r="F170" s="1" t="n">
        <v>4</v>
      </c>
      <c r="G170" s="1" t="n">
        <v>8</v>
      </c>
    </row>
    <row r="171" customFormat="false" ht="14.25" hidden="false" customHeight="true" outlineLevel="0" collapsed="false">
      <c r="A171" s="1" t="n">
        <v>7538</v>
      </c>
      <c r="B171" s="1" t="s">
        <v>44</v>
      </c>
      <c r="C171" s="1" t="s">
        <v>300</v>
      </c>
      <c r="D171" s="1" t="s">
        <v>147</v>
      </c>
      <c r="E171" s="1" t="n">
        <v>4</v>
      </c>
      <c r="F171" s="1" t="n">
        <v>4</v>
      </c>
      <c r="G171" s="1" t="n">
        <v>10</v>
      </c>
    </row>
    <row r="172" customFormat="false" ht="14.25" hidden="false" customHeight="true" outlineLevel="0" collapsed="false">
      <c r="A172" s="1" t="n">
        <v>4845</v>
      </c>
      <c r="B172" s="1" t="s">
        <v>44</v>
      </c>
      <c r="C172" s="1" t="s">
        <v>301</v>
      </c>
      <c r="D172" s="1" t="s">
        <v>147</v>
      </c>
      <c r="E172" s="1" t="n">
        <v>4</v>
      </c>
      <c r="F172" s="1" t="n">
        <v>4</v>
      </c>
      <c r="G172" s="1" t="n">
        <v>12</v>
      </c>
    </row>
    <row r="173" customFormat="false" ht="14.25" hidden="false" customHeight="true" outlineLevel="0" collapsed="false">
      <c r="A173" s="1" t="n">
        <v>5578</v>
      </c>
      <c r="B173" s="1" t="s">
        <v>44</v>
      </c>
      <c r="C173" s="1" t="s">
        <v>302</v>
      </c>
      <c r="D173" s="1" t="s">
        <v>117</v>
      </c>
      <c r="E173" s="1" t="n">
        <v>3</v>
      </c>
      <c r="F173" s="1" t="n">
        <v>3</v>
      </c>
      <c r="G173" s="1" t="n">
        <v>7</v>
      </c>
    </row>
    <row r="174" customFormat="false" ht="14.25" hidden="false" customHeight="true" outlineLevel="0" collapsed="false">
      <c r="A174" s="1" t="n">
        <v>5498</v>
      </c>
      <c r="B174" s="1" t="s">
        <v>44</v>
      </c>
      <c r="C174" s="1" t="s">
        <v>303</v>
      </c>
      <c r="D174" s="1" t="s">
        <v>127</v>
      </c>
      <c r="E174" s="1" t="n">
        <v>3</v>
      </c>
      <c r="F174" s="1" t="n">
        <v>3</v>
      </c>
      <c r="G174" s="1" t="n">
        <v>6</v>
      </c>
    </row>
    <row r="175" customFormat="false" ht="14.25" hidden="false" customHeight="true" outlineLevel="0" collapsed="false">
      <c r="A175" s="1" t="n">
        <v>7268</v>
      </c>
      <c r="B175" s="1" t="s">
        <v>44</v>
      </c>
      <c r="C175" s="1" t="s">
        <v>304</v>
      </c>
      <c r="D175" s="1" t="s">
        <v>129</v>
      </c>
      <c r="E175" s="1" t="n">
        <v>3</v>
      </c>
      <c r="F175" s="1" t="n">
        <v>3</v>
      </c>
      <c r="G175" s="1" t="n">
        <v>10</v>
      </c>
    </row>
    <row r="176" customFormat="false" ht="14.25" hidden="false" customHeight="true" outlineLevel="0" collapsed="false">
      <c r="A176" s="1" t="n">
        <v>7125</v>
      </c>
      <c r="B176" s="1" t="s">
        <v>44</v>
      </c>
      <c r="C176" s="1" t="s">
        <v>305</v>
      </c>
      <c r="D176" s="1" t="s">
        <v>129</v>
      </c>
      <c r="E176" s="1" t="n">
        <v>3</v>
      </c>
      <c r="F176" s="1" t="n">
        <v>3</v>
      </c>
      <c r="G176" s="1" t="n">
        <v>7</v>
      </c>
    </row>
    <row r="177" customFormat="false" ht="14.25" hidden="false" customHeight="true" outlineLevel="0" collapsed="false">
      <c r="A177" s="1" t="n">
        <v>4378</v>
      </c>
      <c r="B177" s="1" t="s">
        <v>44</v>
      </c>
      <c r="C177" s="1" t="s">
        <v>306</v>
      </c>
      <c r="D177" s="1" t="s">
        <v>123</v>
      </c>
      <c r="E177" s="1" t="n">
        <v>3</v>
      </c>
      <c r="F177" s="1" t="n">
        <v>3</v>
      </c>
      <c r="G177" s="1" t="n">
        <v>7</v>
      </c>
    </row>
    <row r="178" customFormat="false" ht="14.25" hidden="false" customHeight="true" outlineLevel="0" collapsed="false">
      <c r="A178" s="1" t="n">
        <v>7175</v>
      </c>
      <c r="B178" s="1" t="s">
        <v>44</v>
      </c>
      <c r="C178" s="1" t="s">
        <v>307</v>
      </c>
      <c r="D178" s="1" t="s">
        <v>123</v>
      </c>
      <c r="E178" s="1" t="n">
        <v>3</v>
      </c>
      <c r="F178" s="1" t="n">
        <v>3</v>
      </c>
      <c r="G178" s="1" t="n">
        <v>7</v>
      </c>
    </row>
    <row r="179" customFormat="false" ht="14.25" hidden="false" customHeight="true" outlineLevel="0" collapsed="false">
      <c r="A179" s="1" t="n">
        <v>7540</v>
      </c>
      <c r="B179" s="1" t="s">
        <v>44</v>
      </c>
      <c r="C179" s="1" t="s">
        <v>308</v>
      </c>
      <c r="D179" s="1" t="s">
        <v>152</v>
      </c>
      <c r="E179" s="1" t="n">
        <v>3</v>
      </c>
      <c r="F179" s="1" t="n">
        <v>3</v>
      </c>
      <c r="G179" s="1" t="n">
        <v>7</v>
      </c>
    </row>
    <row r="180" customFormat="false" ht="14.25" hidden="false" customHeight="true" outlineLevel="0" collapsed="false">
      <c r="A180" s="1" t="n">
        <v>5757</v>
      </c>
      <c r="B180" s="1" t="s">
        <v>44</v>
      </c>
      <c r="C180" s="1" t="s">
        <v>309</v>
      </c>
      <c r="D180" s="1" t="s">
        <v>152</v>
      </c>
      <c r="E180" s="1" t="n">
        <v>3</v>
      </c>
      <c r="F180" s="1" t="n">
        <v>3</v>
      </c>
      <c r="G180" s="1" t="n">
        <v>8</v>
      </c>
    </row>
    <row r="181" customFormat="false" ht="14.25" hidden="false" customHeight="true" outlineLevel="0" collapsed="false">
      <c r="A181" s="1" t="n">
        <v>7012</v>
      </c>
      <c r="B181" s="1" t="s">
        <v>44</v>
      </c>
      <c r="C181" s="1" t="s">
        <v>310</v>
      </c>
      <c r="D181" s="1" t="s">
        <v>133</v>
      </c>
      <c r="E181" s="1" t="n">
        <v>3</v>
      </c>
      <c r="F181" s="1" t="n">
        <v>3</v>
      </c>
      <c r="G181" s="1" t="n">
        <v>10</v>
      </c>
    </row>
    <row r="182" customFormat="false" ht="14.25" hidden="false" customHeight="true" outlineLevel="0" collapsed="false">
      <c r="A182" s="1" t="n">
        <v>7131</v>
      </c>
      <c r="B182" s="1" t="s">
        <v>44</v>
      </c>
      <c r="C182" s="1" t="s">
        <v>311</v>
      </c>
      <c r="D182" s="1" t="s">
        <v>133</v>
      </c>
      <c r="E182" s="1" t="n">
        <v>3</v>
      </c>
      <c r="F182" s="1" t="n">
        <v>3</v>
      </c>
      <c r="G182" s="1" t="n">
        <v>12</v>
      </c>
    </row>
    <row r="183" customFormat="false" ht="14.25" hidden="false" customHeight="true" outlineLevel="0" collapsed="false">
      <c r="A183" s="1" t="n">
        <v>5739</v>
      </c>
      <c r="B183" s="1" t="s">
        <v>44</v>
      </c>
      <c r="C183" s="1" t="s">
        <v>312</v>
      </c>
      <c r="D183" s="1" t="s">
        <v>121</v>
      </c>
      <c r="E183" s="1" t="n">
        <v>3</v>
      </c>
      <c r="F183" s="1" t="n">
        <v>3</v>
      </c>
      <c r="G183" s="1" t="n">
        <v>12</v>
      </c>
    </row>
    <row r="184" customFormat="false" ht="14.25" hidden="false" customHeight="true" outlineLevel="0" collapsed="false">
      <c r="A184" s="1" t="n">
        <v>7211</v>
      </c>
      <c r="B184" s="1" t="s">
        <v>44</v>
      </c>
      <c r="C184" s="1" t="s">
        <v>313</v>
      </c>
      <c r="D184" s="1" t="s">
        <v>121</v>
      </c>
      <c r="E184" s="1" t="n">
        <v>3</v>
      </c>
      <c r="F184" s="1" t="n">
        <v>3</v>
      </c>
      <c r="G184" s="1" t="n">
        <v>8</v>
      </c>
    </row>
    <row r="185" customFormat="false" ht="14.25" hidden="false" customHeight="true" outlineLevel="0" collapsed="false">
      <c r="A185" s="1" t="n">
        <v>5273</v>
      </c>
      <c r="B185" s="1" t="s">
        <v>44</v>
      </c>
      <c r="C185" s="1" t="s">
        <v>314</v>
      </c>
      <c r="D185" s="1" t="s">
        <v>121</v>
      </c>
      <c r="E185" s="1" t="n">
        <v>3</v>
      </c>
      <c r="F185" s="1" t="n">
        <v>3</v>
      </c>
      <c r="G185" s="1" t="n">
        <v>9</v>
      </c>
    </row>
    <row r="186" customFormat="false" ht="14.25" hidden="false" customHeight="true" outlineLevel="0" collapsed="false">
      <c r="A186" s="1" t="n">
        <v>7238</v>
      </c>
      <c r="B186" s="1" t="s">
        <v>44</v>
      </c>
      <c r="C186" s="1" t="s">
        <v>315</v>
      </c>
      <c r="D186" s="1" t="s">
        <v>149</v>
      </c>
      <c r="E186" s="1" t="n">
        <v>3</v>
      </c>
      <c r="F186" s="1" t="n">
        <v>3</v>
      </c>
      <c r="G186" s="1" t="n">
        <v>9</v>
      </c>
    </row>
    <row r="187" customFormat="false" ht="14.25" hidden="false" customHeight="true" outlineLevel="0" collapsed="false">
      <c r="A187" s="1" t="n">
        <v>4925</v>
      </c>
      <c r="B187" s="1" t="s">
        <v>44</v>
      </c>
      <c r="C187" s="1" t="s">
        <v>316</v>
      </c>
      <c r="D187" s="1" t="s">
        <v>149</v>
      </c>
      <c r="E187" s="1" t="n">
        <v>3</v>
      </c>
      <c r="F187" s="1" t="n">
        <v>3</v>
      </c>
      <c r="G187" s="1" t="n">
        <v>9</v>
      </c>
    </row>
    <row r="188" customFormat="false" ht="14.25" hidden="false" customHeight="true" outlineLevel="0" collapsed="false">
      <c r="A188" s="1" t="n">
        <v>7235</v>
      </c>
      <c r="B188" s="1" t="s">
        <v>44</v>
      </c>
      <c r="C188" s="1" t="s">
        <v>317</v>
      </c>
      <c r="D188" s="1" t="s">
        <v>141</v>
      </c>
      <c r="E188" s="1" t="n">
        <v>3</v>
      </c>
      <c r="F188" s="1" t="n">
        <v>3</v>
      </c>
      <c r="G188" s="1" t="n">
        <v>8</v>
      </c>
    </row>
    <row r="189" customFormat="false" ht="14.25" hidden="false" customHeight="true" outlineLevel="0" collapsed="false">
      <c r="A189" s="1" t="n">
        <v>7255</v>
      </c>
      <c r="B189" s="1" t="s">
        <v>44</v>
      </c>
      <c r="C189" s="1" t="s">
        <v>318</v>
      </c>
      <c r="D189" s="1" t="s">
        <v>141</v>
      </c>
      <c r="E189" s="1" t="n">
        <v>3</v>
      </c>
      <c r="F189" s="1" t="n">
        <v>3</v>
      </c>
      <c r="G189" s="1" t="n">
        <v>10</v>
      </c>
    </row>
    <row r="190" customFormat="false" ht="14.25" hidden="false" customHeight="true" outlineLevel="0" collapsed="false">
      <c r="A190" s="1" t="n">
        <v>6985</v>
      </c>
      <c r="B190" s="1" t="s">
        <v>44</v>
      </c>
      <c r="C190" s="1" t="s">
        <v>319</v>
      </c>
      <c r="D190" s="1" t="s">
        <v>144</v>
      </c>
      <c r="E190" s="1" t="n">
        <v>3</v>
      </c>
      <c r="F190" s="1" t="n">
        <v>3</v>
      </c>
      <c r="G190" s="1" t="n">
        <v>12</v>
      </c>
    </row>
    <row r="191" customFormat="false" ht="14.25" hidden="false" customHeight="true" outlineLevel="0" collapsed="false">
      <c r="A191" s="1" t="n">
        <v>6892</v>
      </c>
      <c r="B191" s="1" t="s">
        <v>44</v>
      </c>
      <c r="C191" s="1" t="s">
        <v>320</v>
      </c>
      <c r="D191" s="1" t="s">
        <v>147</v>
      </c>
      <c r="E191" s="1" t="n">
        <v>3</v>
      </c>
      <c r="F191" s="1" t="n">
        <v>3</v>
      </c>
      <c r="G191" s="1" t="n">
        <v>7</v>
      </c>
    </row>
    <row r="192" customFormat="false" ht="14.25" hidden="false" customHeight="true" outlineLevel="0" collapsed="false">
      <c r="A192" s="1" t="n">
        <v>6673</v>
      </c>
      <c r="B192" s="1" t="s">
        <v>44</v>
      </c>
      <c r="C192" s="1" t="s">
        <v>321</v>
      </c>
      <c r="D192" s="1" t="s">
        <v>147</v>
      </c>
      <c r="E192" s="1" t="n">
        <v>3</v>
      </c>
      <c r="F192" s="1" t="n">
        <v>3</v>
      </c>
      <c r="G192" s="1" t="n">
        <v>7</v>
      </c>
    </row>
    <row r="193" customFormat="false" ht="14.25" hidden="false" customHeight="true" outlineLevel="0" collapsed="false">
      <c r="A193" s="1" t="n">
        <v>6821</v>
      </c>
      <c r="B193" s="1" t="s">
        <v>44</v>
      </c>
      <c r="C193" s="1" t="s">
        <v>322</v>
      </c>
      <c r="D193" s="1" t="s">
        <v>147</v>
      </c>
      <c r="E193" s="1" t="n">
        <v>3</v>
      </c>
      <c r="F193" s="1" t="n">
        <v>3</v>
      </c>
      <c r="G193" s="1" t="n">
        <v>7</v>
      </c>
    </row>
    <row r="194" customFormat="false" ht="14.25" hidden="false" customHeight="true" outlineLevel="0" collapsed="false">
      <c r="A194" s="1" t="n">
        <v>7326</v>
      </c>
      <c r="B194" s="1" t="s">
        <v>44</v>
      </c>
      <c r="C194" s="1" t="s">
        <v>323</v>
      </c>
      <c r="D194" s="1" t="s">
        <v>127</v>
      </c>
      <c r="E194" s="1" t="n">
        <v>2</v>
      </c>
      <c r="F194" s="1" t="n">
        <v>2</v>
      </c>
      <c r="G194" s="1" t="n">
        <v>5</v>
      </c>
    </row>
    <row r="195" customFormat="false" ht="14.25" hidden="false" customHeight="true" outlineLevel="0" collapsed="false">
      <c r="A195" s="1" t="n">
        <v>7483</v>
      </c>
      <c r="B195" s="1" t="s">
        <v>44</v>
      </c>
      <c r="C195" s="1" t="s">
        <v>324</v>
      </c>
      <c r="D195" s="1" t="s">
        <v>127</v>
      </c>
      <c r="E195" s="1" t="n">
        <v>2</v>
      </c>
      <c r="F195" s="1" t="n">
        <v>2</v>
      </c>
      <c r="G195" s="1" t="n">
        <v>6</v>
      </c>
    </row>
    <row r="196" customFormat="false" ht="14.25" hidden="false" customHeight="true" outlineLevel="0" collapsed="false">
      <c r="A196" s="1" t="n">
        <v>6896</v>
      </c>
      <c r="B196" s="1" t="s">
        <v>44</v>
      </c>
      <c r="C196" s="1" t="s">
        <v>325</v>
      </c>
      <c r="D196" s="1" t="s">
        <v>119</v>
      </c>
      <c r="E196" s="1" t="n">
        <v>2</v>
      </c>
      <c r="F196" s="1" t="n">
        <v>2</v>
      </c>
      <c r="G196" s="1" t="n">
        <v>5</v>
      </c>
    </row>
    <row r="197" customFormat="false" ht="14.25" hidden="false" customHeight="true" outlineLevel="0" collapsed="false">
      <c r="A197" s="1" t="n">
        <v>6977</v>
      </c>
      <c r="B197" s="1" t="s">
        <v>44</v>
      </c>
      <c r="C197" s="1" t="s">
        <v>326</v>
      </c>
      <c r="D197" s="1" t="s">
        <v>137</v>
      </c>
      <c r="E197" s="1" t="n">
        <v>2</v>
      </c>
      <c r="F197" s="1" t="n">
        <v>2</v>
      </c>
      <c r="G197" s="1" t="n">
        <v>5</v>
      </c>
    </row>
    <row r="198" customFormat="false" ht="14.25" hidden="false" customHeight="true" outlineLevel="0" collapsed="false">
      <c r="A198" s="1" t="n">
        <v>7413</v>
      </c>
      <c r="B198" s="1" t="s">
        <v>44</v>
      </c>
      <c r="C198" s="1" t="s">
        <v>327</v>
      </c>
      <c r="D198" s="1" t="s">
        <v>137</v>
      </c>
      <c r="E198" s="1" t="n">
        <v>2</v>
      </c>
      <c r="F198" s="1" t="n">
        <v>2</v>
      </c>
      <c r="G198" s="1" t="n">
        <v>7</v>
      </c>
    </row>
    <row r="199" customFormat="false" ht="14.25" hidden="false" customHeight="true" outlineLevel="0" collapsed="false">
      <c r="A199" s="1" t="n">
        <v>791</v>
      </c>
      <c r="B199" s="1" t="s">
        <v>44</v>
      </c>
      <c r="C199" s="1" t="s">
        <v>328</v>
      </c>
      <c r="D199" s="1" t="s">
        <v>137</v>
      </c>
      <c r="E199" s="1" t="n">
        <v>2</v>
      </c>
      <c r="F199" s="1" t="n">
        <v>2</v>
      </c>
      <c r="G199" s="1" t="n">
        <v>5</v>
      </c>
    </row>
    <row r="200" customFormat="false" ht="14.25" hidden="false" customHeight="true" outlineLevel="0" collapsed="false">
      <c r="A200" s="1" t="n">
        <v>2263</v>
      </c>
      <c r="B200" s="1" t="s">
        <v>44</v>
      </c>
      <c r="C200" s="1" t="s">
        <v>329</v>
      </c>
      <c r="D200" s="1" t="s">
        <v>133</v>
      </c>
      <c r="E200" s="1" t="n">
        <v>2</v>
      </c>
      <c r="F200" s="1" t="n">
        <v>2</v>
      </c>
      <c r="G200" s="1" t="n">
        <v>8</v>
      </c>
    </row>
    <row r="201" customFormat="false" ht="14.25" hidden="false" customHeight="true" outlineLevel="0" collapsed="false">
      <c r="A201" s="1" t="n">
        <v>2728</v>
      </c>
      <c r="B201" s="1" t="s">
        <v>44</v>
      </c>
      <c r="C201" s="1" t="s">
        <v>330</v>
      </c>
      <c r="D201" s="1" t="s">
        <v>133</v>
      </c>
      <c r="E201" s="1" t="n">
        <v>2</v>
      </c>
      <c r="F201" s="1" t="n">
        <v>2</v>
      </c>
      <c r="G201" s="1" t="n">
        <v>5</v>
      </c>
    </row>
    <row r="202" customFormat="false" ht="14.25" hidden="false" customHeight="true" outlineLevel="0" collapsed="false">
      <c r="A202" s="1" t="n">
        <v>6883</v>
      </c>
      <c r="B202" s="1" t="s">
        <v>44</v>
      </c>
      <c r="C202" s="1" t="s">
        <v>331</v>
      </c>
      <c r="D202" s="1" t="s">
        <v>139</v>
      </c>
      <c r="E202" s="1" t="n">
        <v>2</v>
      </c>
      <c r="F202" s="1" t="n">
        <v>2</v>
      </c>
      <c r="G202" s="1" t="n">
        <v>4</v>
      </c>
    </row>
    <row r="203" customFormat="false" ht="14.25" hidden="false" customHeight="true" outlineLevel="0" collapsed="false">
      <c r="A203" s="1" t="n">
        <v>7525</v>
      </c>
      <c r="B203" s="1" t="s">
        <v>44</v>
      </c>
      <c r="C203" s="1" t="s">
        <v>332</v>
      </c>
      <c r="D203" s="1" t="s">
        <v>121</v>
      </c>
      <c r="E203" s="1" t="n">
        <v>2</v>
      </c>
      <c r="F203" s="1" t="n">
        <v>2</v>
      </c>
      <c r="G203" s="1" t="n">
        <v>4</v>
      </c>
    </row>
    <row r="204" customFormat="false" ht="14.25" hidden="false" customHeight="true" outlineLevel="0" collapsed="false">
      <c r="A204" s="1" t="n">
        <v>6638</v>
      </c>
      <c r="B204" s="1" t="s">
        <v>44</v>
      </c>
      <c r="C204" s="1" t="s">
        <v>333</v>
      </c>
      <c r="D204" s="1" t="s">
        <v>125</v>
      </c>
      <c r="E204" s="1" t="n">
        <v>2</v>
      </c>
      <c r="F204" s="1" t="n">
        <v>2</v>
      </c>
      <c r="G204" s="1" t="n">
        <v>6</v>
      </c>
    </row>
    <row r="205" customFormat="false" ht="14.25" hidden="false" customHeight="true" outlineLevel="0" collapsed="false">
      <c r="A205" s="1" t="n">
        <v>252</v>
      </c>
      <c r="B205" s="1" t="s">
        <v>44</v>
      </c>
      <c r="C205" s="1" t="s">
        <v>334</v>
      </c>
      <c r="D205" s="1" t="s">
        <v>184</v>
      </c>
      <c r="E205" s="1" t="n">
        <v>2</v>
      </c>
      <c r="F205" s="1" t="n">
        <v>2</v>
      </c>
      <c r="G205" s="1" t="n">
        <v>5</v>
      </c>
    </row>
    <row r="206" customFormat="false" ht="14.25" hidden="false" customHeight="true" outlineLevel="0" collapsed="false">
      <c r="A206" s="1" t="n">
        <v>6925</v>
      </c>
      <c r="B206" s="1" t="s">
        <v>44</v>
      </c>
      <c r="C206" s="1" t="s">
        <v>335</v>
      </c>
      <c r="D206" s="1" t="s">
        <v>135</v>
      </c>
      <c r="E206" s="1" t="n">
        <v>2</v>
      </c>
      <c r="F206" s="1" t="n">
        <v>2</v>
      </c>
      <c r="G206" s="1" t="n">
        <v>5</v>
      </c>
    </row>
    <row r="207" customFormat="false" ht="14.25" hidden="false" customHeight="true" outlineLevel="0" collapsed="false">
      <c r="A207" s="1" t="n">
        <v>5994</v>
      </c>
      <c r="B207" s="1" t="s">
        <v>44</v>
      </c>
      <c r="C207" s="1" t="s">
        <v>336</v>
      </c>
      <c r="D207" s="1" t="s">
        <v>135</v>
      </c>
      <c r="E207" s="1" t="n">
        <v>2</v>
      </c>
      <c r="F207" s="1" t="n">
        <v>2</v>
      </c>
      <c r="G207" s="1" t="n">
        <v>4</v>
      </c>
    </row>
    <row r="208" customFormat="false" ht="14.25" hidden="false" customHeight="true" outlineLevel="0" collapsed="false">
      <c r="A208" s="1" t="n">
        <v>7478</v>
      </c>
      <c r="B208" s="1" t="s">
        <v>44</v>
      </c>
      <c r="C208" s="1" t="s">
        <v>337</v>
      </c>
      <c r="D208" s="1" t="s">
        <v>147</v>
      </c>
      <c r="E208" s="1" t="n">
        <v>2</v>
      </c>
      <c r="F208" s="1" t="n">
        <v>2</v>
      </c>
      <c r="G208" s="1" t="n">
        <v>4</v>
      </c>
    </row>
    <row r="209" customFormat="false" ht="14.25" hidden="false" customHeight="true" outlineLevel="0" collapsed="false">
      <c r="A209" s="1" t="n">
        <v>6681</v>
      </c>
      <c r="B209" s="1" t="s">
        <v>44</v>
      </c>
      <c r="C209" s="1" t="s">
        <v>338</v>
      </c>
      <c r="D209" s="1" t="s">
        <v>147</v>
      </c>
      <c r="E209" s="1" t="n">
        <v>2</v>
      </c>
      <c r="F209" s="1" t="n">
        <v>2</v>
      </c>
      <c r="G209" s="1" t="n">
        <v>4</v>
      </c>
    </row>
    <row r="210" customFormat="false" ht="14.25" hidden="false" customHeight="true" outlineLevel="0" collapsed="false">
      <c r="A210" s="1" t="n">
        <v>487</v>
      </c>
      <c r="B210" s="1" t="s">
        <v>44</v>
      </c>
      <c r="C210" s="1" t="s">
        <v>339</v>
      </c>
      <c r="D210" s="1" t="s">
        <v>127</v>
      </c>
      <c r="E210" s="1" t="n">
        <v>1</v>
      </c>
      <c r="F210" s="1" t="n">
        <v>1</v>
      </c>
      <c r="G210" s="1" t="n">
        <v>4</v>
      </c>
    </row>
    <row r="211" customFormat="false" ht="14.25" hidden="false" customHeight="true" outlineLevel="0" collapsed="false">
      <c r="A211" s="1" t="n">
        <v>7346</v>
      </c>
      <c r="B211" s="1" t="s">
        <v>44</v>
      </c>
      <c r="C211" s="1" t="s">
        <v>340</v>
      </c>
      <c r="D211" s="1" t="s">
        <v>129</v>
      </c>
      <c r="E211" s="1" t="n">
        <v>1</v>
      </c>
      <c r="F211" s="1" t="n">
        <v>1</v>
      </c>
      <c r="G211" s="1" t="n">
        <v>1</v>
      </c>
    </row>
    <row r="212" customFormat="false" ht="14.25" hidden="false" customHeight="true" outlineLevel="0" collapsed="false">
      <c r="A212" s="1" t="n">
        <v>418</v>
      </c>
      <c r="B212" s="1" t="s">
        <v>44</v>
      </c>
      <c r="C212" s="1" t="s">
        <v>341</v>
      </c>
      <c r="D212" s="1" t="s">
        <v>119</v>
      </c>
      <c r="E212" s="1" t="n">
        <v>1</v>
      </c>
      <c r="F212" s="1" t="n">
        <v>1</v>
      </c>
      <c r="G212" s="1" t="n">
        <v>1</v>
      </c>
    </row>
    <row r="213" customFormat="false" ht="14.25" hidden="false" customHeight="true" outlineLevel="0" collapsed="false">
      <c r="A213" s="1" t="n">
        <v>7407</v>
      </c>
      <c r="B213" s="1" t="s">
        <v>44</v>
      </c>
      <c r="C213" s="1" t="s">
        <v>342</v>
      </c>
      <c r="D213" s="1" t="s">
        <v>119</v>
      </c>
      <c r="E213" s="1" t="n">
        <v>1</v>
      </c>
      <c r="F213" s="1" t="n">
        <v>1</v>
      </c>
      <c r="G213" s="1" t="n">
        <v>8</v>
      </c>
    </row>
    <row r="214" customFormat="false" ht="14.25" hidden="false" customHeight="true" outlineLevel="0" collapsed="false">
      <c r="A214" s="1" t="n">
        <v>5424</v>
      </c>
      <c r="B214" s="1" t="s">
        <v>44</v>
      </c>
      <c r="C214" s="1" t="s">
        <v>343</v>
      </c>
      <c r="D214" s="1" t="s">
        <v>152</v>
      </c>
      <c r="E214" s="1" t="n">
        <v>1</v>
      </c>
      <c r="F214" s="1" t="n">
        <v>1</v>
      </c>
      <c r="G214" s="1" t="n">
        <v>1</v>
      </c>
    </row>
    <row r="215" customFormat="false" ht="14.25" hidden="false" customHeight="true" outlineLevel="0" collapsed="false">
      <c r="A215" s="1" t="n">
        <v>7468</v>
      </c>
      <c r="B215" s="1" t="s">
        <v>44</v>
      </c>
      <c r="C215" s="1" t="s">
        <v>344</v>
      </c>
      <c r="D215" s="1" t="s">
        <v>152</v>
      </c>
      <c r="E215" s="1" t="n">
        <v>1</v>
      </c>
      <c r="F215" s="1" t="n">
        <v>1</v>
      </c>
      <c r="G215" s="1" t="n">
        <v>1</v>
      </c>
    </row>
    <row r="216" customFormat="false" ht="14.25" hidden="false" customHeight="true" outlineLevel="0" collapsed="false">
      <c r="A216" s="1" t="n">
        <v>7470</v>
      </c>
      <c r="B216" s="1" t="s">
        <v>44</v>
      </c>
      <c r="C216" s="1" t="s">
        <v>345</v>
      </c>
      <c r="D216" s="1" t="s">
        <v>152</v>
      </c>
      <c r="E216" s="1" t="n">
        <v>1</v>
      </c>
      <c r="F216" s="1" t="n">
        <v>1</v>
      </c>
      <c r="G216" s="1" t="n">
        <v>3</v>
      </c>
    </row>
    <row r="217" customFormat="false" ht="14.25" hidden="false" customHeight="true" outlineLevel="0" collapsed="false">
      <c r="A217" s="1" t="n">
        <v>7471</v>
      </c>
      <c r="B217" s="1" t="s">
        <v>44</v>
      </c>
      <c r="C217" s="1" t="s">
        <v>346</v>
      </c>
      <c r="D217" s="1" t="s">
        <v>152</v>
      </c>
      <c r="E217" s="1" t="n">
        <v>1</v>
      </c>
      <c r="F217" s="1" t="n">
        <v>1</v>
      </c>
      <c r="G217" s="1" t="n">
        <v>3</v>
      </c>
    </row>
    <row r="218" customFormat="false" ht="14.25" hidden="false" customHeight="true" outlineLevel="0" collapsed="false">
      <c r="A218" s="1" t="n">
        <v>6245</v>
      </c>
      <c r="B218" s="1" t="s">
        <v>44</v>
      </c>
      <c r="C218" s="1" t="s">
        <v>347</v>
      </c>
      <c r="D218" s="1" t="s">
        <v>137</v>
      </c>
      <c r="E218" s="1" t="n">
        <v>1</v>
      </c>
      <c r="F218" s="1" t="n">
        <v>1</v>
      </c>
      <c r="G218" s="1" t="n">
        <v>2</v>
      </c>
    </row>
    <row r="219" customFormat="false" ht="14.25" hidden="false" customHeight="true" outlineLevel="0" collapsed="false">
      <c r="A219" s="1" t="n">
        <v>6244</v>
      </c>
      <c r="B219" s="1" t="s">
        <v>44</v>
      </c>
      <c r="C219" s="1" t="s">
        <v>348</v>
      </c>
      <c r="D219" s="1" t="s">
        <v>137</v>
      </c>
      <c r="E219" s="1" t="n">
        <v>1</v>
      </c>
      <c r="F219" s="1" t="n">
        <v>1</v>
      </c>
      <c r="G219" s="1" t="n">
        <v>2</v>
      </c>
    </row>
    <row r="220" customFormat="false" ht="14.25" hidden="false" customHeight="true" outlineLevel="0" collapsed="false">
      <c r="A220" s="1" t="n">
        <v>294</v>
      </c>
      <c r="B220" s="1" t="s">
        <v>44</v>
      </c>
      <c r="C220" s="1" t="s">
        <v>349</v>
      </c>
      <c r="D220" s="1" t="s">
        <v>131</v>
      </c>
      <c r="E220" s="1" t="n">
        <v>1</v>
      </c>
      <c r="F220" s="1" t="n">
        <v>1</v>
      </c>
      <c r="G220" s="1" t="n">
        <v>3</v>
      </c>
    </row>
    <row r="221" customFormat="false" ht="14.25" hidden="false" customHeight="true" outlineLevel="0" collapsed="false">
      <c r="A221" s="1" t="n">
        <v>6039</v>
      </c>
      <c r="B221" s="1" t="s">
        <v>44</v>
      </c>
      <c r="C221" s="1" t="s">
        <v>350</v>
      </c>
      <c r="D221" s="1" t="s">
        <v>131</v>
      </c>
      <c r="E221" s="1" t="n">
        <v>1</v>
      </c>
      <c r="F221" s="1" t="n">
        <v>1</v>
      </c>
      <c r="G221" s="1" t="n">
        <v>4</v>
      </c>
    </row>
    <row r="222" customFormat="false" ht="14.25" hidden="false" customHeight="true" outlineLevel="0" collapsed="false">
      <c r="A222" s="1" t="n">
        <v>327</v>
      </c>
      <c r="B222" s="1" t="s">
        <v>44</v>
      </c>
      <c r="C222" s="1" t="s">
        <v>351</v>
      </c>
      <c r="D222" s="1" t="s">
        <v>133</v>
      </c>
      <c r="E222" s="1" t="n">
        <v>1</v>
      </c>
      <c r="F222" s="1" t="n">
        <v>1</v>
      </c>
      <c r="G222" s="1" t="n">
        <v>4</v>
      </c>
    </row>
    <row r="223" customFormat="false" ht="14.25" hidden="false" customHeight="true" outlineLevel="0" collapsed="false">
      <c r="A223" s="1" t="n">
        <v>7164</v>
      </c>
      <c r="B223" s="1" t="s">
        <v>44</v>
      </c>
      <c r="C223" s="1" t="s">
        <v>352</v>
      </c>
      <c r="D223" s="1" t="s">
        <v>139</v>
      </c>
      <c r="E223" s="1" t="n">
        <v>1</v>
      </c>
      <c r="F223" s="1" t="n">
        <v>1</v>
      </c>
      <c r="G223" s="1" t="n">
        <v>1</v>
      </c>
    </row>
    <row r="224" customFormat="false" ht="14.25" hidden="false" customHeight="true" outlineLevel="0" collapsed="false">
      <c r="A224" s="1" t="n">
        <v>7182</v>
      </c>
      <c r="B224" s="1" t="s">
        <v>44</v>
      </c>
      <c r="C224" s="1" t="s">
        <v>353</v>
      </c>
      <c r="D224" s="1" t="s">
        <v>139</v>
      </c>
      <c r="E224" s="1" t="n">
        <v>1</v>
      </c>
      <c r="F224" s="1" t="n">
        <v>1</v>
      </c>
      <c r="G224" s="1" t="n">
        <v>4</v>
      </c>
    </row>
    <row r="225" customFormat="false" ht="14.25" hidden="false" customHeight="true" outlineLevel="0" collapsed="false">
      <c r="A225" s="1" t="n">
        <v>5399</v>
      </c>
      <c r="B225" s="1" t="s">
        <v>44</v>
      </c>
      <c r="C225" s="1" t="s">
        <v>354</v>
      </c>
      <c r="D225" s="1" t="s">
        <v>149</v>
      </c>
      <c r="E225" s="1" t="n">
        <v>1</v>
      </c>
      <c r="F225" s="1" t="n">
        <v>1</v>
      </c>
      <c r="G225" s="1" t="n">
        <v>2</v>
      </c>
    </row>
    <row r="226" customFormat="false" ht="14.25" hidden="false" customHeight="true" outlineLevel="0" collapsed="false">
      <c r="A226" s="1" t="n">
        <v>7476</v>
      </c>
      <c r="B226" s="1" t="s">
        <v>44</v>
      </c>
      <c r="C226" s="1" t="s">
        <v>355</v>
      </c>
      <c r="D226" s="1" t="s">
        <v>149</v>
      </c>
      <c r="E226" s="1" t="n">
        <v>1</v>
      </c>
      <c r="F226" s="1" t="n">
        <v>1</v>
      </c>
      <c r="G226" s="1" t="n">
        <v>4</v>
      </c>
    </row>
    <row r="227" customFormat="false" ht="14.25" hidden="false" customHeight="true" outlineLevel="0" collapsed="false">
      <c r="A227" s="1" t="n">
        <v>6809</v>
      </c>
      <c r="B227" s="1" t="s">
        <v>44</v>
      </c>
      <c r="C227" s="1" t="s">
        <v>356</v>
      </c>
      <c r="D227" s="1" t="s">
        <v>125</v>
      </c>
      <c r="E227" s="1" t="n">
        <v>1</v>
      </c>
      <c r="F227" s="1" t="n">
        <v>1</v>
      </c>
      <c r="G227" s="1" t="n">
        <v>5</v>
      </c>
    </row>
    <row r="228" customFormat="false" ht="14.25" hidden="false" customHeight="true" outlineLevel="0" collapsed="false">
      <c r="A228" s="1" t="n">
        <v>5481</v>
      </c>
      <c r="B228" s="1" t="s">
        <v>44</v>
      </c>
      <c r="C228" s="1" t="s">
        <v>357</v>
      </c>
      <c r="D228" s="1" t="s">
        <v>125</v>
      </c>
      <c r="E228" s="1" t="n">
        <v>1</v>
      </c>
      <c r="F228" s="1" t="n">
        <v>1</v>
      </c>
      <c r="G228" s="1" t="n">
        <v>3</v>
      </c>
    </row>
    <row r="229" customFormat="false" ht="14.25" hidden="false" customHeight="true" outlineLevel="0" collapsed="false">
      <c r="A229" s="1" t="n">
        <v>7202</v>
      </c>
      <c r="B229" s="1" t="s">
        <v>44</v>
      </c>
      <c r="C229" s="1" t="s">
        <v>358</v>
      </c>
      <c r="D229" s="1" t="s">
        <v>141</v>
      </c>
      <c r="E229" s="1" t="n">
        <v>1</v>
      </c>
      <c r="F229" s="1" t="n">
        <v>1</v>
      </c>
      <c r="G229" s="1" t="n">
        <v>4</v>
      </c>
    </row>
    <row r="230" customFormat="false" ht="14.25" hidden="false" customHeight="true" outlineLevel="0" collapsed="false">
      <c r="A230" s="1" t="n">
        <v>6149</v>
      </c>
      <c r="B230" s="1" t="s">
        <v>44</v>
      </c>
      <c r="C230" s="1" t="s">
        <v>359</v>
      </c>
      <c r="D230" s="1" t="s">
        <v>141</v>
      </c>
      <c r="E230" s="1" t="n">
        <v>1</v>
      </c>
      <c r="F230" s="1" t="n">
        <v>1</v>
      </c>
      <c r="G230" s="1" t="n">
        <v>3</v>
      </c>
    </row>
    <row r="231" customFormat="false" ht="14.25" hidden="false" customHeight="true" outlineLevel="0" collapsed="false">
      <c r="A231" s="1" t="n">
        <v>7260</v>
      </c>
      <c r="B231" s="1" t="s">
        <v>44</v>
      </c>
      <c r="C231" s="1" t="s">
        <v>360</v>
      </c>
      <c r="D231" s="1" t="s">
        <v>113</v>
      </c>
      <c r="E231" s="1" t="n">
        <v>1</v>
      </c>
      <c r="F231" s="1" t="n">
        <v>1</v>
      </c>
      <c r="G231" s="1" t="n">
        <v>2</v>
      </c>
    </row>
    <row r="232" customFormat="false" ht="14.25" hidden="false" customHeight="true" outlineLevel="0" collapsed="false">
      <c r="A232" s="1" t="n">
        <v>6189</v>
      </c>
      <c r="B232" s="1" t="s">
        <v>44</v>
      </c>
      <c r="C232" s="1" t="s">
        <v>361</v>
      </c>
      <c r="D232" s="1" t="s">
        <v>144</v>
      </c>
      <c r="E232" s="1" t="n">
        <v>1</v>
      </c>
      <c r="F232" s="1" t="n">
        <v>1</v>
      </c>
      <c r="G232" s="1" t="n">
        <v>2</v>
      </c>
    </row>
    <row r="233" customFormat="false" ht="14.25" hidden="false" customHeight="true" outlineLevel="0" collapsed="false">
      <c r="A233" s="1" t="n">
        <v>7156</v>
      </c>
      <c r="B233" s="1" t="s">
        <v>44</v>
      </c>
      <c r="C233" s="1" t="s">
        <v>362</v>
      </c>
      <c r="D233" s="1" t="s">
        <v>144</v>
      </c>
      <c r="E233" s="1" t="n">
        <v>1</v>
      </c>
      <c r="F233" s="1" t="n">
        <v>1</v>
      </c>
      <c r="G233" s="1" t="n">
        <v>1</v>
      </c>
    </row>
    <row r="234" customFormat="false" ht="14.25" hidden="false" customHeight="true" outlineLevel="0" collapsed="false">
      <c r="A234" s="1" t="n">
        <v>7356</v>
      </c>
      <c r="B234" s="1" t="s">
        <v>44</v>
      </c>
      <c r="C234" s="1" t="s">
        <v>363</v>
      </c>
      <c r="D234" s="1" t="s">
        <v>135</v>
      </c>
      <c r="E234" s="1" t="n">
        <v>1</v>
      </c>
      <c r="F234" s="1" t="n">
        <v>1</v>
      </c>
      <c r="G234" s="1" t="n">
        <v>3</v>
      </c>
    </row>
    <row r="235" customFormat="false" ht="14.25" hidden="false" customHeight="true" outlineLevel="0" collapsed="false">
      <c r="A235" s="1" t="n">
        <v>6021</v>
      </c>
      <c r="B235" s="1" t="s">
        <v>44</v>
      </c>
      <c r="C235" s="1" t="s">
        <v>364</v>
      </c>
      <c r="D235" s="1" t="s">
        <v>135</v>
      </c>
      <c r="E235" s="1" t="n">
        <v>1</v>
      </c>
      <c r="F235" s="1" t="n">
        <v>1</v>
      </c>
      <c r="G235" s="1" t="n">
        <v>3</v>
      </c>
    </row>
    <row r="236" customFormat="false" ht="14.25" hidden="false" customHeight="true" outlineLevel="0" collapsed="false">
      <c r="A236" s="1" t="n">
        <v>7454</v>
      </c>
      <c r="B236" s="1" t="s">
        <v>44</v>
      </c>
      <c r="C236" s="1" t="s">
        <v>365</v>
      </c>
      <c r="D236" s="1" t="s">
        <v>147</v>
      </c>
      <c r="E236" s="1" t="n">
        <v>1</v>
      </c>
      <c r="F236" s="1" t="n">
        <v>1</v>
      </c>
      <c r="G236" s="1" t="n">
        <v>1</v>
      </c>
    </row>
    <row r="237" customFormat="false" ht="14.25" hidden="false" customHeight="true" outlineLevel="0" collapsed="false">
      <c r="A237" s="1" t="n">
        <v>6875</v>
      </c>
      <c r="B237" s="1" t="s">
        <v>45</v>
      </c>
      <c r="C237" s="1" t="s">
        <v>366</v>
      </c>
      <c r="D237" s="1" t="s">
        <v>119</v>
      </c>
      <c r="E237" s="1" t="n">
        <v>30</v>
      </c>
      <c r="F237" s="1" t="n">
        <v>30</v>
      </c>
      <c r="G237" s="1" t="n">
        <v>250</v>
      </c>
    </row>
    <row r="238" customFormat="false" ht="14.25" hidden="false" customHeight="true" outlineLevel="0" collapsed="false">
      <c r="A238" s="1" t="n">
        <v>4777</v>
      </c>
      <c r="B238" s="1" t="s">
        <v>45</v>
      </c>
      <c r="C238" s="1" t="s">
        <v>367</v>
      </c>
      <c r="D238" s="1" t="s">
        <v>125</v>
      </c>
      <c r="E238" s="1" t="n">
        <v>28</v>
      </c>
      <c r="F238" s="1" t="n">
        <v>28</v>
      </c>
      <c r="G238" s="1" t="n">
        <v>240</v>
      </c>
    </row>
    <row r="239" customFormat="false" ht="14.25" hidden="false" customHeight="true" outlineLevel="0" collapsed="false">
      <c r="A239" s="1" t="n">
        <v>2194</v>
      </c>
      <c r="B239" s="1" t="s">
        <v>45</v>
      </c>
      <c r="C239" s="1" t="s">
        <v>368</v>
      </c>
      <c r="D239" s="1" t="s">
        <v>115</v>
      </c>
      <c r="E239" s="1" t="n">
        <v>27</v>
      </c>
      <c r="F239" s="1" t="n">
        <v>27</v>
      </c>
      <c r="G239" s="1" t="n">
        <v>230</v>
      </c>
    </row>
    <row r="240" customFormat="false" ht="14.25" hidden="false" customHeight="true" outlineLevel="0" collapsed="false">
      <c r="A240" s="1" t="n">
        <v>2167</v>
      </c>
      <c r="B240" s="1" t="s">
        <v>45</v>
      </c>
      <c r="C240" s="1" t="s">
        <v>369</v>
      </c>
      <c r="D240" s="1" t="s">
        <v>127</v>
      </c>
      <c r="E240" s="1" t="n">
        <v>26</v>
      </c>
      <c r="F240" s="1" t="n">
        <v>26</v>
      </c>
      <c r="G240" s="1" t="n">
        <v>200</v>
      </c>
    </row>
    <row r="241" customFormat="false" ht="14.25" hidden="false" customHeight="true" outlineLevel="0" collapsed="false">
      <c r="A241" s="1" t="n">
        <v>2423</v>
      </c>
      <c r="B241" s="1" t="s">
        <v>45</v>
      </c>
      <c r="C241" s="1" t="s">
        <v>370</v>
      </c>
      <c r="D241" s="1" t="s">
        <v>121</v>
      </c>
      <c r="E241" s="1" t="n">
        <v>25</v>
      </c>
      <c r="F241" s="1" t="n">
        <v>25</v>
      </c>
      <c r="G241" s="1" t="n">
        <v>180</v>
      </c>
    </row>
    <row r="242" customFormat="false" ht="14.25" hidden="false" customHeight="true" outlineLevel="0" collapsed="false">
      <c r="A242" s="1" t="n">
        <v>2379</v>
      </c>
      <c r="B242" s="1" t="s">
        <v>45</v>
      </c>
      <c r="C242" s="1" t="s">
        <v>371</v>
      </c>
      <c r="D242" s="1" t="s">
        <v>121</v>
      </c>
      <c r="E242" s="1" t="n">
        <v>22</v>
      </c>
      <c r="F242" s="1" t="n">
        <v>22</v>
      </c>
      <c r="G242" s="1" t="n">
        <v>128</v>
      </c>
    </row>
    <row r="243" customFormat="false" ht="14.25" hidden="false" customHeight="true" outlineLevel="0" collapsed="false">
      <c r="A243" s="1" t="n">
        <v>7126</v>
      </c>
      <c r="B243" s="1" t="s">
        <v>45</v>
      </c>
      <c r="C243" s="1" t="s">
        <v>372</v>
      </c>
      <c r="D243" s="1" t="s">
        <v>119</v>
      </c>
      <c r="E243" s="1" t="n">
        <v>19</v>
      </c>
      <c r="F243" s="1" t="n">
        <v>19</v>
      </c>
      <c r="G243" s="1" t="n">
        <v>102</v>
      </c>
    </row>
    <row r="244" customFormat="false" ht="14.25" hidden="false" customHeight="true" outlineLevel="0" collapsed="false">
      <c r="A244" s="1" t="n">
        <v>5559</v>
      </c>
      <c r="B244" s="1" t="s">
        <v>45</v>
      </c>
      <c r="C244" s="1" t="s">
        <v>373</v>
      </c>
      <c r="D244" s="1" t="s">
        <v>119</v>
      </c>
      <c r="E244" s="1" t="n">
        <v>18</v>
      </c>
      <c r="F244" s="1" t="n">
        <v>18</v>
      </c>
      <c r="G244" s="1" t="n">
        <v>90</v>
      </c>
    </row>
    <row r="245" customFormat="false" ht="14.25" hidden="false" customHeight="true" outlineLevel="0" collapsed="false">
      <c r="A245" s="1" t="n">
        <v>2766</v>
      </c>
      <c r="B245" s="1" t="s">
        <v>45</v>
      </c>
      <c r="C245" s="1" t="s">
        <v>374</v>
      </c>
      <c r="D245" s="1" t="s">
        <v>135</v>
      </c>
      <c r="E245" s="1" t="n">
        <v>18</v>
      </c>
      <c r="F245" s="1" t="n">
        <v>18</v>
      </c>
      <c r="G245" s="1" t="n">
        <v>90</v>
      </c>
    </row>
    <row r="246" customFormat="false" ht="14.25" hidden="false" customHeight="true" outlineLevel="0" collapsed="false">
      <c r="A246" s="1" t="n">
        <v>6908</v>
      </c>
      <c r="B246" s="1" t="s">
        <v>45</v>
      </c>
      <c r="C246" s="1" t="s">
        <v>375</v>
      </c>
      <c r="D246" s="1" t="s">
        <v>123</v>
      </c>
      <c r="E246" s="1" t="n">
        <v>17</v>
      </c>
      <c r="F246" s="1" t="n">
        <v>17</v>
      </c>
      <c r="G246" s="1" t="n">
        <v>87</v>
      </c>
    </row>
    <row r="247" customFormat="false" ht="14.25" hidden="false" customHeight="true" outlineLevel="0" collapsed="false">
      <c r="A247" s="1" t="n">
        <v>1870</v>
      </c>
      <c r="B247" s="1" t="s">
        <v>45</v>
      </c>
      <c r="C247" s="1" t="s">
        <v>376</v>
      </c>
      <c r="D247" s="1" t="s">
        <v>115</v>
      </c>
      <c r="E247" s="1" t="n">
        <v>17</v>
      </c>
      <c r="F247" s="1" t="n">
        <v>17</v>
      </c>
      <c r="G247" s="1" t="n">
        <v>82</v>
      </c>
    </row>
    <row r="248" customFormat="false" ht="14.25" hidden="false" customHeight="true" outlineLevel="0" collapsed="false">
      <c r="A248" s="1" t="n">
        <v>4973</v>
      </c>
      <c r="B248" s="1" t="s">
        <v>45</v>
      </c>
      <c r="C248" s="1" t="s">
        <v>377</v>
      </c>
      <c r="D248" s="1" t="s">
        <v>131</v>
      </c>
      <c r="E248" s="1" t="n">
        <v>17</v>
      </c>
      <c r="F248" s="1" t="n">
        <v>17</v>
      </c>
      <c r="G248" s="1" t="n">
        <v>68</v>
      </c>
    </row>
    <row r="249" customFormat="false" ht="14.25" hidden="false" customHeight="true" outlineLevel="0" collapsed="false">
      <c r="A249" s="1" t="n">
        <v>632</v>
      </c>
      <c r="B249" s="1" t="s">
        <v>45</v>
      </c>
      <c r="C249" s="1" t="s">
        <v>378</v>
      </c>
      <c r="D249" s="1" t="s">
        <v>133</v>
      </c>
      <c r="E249" s="1" t="n">
        <v>16</v>
      </c>
      <c r="F249" s="1" t="n">
        <v>16</v>
      </c>
      <c r="G249" s="1" t="n">
        <v>91</v>
      </c>
    </row>
    <row r="250" customFormat="false" ht="14.25" hidden="false" customHeight="true" outlineLevel="0" collapsed="false">
      <c r="A250" s="1" t="n">
        <v>2517</v>
      </c>
      <c r="B250" s="1" t="s">
        <v>45</v>
      </c>
      <c r="C250" s="1" t="s">
        <v>379</v>
      </c>
      <c r="D250" s="1" t="s">
        <v>125</v>
      </c>
      <c r="E250" s="1" t="n">
        <v>15</v>
      </c>
      <c r="F250" s="1" t="n">
        <v>15</v>
      </c>
      <c r="G250" s="1" t="n">
        <v>100</v>
      </c>
    </row>
    <row r="251" customFormat="false" ht="14.25" hidden="false" customHeight="true" outlineLevel="0" collapsed="false">
      <c r="A251" s="1" t="n">
        <v>5687</v>
      </c>
      <c r="B251" s="1" t="s">
        <v>45</v>
      </c>
      <c r="C251" s="1" t="s">
        <v>380</v>
      </c>
      <c r="D251" s="1" t="s">
        <v>184</v>
      </c>
      <c r="E251" s="1" t="n">
        <v>14</v>
      </c>
      <c r="F251" s="1" t="n">
        <v>14</v>
      </c>
      <c r="G251" s="1" t="n">
        <v>80</v>
      </c>
    </row>
    <row r="252" customFormat="false" ht="14.25" hidden="false" customHeight="true" outlineLevel="0" collapsed="false">
      <c r="A252" s="1" t="n">
        <v>5800</v>
      </c>
      <c r="B252" s="1" t="s">
        <v>45</v>
      </c>
      <c r="C252" s="1" t="s">
        <v>381</v>
      </c>
      <c r="D252" s="1" t="s">
        <v>123</v>
      </c>
      <c r="E252" s="1" t="n">
        <v>13</v>
      </c>
      <c r="F252" s="1" t="n">
        <v>13</v>
      </c>
      <c r="G252" s="1" t="n">
        <v>61</v>
      </c>
    </row>
    <row r="253" customFormat="false" ht="14.25" hidden="false" customHeight="true" outlineLevel="0" collapsed="false">
      <c r="A253" s="1" t="n">
        <v>7314</v>
      </c>
      <c r="B253" s="1" t="s">
        <v>45</v>
      </c>
      <c r="C253" s="1" t="s">
        <v>382</v>
      </c>
      <c r="D253" s="1" t="s">
        <v>133</v>
      </c>
      <c r="E253" s="1" t="n">
        <v>13</v>
      </c>
      <c r="F253" s="1" t="n">
        <v>13</v>
      </c>
      <c r="G253" s="1" t="n">
        <v>64</v>
      </c>
    </row>
    <row r="254" customFormat="false" ht="14.25" hidden="false" customHeight="true" outlineLevel="0" collapsed="false">
      <c r="A254" s="1" t="n">
        <v>5792</v>
      </c>
      <c r="B254" s="1" t="s">
        <v>45</v>
      </c>
      <c r="C254" s="1" t="s">
        <v>383</v>
      </c>
      <c r="D254" s="1" t="s">
        <v>117</v>
      </c>
      <c r="E254" s="1" t="n">
        <v>12</v>
      </c>
      <c r="F254" s="1" t="n">
        <v>12</v>
      </c>
      <c r="G254" s="1" t="n">
        <v>45</v>
      </c>
    </row>
    <row r="255" customFormat="false" ht="14.25" hidden="false" customHeight="true" outlineLevel="0" collapsed="false">
      <c r="A255" s="1" t="n">
        <v>5119</v>
      </c>
      <c r="B255" s="1" t="s">
        <v>45</v>
      </c>
      <c r="C255" s="1" t="s">
        <v>384</v>
      </c>
      <c r="D255" s="1" t="s">
        <v>117</v>
      </c>
      <c r="E255" s="1" t="n">
        <v>12</v>
      </c>
      <c r="F255" s="1" t="n">
        <v>12</v>
      </c>
      <c r="G255" s="1" t="n">
        <v>42</v>
      </c>
    </row>
    <row r="256" customFormat="false" ht="14.25" hidden="false" customHeight="true" outlineLevel="0" collapsed="false">
      <c r="A256" s="1" t="n">
        <v>7129</v>
      </c>
      <c r="B256" s="1" t="s">
        <v>45</v>
      </c>
      <c r="C256" s="1" t="s">
        <v>385</v>
      </c>
      <c r="D256" s="1" t="s">
        <v>119</v>
      </c>
      <c r="E256" s="1" t="n">
        <v>12</v>
      </c>
      <c r="F256" s="1" t="n">
        <v>12</v>
      </c>
      <c r="G256" s="1" t="n">
        <v>32</v>
      </c>
    </row>
    <row r="257" customFormat="false" ht="14.25" hidden="false" customHeight="true" outlineLevel="0" collapsed="false">
      <c r="A257" s="1" t="n">
        <v>7436</v>
      </c>
      <c r="B257" s="1" t="s">
        <v>45</v>
      </c>
      <c r="C257" s="1" t="s">
        <v>386</v>
      </c>
      <c r="D257" s="1" t="s">
        <v>131</v>
      </c>
      <c r="E257" s="1" t="n">
        <v>12</v>
      </c>
      <c r="F257" s="1" t="n">
        <v>12</v>
      </c>
      <c r="G257" s="1" t="n">
        <v>57</v>
      </c>
    </row>
    <row r="258" customFormat="false" ht="14.25" hidden="false" customHeight="true" outlineLevel="0" collapsed="false">
      <c r="A258" s="1" t="n">
        <v>6884</v>
      </c>
      <c r="B258" s="1" t="s">
        <v>45</v>
      </c>
      <c r="C258" s="1" t="s">
        <v>387</v>
      </c>
      <c r="D258" s="1" t="s">
        <v>131</v>
      </c>
      <c r="E258" s="1" t="n">
        <v>12</v>
      </c>
      <c r="F258" s="1" t="n">
        <v>12</v>
      </c>
      <c r="G258" s="1" t="n">
        <v>60</v>
      </c>
    </row>
    <row r="259" customFormat="false" ht="14.25" hidden="false" customHeight="true" outlineLevel="0" collapsed="false">
      <c r="A259" s="1" t="n">
        <v>2606</v>
      </c>
      <c r="B259" s="1" t="s">
        <v>45</v>
      </c>
      <c r="C259" s="1" t="s">
        <v>388</v>
      </c>
      <c r="D259" s="1" t="s">
        <v>121</v>
      </c>
      <c r="E259" s="1" t="n">
        <v>12</v>
      </c>
      <c r="F259" s="1" t="n">
        <v>12</v>
      </c>
      <c r="G259" s="1" t="n">
        <v>50</v>
      </c>
    </row>
    <row r="260" customFormat="false" ht="14.25" hidden="false" customHeight="true" outlineLevel="0" collapsed="false">
      <c r="A260" s="1" t="n">
        <v>6844</v>
      </c>
      <c r="B260" s="1" t="s">
        <v>45</v>
      </c>
      <c r="C260" s="1" t="s">
        <v>389</v>
      </c>
      <c r="D260" s="1" t="s">
        <v>127</v>
      </c>
      <c r="E260" s="1" t="n">
        <v>11</v>
      </c>
      <c r="F260" s="1" t="n">
        <v>11</v>
      </c>
      <c r="G260" s="1" t="n">
        <v>37</v>
      </c>
    </row>
    <row r="261" customFormat="false" ht="14.25" hidden="false" customHeight="true" outlineLevel="0" collapsed="false">
      <c r="A261" s="1" t="n">
        <v>5823</v>
      </c>
      <c r="B261" s="1" t="s">
        <v>45</v>
      </c>
      <c r="C261" s="1" t="s">
        <v>390</v>
      </c>
      <c r="D261" s="1" t="s">
        <v>137</v>
      </c>
      <c r="E261" s="1" t="n">
        <v>11</v>
      </c>
      <c r="F261" s="1" t="n">
        <v>11</v>
      </c>
      <c r="G261" s="1" t="n">
        <v>30</v>
      </c>
    </row>
    <row r="262" customFormat="false" ht="14.25" hidden="false" customHeight="true" outlineLevel="0" collapsed="false">
      <c r="A262" s="1" t="n">
        <v>4220</v>
      </c>
      <c r="B262" s="1" t="s">
        <v>45</v>
      </c>
      <c r="C262" s="1" t="s">
        <v>391</v>
      </c>
      <c r="D262" s="1" t="s">
        <v>125</v>
      </c>
      <c r="E262" s="1" t="n">
        <v>11</v>
      </c>
      <c r="F262" s="1" t="n">
        <v>11</v>
      </c>
      <c r="G262" s="1" t="n">
        <v>55</v>
      </c>
    </row>
    <row r="263" customFormat="false" ht="14.25" hidden="false" customHeight="true" outlineLevel="0" collapsed="false">
      <c r="A263" s="1" t="n">
        <v>6151</v>
      </c>
      <c r="B263" s="1" t="s">
        <v>45</v>
      </c>
      <c r="C263" s="1" t="s">
        <v>392</v>
      </c>
      <c r="D263" s="1" t="s">
        <v>119</v>
      </c>
      <c r="E263" s="1" t="n">
        <v>10</v>
      </c>
      <c r="F263" s="1" t="n">
        <v>10</v>
      </c>
      <c r="G263" s="1" t="n">
        <v>38</v>
      </c>
    </row>
    <row r="264" customFormat="false" ht="14.25" hidden="false" customHeight="true" outlineLevel="0" collapsed="false">
      <c r="A264" s="1" t="n">
        <v>152</v>
      </c>
      <c r="B264" s="1" t="s">
        <v>45</v>
      </c>
      <c r="C264" s="1" t="s">
        <v>393</v>
      </c>
      <c r="D264" s="1" t="s">
        <v>115</v>
      </c>
      <c r="E264" s="1" t="n">
        <v>10</v>
      </c>
      <c r="F264" s="1" t="n">
        <v>10</v>
      </c>
      <c r="G264" s="1" t="n">
        <v>41</v>
      </c>
    </row>
    <row r="265" customFormat="false" ht="14.25" hidden="false" customHeight="true" outlineLevel="0" collapsed="false">
      <c r="A265" s="1" t="n">
        <v>5562</v>
      </c>
      <c r="B265" s="1" t="s">
        <v>45</v>
      </c>
      <c r="C265" s="1" t="s">
        <v>394</v>
      </c>
      <c r="D265" s="1" t="s">
        <v>131</v>
      </c>
      <c r="E265" s="1" t="n">
        <v>10</v>
      </c>
      <c r="F265" s="1" t="n">
        <v>10</v>
      </c>
      <c r="G265" s="1" t="n">
        <v>41</v>
      </c>
    </row>
    <row r="266" customFormat="false" ht="14.25" hidden="false" customHeight="true" outlineLevel="0" collapsed="false">
      <c r="A266" s="1" t="n">
        <v>4892</v>
      </c>
      <c r="B266" s="1" t="s">
        <v>45</v>
      </c>
      <c r="C266" s="1" t="s">
        <v>395</v>
      </c>
      <c r="D266" s="1" t="s">
        <v>121</v>
      </c>
      <c r="E266" s="1" t="n">
        <v>10</v>
      </c>
      <c r="F266" s="1" t="n">
        <v>10</v>
      </c>
      <c r="G266" s="1" t="n">
        <v>43</v>
      </c>
    </row>
    <row r="267" customFormat="false" ht="14.25" hidden="false" customHeight="true" outlineLevel="0" collapsed="false">
      <c r="A267" s="1" t="n">
        <v>536</v>
      </c>
      <c r="B267" s="1" t="s">
        <v>45</v>
      </c>
      <c r="C267" s="1" t="s">
        <v>396</v>
      </c>
      <c r="D267" s="1" t="s">
        <v>125</v>
      </c>
      <c r="E267" s="1" t="n">
        <v>10</v>
      </c>
      <c r="F267" s="1" t="n">
        <v>10</v>
      </c>
      <c r="G267" s="1" t="n">
        <v>47</v>
      </c>
    </row>
    <row r="268" customFormat="false" ht="14.25" hidden="false" customHeight="true" outlineLevel="0" collapsed="false">
      <c r="A268" s="1" t="n">
        <v>5589</v>
      </c>
      <c r="B268" s="1" t="s">
        <v>45</v>
      </c>
      <c r="C268" s="1" t="s">
        <v>397</v>
      </c>
      <c r="D268" s="1" t="s">
        <v>113</v>
      </c>
      <c r="E268" s="1" t="n">
        <v>10</v>
      </c>
      <c r="F268" s="1" t="n">
        <v>10</v>
      </c>
      <c r="G268" s="1" t="n">
        <v>42</v>
      </c>
    </row>
    <row r="269" customFormat="false" ht="14.25" hidden="false" customHeight="true" outlineLevel="0" collapsed="false">
      <c r="A269" s="1" t="n">
        <v>5844</v>
      </c>
      <c r="B269" s="1" t="s">
        <v>45</v>
      </c>
      <c r="C269" s="1" t="s">
        <v>398</v>
      </c>
      <c r="D269" s="1" t="s">
        <v>144</v>
      </c>
      <c r="E269" s="1" t="n">
        <v>10</v>
      </c>
      <c r="F269" s="1" t="n">
        <v>10</v>
      </c>
      <c r="G269" s="1" t="n">
        <v>41</v>
      </c>
    </row>
    <row r="270" customFormat="false" ht="14.25" hidden="false" customHeight="true" outlineLevel="0" collapsed="false">
      <c r="A270" s="1" t="n">
        <v>5888</v>
      </c>
      <c r="B270" s="1" t="s">
        <v>45</v>
      </c>
      <c r="C270" s="1" t="s">
        <v>399</v>
      </c>
      <c r="D270" s="1" t="s">
        <v>184</v>
      </c>
      <c r="E270" s="1" t="n">
        <v>10</v>
      </c>
      <c r="F270" s="1" t="n">
        <v>10</v>
      </c>
      <c r="G270" s="1" t="n">
        <v>37</v>
      </c>
    </row>
    <row r="271" customFormat="false" ht="14.25" hidden="false" customHeight="true" outlineLevel="0" collapsed="false">
      <c r="A271" s="1" t="n">
        <v>6684</v>
      </c>
      <c r="B271" s="1" t="s">
        <v>45</v>
      </c>
      <c r="C271" s="1" t="s">
        <v>400</v>
      </c>
      <c r="D271" s="1" t="s">
        <v>135</v>
      </c>
      <c r="E271" s="1" t="n">
        <v>10</v>
      </c>
      <c r="F271" s="1" t="n">
        <v>10</v>
      </c>
      <c r="G271" s="1" t="n">
        <v>41</v>
      </c>
    </row>
    <row r="272" customFormat="false" ht="14.25" hidden="false" customHeight="true" outlineLevel="0" collapsed="false">
      <c r="A272" s="1" t="n">
        <v>2077</v>
      </c>
      <c r="B272" s="1" t="s">
        <v>45</v>
      </c>
      <c r="C272" s="1" t="s">
        <v>401</v>
      </c>
      <c r="D272" s="1" t="s">
        <v>117</v>
      </c>
      <c r="E272" s="1" t="n">
        <v>9</v>
      </c>
      <c r="F272" s="1" t="n">
        <v>9</v>
      </c>
      <c r="G272" s="1" t="n">
        <v>32</v>
      </c>
    </row>
    <row r="273" customFormat="false" ht="14.25" hidden="false" customHeight="true" outlineLevel="0" collapsed="false">
      <c r="A273" s="1" t="n">
        <v>184</v>
      </c>
      <c r="B273" s="1" t="s">
        <v>45</v>
      </c>
      <c r="C273" s="1" t="s">
        <v>402</v>
      </c>
      <c r="D273" s="1" t="s">
        <v>127</v>
      </c>
      <c r="E273" s="1" t="n">
        <v>9</v>
      </c>
      <c r="F273" s="1" t="n">
        <v>9</v>
      </c>
      <c r="G273" s="1" t="n">
        <v>21</v>
      </c>
    </row>
    <row r="274" customFormat="false" ht="14.25" hidden="false" customHeight="true" outlineLevel="0" collapsed="false">
      <c r="A274" s="1" t="n">
        <v>1933</v>
      </c>
      <c r="B274" s="1" t="s">
        <v>45</v>
      </c>
      <c r="C274" s="1" t="s">
        <v>403</v>
      </c>
      <c r="D274" s="1" t="s">
        <v>123</v>
      </c>
      <c r="E274" s="1" t="n">
        <v>9</v>
      </c>
      <c r="F274" s="1" t="n">
        <v>9</v>
      </c>
      <c r="G274" s="1" t="n">
        <v>28</v>
      </c>
    </row>
    <row r="275" customFormat="false" ht="14.25" hidden="false" customHeight="true" outlineLevel="0" collapsed="false">
      <c r="A275" s="1" t="n">
        <v>5500</v>
      </c>
      <c r="B275" s="1" t="s">
        <v>45</v>
      </c>
      <c r="C275" s="1" t="s">
        <v>404</v>
      </c>
      <c r="D275" s="1" t="s">
        <v>133</v>
      </c>
      <c r="E275" s="1" t="n">
        <v>9</v>
      </c>
      <c r="F275" s="1" t="n">
        <v>9</v>
      </c>
      <c r="G275" s="1" t="n">
        <v>28</v>
      </c>
    </row>
    <row r="276" customFormat="false" ht="14.25" hidden="false" customHeight="true" outlineLevel="0" collapsed="false">
      <c r="A276" s="1" t="n">
        <v>6398</v>
      </c>
      <c r="B276" s="1" t="s">
        <v>45</v>
      </c>
      <c r="C276" s="1" t="s">
        <v>405</v>
      </c>
      <c r="D276" s="1" t="s">
        <v>133</v>
      </c>
      <c r="E276" s="1" t="n">
        <v>9</v>
      </c>
      <c r="F276" s="1" t="n">
        <v>9</v>
      </c>
      <c r="G276" s="1" t="n">
        <v>25</v>
      </c>
    </row>
    <row r="277" customFormat="false" ht="14.25" hidden="false" customHeight="true" outlineLevel="0" collapsed="false">
      <c r="A277" s="1" t="n">
        <v>6717</v>
      </c>
      <c r="B277" s="1" t="s">
        <v>45</v>
      </c>
      <c r="C277" s="1" t="s">
        <v>406</v>
      </c>
      <c r="D277" s="1" t="s">
        <v>144</v>
      </c>
      <c r="E277" s="1" t="n">
        <v>9</v>
      </c>
      <c r="F277" s="1" t="n">
        <v>9</v>
      </c>
      <c r="G277" s="1" t="n">
        <v>20</v>
      </c>
    </row>
    <row r="278" customFormat="false" ht="14.25" hidden="false" customHeight="true" outlineLevel="0" collapsed="false">
      <c r="A278" s="1" t="n">
        <v>2765</v>
      </c>
      <c r="B278" s="1" t="s">
        <v>45</v>
      </c>
      <c r="C278" s="1" t="s">
        <v>407</v>
      </c>
      <c r="D278" s="1" t="s">
        <v>127</v>
      </c>
      <c r="E278" s="1" t="n">
        <v>8</v>
      </c>
      <c r="F278" s="1" t="n">
        <v>8</v>
      </c>
      <c r="G278" s="1" t="n">
        <v>22</v>
      </c>
    </row>
    <row r="279" customFormat="false" ht="14.25" hidden="false" customHeight="true" outlineLevel="0" collapsed="false">
      <c r="A279" s="1" t="n">
        <v>4436</v>
      </c>
      <c r="B279" s="1" t="s">
        <v>45</v>
      </c>
      <c r="C279" s="1" t="s">
        <v>408</v>
      </c>
      <c r="D279" s="1" t="s">
        <v>127</v>
      </c>
      <c r="E279" s="1" t="n">
        <v>8</v>
      </c>
      <c r="F279" s="1" t="n">
        <v>8</v>
      </c>
      <c r="G279" s="1" t="n">
        <v>25</v>
      </c>
    </row>
    <row r="280" customFormat="false" ht="14.25" hidden="false" customHeight="true" outlineLevel="0" collapsed="false">
      <c r="A280" s="1" t="n">
        <v>4465</v>
      </c>
      <c r="B280" s="1" t="s">
        <v>45</v>
      </c>
      <c r="C280" s="1" t="s">
        <v>409</v>
      </c>
      <c r="D280" s="1" t="s">
        <v>123</v>
      </c>
      <c r="E280" s="1" t="n">
        <v>8</v>
      </c>
      <c r="F280" s="1" t="n">
        <v>8</v>
      </c>
      <c r="G280" s="1" t="n">
        <v>23</v>
      </c>
    </row>
    <row r="281" customFormat="false" ht="14.25" hidden="false" customHeight="true" outlineLevel="0" collapsed="false">
      <c r="A281" s="1" t="n">
        <v>6294</v>
      </c>
      <c r="B281" s="1" t="s">
        <v>45</v>
      </c>
      <c r="C281" s="1" t="s">
        <v>410</v>
      </c>
      <c r="D281" s="1" t="s">
        <v>123</v>
      </c>
      <c r="E281" s="1" t="n">
        <v>8</v>
      </c>
      <c r="F281" s="1" t="n">
        <v>8</v>
      </c>
      <c r="G281" s="1" t="n">
        <v>25</v>
      </c>
    </row>
    <row r="282" customFormat="false" ht="14.25" hidden="false" customHeight="true" outlineLevel="0" collapsed="false">
      <c r="A282" s="1" t="n">
        <v>6274</v>
      </c>
      <c r="B282" s="1" t="s">
        <v>45</v>
      </c>
      <c r="C282" s="1" t="s">
        <v>411</v>
      </c>
      <c r="D282" s="1" t="s">
        <v>115</v>
      </c>
      <c r="E282" s="1" t="n">
        <v>8</v>
      </c>
      <c r="F282" s="1" t="n">
        <v>8</v>
      </c>
      <c r="G282" s="1" t="n">
        <v>37</v>
      </c>
    </row>
    <row r="283" customFormat="false" ht="14.25" hidden="false" customHeight="true" outlineLevel="0" collapsed="false">
      <c r="A283" s="1" t="n">
        <v>7070</v>
      </c>
      <c r="B283" s="1" t="s">
        <v>45</v>
      </c>
      <c r="C283" s="1" t="s">
        <v>412</v>
      </c>
      <c r="D283" s="1" t="s">
        <v>115</v>
      </c>
      <c r="E283" s="1" t="n">
        <v>8</v>
      </c>
      <c r="F283" s="1" t="n">
        <v>8</v>
      </c>
      <c r="G283" s="1" t="n">
        <v>26</v>
      </c>
    </row>
    <row r="284" customFormat="false" ht="14.25" hidden="false" customHeight="true" outlineLevel="0" collapsed="false">
      <c r="A284" s="1" t="n">
        <v>827</v>
      </c>
      <c r="B284" s="1" t="s">
        <v>45</v>
      </c>
      <c r="C284" s="1" t="s">
        <v>413</v>
      </c>
      <c r="D284" s="1" t="s">
        <v>131</v>
      </c>
      <c r="E284" s="1" t="n">
        <v>8</v>
      </c>
      <c r="F284" s="1" t="n">
        <v>8</v>
      </c>
      <c r="G284" s="1" t="n">
        <v>32</v>
      </c>
    </row>
    <row r="285" customFormat="false" ht="14.25" hidden="false" customHeight="true" outlineLevel="0" collapsed="false">
      <c r="A285" s="1" t="n">
        <v>5878</v>
      </c>
      <c r="B285" s="1" t="s">
        <v>45</v>
      </c>
      <c r="C285" s="1" t="s">
        <v>414</v>
      </c>
      <c r="D285" s="1" t="s">
        <v>149</v>
      </c>
      <c r="E285" s="1" t="n">
        <v>8</v>
      </c>
      <c r="F285" s="1" t="n">
        <v>8</v>
      </c>
      <c r="G285" s="1" t="n">
        <v>25</v>
      </c>
    </row>
    <row r="286" customFormat="false" ht="14.25" hidden="false" customHeight="true" outlineLevel="0" collapsed="false">
      <c r="A286" s="1" t="n">
        <v>7223</v>
      </c>
      <c r="B286" s="1" t="s">
        <v>45</v>
      </c>
      <c r="C286" s="1" t="s">
        <v>415</v>
      </c>
      <c r="D286" s="1" t="s">
        <v>125</v>
      </c>
      <c r="E286" s="1" t="n">
        <v>8</v>
      </c>
      <c r="F286" s="1" t="n">
        <v>8</v>
      </c>
      <c r="G286" s="1" t="n">
        <v>34</v>
      </c>
    </row>
    <row r="287" customFormat="false" ht="14.25" hidden="false" customHeight="true" outlineLevel="0" collapsed="false">
      <c r="A287" s="1" t="n">
        <v>779</v>
      </c>
      <c r="B287" s="1" t="s">
        <v>45</v>
      </c>
      <c r="C287" s="1" t="s">
        <v>416</v>
      </c>
      <c r="D287" s="1" t="s">
        <v>113</v>
      </c>
      <c r="E287" s="1" t="n">
        <v>8</v>
      </c>
      <c r="F287" s="1" t="n">
        <v>8</v>
      </c>
      <c r="G287" s="1" t="n">
        <v>29</v>
      </c>
    </row>
    <row r="288" customFormat="false" ht="14.25" hidden="false" customHeight="true" outlineLevel="0" collapsed="false">
      <c r="A288" s="1" t="n">
        <v>4364</v>
      </c>
      <c r="B288" s="1" t="s">
        <v>45</v>
      </c>
      <c r="C288" s="1" t="s">
        <v>417</v>
      </c>
      <c r="D288" s="1" t="s">
        <v>117</v>
      </c>
      <c r="E288" s="1" t="n">
        <v>7</v>
      </c>
      <c r="F288" s="1" t="n">
        <v>7</v>
      </c>
      <c r="G288" s="1" t="n">
        <v>24</v>
      </c>
    </row>
    <row r="289" customFormat="false" ht="14.25" hidden="false" customHeight="true" outlineLevel="0" collapsed="false">
      <c r="A289" s="1" t="n">
        <v>5858</v>
      </c>
      <c r="B289" s="1" t="s">
        <v>45</v>
      </c>
      <c r="C289" s="1" t="s">
        <v>418</v>
      </c>
      <c r="D289" s="1" t="s">
        <v>127</v>
      </c>
      <c r="E289" s="1" t="n">
        <v>7</v>
      </c>
      <c r="F289" s="1" t="n">
        <v>7</v>
      </c>
      <c r="G289" s="1" t="n">
        <v>18</v>
      </c>
    </row>
    <row r="290" customFormat="false" ht="14.25" hidden="false" customHeight="true" outlineLevel="0" collapsed="false">
      <c r="A290" s="1" t="n">
        <v>6010</v>
      </c>
      <c r="B290" s="1" t="s">
        <v>45</v>
      </c>
      <c r="C290" s="1" t="s">
        <v>419</v>
      </c>
      <c r="D290" s="1" t="s">
        <v>129</v>
      </c>
      <c r="E290" s="1" t="n">
        <v>7</v>
      </c>
      <c r="F290" s="1" t="n">
        <v>7</v>
      </c>
      <c r="G290" s="1" t="n">
        <v>19</v>
      </c>
    </row>
    <row r="291" customFormat="false" ht="14.25" hidden="false" customHeight="true" outlineLevel="0" collapsed="false">
      <c r="A291" s="1" t="n">
        <v>7472</v>
      </c>
      <c r="B291" s="1" t="s">
        <v>45</v>
      </c>
      <c r="C291" s="1" t="s">
        <v>420</v>
      </c>
      <c r="D291" s="1" t="s">
        <v>152</v>
      </c>
      <c r="E291" s="1" t="n">
        <v>7</v>
      </c>
      <c r="F291" s="1" t="n">
        <v>7</v>
      </c>
      <c r="G291" s="1" t="n">
        <v>25</v>
      </c>
    </row>
    <row r="292" customFormat="false" ht="14.25" hidden="false" customHeight="true" outlineLevel="0" collapsed="false">
      <c r="A292" s="1" t="n">
        <v>5791</v>
      </c>
      <c r="B292" s="1" t="s">
        <v>45</v>
      </c>
      <c r="C292" s="1" t="s">
        <v>421</v>
      </c>
      <c r="D292" s="1" t="s">
        <v>137</v>
      </c>
      <c r="E292" s="1" t="n">
        <v>7</v>
      </c>
      <c r="F292" s="1" t="n">
        <v>7</v>
      </c>
      <c r="G292" s="1" t="n">
        <v>19</v>
      </c>
    </row>
    <row r="293" customFormat="false" ht="14.25" hidden="false" customHeight="true" outlineLevel="0" collapsed="false">
      <c r="A293" s="1" t="n">
        <v>2848</v>
      </c>
      <c r="B293" s="1" t="s">
        <v>45</v>
      </c>
      <c r="C293" s="1" t="s">
        <v>422</v>
      </c>
      <c r="D293" s="1" t="s">
        <v>115</v>
      </c>
      <c r="E293" s="1" t="n">
        <v>7</v>
      </c>
      <c r="F293" s="1" t="n">
        <v>7</v>
      </c>
      <c r="G293" s="1" t="n">
        <v>13</v>
      </c>
    </row>
    <row r="294" customFormat="false" ht="14.25" hidden="false" customHeight="true" outlineLevel="0" collapsed="false">
      <c r="A294" s="1" t="n">
        <v>2741</v>
      </c>
      <c r="B294" s="1" t="s">
        <v>45</v>
      </c>
      <c r="C294" s="1" t="s">
        <v>423</v>
      </c>
      <c r="D294" s="1" t="s">
        <v>149</v>
      </c>
      <c r="E294" s="1" t="n">
        <v>7</v>
      </c>
      <c r="F294" s="1" t="n">
        <v>7</v>
      </c>
      <c r="G294" s="1" t="n">
        <v>20</v>
      </c>
    </row>
    <row r="295" customFormat="false" ht="14.25" hidden="false" customHeight="true" outlineLevel="0" collapsed="false">
      <c r="A295" s="1" t="n">
        <v>4287</v>
      </c>
      <c r="B295" s="1" t="s">
        <v>45</v>
      </c>
      <c r="C295" s="1" t="s">
        <v>424</v>
      </c>
      <c r="D295" s="1" t="s">
        <v>125</v>
      </c>
      <c r="E295" s="1" t="n">
        <v>7</v>
      </c>
      <c r="F295" s="1" t="n">
        <v>7</v>
      </c>
      <c r="G295" s="1" t="n">
        <v>20</v>
      </c>
    </row>
    <row r="296" customFormat="false" ht="14.25" hidden="false" customHeight="true" outlineLevel="0" collapsed="false">
      <c r="A296" s="1" t="n">
        <v>6666</v>
      </c>
      <c r="B296" s="1" t="s">
        <v>45</v>
      </c>
      <c r="C296" s="1" t="s">
        <v>425</v>
      </c>
      <c r="D296" s="1" t="s">
        <v>141</v>
      </c>
      <c r="E296" s="1" t="n">
        <v>7</v>
      </c>
      <c r="F296" s="1" t="n">
        <v>7</v>
      </c>
      <c r="G296" s="1" t="n">
        <v>36</v>
      </c>
    </row>
    <row r="297" customFormat="false" ht="14.25" hidden="false" customHeight="true" outlineLevel="0" collapsed="false">
      <c r="A297" s="1" t="n">
        <v>5735</v>
      </c>
      <c r="B297" s="1" t="s">
        <v>45</v>
      </c>
      <c r="C297" s="1" t="s">
        <v>426</v>
      </c>
      <c r="D297" s="1" t="s">
        <v>144</v>
      </c>
      <c r="E297" s="1" t="n">
        <v>7</v>
      </c>
      <c r="F297" s="1" t="n">
        <v>7</v>
      </c>
      <c r="G297" s="1" t="n">
        <v>23</v>
      </c>
    </row>
    <row r="298" customFormat="false" ht="14.25" hidden="false" customHeight="true" outlineLevel="0" collapsed="false">
      <c r="A298" s="1" t="n">
        <v>6218</v>
      </c>
      <c r="B298" s="1" t="s">
        <v>45</v>
      </c>
      <c r="C298" s="1" t="s">
        <v>427</v>
      </c>
      <c r="D298" s="1" t="s">
        <v>184</v>
      </c>
      <c r="E298" s="1" t="n">
        <v>7</v>
      </c>
      <c r="F298" s="1" t="n">
        <v>7</v>
      </c>
      <c r="G298" s="1" t="n">
        <v>27</v>
      </c>
    </row>
    <row r="299" customFormat="false" ht="14.25" hidden="false" customHeight="true" outlineLevel="0" collapsed="false">
      <c r="A299" s="1" t="n">
        <v>6783</v>
      </c>
      <c r="B299" s="1" t="s">
        <v>45</v>
      </c>
      <c r="C299" s="1" t="s">
        <v>428</v>
      </c>
      <c r="D299" s="1" t="s">
        <v>135</v>
      </c>
      <c r="E299" s="1" t="n">
        <v>7</v>
      </c>
      <c r="F299" s="1" t="n">
        <v>7</v>
      </c>
      <c r="G299" s="1" t="n">
        <v>23</v>
      </c>
    </row>
    <row r="300" customFormat="false" ht="14.25" hidden="false" customHeight="true" outlineLevel="0" collapsed="false">
      <c r="A300" s="1" t="n">
        <v>5422</v>
      </c>
      <c r="B300" s="1" t="s">
        <v>45</v>
      </c>
      <c r="C300" s="1" t="s">
        <v>429</v>
      </c>
      <c r="D300" s="1" t="s">
        <v>117</v>
      </c>
      <c r="E300" s="1" t="n">
        <v>6</v>
      </c>
      <c r="F300" s="1" t="n">
        <v>6</v>
      </c>
      <c r="G300" s="1" t="n">
        <v>21</v>
      </c>
    </row>
    <row r="301" customFormat="false" ht="14.25" hidden="false" customHeight="true" outlineLevel="0" collapsed="false">
      <c r="A301" s="1" t="n">
        <v>5298</v>
      </c>
      <c r="B301" s="1" t="s">
        <v>45</v>
      </c>
      <c r="C301" s="1" t="s">
        <v>430</v>
      </c>
      <c r="D301" s="1" t="s">
        <v>127</v>
      </c>
      <c r="E301" s="1" t="n">
        <v>6</v>
      </c>
      <c r="F301" s="1" t="n">
        <v>6</v>
      </c>
      <c r="G301" s="1" t="n">
        <v>14</v>
      </c>
    </row>
    <row r="302" customFormat="false" ht="14.25" hidden="false" customHeight="true" outlineLevel="0" collapsed="false">
      <c r="A302" s="1" t="n">
        <v>4870</v>
      </c>
      <c r="B302" s="1" t="s">
        <v>45</v>
      </c>
      <c r="C302" s="1" t="s">
        <v>431</v>
      </c>
      <c r="D302" s="1" t="s">
        <v>129</v>
      </c>
      <c r="E302" s="1" t="n">
        <v>6</v>
      </c>
      <c r="F302" s="1" t="n">
        <v>6</v>
      </c>
      <c r="G302" s="1" t="n">
        <v>13</v>
      </c>
    </row>
    <row r="303" customFormat="false" ht="14.25" hidden="false" customHeight="true" outlineLevel="0" collapsed="false">
      <c r="A303" s="1" t="n">
        <v>4260</v>
      </c>
      <c r="B303" s="1" t="s">
        <v>45</v>
      </c>
      <c r="C303" s="1" t="s">
        <v>432</v>
      </c>
      <c r="D303" s="1" t="s">
        <v>129</v>
      </c>
      <c r="E303" s="1" t="n">
        <v>6</v>
      </c>
      <c r="F303" s="1" t="n">
        <v>6</v>
      </c>
      <c r="G303" s="1" t="n">
        <v>14</v>
      </c>
    </row>
    <row r="304" customFormat="false" ht="14.25" hidden="false" customHeight="true" outlineLevel="0" collapsed="false">
      <c r="A304" s="1" t="n">
        <v>5036</v>
      </c>
      <c r="B304" s="1" t="s">
        <v>45</v>
      </c>
      <c r="C304" s="1" t="s">
        <v>433</v>
      </c>
      <c r="D304" s="1" t="s">
        <v>119</v>
      </c>
      <c r="E304" s="1" t="n">
        <v>6</v>
      </c>
      <c r="F304" s="1" t="n">
        <v>6</v>
      </c>
      <c r="G304" s="1" t="n">
        <v>20</v>
      </c>
    </row>
    <row r="305" customFormat="false" ht="14.25" hidden="false" customHeight="true" outlineLevel="0" collapsed="false">
      <c r="A305" s="1" t="n">
        <v>6678</v>
      </c>
      <c r="B305" s="1" t="s">
        <v>45</v>
      </c>
      <c r="C305" s="1" t="s">
        <v>434</v>
      </c>
      <c r="D305" s="1" t="s">
        <v>119</v>
      </c>
      <c r="E305" s="1" t="n">
        <v>6</v>
      </c>
      <c r="F305" s="1" t="n">
        <v>6</v>
      </c>
      <c r="G305" s="1" t="n">
        <v>22</v>
      </c>
    </row>
    <row r="306" customFormat="false" ht="14.25" hidden="false" customHeight="true" outlineLevel="0" collapsed="false">
      <c r="A306" s="1" t="n">
        <v>7464</v>
      </c>
      <c r="B306" s="1" t="s">
        <v>45</v>
      </c>
      <c r="C306" s="1" t="s">
        <v>435</v>
      </c>
      <c r="D306" s="1" t="s">
        <v>123</v>
      </c>
      <c r="E306" s="1" t="n">
        <v>6</v>
      </c>
      <c r="F306" s="1" t="n">
        <v>6</v>
      </c>
      <c r="G306" s="1" t="n">
        <v>20</v>
      </c>
    </row>
    <row r="307" customFormat="false" ht="14.25" hidden="false" customHeight="true" outlineLevel="0" collapsed="false">
      <c r="A307" s="1" t="n">
        <v>6020</v>
      </c>
      <c r="B307" s="1" t="s">
        <v>45</v>
      </c>
      <c r="C307" s="1" t="s">
        <v>436</v>
      </c>
      <c r="D307" s="1" t="s">
        <v>137</v>
      </c>
      <c r="E307" s="1" t="n">
        <v>6</v>
      </c>
      <c r="F307" s="1" t="n">
        <v>6</v>
      </c>
      <c r="G307" s="1" t="n">
        <v>18</v>
      </c>
    </row>
    <row r="308" customFormat="false" ht="14.25" hidden="false" customHeight="true" outlineLevel="0" collapsed="false">
      <c r="A308" s="1" t="n">
        <v>5761</v>
      </c>
      <c r="B308" s="1" t="s">
        <v>45</v>
      </c>
      <c r="C308" s="1" t="s">
        <v>437</v>
      </c>
      <c r="D308" s="1" t="s">
        <v>131</v>
      </c>
      <c r="E308" s="1" t="n">
        <v>6</v>
      </c>
      <c r="F308" s="1" t="n">
        <v>6</v>
      </c>
      <c r="G308" s="1" t="n">
        <v>18</v>
      </c>
    </row>
    <row r="309" customFormat="false" ht="14.25" hidden="false" customHeight="true" outlineLevel="0" collapsed="false">
      <c r="A309" s="1" t="n">
        <v>4459</v>
      </c>
      <c r="B309" s="1" t="s">
        <v>45</v>
      </c>
      <c r="C309" s="1" t="s">
        <v>438</v>
      </c>
      <c r="D309" s="1" t="s">
        <v>133</v>
      </c>
      <c r="E309" s="1" t="n">
        <v>6</v>
      </c>
      <c r="F309" s="1" t="n">
        <v>6</v>
      </c>
      <c r="G309" s="1" t="n">
        <v>16</v>
      </c>
    </row>
    <row r="310" customFormat="false" ht="14.25" hidden="false" customHeight="true" outlineLevel="0" collapsed="false">
      <c r="A310" s="1" t="n">
        <v>5504</v>
      </c>
      <c r="B310" s="1" t="s">
        <v>45</v>
      </c>
      <c r="C310" s="1" t="s">
        <v>439</v>
      </c>
      <c r="D310" s="1" t="s">
        <v>139</v>
      </c>
      <c r="E310" s="1" t="n">
        <v>6</v>
      </c>
      <c r="F310" s="1" t="n">
        <v>6</v>
      </c>
      <c r="G310" s="1" t="n">
        <v>14</v>
      </c>
    </row>
    <row r="311" customFormat="false" ht="14.25" hidden="false" customHeight="true" outlineLevel="0" collapsed="false">
      <c r="A311" s="1" t="n">
        <v>6549</v>
      </c>
      <c r="B311" s="1" t="s">
        <v>45</v>
      </c>
      <c r="C311" s="1" t="s">
        <v>440</v>
      </c>
      <c r="D311" s="1" t="s">
        <v>139</v>
      </c>
      <c r="E311" s="1" t="n">
        <v>6</v>
      </c>
      <c r="F311" s="1" t="n">
        <v>6</v>
      </c>
      <c r="G311" s="1" t="n">
        <v>19</v>
      </c>
    </row>
    <row r="312" customFormat="false" ht="14.25" hidden="false" customHeight="true" outlineLevel="0" collapsed="false">
      <c r="A312" s="1" t="n">
        <v>4856</v>
      </c>
      <c r="B312" s="1" t="s">
        <v>45</v>
      </c>
      <c r="C312" s="1" t="s">
        <v>441</v>
      </c>
      <c r="D312" s="1" t="s">
        <v>121</v>
      </c>
      <c r="E312" s="1" t="n">
        <v>6</v>
      </c>
      <c r="F312" s="1" t="n">
        <v>6</v>
      </c>
      <c r="G312" s="1" t="n">
        <v>11</v>
      </c>
    </row>
    <row r="313" customFormat="false" ht="14.25" hidden="false" customHeight="true" outlineLevel="0" collapsed="false">
      <c r="A313" s="1" t="n">
        <v>6593</v>
      </c>
      <c r="B313" s="1" t="s">
        <v>45</v>
      </c>
      <c r="C313" s="1" t="s">
        <v>442</v>
      </c>
      <c r="D313" s="1" t="s">
        <v>149</v>
      </c>
      <c r="E313" s="1" t="n">
        <v>6</v>
      </c>
      <c r="F313" s="1" t="n">
        <v>6</v>
      </c>
      <c r="G313" s="1" t="n">
        <v>16</v>
      </c>
    </row>
    <row r="314" customFormat="false" ht="14.25" hidden="false" customHeight="true" outlineLevel="0" collapsed="false">
      <c r="A314" s="1" t="n">
        <v>4349</v>
      </c>
      <c r="B314" s="1" t="s">
        <v>45</v>
      </c>
      <c r="C314" s="1" t="s">
        <v>443</v>
      </c>
      <c r="D314" s="1" t="s">
        <v>141</v>
      </c>
      <c r="E314" s="1" t="n">
        <v>6</v>
      </c>
      <c r="F314" s="1" t="n">
        <v>6</v>
      </c>
      <c r="G314" s="1" t="n">
        <v>18</v>
      </c>
    </row>
    <row r="315" customFormat="false" ht="14.25" hidden="false" customHeight="true" outlineLevel="0" collapsed="false">
      <c r="A315" s="1" t="n">
        <v>6680</v>
      </c>
      <c r="B315" s="1" t="s">
        <v>45</v>
      </c>
      <c r="C315" s="1" t="s">
        <v>444</v>
      </c>
      <c r="D315" s="1" t="s">
        <v>135</v>
      </c>
      <c r="E315" s="1" t="n">
        <v>6</v>
      </c>
      <c r="F315" s="1" t="n">
        <v>6</v>
      </c>
      <c r="G315" s="1" t="n">
        <v>20</v>
      </c>
    </row>
    <row r="316" customFormat="false" ht="14.25" hidden="false" customHeight="true" outlineLevel="0" collapsed="false">
      <c r="A316" s="1" t="n">
        <v>5674</v>
      </c>
      <c r="B316" s="1" t="s">
        <v>45</v>
      </c>
      <c r="C316" s="1" t="s">
        <v>445</v>
      </c>
      <c r="D316" s="1" t="s">
        <v>147</v>
      </c>
      <c r="E316" s="1" t="n">
        <v>6</v>
      </c>
      <c r="F316" s="1" t="n">
        <v>6</v>
      </c>
      <c r="G316" s="1" t="n">
        <v>19</v>
      </c>
    </row>
    <row r="317" customFormat="false" ht="14.25" hidden="false" customHeight="true" outlineLevel="0" collapsed="false">
      <c r="A317" s="1" t="n">
        <v>7528</v>
      </c>
      <c r="B317" s="1" t="s">
        <v>45</v>
      </c>
      <c r="C317" s="1" t="s">
        <v>446</v>
      </c>
      <c r="D317" s="1" t="s">
        <v>127</v>
      </c>
      <c r="E317" s="1" t="n">
        <v>5</v>
      </c>
      <c r="F317" s="1" t="n">
        <v>5</v>
      </c>
      <c r="G317" s="1" t="n">
        <v>12</v>
      </c>
    </row>
    <row r="318" customFormat="false" ht="14.25" hidden="false" customHeight="true" outlineLevel="0" collapsed="false">
      <c r="A318" s="1" t="n">
        <v>7311</v>
      </c>
      <c r="B318" s="1" t="s">
        <v>45</v>
      </c>
      <c r="C318" s="1" t="s">
        <v>447</v>
      </c>
      <c r="D318" s="1" t="s">
        <v>129</v>
      </c>
      <c r="E318" s="1" t="n">
        <v>5</v>
      </c>
      <c r="F318" s="1" t="n">
        <v>5</v>
      </c>
      <c r="G318" s="1" t="n">
        <v>12</v>
      </c>
    </row>
    <row r="319" customFormat="false" ht="14.25" hidden="false" customHeight="true" outlineLevel="0" collapsed="false">
      <c r="A319" s="1" t="n">
        <v>6640</v>
      </c>
      <c r="B319" s="1" t="s">
        <v>45</v>
      </c>
      <c r="C319" s="1" t="s">
        <v>448</v>
      </c>
      <c r="D319" s="1" t="s">
        <v>129</v>
      </c>
      <c r="E319" s="1" t="n">
        <v>5</v>
      </c>
      <c r="F319" s="1" t="n">
        <v>5</v>
      </c>
      <c r="G319" s="1" t="n">
        <v>10</v>
      </c>
    </row>
    <row r="320" customFormat="false" ht="14.25" hidden="false" customHeight="true" outlineLevel="0" collapsed="false">
      <c r="A320" s="1" t="n">
        <v>7412</v>
      </c>
      <c r="B320" s="1" t="s">
        <v>45</v>
      </c>
      <c r="C320" s="1" t="s">
        <v>449</v>
      </c>
      <c r="D320" s="1" t="s">
        <v>119</v>
      </c>
      <c r="E320" s="1" t="n">
        <v>5</v>
      </c>
      <c r="F320" s="1" t="n">
        <v>5</v>
      </c>
      <c r="G320" s="1" t="n">
        <v>14</v>
      </c>
    </row>
    <row r="321" customFormat="false" ht="14.25" hidden="false" customHeight="true" outlineLevel="0" collapsed="false">
      <c r="A321" s="1" t="n">
        <v>7127</v>
      </c>
      <c r="B321" s="1" t="s">
        <v>45</v>
      </c>
      <c r="C321" s="1" t="s">
        <v>450</v>
      </c>
      <c r="D321" s="1" t="s">
        <v>119</v>
      </c>
      <c r="E321" s="1" t="n">
        <v>5</v>
      </c>
      <c r="F321" s="1" t="n">
        <v>5</v>
      </c>
      <c r="G321" s="1" t="n">
        <v>10</v>
      </c>
    </row>
    <row r="322" customFormat="false" ht="14.25" hidden="false" customHeight="true" outlineLevel="0" collapsed="false">
      <c r="A322" s="1" t="n">
        <v>5998</v>
      </c>
      <c r="B322" s="1" t="s">
        <v>45</v>
      </c>
      <c r="C322" s="1" t="s">
        <v>451</v>
      </c>
      <c r="D322" s="1" t="s">
        <v>152</v>
      </c>
      <c r="E322" s="1" t="n">
        <v>5</v>
      </c>
      <c r="F322" s="1" t="n">
        <v>5</v>
      </c>
      <c r="G322" s="1" t="n">
        <v>13</v>
      </c>
    </row>
    <row r="323" customFormat="false" ht="14.25" hidden="false" customHeight="true" outlineLevel="0" collapsed="false">
      <c r="A323" s="1" t="n">
        <v>7409</v>
      </c>
      <c r="B323" s="1" t="s">
        <v>45</v>
      </c>
      <c r="C323" s="1" t="s">
        <v>452</v>
      </c>
      <c r="D323" s="1" t="s">
        <v>137</v>
      </c>
      <c r="E323" s="1" t="n">
        <v>5</v>
      </c>
      <c r="F323" s="1" t="n">
        <v>5</v>
      </c>
      <c r="G323" s="1" t="n">
        <v>14</v>
      </c>
    </row>
    <row r="324" customFormat="false" ht="14.25" hidden="false" customHeight="true" outlineLevel="0" collapsed="false">
      <c r="A324" s="1" t="n">
        <v>2857</v>
      </c>
      <c r="B324" s="1" t="s">
        <v>45</v>
      </c>
      <c r="C324" s="1" t="s">
        <v>453</v>
      </c>
      <c r="D324" s="1" t="s">
        <v>137</v>
      </c>
      <c r="E324" s="1" t="n">
        <v>5</v>
      </c>
      <c r="F324" s="1" t="n">
        <v>5</v>
      </c>
      <c r="G324" s="1" t="n">
        <v>11</v>
      </c>
    </row>
    <row r="325" customFormat="false" ht="14.25" hidden="false" customHeight="true" outlineLevel="0" collapsed="false">
      <c r="A325" s="1" t="n">
        <v>2529</v>
      </c>
      <c r="B325" s="1" t="s">
        <v>45</v>
      </c>
      <c r="C325" s="1" t="s">
        <v>454</v>
      </c>
      <c r="D325" s="1" t="s">
        <v>115</v>
      </c>
      <c r="E325" s="1" t="n">
        <v>5</v>
      </c>
      <c r="F325" s="1" t="n">
        <v>5</v>
      </c>
      <c r="G325" s="1" t="n">
        <v>19</v>
      </c>
    </row>
    <row r="326" customFormat="false" ht="14.25" hidden="false" customHeight="true" outlineLevel="0" collapsed="false">
      <c r="A326" s="1" t="n">
        <v>5685</v>
      </c>
      <c r="B326" s="1" t="s">
        <v>45</v>
      </c>
      <c r="C326" s="1" t="s">
        <v>455</v>
      </c>
      <c r="D326" s="1" t="s">
        <v>131</v>
      </c>
      <c r="E326" s="1" t="n">
        <v>5</v>
      </c>
      <c r="F326" s="1" t="n">
        <v>5</v>
      </c>
      <c r="G326" s="1" t="n">
        <v>14</v>
      </c>
    </row>
    <row r="327" customFormat="false" ht="14.25" hidden="false" customHeight="true" outlineLevel="0" collapsed="false">
      <c r="A327" s="1" t="n">
        <v>6629</v>
      </c>
      <c r="B327" s="1" t="s">
        <v>45</v>
      </c>
      <c r="C327" s="1" t="s">
        <v>456</v>
      </c>
      <c r="D327" s="1" t="s">
        <v>133</v>
      </c>
      <c r="E327" s="1" t="n">
        <v>5</v>
      </c>
      <c r="F327" s="1" t="n">
        <v>5</v>
      </c>
      <c r="G327" s="1" t="n">
        <v>13</v>
      </c>
    </row>
    <row r="328" customFormat="false" ht="14.25" hidden="false" customHeight="true" outlineLevel="0" collapsed="false">
      <c r="A328" s="1" t="n">
        <v>6015</v>
      </c>
      <c r="B328" s="1" t="s">
        <v>45</v>
      </c>
      <c r="C328" s="1" t="s">
        <v>457</v>
      </c>
      <c r="D328" s="1" t="s">
        <v>139</v>
      </c>
      <c r="E328" s="1" t="n">
        <v>5</v>
      </c>
      <c r="F328" s="1" t="n">
        <v>5</v>
      </c>
      <c r="G328" s="1" t="n">
        <v>16</v>
      </c>
    </row>
    <row r="329" customFormat="false" ht="14.25" hidden="false" customHeight="true" outlineLevel="0" collapsed="false">
      <c r="A329" s="1" t="n">
        <v>7318</v>
      </c>
      <c r="B329" s="1" t="s">
        <v>45</v>
      </c>
      <c r="C329" s="1" t="s">
        <v>458</v>
      </c>
      <c r="D329" s="1" t="s">
        <v>139</v>
      </c>
      <c r="E329" s="1" t="n">
        <v>5</v>
      </c>
      <c r="F329" s="1" t="n">
        <v>5</v>
      </c>
      <c r="G329" s="1" t="n">
        <v>14</v>
      </c>
    </row>
    <row r="330" customFormat="false" ht="14.25" hidden="false" customHeight="true" outlineLevel="0" collapsed="false">
      <c r="A330" s="1" t="n">
        <v>4686</v>
      </c>
      <c r="B330" s="1" t="s">
        <v>45</v>
      </c>
      <c r="C330" s="1" t="s">
        <v>459</v>
      </c>
      <c r="D330" s="1" t="s">
        <v>121</v>
      </c>
      <c r="E330" s="1" t="n">
        <v>5</v>
      </c>
      <c r="F330" s="1" t="n">
        <v>5</v>
      </c>
      <c r="G330" s="1" t="n">
        <v>23</v>
      </c>
    </row>
    <row r="331" customFormat="false" ht="14.25" hidden="false" customHeight="true" outlineLevel="0" collapsed="false">
      <c r="A331" s="1" t="n">
        <v>6898</v>
      </c>
      <c r="B331" s="1" t="s">
        <v>45</v>
      </c>
      <c r="C331" s="1" t="s">
        <v>460</v>
      </c>
      <c r="D331" s="1" t="s">
        <v>141</v>
      </c>
      <c r="E331" s="1" t="n">
        <v>5</v>
      </c>
      <c r="F331" s="1" t="n">
        <v>5</v>
      </c>
      <c r="G331" s="1" t="n">
        <v>15</v>
      </c>
    </row>
    <row r="332" customFormat="false" ht="14.25" hidden="false" customHeight="true" outlineLevel="0" collapsed="false">
      <c r="A332" s="1" t="n">
        <v>6984</v>
      </c>
      <c r="B332" s="1" t="s">
        <v>45</v>
      </c>
      <c r="C332" s="1" t="s">
        <v>461</v>
      </c>
      <c r="D332" s="1" t="s">
        <v>141</v>
      </c>
      <c r="E332" s="1" t="n">
        <v>5</v>
      </c>
      <c r="F332" s="1" t="n">
        <v>5</v>
      </c>
      <c r="G332" s="1" t="n">
        <v>18</v>
      </c>
    </row>
    <row r="333" customFormat="false" ht="14.25" hidden="false" customHeight="true" outlineLevel="0" collapsed="false">
      <c r="A333" s="1" t="n">
        <v>6190</v>
      </c>
      <c r="B333" s="1" t="s">
        <v>45</v>
      </c>
      <c r="C333" s="1" t="s">
        <v>462</v>
      </c>
      <c r="D333" s="1" t="s">
        <v>113</v>
      </c>
      <c r="E333" s="1" t="n">
        <v>5</v>
      </c>
      <c r="F333" s="1" t="n">
        <v>5</v>
      </c>
      <c r="G333" s="1" t="n">
        <v>17</v>
      </c>
    </row>
    <row r="334" customFormat="false" ht="14.25" hidden="false" customHeight="true" outlineLevel="0" collapsed="false">
      <c r="A334" s="1" t="n">
        <v>2528</v>
      </c>
      <c r="B334" s="1" t="s">
        <v>45</v>
      </c>
      <c r="C334" s="1" t="s">
        <v>463</v>
      </c>
      <c r="D334" s="1" t="s">
        <v>144</v>
      </c>
      <c r="E334" s="1" t="n">
        <v>5</v>
      </c>
      <c r="F334" s="1" t="n">
        <v>5</v>
      </c>
      <c r="G334" s="1" t="n">
        <v>15</v>
      </c>
    </row>
    <row r="335" customFormat="false" ht="14.25" hidden="false" customHeight="true" outlineLevel="0" collapsed="false">
      <c r="A335" s="1" t="n">
        <v>6677</v>
      </c>
      <c r="B335" s="1" t="s">
        <v>45</v>
      </c>
      <c r="C335" s="1" t="s">
        <v>464</v>
      </c>
      <c r="D335" s="1" t="s">
        <v>144</v>
      </c>
      <c r="E335" s="1" t="n">
        <v>5</v>
      </c>
      <c r="F335" s="1" t="n">
        <v>5</v>
      </c>
      <c r="G335" s="1" t="n">
        <v>14</v>
      </c>
    </row>
    <row r="336" customFormat="false" ht="14.25" hidden="false" customHeight="true" outlineLevel="0" collapsed="false">
      <c r="A336" s="1" t="n">
        <v>7036</v>
      </c>
      <c r="B336" s="1" t="s">
        <v>45</v>
      </c>
      <c r="C336" s="1" t="s">
        <v>465</v>
      </c>
      <c r="D336" s="1" t="s">
        <v>144</v>
      </c>
      <c r="E336" s="1" t="n">
        <v>5</v>
      </c>
      <c r="F336" s="1" t="n">
        <v>5</v>
      </c>
      <c r="G336" s="1" t="n">
        <v>16</v>
      </c>
    </row>
    <row r="337" customFormat="false" ht="14.25" hidden="false" customHeight="true" outlineLevel="0" collapsed="false">
      <c r="A337" s="1" t="n">
        <v>7060</v>
      </c>
      <c r="B337" s="1" t="s">
        <v>45</v>
      </c>
      <c r="C337" s="1" t="s">
        <v>466</v>
      </c>
      <c r="D337" s="1" t="s">
        <v>184</v>
      </c>
      <c r="E337" s="1" t="n">
        <v>5</v>
      </c>
      <c r="F337" s="1" t="n">
        <v>5</v>
      </c>
      <c r="G337" s="1" t="n">
        <v>18</v>
      </c>
    </row>
    <row r="338" customFormat="false" ht="14.25" hidden="false" customHeight="true" outlineLevel="0" collapsed="false">
      <c r="A338" s="1" t="n">
        <v>6170</v>
      </c>
      <c r="B338" s="1" t="s">
        <v>45</v>
      </c>
      <c r="C338" s="1" t="s">
        <v>467</v>
      </c>
      <c r="D338" s="1" t="s">
        <v>184</v>
      </c>
      <c r="E338" s="1" t="n">
        <v>5</v>
      </c>
      <c r="F338" s="1" t="n">
        <v>5</v>
      </c>
      <c r="G338" s="1" t="n">
        <v>13</v>
      </c>
    </row>
    <row r="339" customFormat="false" ht="14.25" hidden="false" customHeight="true" outlineLevel="0" collapsed="false">
      <c r="A339" s="1" t="n">
        <v>7198</v>
      </c>
      <c r="B339" s="1" t="s">
        <v>45</v>
      </c>
      <c r="C339" s="1" t="s">
        <v>468</v>
      </c>
      <c r="D339" s="1" t="s">
        <v>135</v>
      </c>
      <c r="E339" s="1" t="n">
        <v>5</v>
      </c>
      <c r="F339" s="1" t="n">
        <v>5</v>
      </c>
      <c r="G339" s="1" t="n">
        <v>15</v>
      </c>
    </row>
    <row r="340" customFormat="false" ht="14.25" hidden="false" customHeight="true" outlineLevel="0" collapsed="false">
      <c r="A340" s="1" t="n">
        <v>5507</v>
      </c>
      <c r="B340" s="1" t="s">
        <v>45</v>
      </c>
      <c r="C340" s="1" t="s">
        <v>469</v>
      </c>
      <c r="D340" s="1" t="s">
        <v>147</v>
      </c>
      <c r="E340" s="1" t="n">
        <v>5</v>
      </c>
      <c r="F340" s="1" t="n">
        <v>5</v>
      </c>
      <c r="G340" s="1" t="n">
        <v>14</v>
      </c>
    </row>
    <row r="341" customFormat="false" ht="14.25" hidden="false" customHeight="true" outlineLevel="0" collapsed="false">
      <c r="A341" s="1" t="n">
        <v>5319</v>
      </c>
      <c r="B341" s="1" t="s">
        <v>45</v>
      </c>
      <c r="C341" s="1" t="s">
        <v>470</v>
      </c>
      <c r="D341" s="1" t="s">
        <v>147</v>
      </c>
      <c r="E341" s="1" t="n">
        <v>5</v>
      </c>
      <c r="F341" s="1" t="n">
        <v>5</v>
      </c>
      <c r="G341" s="1" t="n">
        <v>14</v>
      </c>
    </row>
    <row r="342" customFormat="false" ht="14.25" hidden="false" customHeight="true" outlineLevel="0" collapsed="false">
      <c r="A342" s="1" t="n">
        <v>6994</v>
      </c>
      <c r="B342" s="1" t="s">
        <v>45</v>
      </c>
      <c r="C342" s="1" t="s">
        <v>471</v>
      </c>
      <c r="D342" s="1" t="s">
        <v>147</v>
      </c>
      <c r="E342" s="1" t="n">
        <v>5</v>
      </c>
      <c r="F342" s="1" t="n">
        <v>5</v>
      </c>
      <c r="G342" s="1" t="n">
        <v>14</v>
      </c>
    </row>
    <row r="343" customFormat="false" ht="14.25" hidden="false" customHeight="true" outlineLevel="0" collapsed="false">
      <c r="A343" s="1" t="n">
        <v>22</v>
      </c>
      <c r="B343" s="1" t="s">
        <v>45</v>
      </c>
      <c r="C343" s="1" t="s">
        <v>472</v>
      </c>
      <c r="D343" s="1" t="s">
        <v>117</v>
      </c>
      <c r="E343" s="1" t="n">
        <v>4</v>
      </c>
      <c r="F343" s="1" t="n">
        <v>4</v>
      </c>
      <c r="G343" s="1" t="n">
        <v>12</v>
      </c>
    </row>
    <row r="344" customFormat="false" ht="14.25" hidden="false" customHeight="true" outlineLevel="0" collapsed="false">
      <c r="A344" s="1" t="n">
        <v>6054</v>
      </c>
      <c r="B344" s="1" t="s">
        <v>45</v>
      </c>
      <c r="C344" s="1" t="s">
        <v>473</v>
      </c>
      <c r="D344" s="1" t="s">
        <v>127</v>
      </c>
      <c r="E344" s="1" t="n">
        <v>4</v>
      </c>
      <c r="F344" s="1" t="n">
        <v>4</v>
      </c>
      <c r="G344" s="1" t="n">
        <v>10</v>
      </c>
    </row>
    <row r="345" customFormat="false" ht="14.25" hidden="false" customHeight="true" outlineLevel="0" collapsed="false">
      <c r="A345" s="1" t="n">
        <v>6424</v>
      </c>
      <c r="B345" s="1" t="s">
        <v>45</v>
      </c>
      <c r="C345" s="1" t="s">
        <v>474</v>
      </c>
      <c r="D345" s="1" t="s">
        <v>129</v>
      </c>
      <c r="E345" s="1" t="n">
        <v>4</v>
      </c>
      <c r="F345" s="1" t="n">
        <v>4</v>
      </c>
      <c r="G345" s="1" t="n">
        <v>7</v>
      </c>
    </row>
    <row r="346" customFormat="false" ht="14.25" hidden="false" customHeight="true" outlineLevel="0" collapsed="false">
      <c r="A346" s="1" t="n">
        <v>6206</v>
      </c>
      <c r="B346" s="1" t="s">
        <v>45</v>
      </c>
      <c r="C346" s="1" t="s">
        <v>475</v>
      </c>
      <c r="D346" s="1" t="s">
        <v>123</v>
      </c>
      <c r="E346" s="1" t="n">
        <v>4</v>
      </c>
      <c r="F346" s="1" t="n">
        <v>4</v>
      </c>
      <c r="G346" s="1" t="n">
        <v>8</v>
      </c>
    </row>
    <row r="347" customFormat="false" ht="14.25" hidden="false" customHeight="true" outlineLevel="0" collapsed="false">
      <c r="A347" s="1" t="n">
        <v>7473</v>
      </c>
      <c r="B347" s="1" t="s">
        <v>45</v>
      </c>
      <c r="C347" s="1" t="s">
        <v>476</v>
      </c>
      <c r="D347" s="1" t="s">
        <v>152</v>
      </c>
      <c r="E347" s="1" t="n">
        <v>4</v>
      </c>
      <c r="F347" s="1" t="n">
        <v>4</v>
      </c>
      <c r="G347" s="1" t="n">
        <v>11</v>
      </c>
    </row>
    <row r="348" customFormat="false" ht="14.25" hidden="false" customHeight="true" outlineLevel="0" collapsed="false">
      <c r="A348" s="1" t="n">
        <v>7474</v>
      </c>
      <c r="B348" s="1" t="s">
        <v>45</v>
      </c>
      <c r="C348" s="1" t="s">
        <v>477</v>
      </c>
      <c r="D348" s="1" t="s">
        <v>152</v>
      </c>
      <c r="E348" s="1" t="n">
        <v>4</v>
      </c>
      <c r="F348" s="1" t="n">
        <v>4</v>
      </c>
      <c r="G348" s="1" t="n">
        <v>12</v>
      </c>
    </row>
    <row r="349" customFormat="false" ht="14.25" hidden="false" customHeight="true" outlineLevel="0" collapsed="false">
      <c r="A349" s="1" t="n">
        <v>7341</v>
      </c>
      <c r="B349" s="1" t="s">
        <v>45</v>
      </c>
      <c r="C349" s="1" t="s">
        <v>478</v>
      </c>
      <c r="D349" s="1" t="s">
        <v>137</v>
      </c>
      <c r="E349" s="1" t="n">
        <v>4</v>
      </c>
      <c r="F349" s="1" t="n">
        <v>4</v>
      </c>
      <c r="G349" s="1" t="n">
        <v>11</v>
      </c>
    </row>
    <row r="350" customFormat="false" ht="14.25" hidden="false" customHeight="true" outlineLevel="0" collapsed="false">
      <c r="A350" s="1" t="n">
        <v>5301</v>
      </c>
      <c r="B350" s="1" t="s">
        <v>45</v>
      </c>
      <c r="C350" s="1" t="s">
        <v>479</v>
      </c>
      <c r="D350" s="1" t="s">
        <v>115</v>
      </c>
      <c r="E350" s="1" t="n">
        <v>4</v>
      </c>
      <c r="F350" s="1" t="n">
        <v>4</v>
      </c>
      <c r="G350" s="1" t="n">
        <v>13</v>
      </c>
    </row>
    <row r="351" customFormat="false" ht="14.25" hidden="false" customHeight="true" outlineLevel="0" collapsed="false">
      <c r="A351" s="1" t="n">
        <v>4911</v>
      </c>
      <c r="B351" s="1" t="s">
        <v>45</v>
      </c>
      <c r="C351" s="1" t="s">
        <v>480</v>
      </c>
      <c r="D351" s="1" t="s">
        <v>131</v>
      </c>
      <c r="E351" s="1" t="n">
        <v>4</v>
      </c>
      <c r="F351" s="1" t="n">
        <v>4</v>
      </c>
      <c r="G351" s="1" t="n">
        <v>12</v>
      </c>
    </row>
    <row r="352" customFormat="false" ht="14.25" hidden="false" customHeight="true" outlineLevel="0" collapsed="false">
      <c r="A352" s="1" t="n">
        <v>333</v>
      </c>
      <c r="B352" s="1" t="s">
        <v>45</v>
      </c>
      <c r="C352" s="1" t="s">
        <v>481</v>
      </c>
      <c r="D352" s="1" t="s">
        <v>133</v>
      </c>
      <c r="E352" s="1" t="n">
        <v>4</v>
      </c>
      <c r="F352" s="1" t="n">
        <v>4</v>
      </c>
      <c r="G352" s="1" t="n">
        <v>12</v>
      </c>
    </row>
    <row r="353" customFormat="false" ht="14.25" hidden="false" customHeight="true" outlineLevel="0" collapsed="false">
      <c r="A353" s="1" t="n">
        <v>7322</v>
      </c>
      <c r="B353" s="1" t="s">
        <v>45</v>
      </c>
      <c r="C353" s="1" t="s">
        <v>482</v>
      </c>
      <c r="D353" s="1" t="s">
        <v>139</v>
      </c>
      <c r="E353" s="1" t="n">
        <v>4</v>
      </c>
      <c r="F353" s="1" t="n">
        <v>4</v>
      </c>
      <c r="G353" s="1" t="n">
        <v>11</v>
      </c>
    </row>
    <row r="354" customFormat="false" ht="14.25" hidden="false" customHeight="true" outlineLevel="0" collapsed="false">
      <c r="A354" s="1" t="n">
        <v>5453</v>
      </c>
      <c r="B354" s="1" t="s">
        <v>45</v>
      </c>
      <c r="C354" s="1" t="s">
        <v>483</v>
      </c>
      <c r="D354" s="1" t="s">
        <v>121</v>
      </c>
      <c r="E354" s="1" t="n">
        <v>4</v>
      </c>
      <c r="F354" s="1" t="n">
        <v>4</v>
      </c>
      <c r="G354" s="1" t="n">
        <v>11</v>
      </c>
    </row>
    <row r="355" customFormat="false" ht="14.25" hidden="false" customHeight="true" outlineLevel="0" collapsed="false">
      <c r="A355" s="1" t="n">
        <v>7203</v>
      </c>
      <c r="B355" s="1" t="s">
        <v>45</v>
      </c>
      <c r="C355" s="1" t="s">
        <v>484</v>
      </c>
      <c r="D355" s="1" t="s">
        <v>121</v>
      </c>
      <c r="E355" s="1" t="n">
        <v>4</v>
      </c>
      <c r="F355" s="1" t="n">
        <v>4</v>
      </c>
      <c r="G355" s="1" t="n">
        <v>11</v>
      </c>
    </row>
    <row r="356" customFormat="false" ht="14.25" hidden="false" customHeight="true" outlineLevel="0" collapsed="false">
      <c r="A356" s="1" t="n">
        <v>4199</v>
      </c>
      <c r="B356" s="1" t="s">
        <v>45</v>
      </c>
      <c r="C356" s="1" t="s">
        <v>485</v>
      </c>
      <c r="D356" s="1" t="s">
        <v>121</v>
      </c>
      <c r="E356" s="1" t="n">
        <v>4</v>
      </c>
      <c r="F356" s="1" t="n">
        <v>4</v>
      </c>
      <c r="G356" s="1" t="n">
        <v>11</v>
      </c>
    </row>
    <row r="357" customFormat="false" ht="14.25" hidden="false" customHeight="true" outlineLevel="0" collapsed="false">
      <c r="A357" s="1" t="n">
        <v>6252</v>
      </c>
      <c r="B357" s="1" t="s">
        <v>45</v>
      </c>
      <c r="C357" s="1" t="s">
        <v>486</v>
      </c>
      <c r="D357" s="1" t="s">
        <v>125</v>
      </c>
      <c r="E357" s="1" t="n">
        <v>4</v>
      </c>
      <c r="F357" s="1" t="n">
        <v>4</v>
      </c>
      <c r="G357" s="1" t="n">
        <v>10</v>
      </c>
    </row>
    <row r="358" customFormat="false" ht="14.25" hidden="false" customHeight="true" outlineLevel="0" collapsed="false">
      <c r="A358" s="1" t="n">
        <v>6207</v>
      </c>
      <c r="B358" s="1" t="s">
        <v>45</v>
      </c>
      <c r="C358" s="1" t="s">
        <v>487</v>
      </c>
      <c r="D358" s="1" t="s">
        <v>141</v>
      </c>
      <c r="E358" s="1" t="n">
        <v>4</v>
      </c>
      <c r="F358" s="1" t="n">
        <v>4</v>
      </c>
      <c r="G358" s="1" t="n">
        <v>14</v>
      </c>
    </row>
    <row r="359" customFormat="false" ht="14.25" hidden="false" customHeight="true" outlineLevel="0" collapsed="false">
      <c r="A359" s="1" t="n">
        <v>6271</v>
      </c>
      <c r="B359" s="1" t="s">
        <v>45</v>
      </c>
      <c r="C359" s="1" t="s">
        <v>488</v>
      </c>
      <c r="D359" s="1" t="s">
        <v>113</v>
      </c>
      <c r="E359" s="1" t="n">
        <v>4</v>
      </c>
      <c r="F359" s="1" t="n">
        <v>4</v>
      </c>
      <c r="G359" s="1" t="n">
        <v>18</v>
      </c>
    </row>
    <row r="360" customFormat="false" ht="14.25" hidden="false" customHeight="true" outlineLevel="0" collapsed="false">
      <c r="A360" s="1" t="n">
        <v>7535</v>
      </c>
      <c r="B360" s="1" t="s">
        <v>45</v>
      </c>
      <c r="C360" s="1" t="s">
        <v>489</v>
      </c>
      <c r="D360" s="1" t="s">
        <v>184</v>
      </c>
      <c r="E360" s="1" t="n">
        <v>4</v>
      </c>
      <c r="F360" s="1" t="n">
        <v>4</v>
      </c>
      <c r="G360" s="1" t="n">
        <v>13</v>
      </c>
    </row>
    <row r="361" customFormat="false" ht="14.25" hidden="false" customHeight="true" outlineLevel="0" collapsed="false">
      <c r="A361" s="1" t="n">
        <v>6005</v>
      </c>
      <c r="B361" s="1" t="s">
        <v>45</v>
      </c>
      <c r="C361" s="1" t="s">
        <v>490</v>
      </c>
      <c r="D361" s="1" t="s">
        <v>184</v>
      </c>
      <c r="E361" s="1" t="n">
        <v>4</v>
      </c>
      <c r="F361" s="1" t="n">
        <v>4</v>
      </c>
      <c r="G361" s="1" t="n">
        <v>10</v>
      </c>
    </row>
    <row r="362" customFormat="false" ht="14.25" hidden="false" customHeight="true" outlineLevel="0" collapsed="false">
      <c r="A362" s="1" t="n">
        <v>6827</v>
      </c>
      <c r="B362" s="1" t="s">
        <v>45</v>
      </c>
      <c r="C362" s="1" t="s">
        <v>491</v>
      </c>
      <c r="D362" s="1" t="s">
        <v>184</v>
      </c>
      <c r="E362" s="1" t="n">
        <v>4</v>
      </c>
      <c r="F362" s="1" t="n">
        <v>4</v>
      </c>
      <c r="G362" s="1" t="n">
        <v>12</v>
      </c>
    </row>
    <row r="363" customFormat="false" ht="14.25" hidden="false" customHeight="true" outlineLevel="0" collapsed="false">
      <c r="A363" s="1" t="n">
        <v>6024</v>
      </c>
      <c r="B363" s="1" t="s">
        <v>45</v>
      </c>
      <c r="C363" s="1" t="s">
        <v>492</v>
      </c>
      <c r="D363" s="1" t="s">
        <v>117</v>
      </c>
      <c r="E363" s="1" t="n">
        <v>3</v>
      </c>
      <c r="F363" s="1" t="n">
        <v>3</v>
      </c>
      <c r="G363" s="1" t="n">
        <v>7</v>
      </c>
    </row>
    <row r="364" customFormat="false" ht="14.25" hidden="false" customHeight="true" outlineLevel="0" collapsed="false">
      <c r="A364" s="1" t="n">
        <v>6895</v>
      </c>
      <c r="B364" s="1" t="s">
        <v>45</v>
      </c>
      <c r="C364" s="1" t="s">
        <v>493</v>
      </c>
      <c r="D364" s="1" t="s">
        <v>127</v>
      </c>
      <c r="E364" s="1" t="n">
        <v>3</v>
      </c>
      <c r="F364" s="1" t="n">
        <v>3</v>
      </c>
      <c r="G364" s="1" t="n">
        <v>8</v>
      </c>
    </row>
    <row r="365" customFormat="false" ht="14.25" hidden="false" customHeight="true" outlineLevel="0" collapsed="false">
      <c r="A365" s="1" t="n">
        <v>1871</v>
      </c>
      <c r="B365" s="1" t="s">
        <v>45</v>
      </c>
      <c r="C365" s="1" t="s">
        <v>494</v>
      </c>
      <c r="D365" s="1" t="s">
        <v>129</v>
      </c>
      <c r="E365" s="1" t="n">
        <v>3</v>
      </c>
      <c r="F365" s="1" t="n">
        <v>3</v>
      </c>
      <c r="G365" s="1" t="n">
        <v>8</v>
      </c>
    </row>
    <row r="366" customFormat="false" ht="14.25" hidden="false" customHeight="true" outlineLevel="0" collapsed="false">
      <c r="A366" s="1" t="n">
        <v>4947</v>
      </c>
      <c r="B366" s="1" t="s">
        <v>45</v>
      </c>
      <c r="C366" s="1" t="s">
        <v>495</v>
      </c>
      <c r="D366" s="1" t="s">
        <v>123</v>
      </c>
      <c r="E366" s="1" t="n">
        <v>3</v>
      </c>
      <c r="F366" s="1" t="n">
        <v>3</v>
      </c>
      <c r="G366" s="1" t="n">
        <v>7</v>
      </c>
    </row>
    <row r="367" customFormat="false" ht="14.25" hidden="false" customHeight="true" outlineLevel="0" collapsed="false">
      <c r="A367" s="1" t="n">
        <v>6241</v>
      </c>
      <c r="B367" s="1" t="s">
        <v>45</v>
      </c>
      <c r="C367" s="1" t="s">
        <v>496</v>
      </c>
      <c r="D367" s="1" t="s">
        <v>152</v>
      </c>
      <c r="E367" s="1" t="n">
        <v>3</v>
      </c>
      <c r="F367" s="1" t="n">
        <v>3</v>
      </c>
      <c r="G367" s="1" t="n">
        <v>8</v>
      </c>
    </row>
    <row r="368" customFormat="false" ht="14.25" hidden="false" customHeight="true" outlineLevel="0" collapsed="false">
      <c r="A368" s="1" t="n">
        <v>6506</v>
      </c>
      <c r="B368" s="1" t="s">
        <v>45</v>
      </c>
      <c r="C368" s="1" t="s">
        <v>497</v>
      </c>
      <c r="D368" s="1" t="s">
        <v>152</v>
      </c>
      <c r="E368" s="1" t="n">
        <v>3</v>
      </c>
      <c r="F368" s="1" t="n">
        <v>3</v>
      </c>
      <c r="G368" s="1" t="n">
        <v>9</v>
      </c>
    </row>
    <row r="369" customFormat="false" ht="14.25" hidden="false" customHeight="true" outlineLevel="0" collapsed="false">
      <c r="A369" s="1" t="n">
        <v>4970</v>
      </c>
      <c r="B369" s="1" t="s">
        <v>45</v>
      </c>
      <c r="C369" s="1" t="s">
        <v>498</v>
      </c>
      <c r="D369" s="1" t="s">
        <v>137</v>
      </c>
      <c r="E369" s="1" t="n">
        <v>3</v>
      </c>
      <c r="F369" s="1" t="n">
        <v>3</v>
      </c>
      <c r="G369" s="1" t="n">
        <v>8</v>
      </c>
    </row>
    <row r="370" customFormat="false" ht="14.25" hidden="false" customHeight="true" outlineLevel="0" collapsed="false">
      <c r="A370" s="1" t="n">
        <v>6503</v>
      </c>
      <c r="B370" s="1" t="s">
        <v>45</v>
      </c>
      <c r="C370" s="1" t="s">
        <v>499</v>
      </c>
      <c r="D370" s="1" t="s">
        <v>115</v>
      </c>
      <c r="E370" s="1" t="n">
        <v>3</v>
      </c>
      <c r="F370" s="1" t="n">
        <v>3</v>
      </c>
      <c r="G370" s="1" t="n">
        <v>10</v>
      </c>
    </row>
    <row r="371" customFormat="false" ht="14.25" hidden="false" customHeight="true" outlineLevel="0" collapsed="false">
      <c r="A371" s="1" t="n">
        <v>5813</v>
      </c>
      <c r="B371" s="1" t="s">
        <v>45</v>
      </c>
      <c r="C371" s="1" t="s">
        <v>500</v>
      </c>
      <c r="D371" s="1" t="s">
        <v>131</v>
      </c>
      <c r="E371" s="1" t="n">
        <v>3</v>
      </c>
      <c r="F371" s="1" t="n">
        <v>3</v>
      </c>
      <c r="G371" s="1" t="n">
        <v>11</v>
      </c>
    </row>
    <row r="372" customFormat="false" ht="14.25" hidden="false" customHeight="true" outlineLevel="0" collapsed="false">
      <c r="A372" s="1" t="n">
        <v>7477</v>
      </c>
      <c r="B372" s="1" t="s">
        <v>45</v>
      </c>
      <c r="C372" s="1" t="s">
        <v>501</v>
      </c>
      <c r="D372" s="1" t="s">
        <v>149</v>
      </c>
      <c r="E372" s="1" t="n">
        <v>3</v>
      </c>
      <c r="F372" s="1" t="n">
        <v>3</v>
      </c>
      <c r="G372" s="1" t="n">
        <v>7</v>
      </c>
    </row>
    <row r="373" customFormat="false" ht="14.25" hidden="false" customHeight="true" outlineLevel="0" collapsed="false">
      <c r="A373" s="1" t="n">
        <v>5131</v>
      </c>
      <c r="B373" s="1" t="s">
        <v>45</v>
      </c>
      <c r="C373" s="1" t="s">
        <v>502</v>
      </c>
      <c r="D373" s="1" t="s">
        <v>125</v>
      </c>
      <c r="E373" s="1" t="n">
        <v>3</v>
      </c>
      <c r="F373" s="1" t="n">
        <v>3</v>
      </c>
      <c r="G373" s="1" t="n">
        <v>9</v>
      </c>
    </row>
    <row r="374" customFormat="false" ht="14.25" hidden="false" customHeight="true" outlineLevel="0" collapsed="false">
      <c r="A374" s="1" t="n">
        <v>7209</v>
      </c>
      <c r="B374" s="1" t="s">
        <v>45</v>
      </c>
      <c r="C374" s="1" t="s">
        <v>503</v>
      </c>
      <c r="D374" s="1" t="s">
        <v>141</v>
      </c>
      <c r="E374" s="1" t="n">
        <v>3</v>
      </c>
      <c r="F374" s="1" t="n">
        <v>3</v>
      </c>
      <c r="G374" s="1" t="n">
        <v>12</v>
      </c>
    </row>
    <row r="375" customFormat="false" ht="14.25" hidden="false" customHeight="true" outlineLevel="0" collapsed="false">
      <c r="A375" s="1" t="n">
        <v>7536</v>
      </c>
      <c r="B375" s="1" t="s">
        <v>45</v>
      </c>
      <c r="C375" s="1" t="s">
        <v>504</v>
      </c>
      <c r="D375" s="1" t="s">
        <v>141</v>
      </c>
      <c r="E375" s="1" t="n">
        <v>3</v>
      </c>
      <c r="F375" s="1" t="n">
        <v>3</v>
      </c>
      <c r="G375" s="1" t="n">
        <v>12</v>
      </c>
    </row>
    <row r="376" customFormat="false" ht="14.25" hidden="false" customHeight="true" outlineLevel="0" collapsed="false">
      <c r="A376" s="1" t="n">
        <v>7183</v>
      </c>
      <c r="B376" s="1" t="s">
        <v>45</v>
      </c>
      <c r="C376" s="1" t="s">
        <v>505</v>
      </c>
      <c r="D376" s="1" t="s">
        <v>184</v>
      </c>
      <c r="E376" s="1" t="n">
        <v>3</v>
      </c>
      <c r="F376" s="1" t="n">
        <v>3</v>
      </c>
      <c r="G376" s="1" t="n">
        <v>5</v>
      </c>
    </row>
    <row r="377" customFormat="false" ht="14.25" hidden="false" customHeight="true" outlineLevel="0" collapsed="false">
      <c r="A377" s="1" t="n">
        <v>7208</v>
      </c>
      <c r="B377" s="1" t="s">
        <v>45</v>
      </c>
      <c r="C377" s="1" t="s">
        <v>506</v>
      </c>
      <c r="D377" s="1" t="s">
        <v>135</v>
      </c>
      <c r="E377" s="1" t="n">
        <v>3</v>
      </c>
      <c r="F377" s="1" t="n">
        <v>3</v>
      </c>
      <c r="G377" s="1" t="n">
        <v>12</v>
      </c>
    </row>
    <row r="378" customFormat="false" ht="14.25" hidden="false" customHeight="true" outlineLevel="0" collapsed="false">
      <c r="A378" s="1" t="n">
        <v>5872</v>
      </c>
      <c r="B378" s="1" t="s">
        <v>45</v>
      </c>
      <c r="C378" s="1" t="s">
        <v>507</v>
      </c>
      <c r="D378" s="1" t="s">
        <v>147</v>
      </c>
      <c r="E378" s="1" t="n">
        <v>3</v>
      </c>
      <c r="F378" s="1" t="n">
        <v>3</v>
      </c>
      <c r="G378" s="1" t="n">
        <v>7</v>
      </c>
    </row>
    <row r="379" customFormat="false" ht="14.25" hidden="false" customHeight="true" outlineLevel="0" collapsed="false">
      <c r="A379" s="1" t="n">
        <v>6225</v>
      </c>
      <c r="B379" s="1" t="s">
        <v>45</v>
      </c>
      <c r="C379" s="1" t="s">
        <v>508</v>
      </c>
      <c r="D379" s="1" t="s">
        <v>127</v>
      </c>
      <c r="E379" s="1" t="n">
        <v>2</v>
      </c>
      <c r="F379" s="1" t="n">
        <v>2</v>
      </c>
      <c r="G379" s="1" t="n">
        <v>4</v>
      </c>
    </row>
    <row r="380" customFormat="false" ht="14.25" hidden="false" customHeight="true" outlineLevel="0" collapsed="false">
      <c r="A380" s="1" t="n">
        <v>6815</v>
      </c>
      <c r="B380" s="1" t="s">
        <v>45</v>
      </c>
      <c r="C380" s="1" t="s">
        <v>509</v>
      </c>
      <c r="D380" s="1" t="s">
        <v>119</v>
      </c>
      <c r="E380" s="1" t="n">
        <v>2</v>
      </c>
      <c r="F380" s="1" t="n">
        <v>2</v>
      </c>
      <c r="G380" s="1" t="n">
        <v>3</v>
      </c>
    </row>
    <row r="381" customFormat="false" ht="14.25" hidden="false" customHeight="true" outlineLevel="0" collapsed="false">
      <c r="A381" s="1" t="n">
        <v>6903</v>
      </c>
      <c r="B381" s="1" t="s">
        <v>45</v>
      </c>
      <c r="C381" s="1" t="s">
        <v>510</v>
      </c>
      <c r="D381" s="1" t="s">
        <v>152</v>
      </c>
      <c r="E381" s="1" t="n">
        <v>2</v>
      </c>
      <c r="F381" s="1" t="n">
        <v>2</v>
      </c>
      <c r="G381" s="1" t="n">
        <v>5</v>
      </c>
    </row>
    <row r="382" customFormat="false" ht="14.25" hidden="false" customHeight="true" outlineLevel="0" collapsed="false">
      <c r="A382" s="1" t="n">
        <v>6917</v>
      </c>
      <c r="B382" s="1" t="s">
        <v>45</v>
      </c>
      <c r="C382" s="1" t="s">
        <v>511</v>
      </c>
      <c r="D382" s="1" t="s">
        <v>137</v>
      </c>
      <c r="E382" s="1" t="n">
        <v>2</v>
      </c>
      <c r="F382" s="1" t="n">
        <v>2</v>
      </c>
      <c r="G382" s="1" t="n">
        <v>4</v>
      </c>
    </row>
    <row r="383" customFormat="false" ht="14.25" hidden="false" customHeight="true" outlineLevel="0" collapsed="false">
      <c r="A383" s="1" t="n">
        <v>6980</v>
      </c>
      <c r="B383" s="1" t="s">
        <v>45</v>
      </c>
      <c r="C383" s="1" t="s">
        <v>512</v>
      </c>
      <c r="D383" s="1" t="s">
        <v>137</v>
      </c>
      <c r="E383" s="1" t="n">
        <v>2</v>
      </c>
      <c r="F383" s="1" t="n">
        <v>2</v>
      </c>
      <c r="G383" s="1" t="n">
        <v>6</v>
      </c>
    </row>
    <row r="384" customFormat="false" ht="14.25" hidden="false" customHeight="true" outlineLevel="0" collapsed="false">
      <c r="A384" s="1" t="n">
        <v>5457</v>
      </c>
      <c r="B384" s="1" t="s">
        <v>45</v>
      </c>
      <c r="C384" s="1" t="s">
        <v>513</v>
      </c>
      <c r="D384" s="1" t="s">
        <v>139</v>
      </c>
      <c r="E384" s="1" t="n">
        <v>2</v>
      </c>
      <c r="F384" s="1" t="n">
        <v>2</v>
      </c>
      <c r="G384" s="1" t="n">
        <v>5</v>
      </c>
    </row>
    <row r="385" customFormat="false" ht="14.25" hidden="false" customHeight="true" outlineLevel="0" collapsed="false">
      <c r="A385" s="1" t="n">
        <v>5295</v>
      </c>
      <c r="B385" s="1" t="s">
        <v>45</v>
      </c>
      <c r="C385" s="1" t="s">
        <v>514</v>
      </c>
      <c r="D385" s="1" t="s">
        <v>121</v>
      </c>
      <c r="E385" s="1" t="n">
        <v>2</v>
      </c>
      <c r="F385" s="1" t="n">
        <v>2</v>
      </c>
      <c r="G385" s="1" t="n">
        <v>6</v>
      </c>
    </row>
    <row r="386" customFormat="false" ht="14.25" hidden="false" customHeight="true" outlineLevel="0" collapsed="false">
      <c r="A386" s="1" t="n">
        <v>5880</v>
      </c>
      <c r="B386" s="1" t="s">
        <v>45</v>
      </c>
      <c r="C386" s="1" t="s">
        <v>515</v>
      </c>
      <c r="D386" s="1" t="s">
        <v>149</v>
      </c>
      <c r="E386" s="1" t="n">
        <v>2</v>
      </c>
      <c r="F386" s="1" t="n">
        <v>2</v>
      </c>
      <c r="G386" s="1" t="n">
        <v>6</v>
      </c>
    </row>
    <row r="387" customFormat="false" ht="14.25" hidden="false" customHeight="true" outlineLevel="0" collapsed="false">
      <c r="A387" s="1" t="n">
        <v>7138</v>
      </c>
      <c r="B387" s="1" t="s">
        <v>45</v>
      </c>
      <c r="C387" s="1" t="s">
        <v>516</v>
      </c>
      <c r="D387" s="1" t="s">
        <v>141</v>
      </c>
      <c r="E387" s="1" t="n">
        <v>2</v>
      </c>
      <c r="F387" s="1" t="n">
        <v>2</v>
      </c>
      <c r="G387" s="1" t="n">
        <v>5</v>
      </c>
    </row>
    <row r="388" customFormat="false" ht="14.25" hidden="false" customHeight="true" outlineLevel="0" collapsed="false">
      <c r="A388" s="1" t="n">
        <v>6219</v>
      </c>
      <c r="B388" s="1" t="s">
        <v>45</v>
      </c>
      <c r="C388" s="1" t="s">
        <v>517</v>
      </c>
      <c r="D388" s="1" t="s">
        <v>144</v>
      </c>
      <c r="E388" s="1" t="n">
        <v>2</v>
      </c>
      <c r="F388" s="1" t="n">
        <v>2</v>
      </c>
      <c r="G388" s="1" t="n">
        <v>5</v>
      </c>
    </row>
    <row r="389" customFormat="false" ht="14.25" hidden="false" customHeight="true" outlineLevel="0" collapsed="false">
      <c r="A389" s="1" t="n">
        <v>6246</v>
      </c>
      <c r="B389" s="1" t="s">
        <v>45</v>
      </c>
      <c r="C389" s="1" t="s">
        <v>518</v>
      </c>
      <c r="D389" s="1" t="s">
        <v>144</v>
      </c>
      <c r="E389" s="1" t="n">
        <v>2</v>
      </c>
      <c r="F389" s="1" t="n">
        <v>2</v>
      </c>
      <c r="G389" s="1" t="n">
        <v>5</v>
      </c>
    </row>
    <row r="390" customFormat="false" ht="14.25" hidden="false" customHeight="true" outlineLevel="0" collapsed="false">
      <c r="A390" s="1" t="n">
        <v>7418</v>
      </c>
      <c r="B390" s="1" t="s">
        <v>45</v>
      </c>
      <c r="C390" s="1" t="s">
        <v>519</v>
      </c>
      <c r="D390" s="1" t="s">
        <v>135</v>
      </c>
      <c r="E390" s="1" t="n">
        <v>2</v>
      </c>
      <c r="F390" s="1" t="n">
        <v>2</v>
      </c>
      <c r="G390" s="1" t="n">
        <v>6</v>
      </c>
    </row>
    <row r="391" customFormat="false" ht="14.25" hidden="false" customHeight="true" outlineLevel="0" collapsed="false">
      <c r="A391" s="1" t="n">
        <v>526</v>
      </c>
      <c r="B391" s="1" t="s">
        <v>45</v>
      </c>
      <c r="C391" s="1" t="s">
        <v>520</v>
      </c>
      <c r="D391" s="1" t="s">
        <v>147</v>
      </c>
      <c r="E391" s="1" t="n">
        <v>2</v>
      </c>
      <c r="F391" s="1" t="n">
        <v>2</v>
      </c>
      <c r="G391" s="1" t="n">
        <v>4</v>
      </c>
    </row>
    <row r="392" customFormat="false" ht="14.25" hidden="false" customHeight="true" outlineLevel="0" collapsed="false">
      <c r="A392" s="1" t="n">
        <v>7165</v>
      </c>
      <c r="B392" s="1" t="s">
        <v>45</v>
      </c>
      <c r="C392" s="1" t="s">
        <v>521</v>
      </c>
      <c r="D392" s="1" t="s">
        <v>129</v>
      </c>
      <c r="E392" s="1" t="n">
        <v>1</v>
      </c>
      <c r="F392" s="1" t="n">
        <v>1</v>
      </c>
      <c r="G392" s="1" t="n">
        <v>1</v>
      </c>
    </row>
    <row r="393" customFormat="false" ht="14.25" hidden="false" customHeight="true" outlineLevel="0" collapsed="false">
      <c r="A393" s="1" t="n">
        <v>7357</v>
      </c>
      <c r="B393" s="1" t="s">
        <v>45</v>
      </c>
      <c r="C393" s="1" t="s">
        <v>522</v>
      </c>
      <c r="D393" s="1" t="s">
        <v>119</v>
      </c>
      <c r="E393" s="1" t="n">
        <v>1</v>
      </c>
      <c r="F393" s="1" t="n">
        <v>1</v>
      </c>
      <c r="G393" s="1" t="n">
        <v>1</v>
      </c>
    </row>
    <row r="394" customFormat="false" ht="14.25" hidden="false" customHeight="true" outlineLevel="0" collapsed="false">
      <c r="A394" s="1" t="n">
        <v>7456</v>
      </c>
      <c r="B394" s="1" t="s">
        <v>45</v>
      </c>
      <c r="C394" s="1" t="s">
        <v>523</v>
      </c>
      <c r="D394" s="1" t="s">
        <v>152</v>
      </c>
      <c r="E394" s="1" t="n">
        <v>1</v>
      </c>
      <c r="F394" s="1" t="n">
        <v>1</v>
      </c>
      <c r="G394" s="1" t="n">
        <v>3</v>
      </c>
    </row>
    <row r="395" customFormat="false" ht="14.25" hidden="false" customHeight="true" outlineLevel="0" collapsed="false">
      <c r="A395" s="1" t="n">
        <v>5725</v>
      </c>
      <c r="B395" s="1" t="s">
        <v>45</v>
      </c>
      <c r="C395" s="1" t="s">
        <v>524</v>
      </c>
      <c r="D395" s="1" t="s">
        <v>152</v>
      </c>
      <c r="E395" s="1" t="n">
        <v>1</v>
      </c>
      <c r="F395" s="1" t="n">
        <v>1</v>
      </c>
      <c r="G395" s="1" t="n">
        <v>3</v>
      </c>
    </row>
    <row r="396" customFormat="false" ht="14.25" hidden="false" customHeight="true" outlineLevel="0" collapsed="false">
      <c r="A396" s="1" t="n">
        <v>6191</v>
      </c>
      <c r="B396" s="1" t="s">
        <v>45</v>
      </c>
      <c r="C396" s="1" t="s">
        <v>525</v>
      </c>
      <c r="D396" s="1" t="s">
        <v>133</v>
      </c>
      <c r="E396" s="1" t="n">
        <v>1</v>
      </c>
      <c r="F396" s="1" t="n">
        <v>1</v>
      </c>
      <c r="G396" s="1" t="n">
        <v>5</v>
      </c>
    </row>
    <row r="397" customFormat="false" ht="14.25" hidden="false" customHeight="true" outlineLevel="0" collapsed="false">
      <c r="A397" s="1" t="n">
        <v>7345</v>
      </c>
      <c r="B397" s="1" t="s">
        <v>45</v>
      </c>
      <c r="C397" s="1" t="s">
        <v>526</v>
      </c>
      <c r="D397" s="1" t="s">
        <v>133</v>
      </c>
      <c r="E397" s="1" t="n">
        <v>1</v>
      </c>
      <c r="F397" s="1" t="n">
        <v>1</v>
      </c>
      <c r="G397" s="1" t="n">
        <v>5</v>
      </c>
    </row>
    <row r="398" customFormat="false" ht="14.25" hidden="false" customHeight="true" outlineLevel="0" collapsed="false">
      <c r="A398" s="1" t="n">
        <v>7248</v>
      </c>
      <c r="B398" s="1" t="s">
        <v>45</v>
      </c>
      <c r="C398" s="1" t="s">
        <v>527</v>
      </c>
      <c r="D398" s="1" t="s">
        <v>139</v>
      </c>
      <c r="E398" s="1" t="n">
        <v>1</v>
      </c>
      <c r="F398" s="1" t="n">
        <v>1</v>
      </c>
      <c r="G398" s="1" t="n">
        <v>3</v>
      </c>
    </row>
    <row r="399" customFormat="false" ht="14.25" hidden="false" customHeight="true" outlineLevel="0" collapsed="false">
      <c r="A399" s="1" t="n">
        <v>6410</v>
      </c>
      <c r="B399" s="1" t="s">
        <v>45</v>
      </c>
      <c r="C399" s="1" t="s">
        <v>528</v>
      </c>
      <c r="D399" s="1" t="s">
        <v>139</v>
      </c>
      <c r="E399" s="1" t="n">
        <v>1</v>
      </c>
      <c r="F399" s="1" t="n">
        <v>1</v>
      </c>
      <c r="G399" s="1" t="n">
        <v>2</v>
      </c>
    </row>
    <row r="400" customFormat="false" ht="14.25" hidden="false" customHeight="true" outlineLevel="0" collapsed="false">
      <c r="A400" s="1" t="n">
        <v>7319</v>
      </c>
      <c r="B400" s="1" t="s">
        <v>45</v>
      </c>
      <c r="C400" s="1" t="s">
        <v>529</v>
      </c>
      <c r="D400" s="1" t="s">
        <v>139</v>
      </c>
      <c r="E400" s="1" t="n">
        <v>1</v>
      </c>
      <c r="F400" s="1" t="n">
        <v>1</v>
      </c>
      <c r="G400" s="1" t="n">
        <v>1</v>
      </c>
    </row>
    <row r="401" customFormat="false" ht="14.25" hidden="false" customHeight="true" outlineLevel="0" collapsed="false">
      <c r="A401" s="1" t="n">
        <v>7276</v>
      </c>
      <c r="B401" s="1" t="s">
        <v>45</v>
      </c>
      <c r="C401" s="1" t="s">
        <v>530</v>
      </c>
      <c r="D401" s="1" t="s">
        <v>141</v>
      </c>
      <c r="E401" s="1" t="n">
        <v>1</v>
      </c>
      <c r="F401" s="1" t="n">
        <v>1</v>
      </c>
      <c r="G401" s="1" t="n">
        <v>3</v>
      </c>
    </row>
    <row r="402" customFormat="false" ht="14.25" hidden="false" customHeight="true" outlineLevel="0" collapsed="false">
      <c r="A402" s="1" t="n">
        <v>7157</v>
      </c>
      <c r="B402" s="1" t="s">
        <v>45</v>
      </c>
      <c r="C402" s="1" t="s">
        <v>531</v>
      </c>
      <c r="D402" s="1" t="s">
        <v>144</v>
      </c>
      <c r="E402" s="1" t="n">
        <v>1</v>
      </c>
      <c r="F402" s="1" t="n">
        <v>1</v>
      </c>
      <c r="G402" s="1" t="n">
        <v>1</v>
      </c>
    </row>
    <row r="403" customFormat="false" ht="14.25" hidden="false" customHeight="true" outlineLevel="0" collapsed="false">
      <c r="A403" s="1" t="n">
        <v>5007</v>
      </c>
      <c r="B403" s="1" t="s">
        <v>45</v>
      </c>
      <c r="C403" s="1" t="s">
        <v>532</v>
      </c>
      <c r="D403" s="1" t="s">
        <v>184</v>
      </c>
      <c r="E403" s="1" t="n">
        <v>1</v>
      </c>
      <c r="F403" s="1" t="n">
        <v>1</v>
      </c>
      <c r="G403" s="1" t="n">
        <v>4</v>
      </c>
    </row>
    <row r="404" customFormat="false" ht="14.25" hidden="false" customHeight="true" outlineLevel="0" collapsed="false">
      <c r="A404" s="1" t="n">
        <v>6889</v>
      </c>
      <c r="B404" s="1" t="s">
        <v>45</v>
      </c>
      <c r="C404" s="1" t="s">
        <v>533</v>
      </c>
      <c r="D404" s="1" t="s">
        <v>184</v>
      </c>
      <c r="E404" s="1" t="n">
        <v>1</v>
      </c>
      <c r="F404" s="1" t="n">
        <v>1</v>
      </c>
      <c r="G404" s="1" t="n">
        <v>4</v>
      </c>
    </row>
    <row r="405" customFormat="false" ht="14.25" hidden="false" customHeight="true" outlineLevel="0" collapsed="false">
      <c r="A405" s="1" t="n">
        <v>7392</v>
      </c>
      <c r="B405" s="1" t="s">
        <v>45</v>
      </c>
      <c r="C405" s="1" t="s">
        <v>534</v>
      </c>
      <c r="D405" s="1" t="s">
        <v>135</v>
      </c>
      <c r="E405" s="1" t="n">
        <v>1</v>
      </c>
      <c r="F405" s="1" t="n">
        <v>1</v>
      </c>
      <c r="G405" s="1" t="n">
        <v>3</v>
      </c>
    </row>
    <row r="406" customFormat="false" ht="14.25" hidden="false" customHeight="true" outlineLevel="0" collapsed="false">
      <c r="A406" s="1" t="n">
        <v>6212</v>
      </c>
      <c r="B406" s="1" t="s">
        <v>45</v>
      </c>
      <c r="C406" s="1" t="s">
        <v>535</v>
      </c>
      <c r="D406" s="1" t="s">
        <v>135</v>
      </c>
      <c r="E406" s="1" t="n">
        <v>1</v>
      </c>
      <c r="F406" s="1" t="n">
        <v>1</v>
      </c>
      <c r="G406" s="1" t="n">
        <v>4</v>
      </c>
    </row>
    <row r="407" customFormat="false" ht="14.25" hidden="false" customHeight="true" outlineLevel="0" collapsed="false">
      <c r="A407" s="1" t="n">
        <v>5485</v>
      </c>
      <c r="B407" s="1" t="s">
        <v>45</v>
      </c>
      <c r="C407" s="1" t="s">
        <v>536</v>
      </c>
      <c r="D407" s="1" t="s">
        <v>147</v>
      </c>
      <c r="E407" s="1" t="n">
        <v>1</v>
      </c>
      <c r="F407" s="1" t="n">
        <v>1</v>
      </c>
      <c r="G407" s="1" t="n">
        <v>3</v>
      </c>
    </row>
    <row r="408" customFormat="false" ht="14.25" hidden="false" customHeight="true" outlineLevel="0" collapsed="false">
      <c r="A408" s="1" t="n">
        <v>7481</v>
      </c>
      <c r="B408" s="1" t="s">
        <v>45</v>
      </c>
      <c r="C408" s="1" t="s">
        <v>537</v>
      </c>
      <c r="D408" s="1" t="s">
        <v>147</v>
      </c>
      <c r="E408" s="1" t="n">
        <v>1</v>
      </c>
      <c r="F408" s="1" t="n">
        <v>1</v>
      </c>
      <c r="G408" s="1" t="n">
        <v>1</v>
      </c>
    </row>
    <row r="409" customFormat="false" ht="14.25" hidden="false" customHeight="true" outlineLevel="0" collapsed="false">
      <c r="A409" s="1" t="n">
        <v>2764</v>
      </c>
      <c r="B409" s="1" t="s">
        <v>46</v>
      </c>
      <c r="C409" s="1" t="s">
        <v>538</v>
      </c>
      <c r="D409" s="1" t="s">
        <v>115</v>
      </c>
      <c r="E409" s="1" t="n">
        <v>35</v>
      </c>
      <c r="F409" s="1" t="n">
        <v>35</v>
      </c>
      <c r="G409" s="1" t="n">
        <v>370</v>
      </c>
    </row>
    <row r="410" customFormat="false" ht="14.25" hidden="false" customHeight="true" outlineLevel="0" collapsed="false">
      <c r="A410" s="1" t="n">
        <v>5585</v>
      </c>
      <c r="B410" s="1" t="s">
        <v>46</v>
      </c>
      <c r="C410" s="1" t="s">
        <v>539</v>
      </c>
      <c r="D410" s="1" t="s">
        <v>113</v>
      </c>
      <c r="E410" s="1" t="n">
        <v>34</v>
      </c>
      <c r="F410" s="1" t="n">
        <v>34</v>
      </c>
      <c r="G410" s="1" t="n">
        <v>365</v>
      </c>
    </row>
    <row r="411" customFormat="false" ht="14.25" hidden="false" customHeight="true" outlineLevel="0" collapsed="false">
      <c r="A411" s="1" t="n">
        <v>4871</v>
      </c>
      <c r="B411" s="1" t="s">
        <v>46</v>
      </c>
      <c r="C411" s="1" t="s">
        <v>540</v>
      </c>
      <c r="D411" s="1" t="s">
        <v>115</v>
      </c>
      <c r="E411" s="1" t="n">
        <v>29</v>
      </c>
      <c r="F411" s="1" t="n">
        <v>29</v>
      </c>
      <c r="G411" s="1" t="n">
        <v>280</v>
      </c>
    </row>
    <row r="412" customFormat="false" ht="14.25" hidden="false" customHeight="true" outlineLevel="0" collapsed="false">
      <c r="A412" s="1" t="n">
        <v>6052</v>
      </c>
      <c r="B412" s="1" t="s">
        <v>46</v>
      </c>
      <c r="C412" s="1" t="s">
        <v>541</v>
      </c>
      <c r="D412" s="1" t="s">
        <v>125</v>
      </c>
      <c r="E412" s="1" t="n">
        <v>28</v>
      </c>
      <c r="F412" s="1" t="n">
        <v>28</v>
      </c>
      <c r="G412" s="1" t="n">
        <v>271</v>
      </c>
    </row>
    <row r="413" customFormat="false" ht="14.25" hidden="false" customHeight="true" outlineLevel="0" collapsed="false">
      <c r="A413" s="1" t="n">
        <v>6397</v>
      </c>
      <c r="B413" s="1" t="s">
        <v>46</v>
      </c>
      <c r="C413" s="1" t="s">
        <v>542</v>
      </c>
      <c r="D413" s="1" t="s">
        <v>121</v>
      </c>
      <c r="E413" s="1" t="n">
        <v>27</v>
      </c>
      <c r="F413" s="1" t="n">
        <v>27</v>
      </c>
      <c r="G413" s="1" t="n">
        <v>240</v>
      </c>
    </row>
    <row r="414" customFormat="false" ht="14.25" hidden="false" customHeight="true" outlineLevel="0" collapsed="false">
      <c r="A414" s="1" t="n">
        <v>5951</v>
      </c>
      <c r="B414" s="1" t="s">
        <v>46</v>
      </c>
      <c r="C414" s="1" t="s">
        <v>543</v>
      </c>
      <c r="D414" s="1" t="s">
        <v>131</v>
      </c>
      <c r="E414" s="1" t="n">
        <v>26</v>
      </c>
      <c r="F414" s="1" t="n">
        <v>26</v>
      </c>
      <c r="G414" s="1" t="n">
        <v>225</v>
      </c>
    </row>
    <row r="415" customFormat="false" ht="14.25" hidden="false" customHeight="true" outlineLevel="0" collapsed="false">
      <c r="A415" s="1" t="n">
        <v>2097</v>
      </c>
      <c r="B415" s="1" t="s">
        <v>46</v>
      </c>
      <c r="C415" s="1" t="s">
        <v>544</v>
      </c>
      <c r="D415" s="1" t="s">
        <v>123</v>
      </c>
      <c r="E415" s="1" t="n">
        <v>25</v>
      </c>
      <c r="F415" s="1" t="n">
        <v>25</v>
      </c>
      <c r="G415" s="1" t="n">
        <v>212</v>
      </c>
    </row>
    <row r="416" customFormat="false" ht="14.25" hidden="false" customHeight="true" outlineLevel="0" collapsed="false">
      <c r="A416" s="1" t="n">
        <v>6434</v>
      </c>
      <c r="B416" s="1" t="s">
        <v>46</v>
      </c>
      <c r="C416" s="1" t="s">
        <v>545</v>
      </c>
      <c r="D416" s="1" t="s">
        <v>131</v>
      </c>
      <c r="E416" s="1" t="n">
        <v>23</v>
      </c>
      <c r="F416" s="1" t="n">
        <v>23</v>
      </c>
      <c r="G416" s="1" t="n">
        <v>200</v>
      </c>
    </row>
    <row r="417" customFormat="false" ht="14.25" hidden="false" customHeight="true" outlineLevel="0" collapsed="false">
      <c r="A417" s="1" t="n">
        <v>7017</v>
      </c>
      <c r="B417" s="1" t="s">
        <v>46</v>
      </c>
      <c r="C417" s="1" t="s">
        <v>546</v>
      </c>
      <c r="D417" s="1" t="s">
        <v>119</v>
      </c>
      <c r="E417" s="1" t="n">
        <v>20</v>
      </c>
      <c r="F417" s="1" t="n">
        <v>20</v>
      </c>
      <c r="G417" s="1" t="n">
        <v>157</v>
      </c>
    </row>
    <row r="418" customFormat="false" ht="14.25" hidden="false" customHeight="true" outlineLevel="0" collapsed="false">
      <c r="A418" s="1" t="n">
        <v>2137</v>
      </c>
      <c r="B418" s="1" t="s">
        <v>46</v>
      </c>
      <c r="C418" s="1" t="s">
        <v>547</v>
      </c>
      <c r="D418" s="1" t="s">
        <v>117</v>
      </c>
      <c r="E418" s="1" t="n">
        <v>19</v>
      </c>
      <c r="F418" s="1" t="n">
        <v>19</v>
      </c>
      <c r="G418" s="1" t="n">
        <v>128</v>
      </c>
    </row>
    <row r="419" customFormat="false" ht="14.25" hidden="false" customHeight="true" outlineLevel="0" collapsed="false">
      <c r="A419" s="1" t="n">
        <v>5637</v>
      </c>
      <c r="B419" s="1" t="s">
        <v>46</v>
      </c>
      <c r="C419" s="1" t="s">
        <v>548</v>
      </c>
      <c r="D419" s="1" t="s">
        <v>135</v>
      </c>
      <c r="E419" s="1" t="n">
        <v>19</v>
      </c>
      <c r="F419" s="1" t="n">
        <v>19</v>
      </c>
      <c r="G419" s="1" t="n">
        <v>121</v>
      </c>
    </row>
    <row r="420" customFormat="false" ht="14.25" hidden="false" customHeight="true" outlineLevel="0" collapsed="false">
      <c r="A420" s="1" t="n">
        <v>6435</v>
      </c>
      <c r="B420" s="1" t="s">
        <v>46</v>
      </c>
      <c r="C420" s="1" t="s">
        <v>549</v>
      </c>
      <c r="D420" s="1" t="s">
        <v>117</v>
      </c>
      <c r="E420" s="1" t="n">
        <v>18</v>
      </c>
      <c r="F420" s="1" t="n">
        <v>18</v>
      </c>
      <c r="G420" s="1" t="n">
        <v>100</v>
      </c>
    </row>
    <row r="421" customFormat="false" ht="14.25" hidden="false" customHeight="true" outlineLevel="0" collapsed="false">
      <c r="A421" s="1" t="n">
        <v>4510</v>
      </c>
      <c r="B421" s="1" t="s">
        <v>46</v>
      </c>
      <c r="C421" s="1" t="s">
        <v>550</v>
      </c>
      <c r="D421" s="1" t="s">
        <v>121</v>
      </c>
      <c r="E421" s="1" t="n">
        <v>18</v>
      </c>
      <c r="F421" s="1" t="n">
        <v>18</v>
      </c>
      <c r="G421" s="1" t="n">
        <v>120</v>
      </c>
    </row>
    <row r="422" customFormat="false" ht="14.25" hidden="false" customHeight="true" outlineLevel="0" collapsed="false">
      <c r="A422" s="1" t="n">
        <v>531</v>
      </c>
      <c r="B422" s="1" t="s">
        <v>46</v>
      </c>
      <c r="C422" s="1" t="s">
        <v>551</v>
      </c>
      <c r="D422" s="1" t="s">
        <v>144</v>
      </c>
      <c r="E422" s="1" t="n">
        <v>18</v>
      </c>
      <c r="F422" s="1" t="n">
        <v>18</v>
      </c>
      <c r="G422" s="1" t="n">
        <v>115</v>
      </c>
    </row>
    <row r="423" customFormat="false" ht="14.25" hidden="false" customHeight="true" outlineLevel="0" collapsed="false">
      <c r="A423" s="1" t="n">
        <v>5995</v>
      </c>
      <c r="B423" s="1" t="s">
        <v>46</v>
      </c>
      <c r="C423" s="1" t="s">
        <v>552</v>
      </c>
      <c r="D423" s="1" t="s">
        <v>117</v>
      </c>
      <c r="E423" s="1" t="n">
        <v>17</v>
      </c>
      <c r="F423" s="1" t="n">
        <v>17</v>
      </c>
      <c r="G423" s="1" t="n">
        <v>106</v>
      </c>
    </row>
    <row r="424" customFormat="false" ht="14.25" hidden="false" customHeight="true" outlineLevel="0" collapsed="false">
      <c r="A424" s="1" t="n">
        <v>6675</v>
      </c>
      <c r="B424" s="1" t="s">
        <v>46</v>
      </c>
      <c r="C424" s="1" t="s">
        <v>553</v>
      </c>
      <c r="D424" s="1" t="s">
        <v>127</v>
      </c>
      <c r="E424" s="1" t="n">
        <v>16</v>
      </c>
      <c r="F424" s="1" t="n">
        <v>16</v>
      </c>
      <c r="G424" s="1" t="n">
        <v>84</v>
      </c>
    </row>
    <row r="425" customFormat="false" ht="14.25" hidden="false" customHeight="true" outlineLevel="0" collapsed="false">
      <c r="A425" s="1" t="n">
        <v>7071</v>
      </c>
      <c r="B425" s="1" t="s">
        <v>46</v>
      </c>
      <c r="C425" s="1" t="s">
        <v>554</v>
      </c>
      <c r="D425" s="1" t="s">
        <v>115</v>
      </c>
      <c r="E425" s="1" t="n">
        <v>16</v>
      </c>
      <c r="F425" s="1" t="n">
        <v>16</v>
      </c>
      <c r="G425" s="1" t="n">
        <v>93</v>
      </c>
    </row>
    <row r="426" customFormat="false" ht="14.25" hidden="false" customHeight="true" outlineLevel="0" collapsed="false">
      <c r="A426" s="1" t="n">
        <v>7023</v>
      </c>
      <c r="B426" s="1" t="s">
        <v>46</v>
      </c>
      <c r="C426" s="1" t="s">
        <v>555</v>
      </c>
      <c r="D426" s="1" t="s">
        <v>141</v>
      </c>
      <c r="E426" s="1" t="n">
        <v>15</v>
      </c>
      <c r="F426" s="1" t="n">
        <v>15</v>
      </c>
      <c r="G426" s="1" t="n">
        <v>81</v>
      </c>
    </row>
    <row r="427" customFormat="false" ht="14.25" hidden="false" customHeight="true" outlineLevel="0" collapsed="false">
      <c r="A427" s="1" t="n">
        <v>6060</v>
      </c>
      <c r="B427" s="1" t="s">
        <v>46</v>
      </c>
      <c r="C427" s="1" t="s">
        <v>556</v>
      </c>
      <c r="D427" s="1" t="s">
        <v>144</v>
      </c>
      <c r="E427" s="1" t="n">
        <v>15</v>
      </c>
      <c r="F427" s="1" t="n">
        <v>15</v>
      </c>
      <c r="G427" s="1" t="n">
        <v>88</v>
      </c>
    </row>
    <row r="428" customFormat="false" ht="14.25" hidden="false" customHeight="true" outlineLevel="0" collapsed="false">
      <c r="A428" s="1" t="n">
        <v>2061</v>
      </c>
      <c r="B428" s="1" t="s">
        <v>46</v>
      </c>
      <c r="C428" s="1" t="s">
        <v>557</v>
      </c>
      <c r="D428" s="1" t="s">
        <v>184</v>
      </c>
      <c r="E428" s="1" t="n">
        <v>15</v>
      </c>
      <c r="F428" s="1" t="n">
        <v>15</v>
      </c>
      <c r="G428" s="1" t="n">
        <v>82</v>
      </c>
    </row>
    <row r="429" customFormat="false" ht="14.25" hidden="false" customHeight="true" outlineLevel="0" collapsed="false">
      <c r="A429" s="1" t="n">
        <v>7351</v>
      </c>
      <c r="B429" s="1" t="s">
        <v>46</v>
      </c>
      <c r="C429" s="1" t="s">
        <v>558</v>
      </c>
      <c r="D429" s="1" t="s">
        <v>125</v>
      </c>
      <c r="E429" s="1" t="n">
        <v>14</v>
      </c>
      <c r="F429" s="1" t="n">
        <v>14</v>
      </c>
      <c r="G429" s="1" t="n">
        <v>60</v>
      </c>
    </row>
    <row r="430" customFormat="false" ht="14.25" hidden="false" customHeight="true" outlineLevel="0" collapsed="false">
      <c r="A430" s="1" t="n">
        <v>309</v>
      </c>
      <c r="B430" s="1" t="s">
        <v>46</v>
      </c>
      <c r="C430" s="1" t="s">
        <v>559</v>
      </c>
      <c r="D430" s="1" t="s">
        <v>113</v>
      </c>
      <c r="E430" s="1" t="n">
        <v>14</v>
      </c>
      <c r="F430" s="1" t="n">
        <v>14</v>
      </c>
      <c r="G430" s="1" t="n">
        <v>67</v>
      </c>
    </row>
    <row r="431" customFormat="false" ht="14.25" hidden="false" customHeight="true" outlineLevel="0" collapsed="false">
      <c r="A431" s="1" t="n">
        <v>6572</v>
      </c>
      <c r="B431" s="1" t="s">
        <v>46</v>
      </c>
      <c r="C431" s="1" t="s">
        <v>560</v>
      </c>
      <c r="D431" s="1" t="s">
        <v>113</v>
      </c>
      <c r="E431" s="1" t="n">
        <v>14</v>
      </c>
      <c r="F431" s="1" t="n">
        <v>14</v>
      </c>
      <c r="G431" s="1" t="n">
        <v>83</v>
      </c>
    </row>
    <row r="432" customFormat="false" ht="14.25" hidden="false" customHeight="true" outlineLevel="0" collapsed="false">
      <c r="A432" s="1" t="n">
        <v>4371</v>
      </c>
      <c r="B432" s="1" t="s">
        <v>46</v>
      </c>
      <c r="C432" s="1" t="s">
        <v>561</v>
      </c>
      <c r="D432" s="1" t="s">
        <v>117</v>
      </c>
      <c r="E432" s="1" t="n">
        <v>13</v>
      </c>
      <c r="F432" s="1" t="n">
        <v>13</v>
      </c>
      <c r="G432" s="1" t="n">
        <v>62</v>
      </c>
    </row>
    <row r="433" customFormat="false" ht="14.25" hidden="false" customHeight="true" outlineLevel="0" collapsed="false">
      <c r="A433" s="1" t="n">
        <v>4463</v>
      </c>
      <c r="B433" s="1" t="s">
        <v>46</v>
      </c>
      <c r="C433" s="1" t="s">
        <v>562</v>
      </c>
      <c r="D433" s="1" t="s">
        <v>129</v>
      </c>
      <c r="E433" s="1" t="n">
        <v>13</v>
      </c>
      <c r="F433" s="1" t="n">
        <v>13</v>
      </c>
      <c r="G433" s="1" t="n">
        <v>50</v>
      </c>
    </row>
    <row r="434" customFormat="false" ht="14.25" hidden="false" customHeight="true" outlineLevel="0" collapsed="false">
      <c r="A434" s="1" t="n">
        <v>4728</v>
      </c>
      <c r="B434" s="1" t="s">
        <v>46</v>
      </c>
      <c r="C434" s="1" t="s">
        <v>563</v>
      </c>
      <c r="D434" s="1" t="s">
        <v>121</v>
      </c>
      <c r="E434" s="1" t="n">
        <v>13</v>
      </c>
      <c r="F434" s="1" t="n">
        <v>13</v>
      </c>
      <c r="G434" s="1" t="n">
        <v>52</v>
      </c>
    </row>
    <row r="435" customFormat="false" ht="14.25" hidden="false" customHeight="true" outlineLevel="0" collapsed="false">
      <c r="A435" s="1" t="n">
        <v>2038</v>
      </c>
      <c r="B435" s="1" t="s">
        <v>46</v>
      </c>
      <c r="C435" s="1" t="s">
        <v>564</v>
      </c>
      <c r="D435" s="1" t="s">
        <v>144</v>
      </c>
      <c r="E435" s="1" t="n">
        <v>13</v>
      </c>
      <c r="F435" s="1" t="n">
        <v>13</v>
      </c>
      <c r="G435" s="1" t="n">
        <v>58</v>
      </c>
    </row>
    <row r="436" customFormat="false" ht="14.25" hidden="false" customHeight="true" outlineLevel="0" collapsed="false">
      <c r="A436" s="1" t="n">
        <v>5734</v>
      </c>
      <c r="B436" s="1" t="s">
        <v>46</v>
      </c>
      <c r="C436" s="1" t="s">
        <v>565</v>
      </c>
      <c r="D436" s="1" t="s">
        <v>113</v>
      </c>
      <c r="E436" s="1" t="n">
        <v>12</v>
      </c>
      <c r="F436" s="1" t="n">
        <v>12</v>
      </c>
      <c r="G436" s="1" t="n">
        <v>55</v>
      </c>
    </row>
    <row r="437" customFormat="false" ht="14.25" hidden="false" customHeight="true" outlineLevel="0" collapsed="false">
      <c r="A437" s="1" t="n">
        <v>7484</v>
      </c>
      <c r="B437" s="1" t="s">
        <v>46</v>
      </c>
      <c r="C437" s="1" t="s">
        <v>566</v>
      </c>
      <c r="D437" s="1" t="s">
        <v>147</v>
      </c>
      <c r="E437" s="1" t="n">
        <v>12</v>
      </c>
      <c r="F437" s="1" t="n">
        <v>12</v>
      </c>
      <c r="G437" s="1" t="n">
        <v>52</v>
      </c>
    </row>
    <row r="438" customFormat="false" ht="14.25" hidden="false" customHeight="true" outlineLevel="0" collapsed="false">
      <c r="A438" s="1" t="n">
        <v>6967</v>
      </c>
      <c r="B438" s="1" t="s">
        <v>46</v>
      </c>
      <c r="C438" s="1" t="s">
        <v>567</v>
      </c>
      <c r="D438" s="1" t="s">
        <v>119</v>
      </c>
      <c r="E438" s="1" t="n">
        <v>11</v>
      </c>
      <c r="F438" s="1" t="n">
        <v>11</v>
      </c>
      <c r="G438" s="1" t="n">
        <v>50</v>
      </c>
    </row>
    <row r="439" customFormat="false" ht="14.25" hidden="false" customHeight="true" outlineLevel="0" collapsed="false">
      <c r="A439" s="1" t="n">
        <v>4923</v>
      </c>
      <c r="B439" s="1" t="s">
        <v>46</v>
      </c>
      <c r="C439" s="1" t="s">
        <v>568</v>
      </c>
      <c r="D439" s="1" t="s">
        <v>137</v>
      </c>
      <c r="E439" s="1" t="n">
        <v>11</v>
      </c>
      <c r="F439" s="1" t="n">
        <v>11</v>
      </c>
      <c r="G439" s="1" t="n">
        <v>63</v>
      </c>
    </row>
    <row r="440" customFormat="false" ht="14.25" hidden="false" customHeight="true" outlineLevel="0" collapsed="false">
      <c r="A440" s="1" t="n">
        <v>5672</v>
      </c>
      <c r="B440" s="1" t="s">
        <v>46</v>
      </c>
      <c r="C440" s="1" t="s">
        <v>569</v>
      </c>
      <c r="D440" s="1" t="s">
        <v>133</v>
      </c>
      <c r="E440" s="1" t="n">
        <v>10</v>
      </c>
      <c r="F440" s="1" t="n">
        <v>10</v>
      </c>
      <c r="G440" s="1" t="n">
        <v>31</v>
      </c>
    </row>
    <row r="441" customFormat="false" ht="14.25" hidden="false" customHeight="true" outlineLevel="0" collapsed="false">
      <c r="A441" s="1" t="n">
        <v>7313</v>
      </c>
      <c r="B441" s="1" t="s">
        <v>46</v>
      </c>
      <c r="C441" s="1" t="s">
        <v>570</v>
      </c>
      <c r="D441" s="1" t="s">
        <v>133</v>
      </c>
      <c r="E441" s="1" t="n">
        <v>10</v>
      </c>
      <c r="F441" s="1" t="n">
        <v>10</v>
      </c>
      <c r="G441" s="1" t="n">
        <v>32</v>
      </c>
    </row>
    <row r="442" customFormat="false" ht="14.25" hidden="false" customHeight="true" outlineLevel="0" collapsed="false">
      <c r="A442" s="1" t="n">
        <v>2531</v>
      </c>
      <c r="B442" s="1" t="s">
        <v>46</v>
      </c>
      <c r="C442" s="1" t="s">
        <v>571</v>
      </c>
      <c r="D442" s="1" t="s">
        <v>125</v>
      </c>
      <c r="E442" s="1" t="n">
        <v>10</v>
      </c>
      <c r="F442" s="1" t="n">
        <v>10</v>
      </c>
      <c r="G442" s="1" t="n">
        <v>45</v>
      </c>
    </row>
    <row r="443" customFormat="false" ht="14.25" hidden="false" customHeight="true" outlineLevel="0" collapsed="false">
      <c r="A443" s="1" t="n">
        <v>7347</v>
      </c>
      <c r="B443" s="1" t="s">
        <v>46</v>
      </c>
      <c r="C443" s="1" t="s">
        <v>572</v>
      </c>
      <c r="D443" s="1" t="s">
        <v>144</v>
      </c>
      <c r="E443" s="1" t="n">
        <v>10</v>
      </c>
      <c r="F443" s="1" t="n">
        <v>10</v>
      </c>
      <c r="G443" s="1" t="n">
        <v>39</v>
      </c>
    </row>
    <row r="444" customFormat="false" ht="14.25" hidden="false" customHeight="true" outlineLevel="0" collapsed="false">
      <c r="A444" s="1" t="n">
        <v>6530</v>
      </c>
      <c r="B444" s="1" t="s">
        <v>46</v>
      </c>
      <c r="C444" s="1" t="s">
        <v>573</v>
      </c>
      <c r="D444" s="1" t="s">
        <v>152</v>
      </c>
      <c r="E444" s="1" t="n">
        <v>9</v>
      </c>
      <c r="F444" s="1" t="n">
        <v>9</v>
      </c>
      <c r="G444" s="1" t="n">
        <v>30</v>
      </c>
    </row>
    <row r="445" customFormat="false" ht="14.25" hidden="false" customHeight="true" outlineLevel="0" collapsed="false">
      <c r="A445" s="1" t="n">
        <v>5544</v>
      </c>
      <c r="B445" s="1" t="s">
        <v>46</v>
      </c>
      <c r="C445" s="1" t="s">
        <v>574</v>
      </c>
      <c r="D445" s="1" t="s">
        <v>131</v>
      </c>
      <c r="E445" s="1" t="n">
        <v>9</v>
      </c>
      <c r="F445" s="1" t="n">
        <v>9</v>
      </c>
      <c r="G445" s="1" t="n">
        <v>40</v>
      </c>
    </row>
    <row r="446" customFormat="false" ht="14.25" hidden="false" customHeight="true" outlineLevel="0" collapsed="false">
      <c r="A446" s="1" t="n">
        <v>5029</v>
      </c>
      <c r="B446" s="1" t="s">
        <v>46</v>
      </c>
      <c r="C446" s="1" t="s">
        <v>575</v>
      </c>
      <c r="D446" s="1" t="s">
        <v>139</v>
      </c>
      <c r="E446" s="1" t="n">
        <v>9</v>
      </c>
      <c r="F446" s="1" t="n">
        <v>9</v>
      </c>
      <c r="G446" s="1" t="n">
        <v>25</v>
      </c>
    </row>
    <row r="447" customFormat="false" ht="14.25" hidden="false" customHeight="true" outlineLevel="0" collapsed="false">
      <c r="A447" s="1" t="n">
        <v>2155</v>
      </c>
      <c r="B447" s="1" t="s">
        <v>46</v>
      </c>
      <c r="C447" s="1" t="s">
        <v>576</v>
      </c>
      <c r="D447" s="1" t="s">
        <v>149</v>
      </c>
      <c r="E447" s="1" t="n">
        <v>9</v>
      </c>
      <c r="F447" s="1" t="n">
        <v>9</v>
      </c>
      <c r="G447" s="1" t="n">
        <v>33</v>
      </c>
    </row>
    <row r="448" customFormat="false" ht="14.25" hidden="false" customHeight="true" outlineLevel="0" collapsed="false">
      <c r="A448" s="1" t="n">
        <v>6646</v>
      </c>
      <c r="B448" s="1" t="s">
        <v>46</v>
      </c>
      <c r="C448" s="1" t="s">
        <v>577</v>
      </c>
      <c r="D448" s="1" t="s">
        <v>184</v>
      </c>
      <c r="E448" s="1" t="n">
        <v>9</v>
      </c>
      <c r="F448" s="1" t="n">
        <v>9</v>
      </c>
      <c r="G448" s="1" t="n">
        <v>32</v>
      </c>
    </row>
    <row r="449" customFormat="false" ht="14.25" hidden="false" customHeight="true" outlineLevel="0" collapsed="false">
      <c r="A449" s="1" t="n">
        <v>6643</v>
      </c>
      <c r="B449" s="1" t="s">
        <v>46</v>
      </c>
      <c r="C449" s="1" t="s">
        <v>578</v>
      </c>
      <c r="D449" s="1" t="s">
        <v>127</v>
      </c>
      <c r="E449" s="1" t="n">
        <v>8</v>
      </c>
      <c r="F449" s="1" t="n">
        <v>8</v>
      </c>
      <c r="G449" s="1" t="n">
        <v>23</v>
      </c>
    </row>
    <row r="450" customFormat="false" ht="14.25" hidden="false" customHeight="true" outlineLevel="0" collapsed="false">
      <c r="A450" s="1" t="n">
        <v>4359</v>
      </c>
      <c r="B450" s="1" t="s">
        <v>46</v>
      </c>
      <c r="C450" s="1" t="s">
        <v>579</v>
      </c>
      <c r="D450" s="1" t="s">
        <v>123</v>
      </c>
      <c r="E450" s="1" t="n">
        <v>8</v>
      </c>
      <c r="F450" s="1" t="n">
        <v>8</v>
      </c>
      <c r="G450" s="1" t="n">
        <v>24</v>
      </c>
    </row>
    <row r="451" customFormat="false" ht="14.25" hidden="false" customHeight="true" outlineLevel="0" collapsed="false">
      <c r="A451" s="1" t="n">
        <v>6164</v>
      </c>
      <c r="B451" s="1" t="s">
        <v>46</v>
      </c>
      <c r="C451" s="1" t="s">
        <v>580</v>
      </c>
      <c r="D451" s="1" t="s">
        <v>137</v>
      </c>
      <c r="E451" s="1" t="n">
        <v>8</v>
      </c>
      <c r="F451" s="1" t="n">
        <v>8</v>
      </c>
      <c r="G451" s="1" t="n">
        <v>20</v>
      </c>
    </row>
    <row r="452" customFormat="false" ht="14.25" hidden="false" customHeight="true" outlineLevel="0" collapsed="false">
      <c r="A452" s="1" t="n">
        <v>6904</v>
      </c>
      <c r="B452" s="1" t="s">
        <v>46</v>
      </c>
      <c r="C452" s="1" t="s">
        <v>581</v>
      </c>
      <c r="D452" s="1" t="s">
        <v>147</v>
      </c>
      <c r="E452" s="1" t="n">
        <v>8</v>
      </c>
      <c r="F452" s="1" t="n">
        <v>8</v>
      </c>
      <c r="G452" s="1" t="n">
        <v>28</v>
      </c>
    </row>
    <row r="453" customFormat="false" ht="14.25" hidden="false" customHeight="true" outlineLevel="0" collapsed="false">
      <c r="A453" s="1" t="n">
        <v>7449</v>
      </c>
      <c r="B453" s="1" t="s">
        <v>46</v>
      </c>
      <c r="C453" s="1" t="s">
        <v>582</v>
      </c>
      <c r="D453" s="1" t="s">
        <v>147</v>
      </c>
      <c r="E453" s="1" t="n">
        <v>8</v>
      </c>
      <c r="F453" s="1" t="n">
        <v>8</v>
      </c>
      <c r="G453" s="1" t="n">
        <v>20</v>
      </c>
    </row>
    <row r="454" customFormat="false" ht="14.25" hidden="false" customHeight="true" outlineLevel="0" collapsed="false">
      <c r="A454" s="1" t="n">
        <v>5436</v>
      </c>
      <c r="B454" s="1" t="s">
        <v>46</v>
      </c>
      <c r="C454" s="1" t="s">
        <v>583</v>
      </c>
      <c r="D454" s="1" t="s">
        <v>152</v>
      </c>
      <c r="E454" s="1" t="n">
        <v>7</v>
      </c>
      <c r="F454" s="1" t="n">
        <v>7</v>
      </c>
      <c r="G454" s="1" t="n">
        <v>24</v>
      </c>
    </row>
    <row r="455" customFormat="false" ht="14.25" hidden="false" customHeight="true" outlineLevel="0" collapsed="false">
      <c r="A455" s="1" t="n">
        <v>6669</v>
      </c>
      <c r="B455" s="1" t="s">
        <v>46</v>
      </c>
      <c r="C455" s="1" t="s">
        <v>584</v>
      </c>
      <c r="D455" s="1" t="s">
        <v>115</v>
      </c>
      <c r="E455" s="1" t="n">
        <v>7</v>
      </c>
      <c r="F455" s="1" t="n">
        <v>7</v>
      </c>
      <c r="G455" s="1" t="n">
        <v>21</v>
      </c>
    </row>
    <row r="456" customFormat="false" ht="14.25" hidden="false" customHeight="true" outlineLevel="0" collapsed="false">
      <c r="A456" s="1" t="n">
        <v>7252</v>
      </c>
      <c r="B456" s="1" t="s">
        <v>46</v>
      </c>
      <c r="C456" s="1" t="s">
        <v>585</v>
      </c>
      <c r="D456" s="1" t="s">
        <v>139</v>
      </c>
      <c r="E456" s="1" t="n">
        <v>7</v>
      </c>
      <c r="F456" s="1" t="n">
        <v>7</v>
      </c>
      <c r="G456" s="1" t="n">
        <v>18</v>
      </c>
    </row>
    <row r="457" customFormat="false" ht="14.25" hidden="false" customHeight="true" outlineLevel="0" collapsed="false">
      <c r="A457" s="1" t="n">
        <v>608</v>
      </c>
      <c r="B457" s="1" t="s">
        <v>46</v>
      </c>
      <c r="C457" s="1" t="s">
        <v>586</v>
      </c>
      <c r="D457" s="1" t="s">
        <v>184</v>
      </c>
      <c r="E457" s="1" t="n">
        <v>7</v>
      </c>
      <c r="F457" s="1" t="n">
        <v>7</v>
      </c>
      <c r="G457" s="1" t="n">
        <v>18</v>
      </c>
    </row>
    <row r="458" customFormat="false" ht="14.25" hidden="false" customHeight="true" outlineLevel="0" collapsed="false">
      <c r="A458" s="1" t="n">
        <v>5918</v>
      </c>
      <c r="B458" s="1" t="s">
        <v>46</v>
      </c>
      <c r="C458" s="1" t="s">
        <v>587</v>
      </c>
      <c r="D458" s="1" t="s">
        <v>117</v>
      </c>
      <c r="E458" s="1" t="n">
        <v>6</v>
      </c>
      <c r="F458" s="1" t="n">
        <v>6</v>
      </c>
      <c r="G458" s="1" t="n">
        <v>16</v>
      </c>
    </row>
    <row r="459" customFormat="false" ht="14.25" hidden="false" customHeight="true" outlineLevel="0" collapsed="false">
      <c r="A459" s="1" t="n">
        <v>6598</v>
      </c>
      <c r="B459" s="1" t="s">
        <v>46</v>
      </c>
      <c r="C459" s="1" t="s">
        <v>588</v>
      </c>
      <c r="D459" s="1" t="s">
        <v>129</v>
      </c>
      <c r="E459" s="1" t="n">
        <v>6</v>
      </c>
      <c r="F459" s="1" t="n">
        <v>6</v>
      </c>
      <c r="G459" s="1" t="n">
        <v>19</v>
      </c>
    </row>
    <row r="460" customFormat="false" ht="14.25" hidden="false" customHeight="true" outlineLevel="0" collapsed="false">
      <c r="A460" s="1" t="n">
        <v>2832</v>
      </c>
      <c r="B460" s="1" t="s">
        <v>46</v>
      </c>
      <c r="C460" s="1" t="s">
        <v>589</v>
      </c>
      <c r="D460" s="1" t="s">
        <v>131</v>
      </c>
      <c r="E460" s="1" t="n">
        <v>6</v>
      </c>
      <c r="F460" s="1" t="n">
        <v>6</v>
      </c>
      <c r="G460" s="1" t="n">
        <v>25</v>
      </c>
    </row>
    <row r="461" customFormat="false" ht="14.25" hidden="false" customHeight="true" outlineLevel="0" collapsed="false">
      <c r="A461" s="1" t="n">
        <v>6556</v>
      </c>
      <c r="B461" s="1" t="s">
        <v>46</v>
      </c>
      <c r="C461" s="1" t="s">
        <v>590</v>
      </c>
      <c r="D461" s="1" t="s">
        <v>133</v>
      </c>
      <c r="E461" s="1" t="n">
        <v>6</v>
      </c>
      <c r="F461" s="1" t="n">
        <v>6</v>
      </c>
      <c r="G461" s="1" t="n">
        <v>17</v>
      </c>
    </row>
    <row r="462" customFormat="false" ht="14.25" hidden="false" customHeight="true" outlineLevel="0" collapsed="false">
      <c r="A462" s="1" t="n">
        <v>7008</v>
      </c>
      <c r="B462" s="1" t="s">
        <v>46</v>
      </c>
      <c r="C462" s="1" t="s">
        <v>591</v>
      </c>
      <c r="D462" s="1" t="s">
        <v>121</v>
      </c>
      <c r="E462" s="1" t="n">
        <v>6</v>
      </c>
      <c r="F462" s="1" t="n">
        <v>6</v>
      </c>
      <c r="G462" s="1" t="n">
        <v>14</v>
      </c>
    </row>
    <row r="463" customFormat="false" ht="14.25" hidden="false" customHeight="true" outlineLevel="0" collapsed="false">
      <c r="A463" s="1" t="n">
        <v>6831</v>
      </c>
      <c r="B463" s="1" t="s">
        <v>46</v>
      </c>
      <c r="C463" s="1" t="s">
        <v>592</v>
      </c>
      <c r="D463" s="1" t="s">
        <v>125</v>
      </c>
      <c r="E463" s="1" t="n">
        <v>6</v>
      </c>
      <c r="F463" s="1" t="n">
        <v>6</v>
      </c>
      <c r="G463" s="1" t="n">
        <v>22</v>
      </c>
    </row>
    <row r="464" customFormat="false" ht="14.25" hidden="false" customHeight="true" outlineLevel="0" collapsed="false">
      <c r="A464" s="1" t="n">
        <v>4896</v>
      </c>
      <c r="B464" s="1" t="s">
        <v>46</v>
      </c>
      <c r="C464" s="1" t="s">
        <v>593</v>
      </c>
      <c r="D464" s="1" t="s">
        <v>117</v>
      </c>
      <c r="E464" s="1" t="n">
        <v>5</v>
      </c>
      <c r="F464" s="1" t="n">
        <v>5</v>
      </c>
      <c r="G464" s="1" t="n">
        <v>14</v>
      </c>
    </row>
    <row r="465" customFormat="false" ht="14.25" hidden="false" customHeight="true" outlineLevel="0" collapsed="false">
      <c r="A465" s="1" t="n">
        <v>6519</v>
      </c>
      <c r="B465" s="1" t="s">
        <v>46</v>
      </c>
      <c r="C465" s="1" t="s">
        <v>594</v>
      </c>
      <c r="D465" s="1" t="s">
        <v>121</v>
      </c>
      <c r="E465" s="1" t="n">
        <v>5</v>
      </c>
      <c r="F465" s="1" t="n">
        <v>5</v>
      </c>
      <c r="G465" s="1" t="n">
        <v>18</v>
      </c>
    </row>
    <row r="466" customFormat="false" ht="14.25" hidden="false" customHeight="true" outlineLevel="0" collapsed="false">
      <c r="A466" s="1" t="n">
        <v>5882</v>
      </c>
      <c r="B466" s="1" t="s">
        <v>46</v>
      </c>
      <c r="C466" s="1" t="s">
        <v>595</v>
      </c>
      <c r="D466" s="1" t="s">
        <v>149</v>
      </c>
      <c r="E466" s="1" t="n">
        <v>5</v>
      </c>
      <c r="F466" s="1" t="n">
        <v>5</v>
      </c>
      <c r="G466" s="1" t="n">
        <v>18</v>
      </c>
    </row>
    <row r="467" customFormat="false" ht="14.25" hidden="false" customHeight="true" outlineLevel="0" collapsed="false">
      <c r="A467" s="1" t="n">
        <v>7213</v>
      </c>
      <c r="B467" s="1" t="s">
        <v>46</v>
      </c>
      <c r="C467" s="1" t="s">
        <v>596</v>
      </c>
      <c r="D467" s="1" t="s">
        <v>141</v>
      </c>
      <c r="E467" s="1" t="n">
        <v>5</v>
      </c>
      <c r="F467" s="1" t="n">
        <v>5</v>
      </c>
      <c r="G467" s="1" t="n">
        <v>13</v>
      </c>
    </row>
    <row r="468" customFormat="false" ht="14.25" hidden="false" customHeight="true" outlineLevel="0" collapsed="false">
      <c r="A468" s="1" t="n">
        <v>4387</v>
      </c>
      <c r="B468" s="1" t="s">
        <v>46</v>
      </c>
      <c r="C468" s="1" t="s">
        <v>597</v>
      </c>
      <c r="D468" s="1" t="s">
        <v>147</v>
      </c>
      <c r="E468" s="1" t="n">
        <v>5</v>
      </c>
      <c r="F468" s="1" t="n">
        <v>5</v>
      </c>
      <c r="G468" s="1" t="n">
        <v>14</v>
      </c>
    </row>
    <row r="469" customFormat="false" ht="14.25" hidden="false" customHeight="true" outlineLevel="0" collapsed="false">
      <c r="A469" s="1" t="n">
        <v>6243</v>
      </c>
      <c r="B469" s="1" t="s">
        <v>46</v>
      </c>
      <c r="C469" s="1" t="s">
        <v>598</v>
      </c>
      <c r="D469" s="1" t="s">
        <v>129</v>
      </c>
      <c r="E469" s="1" t="n">
        <v>4</v>
      </c>
      <c r="F469" s="1" t="n">
        <v>4</v>
      </c>
      <c r="G469" s="1" t="n">
        <v>9</v>
      </c>
    </row>
    <row r="470" customFormat="false" ht="14.25" hidden="false" customHeight="true" outlineLevel="0" collapsed="false">
      <c r="A470" s="1" t="n">
        <v>7374</v>
      </c>
      <c r="B470" s="1" t="s">
        <v>46</v>
      </c>
      <c r="C470" s="1" t="s">
        <v>599</v>
      </c>
      <c r="D470" s="1" t="s">
        <v>129</v>
      </c>
      <c r="E470" s="1" t="n">
        <v>4</v>
      </c>
      <c r="F470" s="1" t="n">
        <v>4</v>
      </c>
      <c r="G470" s="1" t="n">
        <v>9</v>
      </c>
    </row>
    <row r="471" customFormat="false" ht="14.25" hidden="false" customHeight="true" outlineLevel="0" collapsed="false">
      <c r="A471" s="1" t="n">
        <v>313</v>
      </c>
      <c r="B471" s="1" t="s">
        <v>46</v>
      </c>
      <c r="C471" s="1" t="s">
        <v>600</v>
      </c>
      <c r="D471" s="1" t="s">
        <v>119</v>
      </c>
      <c r="E471" s="1" t="n">
        <v>4</v>
      </c>
      <c r="F471" s="1" t="n">
        <v>4</v>
      </c>
      <c r="G471" s="1" t="n">
        <v>10</v>
      </c>
    </row>
    <row r="472" customFormat="false" ht="14.25" hidden="false" customHeight="true" outlineLevel="0" collapsed="false">
      <c r="A472" s="1" t="n">
        <v>6204</v>
      </c>
      <c r="B472" s="1" t="s">
        <v>46</v>
      </c>
      <c r="C472" s="1" t="s">
        <v>601</v>
      </c>
      <c r="D472" s="1" t="s">
        <v>152</v>
      </c>
      <c r="E472" s="1" t="n">
        <v>4</v>
      </c>
      <c r="F472" s="1" t="n">
        <v>4</v>
      </c>
      <c r="G472" s="1" t="n">
        <v>15</v>
      </c>
    </row>
    <row r="473" customFormat="false" ht="14.25" hidden="false" customHeight="true" outlineLevel="0" collapsed="false">
      <c r="A473" s="1" t="n">
        <v>7453</v>
      </c>
      <c r="B473" s="1" t="s">
        <v>46</v>
      </c>
      <c r="C473" s="1" t="s">
        <v>602</v>
      </c>
      <c r="D473" s="1" t="s">
        <v>137</v>
      </c>
      <c r="E473" s="1" t="n">
        <v>4</v>
      </c>
      <c r="F473" s="1" t="n">
        <v>4</v>
      </c>
      <c r="G473" s="1" t="n">
        <v>9</v>
      </c>
    </row>
    <row r="474" customFormat="false" ht="14.25" hidden="false" customHeight="true" outlineLevel="0" collapsed="false">
      <c r="A474" s="1" t="n">
        <v>7162</v>
      </c>
      <c r="B474" s="1" t="s">
        <v>46</v>
      </c>
      <c r="C474" s="1" t="s">
        <v>603</v>
      </c>
      <c r="D474" s="1" t="s">
        <v>125</v>
      </c>
      <c r="E474" s="1" t="n">
        <v>4</v>
      </c>
      <c r="F474" s="1" t="n">
        <v>4</v>
      </c>
      <c r="G474" s="1" t="n">
        <v>10</v>
      </c>
    </row>
    <row r="475" customFormat="false" ht="14.25" hidden="false" customHeight="true" outlineLevel="0" collapsed="false">
      <c r="A475" s="1" t="n">
        <v>7349</v>
      </c>
      <c r="B475" s="1" t="s">
        <v>46</v>
      </c>
      <c r="C475" s="1" t="s">
        <v>604</v>
      </c>
      <c r="D475" s="1" t="s">
        <v>184</v>
      </c>
      <c r="E475" s="1" t="n">
        <v>4</v>
      </c>
      <c r="F475" s="1" t="n">
        <v>4</v>
      </c>
      <c r="G475" s="1" t="n">
        <v>9</v>
      </c>
    </row>
    <row r="476" customFormat="false" ht="14.25" hidden="false" customHeight="true" outlineLevel="0" collapsed="false">
      <c r="A476" s="1" t="n">
        <v>7272</v>
      </c>
      <c r="B476" s="1" t="s">
        <v>46</v>
      </c>
      <c r="C476" s="1" t="s">
        <v>605</v>
      </c>
      <c r="D476" s="1" t="s">
        <v>135</v>
      </c>
      <c r="E476" s="1" t="n">
        <v>4</v>
      </c>
      <c r="F476" s="1" t="n">
        <v>4</v>
      </c>
      <c r="G476" s="1" t="n">
        <v>7</v>
      </c>
    </row>
    <row r="477" customFormat="false" ht="14.25" hidden="false" customHeight="true" outlineLevel="0" collapsed="false">
      <c r="A477" s="1" t="n">
        <v>7128</v>
      </c>
      <c r="B477" s="1" t="s">
        <v>46</v>
      </c>
      <c r="C477" s="1" t="s">
        <v>606</v>
      </c>
      <c r="D477" s="1" t="s">
        <v>119</v>
      </c>
      <c r="E477" s="1" t="n">
        <v>3</v>
      </c>
      <c r="F477" s="1" t="n">
        <v>3</v>
      </c>
      <c r="G477" s="1" t="n">
        <v>5</v>
      </c>
    </row>
    <row r="478" customFormat="false" ht="14.25" hidden="false" customHeight="true" outlineLevel="0" collapsed="false">
      <c r="A478" s="1" t="n">
        <v>6822</v>
      </c>
      <c r="B478" s="1" t="s">
        <v>46</v>
      </c>
      <c r="C478" s="1" t="s">
        <v>607</v>
      </c>
      <c r="D478" s="1" t="s">
        <v>131</v>
      </c>
      <c r="E478" s="1" t="n">
        <v>3</v>
      </c>
      <c r="F478" s="1" t="n">
        <v>3</v>
      </c>
      <c r="G478" s="1" t="n">
        <v>10</v>
      </c>
    </row>
    <row r="479" customFormat="false" ht="14.25" hidden="false" customHeight="true" outlineLevel="0" collapsed="false">
      <c r="A479" s="1" t="n">
        <v>7001</v>
      </c>
      <c r="B479" s="1" t="s">
        <v>46</v>
      </c>
      <c r="C479" s="1" t="s">
        <v>608</v>
      </c>
      <c r="D479" s="1" t="s">
        <v>139</v>
      </c>
      <c r="E479" s="1" t="n">
        <v>3</v>
      </c>
      <c r="F479" s="1" t="n">
        <v>3</v>
      </c>
      <c r="G479" s="1" t="n">
        <v>9</v>
      </c>
    </row>
    <row r="480" customFormat="false" ht="14.25" hidden="false" customHeight="true" outlineLevel="0" collapsed="false">
      <c r="A480" s="1" t="n">
        <v>7523</v>
      </c>
      <c r="B480" s="1" t="s">
        <v>46</v>
      </c>
      <c r="C480" s="1" t="s">
        <v>609</v>
      </c>
      <c r="D480" s="1" t="s">
        <v>149</v>
      </c>
      <c r="E480" s="1" t="n">
        <v>3</v>
      </c>
      <c r="F480" s="1" t="n">
        <v>3</v>
      </c>
      <c r="G480" s="1" t="n">
        <v>7</v>
      </c>
    </row>
    <row r="481" customFormat="false" ht="14.25" hidden="false" customHeight="true" outlineLevel="0" collapsed="false">
      <c r="A481" s="1" t="n">
        <v>7120</v>
      </c>
      <c r="B481" s="1" t="s">
        <v>46</v>
      </c>
      <c r="C481" s="1" t="s">
        <v>610</v>
      </c>
      <c r="D481" s="1" t="s">
        <v>125</v>
      </c>
      <c r="E481" s="1" t="n">
        <v>3</v>
      </c>
      <c r="F481" s="1" t="n">
        <v>3</v>
      </c>
      <c r="G481" s="1" t="n">
        <v>10</v>
      </c>
    </row>
    <row r="482" customFormat="false" ht="14.25" hidden="false" customHeight="true" outlineLevel="0" collapsed="false">
      <c r="A482" s="1" t="n">
        <v>6215</v>
      </c>
      <c r="B482" s="1" t="s">
        <v>46</v>
      </c>
      <c r="C482" s="1" t="s">
        <v>611</v>
      </c>
      <c r="D482" s="1" t="s">
        <v>125</v>
      </c>
      <c r="E482" s="1" t="n">
        <v>3</v>
      </c>
      <c r="F482" s="1" t="n">
        <v>3</v>
      </c>
      <c r="G482" s="1" t="n">
        <v>10</v>
      </c>
    </row>
    <row r="483" customFormat="false" ht="14.25" hidden="false" customHeight="true" outlineLevel="0" collapsed="false">
      <c r="A483" s="1" t="n">
        <v>7342</v>
      </c>
      <c r="B483" s="1" t="s">
        <v>46</v>
      </c>
      <c r="C483" s="1" t="s">
        <v>612</v>
      </c>
      <c r="D483" s="1" t="s">
        <v>141</v>
      </c>
      <c r="E483" s="1" t="n">
        <v>3</v>
      </c>
      <c r="F483" s="1" t="n">
        <v>3</v>
      </c>
      <c r="G483" s="1" t="n">
        <v>11</v>
      </c>
    </row>
    <row r="484" customFormat="false" ht="14.25" hidden="false" customHeight="true" outlineLevel="0" collapsed="false">
      <c r="A484" s="1" t="n">
        <v>383</v>
      </c>
      <c r="B484" s="1" t="s">
        <v>46</v>
      </c>
      <c r="C484" s="1" t="s">
        <v>613</v>
      </c>
      <c r="D484" s="1" t="s">
        <v>149</v>
      </c>
      <c r="E484" s="1" t="n">
        <v>2</v>
      </c>
      <c r="F484" s="1" t="n">
        <v>2</v>
      </c>
      <c r="G484" s="1" t="n">
        <v>5</v>
      </c>
    </row>
    <row r="485" customFormat="false" ht="14.25" hidden="false" customHeight="true" outlineLevel="0" collapsed="false">
      <c r="A485" s="1" t="n">
        <v>7249</v>
      </c>
      <c r="B485" s="1" t="s">
        <v>46</v>
      </c>
      <c r="C485" s="1" t="s">
        <v>614</v>
      </c>
      <c r="D485" s="1" t="s">
        <v>135</v>
      </c>
      <c r="E485" s="1" t="n">
        <v>2</v>
      </c>
      <c r="F485" s="1" t="n">
        <v>2</v>
      </c>
      <c r="G485" s="1" t="n">
        <v>4</v>
      </c>
    </row>
    <row r="486" customFormat="false" ht="14.25" hidden="false" customHeight="true" outlineLevel="0" collapsed="false">
      <c r="A486" s="1" t="n">
        <v>7338</v>
      </c>
      <c r="B486" s="1" t="s">
        <v>46</v>
      </c>
      <c r="C486" s="1" t="s">
        <v>615</v>
      </c>
      <c r="D486" s="1" t="s">
        <v>129</v>
      </c>
      <c r="E486" s="1" t="n">
        <v>1</v>
      </c>
      <c r="F486" s="1" t="n">
        <v>1</v>
      </c>
      <c r="G486" s="1" t="n">
        <v>1</v>
      </c>
    </row>
    <row r="487" customFormat="false" ht="14.25" hidden="false" customHeight="true" outlineLevel="0" collapsed="false">
      <c r="A487" s="1" t="n">
        <v>7317</v>
      </c>
      <c r="B487" s="1" t="s">
        <v>46</v>
      </c>
      <c r="C487" s="1" t="s">
        <v>616</v>
      </c>
      <c r="D487" s="1" t="s">
        <v>129</v>
      </c>
      <c r="E487" s="1" t="n">
        <v>1</v>
      </c>
      <c r="F487" s="1" t="n">
        <v>1</v>
      </c>
      <c r="G487" s="1" t="n">
        <v>2</v>
      </c>
    </row>
    <row r="488" customFormat="false" ht="14.25" hidden="false" customHeight="true" outlineLevel="0" collapsed="false">
      <c r="A488" s="1" t="n">
        <v>7027</v>
      </c>
      <c r="B488" s="1" t="s">
        <v>46</v>
      </c>
      <c r="C488" s="1" t="s">
        <v>617</v>
      </c>
      <c r="D488" s="1" t="s">
        <v>119</v>
      </c>
      <c r="E488" s="1" t="n">
        <v>1</v>
      </c>
      <c r="F488" s="1" t="n">
        <v>1</v>
      </c>
      <c r="G488" s="1" t="n">
        <v>1</v>
      </c>
    </row>
    <row r="489" customFormat="false" ht="14.25" hidden="false" customHeight="true" outlineLevel="0" collapsed="false">
      <c r="A489" s="1" t="n">
        <v>6981</v>
      </c>
      <c r="B489" s="1" t="s">
        <v>46</v>
      </c>
      <c r="C489" s="1" t="s">
        <v>618</v>
      </c>
      <c r="D489" s="1" t="s">
        <v>113</v>
      </c>
      <c r="E489" s="1" t="n">
        <v>1</v>
      </c>
      <c r="F489" s="1" t="n">
        <v>1</v>
      </c>
      <c r="G489" s="1" t="n">
        <v>4</v>
      </c>
    </row>
    <row r="490" customFormat="false" ht="14.25" hidden="false" customHeight="true" outlineLevel="0" collapsed="false">
      <c r="A490" s="1" t="n">
        <v>7158</v>
      </c>
      <c r="B490" s="1" t="s">
        <v>46</v>
      </c>
      <c r="C490" s="1" t="s">
        <v>619</v>
      </c>
      <c r="D490" s="1" t="s">
        <v>144</v>
      </c>
      <c r="E490" s="1" t="n">
        <v>1</v>
      </c>
      <c r="F490" s="1" t="n">
        <v>1</v>
      </c>
      <c r="G490" s="1" t="n">
        <v>1</v>
      </c>
    </row>
    <row r="491" customFormat="false" ht="14.25" hidden="false" customHeight="true" outlineLevel="0" collapsed="false">
      <c r="A491" s="1" t="n">
        <v>7161</v>
      </c>
      <c r="B491" s="1" t="s">
        <v>46</v>
      </c>
      <c r="C491" s="1" t="s">
        <v>620</v>
      </c>
      <c r="D491" s="1" t="s">
        <v>135</v>
      </c>
      <c r="E491" s="1" t="n">
        <v>1</v>
      </c>
      <c r="F491" s="1" t="n">
        <v>1</v>
      </c>
      <c r="G491" s="1" t="n">
        <v>3</v>
      </c>
    </row>
    <row r="492" customFormat="false" ht="14.25" hidden="false" customHeight="true" outlineLevel="0" collapsed="false">
      <c r="A492" s="1" t="n">
        <v>7408</v>
      </c>
      <c r="B492" s="1" t="s">
        <v>46</v>
      </c>
      <c r="C492" s="1" t="s">
        <v>621</v>
      </c>
      <c r="D492" s="1" t="s">
        <v>147</v>
      </c>
      <c r="E492" s="1" t="n">
        <v>1</v>
      </c>
      <c r="F492" s="1" t="n">
        <v>1</v>
      </c>
      <c r="G492" s="1" t="n">
        <v>1</v>
      </c>
    </row>
    <row r="493" customFormat="false" ht="14.25" hidden="false" customHeight="true" outlineLevel="0" collapsed="false">
      <c r="A493" s="1" t="n">
        <v>7482</v>
      </c>
      <c r="B493" s="1" t="s">
        <v>46</v>
      </c>
      <c r="C493" s="1" t="s">
        <v>622</v>
      </c>
      <c r="D493" s="1" t="s">
        <v>147</v>
      </c>
      <c r="E493" s="1" t="n">
        <v>1</v>
      </c>
      <c r="F493" s="1" t="n">
        <v>1</v>
      </c>
      <c r="G493" s="1" t="n">
        <v>1</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O5" activeCellId="0" sqref="O5"/>
    </sheetView>
  </sheetViews>
  <sheetFormatPr defaultColWidth="8.6328125" defaultRowHeight="14.25" zeroHeight="false" outlineLevelRow="0" outlineLevelCol="0"/>
  <cols>
    <col collapsed="false" customWidth="true" hidden="false" outlineLevel="0" max="1" min="1" style="1" width="4.82"/>
    <col collapsed="false" customWidth="true" hidden="false" outlineLevel="0" max="2" min="2" style="1" width="2.09"/>
    <col collapsed="false" customWidth="true" hidden="false" outlineLevel="0" max="3" min="3" style="1" width="16.09"/>
    <col collapsed="false" customWidth="true" hidden="false" outlineLevel="0" max="4" min="4" style="1" width="16.73"/>
    <col collapsed="false" customWidth="true" hidden="false" outlineLevel="0" max="5" min="5" style="1" width="8.45"/>
    <col collapsed="false" customWidth="true" hidden="false" outlineLevel="0" max="6" min="6" style="1" width="10.91"/>
    <col collapsed="false" customWidth="true" hidden="false" outlineLevel="0" max="7" min="7" style="1" width="14.36"/>
    <col collapsed="false" customWidth="true" hidden="false" outlineLevel="0" max="8" min="8" style="1" width="14.73"/>
    <col collapsed="false" customWidth="true" hidden="false" outlineLevel="0" max="9" min="9" style="1" width="12.45"/>
    <col collapsed="false" customWidth="true" hidden="false" outlineLevel="0" max="11" min="11" style="1" width="7.36"/>
    <col collapsed="false" customWidth="true" hidden="false" outlineLevel="0" max="12" min="12" style="1" width="7.27"/>
    <col collapsed="false" customWidth="true" hidden="false" outlineLevel="0" max="13" min="13" style="1" width="12"/>
    <col collapsed="false" customWidth="true" hidden="false" outlineLevel="0" max="14" min="14" style="1" width="8"/>
    <col collapsed="false" customWidth="true" hidden="false" outlineLevel="0" max="15" min="15" style="1" width="10"/>
    <col collapsed="false" customWidth="true" hidden="false" outlineLevel="0" max="16" min="16" style="1" width="16"/>
    <col collapsed="false" customWidth="true" hidden="true" outlineLevel="0" max="18" min="17" style="1" width="13"/>
    <col collapsed="false" customWidth="true" hidden="false" outlineLevel="0" max="20" min="19" style="1" width="9"/>
    <col collapsed="false" customWidth="true" hidden="false" outlineLevel="0" max="21" min="21" style="1" width="16"/>
    <col collapsed="false" customWidth="true" hidden="false" outlineLevel="0" max="22" min="22" style="1" width="14"/>
    <col collapsed="false" customWidth="true" hidden="false" outlineLevel="0" max="30" min="23" style="1" width="20"/>
    <col collapsed="false" customWidth="true" hidden="false" outlineLevel="0" max="31" min="31" style="1" width="18"/>
  </cols>
  <sheetData>
    <row r="1" customFormat="false" ht="14.25" hidden="false" customHeight="true" outlineLevel="0" collapsed="false">
      <c r="A1" s="21" t="s">
        <v>105</v>
      </c>
      <c r="B1" s="21" t="s">
        <v>106</v>
      </c>
      <c r="C1" s="21" t="s">
        <v>107</v>
      </c>
      <c r="D1" s="21" t="s">
        <v>623</v>
      </c>
      <c r="E1" s="22" t="s">
        <v>624</v>
      </c>
      <c r="F1" s="22" t="s">
        <v>625</v>
      </c>
      <c r="G1" s="22" t="s">
        <v>626</v>
      </c>
      <c r="H1" s="22" t="s">
        <v>627</v>
      </c>
      <c r="I1" s="23" t="s">
        <v>628</v>
      </c>
      <c r="J1" s="23" t="s">
        <v>629</v>
      </c>
      <c r="K1" s="23" t="s">
        <v>630</v>
      </c>
      <c r="L1" s="23" t="s">
        <v>631</v>
      </c>
      <c r="M1" s="24" t="s">
        <v>632</v>
      </c>
      <c r="N1" s="25" t="s">
        <v>109</v>
      </c>
      <c r="O1" s="25" t="s">
        <v>111</v>
      </c>
      <c r="P1" s="25" t="s">
        <v>20</v>
      </c>
      <c r="Q1" s="25" t="s">
        <v>633</v>
      </c>
      <c r="R1" s="25" t="s">
        <v>634</v>
      </c>
      <c r="S1" s="25" t="s">
        <v>635</v>
      </c>
      <c r="T1" s="25" t="s">
        <v>636</v>
      </c>
      <c r="U1" s="25" t="s">
        <v>637</v>
      </c>
      <c r="V1" s="25" t="s">
        <v>638</v>
      </c>
      <c r="W1" s="21" t="s">
        <v>639</v>
      </c>
      <c r="X1" s="21" t="s">
        <v>640</v>
      </c>
      <c r="Y1" s="21" t="s">
        <v>641</v>
      </c>
      <c r="Z1" s="21" t="s">
        <v>642</v>
      </c>
      <c r="AA1" s="21" t="s">
        <v>643</v>
      </c>
      <c r="AB1" s="21" t="s">
        <v>644</v>
      </c>
      <c r="AC1" s="21" t="s">
        <v>645</v>
      </c>
      <c r="AD1" s="21" t="s">
        <v>646</v>
      </c>
      <c r="AE1" s="12" t="s">
        <v>647</v>
      </c>
    </row>
    <row r="2" customFormat="false" ht="14.25" hidden="false" customHeight="true" outlineLevel="0" collapsed="false">
      <c r="A2" s="21" t="n">
        <v>2764</v>
      </c>
      <c r="B2" s="21" t="s">
        <v>46</v>
      </c>
      <c r="C2" s="21" t="s">
        <v>538</v>
      </c>
      <c r="E2" s="26" t="str">
        <f aca="false">IF(COUNTIF('Info Strategia'!$D$2:$D$51,$C2)&gt;0,"SI","NO")</f>
        <v>NO</v>
      </c>
      <c r="F2" s="27" t="n">
        <f aca="false">IFERROR(ROUND(($G2+($H2-$G2)*'Info Strategia'!$B$6)*(1+IF($E2="SI",'Parametri Modello'!$B$7*'Info Strategia'!$B$6,0)),0),"")</f>
        <v>345</v>
      </c>
      <c r="G2" s="27" t="n">
        <f aca="false">IFERROR(ROUND((IF(OR(INDEX('Parametri Modello'!$C$39:$C$42,MATCH($B2,'Parametri Modello'!$A$39:$A$42,0))="",INDEX('Parametri Modello'!$C$39:$C$42,MATCH($B2,'Parametri Modello'!$A$39:$A$42,0))=0),0,($O2/INDEX('Parametri Modello'!$C$39:$C$42,MATCH($B2,'Parametri Modello'!$A$39:$A$42,0)))*(INDEX('Parametri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215</v>
      </c>
      <c r="H2" s="27" t="n">
        <f aca="false">IFERROR(ROUND((IF(OR(INDEX('Parametri Modello'!$C$39:$C$42,MATCH($B2,'Parametri Modello'!$A$39:$A$42,0))="",INDEX('Parametri Modello'!$C$39:$C$42,MATCH($B2,'Parametri Modello'!$A$39:$A$42,0))=0),0,($O2/INDEX('Parametri Modello'!$C$39:$C$42,MATCH($B2,'Parametri Modello'!$A$39:$A$42,0)))*(INDEX('Parametri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400</v>
      </c>
      <c r="I2" s="26" t="n">
        <f aca="false">IFERROR(INDEX('Input Statistiche 2025_26'!$F$3:$F$665,MATCH($A2,'Input Statistiche 2025_26'!$A$3:$A$665,0)),"")</f>
        <v>30</v>
      </c>
      <c r="J2" s="26" t="n">
        <f aca="false">IFERROR(IF($I2="","",MAX(0,38-$I2)),"")</f>
        <v>8</v>
      </c>
      <c r="K2" s="26" t="n">
        <f aca="false">IFERROR(INDEX('Input Statistiche 2025_26'!$I$3:$I$665,MATCH($A2,'Input Statistiche 2025_26'!$A$3:$A$665,0)),"")</f>
        <v>17</v>
      </c>
      <c r="L2" s="26" t="n">
        <f aca="false">IFERROR(INDEX('Input Statistiche 2025_26'!$O$3:$O$665,MATCH($A2,'Input Statistiche 2025_26'!$A$3:$A$665,0)),"")</f>
        <v>6</v>
      </c>
      <c r="M2" s="28"/>
      <c r="N2" s="27" t="n">
        <f aca="false">IFERROR(INDEX('Input Giocatori 2026_27'!$E$3:$E$493,MATCH($A2,'Input Giocatori 2026_27'!$A$3:$A$493,0)),"")</f>
        <v>35</v>
      </c>
      <c r="O2" s="27" t="n">
        <f aca="false">IFERROR(INDEX('Input Giocatori 2026_27'!$G$3:$G$493,MATCH($A2,'Input Giocatori 2026_27'!$A$3:$A$493,0)),"")</f>
        <v>370</v>
      </c>
      <c r="P2" s="26" t="str">
        <f aca="false">IFERROR(IF($O2="","",IF((1-(COUNTIFS($B$2:$B$492,$B2,$O$2:$O$492,"&gt;"&amp;$O2)+1-1)/COUNTIF($B$2:$B$492,$B2))&gt;=0.85,"Top",IF((1-(COUNTIFS($B$2:$B$492,$B2,$O$2:$O$492,"&gt;"&amp;$O2)+1-1)/COUNTIF($B$2:$B$492,$B2))&gt;=0.6,"Buono",IF((1-(COUNTIFS($B$2:$B$492,$B2,$O$2:$O$492,"&gt;"&amp;$O2)+1-1)/COUNTIF($B$2:$B$492,$B2))&gt;=0.3,"Nella Media","Scommessa/Riserva")))),"")</f>
        <v>Top</v>
      </c>
      <c r="Q2" s="29" t="n">
        <f aca="false">IF($D2="",COUNTIF($D$2:$D2,""),"")</f>
        <v>1</v>
      </c>
      <c r="R2" s="29" t="str">
        <f aca="false">IF($D2='Info Lega'!$B$28,COUNTIFS($D$2:$D2,'Info Lega'!$B$28),"")</f>
        <v/>
      </c>
      <c r="S2" s="30" t="n">
        <f aca="false">IFERROR(INDEX('Input Statistiche 2025_26'!$G$3:$G$665,MATCH($A2,'Input Statistiche 2025_26'!$A$3:$A$665,0)),"")</f>
        <v>6.42</v>
      </c>
      <c r="T2" s="30" t="n">
        <f aca="false">IFERROR(INDEX('Input Statistiche 2025_26'!$H$3:$H$665,MATCH($A2,'Input Statistiche 2025_26'!$A$3:$A$665,0)),"")</f>
        <v>8.25</v>
      </c>
      <c r="U2" s="26" t="str">
        <f aca="false">IF(OR('La Mia Rosa'!$O$12="",$D2&lt;&gt;""),"",IF($F2&lt;='La Mia Rosa'!$O$12*'Parametri Modello'!$B$24,"OK",IF($F2&lt;='La Mia Rosa'!$O$12*'Parametri Modello'!$B$25,"Attenzione","Rischio Alto")))</f>
        <v>Rischio Alto</v>
      </c>
      <c r="V2" s="26" t="n">
        <f aca="false">IFERROR(COUNTIFS($B$2:$B$492,$B2,$O$2:$O$492,"&gt;"&amp;$O2)+1,"")</f>
        <v>1</v>
      </c>
      <c r="W2" s="21" t="n">
        <f aca="false">'Info Lega'!$B$4-SUMIFS($M$2:$M$492,$D$2:$D$492,'Info Lega'!$B$28)</f>
        <v>1000</v>
      </c>
      <c r="X2" s="21" t="n">
        <f aca="false">('Info Lega'!$B$5-COUNTIFS($D$2:$D$492,'Info Lega'!$B$28,$B$2:$B$492,"P"))+('Info Lega'!$B$6-COUNTIFS($D$2:$D$492,'Info Lega'!$B$28,$B$2:$B$492,"D"))+('Info Lega'!$B$7-COUNTIFS($D$2:$D$492,'Info Lega'!$B$28,$B$2:$B$492,"C"))+('Info Lega'!$B$8-COUNTIFS($D$2:$D$492,'Info Lega'!$B$28,$B$2:$B$492,"A"))</f>
        <v>25</v>
      </c>
      <c r="Y2" s="21" t="n">
        <f aca="false">X2*'Parametri Modello'!$B$30</f>
        <v>25</v>
      </c>
      <c r="Z2" s="21" t="n">
        <f aca="false">MAX(0,W2-Y2)</f>
        <v>975</v>
      </c>
      <c r="AA2" s="21" t="n">
        <f aca="false">MIN(F2,Z2)</f>
        <v>345</v>
      </c>
      <c r="AB2" s="21"/>
      <c r="AC2" s="21" t="str">
        <f aca="false">IF(AB2="","",IF(AB2&gt;AA2,"PASS",IF(AB2&lt;=AA2*0.85,"BID","ATTENZIONE")))</f>
        <v/>
      </c>
      <c r="AD2" s="31" t="n">
        <f aca="false">IF(I2="","",ROUND(100*(1-EXP(-I2/30)),0))</f>
        <v>63</v>
      </c>
      <c r="AE2" s="7" t="str">
        <f aca="false">IFERROR(INDEX('Stato Asta'!$G$9:$G$12,MATCH($B2,'Stato Asta'!$A$9:$A$12,0)),"")</f>
        <v>🔴 Non aspettare</v>
      </c>
    </row>
    <row r="3" customFormat="false" ht="14.25" hidden="false" customHeight="true" outlineLevel="0" collapsed="false">
      <c r="A3" s="21" t="n">
        <v>5585</v>
      </c>
      <c r="B3" s="21" t="s">
        <v>46</v>
      </c>
      <c r="C3" s="21" t="s">
        <v>539</v>
      </c>
      <c r="E3" s="26" t="str">
        <f aca="false">IF(COUNTIF('Info Strategia'!$D$2:$D$51,$C3)&gt;0,"SI","NO")</f>
        <v>NO</v>
      </c>
      <c r="F3" s="27" t="n">
        <f aca="false">IFERROR(ROUND(($G3+($H3-$G3)*'Info Strategia'!$B$6)*(1+IF($E3="SI",'Parametri Modello'!$B$7*'Info Strategia'!$B$6,0)),0),"")</f>
        <v>347</v>
      </c>
      <c r="G3" s="27" t="n">
        <f aca="false">IFERROR(ROUND((IF(OR(INDEX('Parametri Modello'!$C$39:$C$42,MATCH($B3,'Parametri Modello'!$A$39:$A$42,0))="",INDEX('Parametri Modello'!$C$39:$C$42,MATCH($B3,'Parametri Modello'!$A$39:$A$42,0))=0),0,($O3/INDEX('Parametri Modello'!$C$39:$C$42,MATCH($B3,'Parametri Modello'!$A$39:$A$42,0)))*(INDEX('Parametri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217</v>
      </c>
      <c r="H3" s="27" t="n">
        <f aca="false">IFERROR(ROUND((IF(OR(INDEX('Parametri Modello'!$C$39:$C$42,MATCH($B3,'Parametri Modello'!$A$39:$A$42,0))="",INDEX('Parametri Modello'!$C$39:$C$42,MATCH($B3,'Parametri Modello'!$A$39:$A$42,0))=0),0,($O3/INDEX('Parametri Modello'!$C$39:$C$42,MATCH($B3,'Parametri Modello'!$A$39:$A$42,0)))*(INDEX('Parametri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403</v>
      </c>
      <c r="I3" s="26" t="n">
        <f aca="false">IFERROR(INDEX('Input Statistiche 2025_26'!$F$3:$F$665,MATCH($A3,'Input Statistiche 2025_26'!$A$3:$A$665,0)),"")</f>
        <v>18</v>
      </c>
      <c r="J3" s="26" t="n">
        <f aca="false">IFERROR(IF($I3="","",MAX(0,38-$I3)),"")</f>
        <v>20</v>
      </c>
      <c r="K3" s="26" t="n">
        <f aca="false">IFERROR(INDEX('Input Statistiche 2025_26'!$I$3:$I$665,MATCH($A3,'Input Statistiche 2025_26'!$A$3:$A$665,0)),"")</f>
        <v>14</v>
      </c>
      <c r="L3" s="26" t="n">
        <f aca="false">IFERROR(INDEX('Input Statistiche 2025_26'!$O$3:$O$665,MATCH($A3,'Input Statistiche 2025_26'!$A$3:$A$665,0)),"")</f>
        <v>2</v>
      </c>
      <c r="M3" s="28"/>
      <c r="N3" s="27" t="n">
        <f aca="false">IFERROR(INDEX('Input Giocatori 2026_27'!$E$3:$E$493,MATCH($A3,'Input Giocatori 2026_27'!$A$3:$A$493,0)),"")</f>
        <v>34</v>
      </c>
      <c r="O3" s="27" t="n">
        <f aca="false">IFERROR(INDEX('Input Giocatori 2026_27'!$G$3:$G$493,MATCH($A3,'Input Giocatori 2026_27'!$A$3:$A$493,0)),"")</f>
        <v>365</v>
      </c>
      <c r="P3" s="26" t="str">
        <f aca="false">IFERROR(IF($O3="","",IF((1-(COUNTIFS($B$2:$B$492,$B3,$O$2:$O$492,"&gt;"&amp;$O3)+1-1)/COUNTIF($B$2:$B$492,$B3))&gt;=0.85,"Top",IF((1-(COUNTIFS($B$2:$B$492,$B3,$O$2:$O$492,"&gt;"&amp;$O3)+1-1)/COUNTIF($B$2:$B$492,$B3))&gt;=0.6,"Buono",IF((1-(COUNTIFS($B$2:$B$492,$B3,$O$2:$O$492,"&gt;"&amp;$O3)+1-1)/COUNTIF($B$2:$B$492,$B3))&gt;=0.3,"Nella Media","Scommessa/Riserva")))),"")</f>
        <v>Top</v>
      </c>
      <c r="Q3" s="29" t="n">
        <f aca="false">IF($D3="",COUNTIF($D$2:$D3,""),"")</f>
        <v>2</v>
      </c>
      <c r="R3" s="29" t="str">
        <f aca="false">IF($D3='Info Lega'!$B$28,COUNTIFS($D$2:$D3,'Info Lega'!$B$28),"")</f>
        <v/>
      </c>
      <c r="S3" s="30" t="n">
        <f aca="false">IFERROR(INDEX('Input Statistiche 2025_26'!$G$3:$G$665,MATCH($A3,'Input Statistiche 2025_26'!$A$3:$A$665,0)),"")</f>
        <v>6.72</v>
      </c>
      <c r="T3" s="30" t="n">
        <f aca="false">IFERROR(INDEX('Input Statistiche 2025_26'!$H$3:$H$665,MATCH($A3,'Input Statistiche 2025_26'!$A$3:$A$665,0)),"")</f>
        <v>8.97</v>
      </c>
      <c r="U3" s="26" t="str">
        <f aca="false">IF(OR('La Mia Rosa'!$O$12="",$D3&lt;&gt;""),"",IF($F3&lt;='La Mia Rosa'!$O$12*'Parametri Modello'!$B$24,"OK",IF($F3&lt;='La Mia Rosa'!$O$12*'Parametri Modello'!$B$25,"Attenzione","Rischio Alto")))</f>
        <v>Rischio Alto</v>
      </c>
      <c r="V3" s="26" t="n">
        <f aca="false">IFERROR(COUNTIFS($B$2:$B$492,$B3,$O$2:$O$492,"&gt;"&amp;$O3)+1,"")</f>
        <v>2</v>
      </c>
      <c r="W3" s="21" t="n">
        <f aca="false">'Info Lega'!$B$4-SUMIFS($M$2:$M$492,$D$2:$D$492,'Info Lega'!$B$28)</f>
        <v>1000</v>
      </c>
      <c r="X3" s="21" t="n">
        <f aca="false">('Info Lega'!$B$5-COUNTIFS($D$2:$D$492,'Info Lega'!$B$28,$B$2:$B$492,"P"))+('Info Lega'!$B$6-COUNTIFS($D$2:$D$492,'Info Lega'!$B$28,$B$2:$B$492,"D"))+('Info Lega'!$B$7-COUNTIFS($D$2:$D$492,'Info Lega'!$B$28,$B$2:$B$492,"C"))+('Info Lega'!$B$8-COUNTIFS($D$2:$D$492,'Info Lega'!$B$28,$B$2:$B$492,"A"))</f>
        <v>25</v>
      </c>
      <c r="Y3" s="21" t="n">
        <f aca="false">X3*'Parametri Modello'!$B$30</f>
        <v>25</v>
      </c>
      <c r="Z3" s="21" t="n">
        <f aca="false">MAX(0,W3-Y3)</f>
        <v>975</v>
      </c>
      <c r="AA3" s="21" t="n">
        <f aca="false">MIN(F3,Z3)</f>
        <v>347</v>
      </c>
      <c r="AB3" s="21"/>
      <c r="AC3" s="21" t="str">
        <f aca="false">IF(AB3="","",IF(AB3&gt;AA3,"PASS",IF(AB3&lt;=AA3*0.85,"BID","ATTENZIONE")))</f>
        <v/>
      </c>
      <c r="AD3" s="31" t="n">
        <f aca="false">IF(I3="","",ROUND(100*(1-EXP(-I3/30)),0))</f>
        <v>45</v>
      </c>
      <c r="AE3" s="7" t="str">
        <f aca="false">IFERROR(INDEX('Stato Asta'!$G$9:$G$12,MATCH($B3,'Stato Asta'!$A$9:$A$12,0)),"")</f>
        <v>🔴 Non aspettare</v>
      </c>
    </row>
    <row r="4" customFormat="false" ht="14.25" hidden="false" customHeight="true" outlineLevel="0" collapsed="false">
      <c r="A4" s="21" t="n">
        <v>4871</v>
      </c>
      <c r="B4" s="21" t="s">
        <v>46</v>
      </c>
      <c r="C4" s="21" t="s">
        <v>540</v>
      </c>
      <c r="E4" s="26" t="str">
        <f aca="false">IF(COUNTIF('Info Strategia'!$D$2:$D$51,$C4)&gt;0,"SI","NO")</f>
        <v>NO</v>
      </c>
      <c r="F4" s="27" t="n">
        <f aca="false">IFERROR(ROUND(($G4+($H4-$G4)*'Info Strategia'!$B$6)*(1+IF($E4="SI",'Parametri Modello'!$B$7*'Info Strategia'!$B$6,0)),0),"")</f>
        <v>259</v>
      </c>
      <c r="G4" s="27" t="n">
        <f aca="false">IFERROR(ROUND((IF(OR(INDEX('Parametri Modello'!$C$39:$C$42,MATCH($B4,'Parametri Modello'!$A$39:$A$42,0))="",INDEX('Parametri Modello'!$C$39:$C$42,MATCH($B4,'Parametri Modello'!$A$39:$A$42,0))=0),0,($O4/INDEX('Parametri Modello'!$C$39:$C$42,MATCH($B4,'Parametri Modello'!$A$39:$A$42,0)))*(INDEX('Parametri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162</v>
      </c>
      <c r="H4" s="27" t="n">
        <f aca="false">IFERROR(ROUND((IF(OR(INDEX('Parametri Modello'!$C$39:$C$42,MATCH($B4,'Parametri Modello'!$A$39:$A$42,0))="",INDEX('Parametri Modello'!$C$39:$C$42,MATCH($B4,'Parametri Modello'!$A$39:$A$42,0))=0),0,($O4/INDEX('Parametri Modello'!$C$39:$C$42,MATCH($B4,'Parametri Modello'!$A$39:$A$42,0)))*(INDEX('Parametri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300</v>
      </c>
      <c r="I4" s="26" t="n">
        <f aca="false">IFERROR(INDEX('Input Statistiche 2025_26'!$F$3:$F$665,MATCH($A4,'Input Statistiche 2025_26'!$A$3:$A$665,0)),"")</f>
        <v>29</v>
      </c>
      <c r="J4" s="26" t="n">
        <f aca="false">IFERROR(IF($I4="","",MAX(0,38-$I4)),"")</f>
        <v>9</v>
      </c>
      <c r="K4" s="26" t="n">
        <f aca="false">IFERROR(INDEX('Input Statistiche 2025_26'!$I$3:$I$665,MATCH($A4,'Input Statistiche 2025_26'!$A$3:$A$665,0)),"")</f>
        <v>13</v>
      </c>
      <c r="L4" s="26" t="n">
        <f aca="false">IFERROR(INDEX('Input Statistiche 2025_26'!$O$3:$O$665,MATCH($A4,'Input Statistiche 2025_26'!$A$3:$A$665,0)),"")</f>
        <v>6</v>
      </c>
      <c r="M4" s="28"/>
      <c r="N4" s="27" t="n">
        <f aca="false">IFERROR(INDEX('Input Giocatori 2026_27'!$E$3:$E$493,MATCH($A4,'Input Giocatori 2026_27'!$A$3:$A$493,0)),"")</f>
        <v>29</v>
      </c>
      <c r="O4" s="27" t="n">
        <f aca="false">IFERROR(INDEX('Input Giocatori 2026_27'!$G$3:$G$493,MATCH($A4,'Input Giocatori 2026_27'!$A$3:$A$493,0)),"")</f>
        <v>280</v>
      </c>
      <c r="P4" s="26" t="str">
        <f aca="false">IFERROR(IF($O4="","",IF((1-(COUNTIFS($B$2:$B$492,$B4,$O$2:$O$492,"&gt;"&amp;$O4)+1-1)/COUNTIF($B$2:$B$492,$B4))&gt;=0.85,"Top",IF((1-(COUNTIFS($B$2:$B$492,$B4,$O$2:$O$492,"&gt;"&amp;$O4)+1-1)/COUNTIF($B$2:$B$492,$B4))&gt;=0.6,"Buono",IF((1-(COUNTIFS($B$2:$B$492,$B4,$O$2:$O$492,"&gt;"&amp;$O4)+1-1)/COUNTIF($B$2:$B$492,$B4))&gt;=0.3,"Nella Media","Scommessa/Riserva")))),"")</f>
        <v>Top</v>
      </c>
      <c r="Q4" s="29" t="n">
        <f aca="false">IF($D4="",COUNTIF($D$2:$D4,""),"")</f>
        <v>3</v>
      </c>
      <c r="R4" s="29" t="str">
        <f aca="false">IF($D4='Info Lega'!$B$28,COUNTIFS($D$2:$D4,'Info Lega'!$B$28),"")</f>
        <v/>
      </c>
      <c r="S4" s="30" t="n">
        <f aca="false">IFERROR(INDEX('Input Statistiche 2025_26'!$G$3:$G$665,MATCH($A4,'Input Statistiche 2025_26'!$A$3:$A$665,0)),"")</f>
        <v>6.43</v>
      </c>
      <c r="T4" s="30" t="n">
        <f aca="false">IFERROR(INDEX('Input Statistiche 2025_26'!$H$3:$H$665,MATCH($A4,'Input Statistiche 2025_26'!$A$3:$A$665,0)),"")</f>
        <v>7.95</v>
      </c>
      <c r="U4" s="26" t="str">
        <f aca="false">IF(OR('La Mia Rosa'!$O$12="",$D4&lt;&gt;""),"",IF($F4&lt;='La Mia Rosa'!$O$12*'Parametri Modello'!$B$24,"OK",IF($F4&lt;='La Mia Rosa'!$O$12*'Parametri Modello'!$B$25,"Attenzione","Rischio Alto")))</f>
        <v>Rischio Alto</v>
      </c>
      <c r="V4" s="26" t="n">
        <f aca="false">IFERROR(COUNTIFS($B$2:$B$492,$B4,$O$2:$O$492,"&gt;"&amp;$O4)+1,"")</f>
        <v>3</v>
      </c>
      <c r="W4" s="21" t="n">
        <f aca="false">'Info Lega'!$B$4-SUMIFS($M$2:$M$492,$D$2:$D$492,'Info Lega'!$B$28)</f>
        <v>1000</v>
      </c>
      <c r="X4" s="21" t="n">
        <f aca="false">('Info Lega'!$B$5-COUNTIFS($D$2:$D$492,'Info Lega'!$B$28,$B$2:$B$492,"P"))+('Info Lega'!$B$6-COUNTIFS($D$2:$D$492,'Info Lega'!$B$28,$B$2:$B$492,"D"))+('Info Lega'!$B$7-COUNTIFS($D$2:$D$492,'Info Lega'!$B$28,$B$2:$B$492,"C"))+('Info Lega'!$B$8-COUNTIFS($D$2:$D$492,'Info Lega'!$B$28,$B$2:$B$492,"A"))</f>
        <v>25</v>
      </c>
      <c r="Y4" s="21" t="n">
        <f aca="false">X4*'Parametri Modello'!$B$30</f>
        <v>25</v>
      </c>
      <c r="Z4" s="21" t="n">
        <f aca="false">MAX(0,W4-Y4)</f>
        <v>975</v>
      </c>
      <c r="AA4" s="21" t="n">
        <f aca="false">MIN(F4,Z4)</f>
        <v>259</v>
      </c>
      <c r="AB4" s="21"/>
      <c r="AC4" s="21" t="str">
        <f aca="false">IF(AB4="","",IF(AB4&gt;AA4,"PASS",IF(AB4&lt;=AA4*0.85,"BID","ATTENZIONE")))</f>
        <v/>
      </c>
      <c r="AD4" s="31" t="n">
        <f aca="false">IF(I4="","",ROUND(100*(1-EXP(-I4/30)),0))</f>
        <v>62</v>
      </c>
      <c r="AE4" s="7" t="str">
        <f aca="false">IFERROR(INDEX('Stato Asta'!$G$9:$G$12,MATCH($B4,'Stato Asta'!$A$9:$A$12,0)),"")</f>
        <v>🔴 Non aspettare</v>
      </c>
    </row>
    <row r="5" customFormat="false" ht="14.25" hidden="false" customHeight="true" outlineLevel="0" collapsed="false">
      <c r="A5" s="21" t="n">
        <v>6052</v>
      </c>
      <c r="B5" s="21" t="s">
        <v>46</v>
      </c>
      <c r="C5" s="21" t="s">
        <v>541</v>
      </c>
      <c r="E5" s="26" t="str">
        <f aca="false">IF(COUNTIF('Info Strategia'!$D$2:$D$51,$C5)&gt;0,"SI","NO")</f>
        <v>NO</v>
      </c>
      <c r="F5" s="27" t="n">
        <f aca="false">IFERROR(ROUND(($G5+($H5-$G5)*'Info Strategia'!$B$6)*(1+IF($E5="SI",'Parametri Modello'!$B$7*'Info Strategia'!$B$6,0)),0),"")</f>
        <v>246</v>
      </c>
      <c r="G5" s="27" t="n">
        <f aca="false">IFERROR(ROUND((IF(OR(INDEX('Parametri Modello'!$C$39:$C$42,MATCH($B5,'Parametri Modello'!$A$39:$A$42,0))="",INDEX('Parametri Modello'!$C$39:$C$42,MATCH($B5,'Parametri Modello'!$A$39:$A$42,0))=0),0,($O5/INDEX('Parametri Modello'!$C$39:$C$42,MATCH($B5,'Parametri Modello'!$A$39:$A$42,0)))*(INDEX('Parametri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154</v>
      </c>
      <c r="H5" s="27" t="n">
        <f aca="false">IFERROR(ROUND((IF(OR(INDEX('Parametri Modello'!$C$39:$C$42,MATCH($B5,'Parametri Modello'!$A$39:$A$42,0))="",INDEX('Parametri Modello'!$C$39:$C$42,MATCH($B5,'Parametri Modello'!$A$39:$A$42,0))=0),0,($O5/INDEX('Parametri Modello'!$C$39:$C$42,MATCH($B5,'Parametri Modello'!$A$39:$A$42,0)))*(INDEX('Parametri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286</v>
      </c>
      <c r="I5" s="26" t="n">
        <f aca="false">IFERROR(INDEX('Input Statistiche 2025_26'!$F$3:$F$665,MATCH($A5,'Input Statistiche 2025_26'!$A$3:$A$665,0)),"")</f>
        <v>33</v>
      </c>
      <c r="J5" s="26" t="n">
        <f aca="false">IFERROR(IF($I5="","",MAX(0,38-$I5)),"")</f>
        <v>5</v>
      </c>
      <c r="K5" s="26" t="n">
        <f aca="false">IFERROR(INDEX('Input Statistiche 2025_26'!$I$3:$I$665,MATCH($A5,'Input Statistiche 2025_26'!$A$3:$A$665,0)),"")</f>
        <v>12</v>
      </c>
      <c r="L5" s="26" t="n">
        <f aca="false">IFERROR(INDEX('Input Statistiche 2025_26'!$O$3:$O$665,MATCH($A5,'Input Statistiche 2025_26'!$A$3:$A$665,0)),"")</f>
        <v>5</v>
      </c>
      <c r="M5" s="28"/>
      <c r="N5" s="27" t="n">
        <f aca="false">IFERROR(INDEX('Input Giocatori 2026_27'!$E$3:$E$493,MATCH($A5,'Input Giocatori 2026_27'!$A$3:$A$493,0)),"")</f>
        <v>28</v>
      </c>
      <c r="O5" s="27" t="n">
        <f aca="false">IFERROR(INDEX('Input Giocatori 2026_27'!$G$3:$G$493,MATCH($A5,'Input Giocatori 2026_27'!$A$3:$A$493,0)),"")</f>
        <v>271</v>
      </c>
      <c r="P5" s="26" t="str">
        <f aca="false">IFERROR(IF($O5="","",IF((1-(COUNTIFS($B$2:$B$492,$B5,$O$2:$O$492,"&gt;"&amp;$O5)+1-1)/COUNTIF($B$2:$B$492,$B5))&gt;=0.85,"Top",IF((1-(COUNTIFS($B$2:$B$492,$B5,$O$2:$O$492,"&gt;"&amp;$O5)+1-1)/COUNTIF($B$2:$B$492,$B5))&gt;=0.6,"Buono",IF((1-(COUNTIFS($B$2:$B$492,$B5,$O$2:$O$492,"&gt;"&amp;$O5)+1-1)/COUNTIF($B$2:$B$492,$B5))&gt;=0.3,"Nella Media","Scommessa/Riserva")))),"")</f>
        <v>Top</v>
      </c>
      <c r="Q5" s="29" t="n">
        <f aca="false">IF($D5="",COUNTIF($D$2:$D5,""),"")</f>
        <v>4</v>
      </c>
      <c r="R5" s="29" t="str">
        <f aca="false">IF($D5='Info Lega'!$B$28,COUNTIFS($D$2:$D5,'Info Lega'!$B$28),"")</f>
        <v/>
      </c>
      <c r="S5" s="30" t="n">
        <f aca="false">IFERROR(INDEX('Input Statistiche 2025_26'!$G$3:$G$665,MATCH($A5,'Input Statistiche 2025_26'!$A$3:$A$665,0)),"")</f>
        <v>6.21</v>
      </c>
      <c r="T5" s="30" t="n">
        <f aca="false">IFERROR(INDEX('Input Statistiche 2025_26'!$H$3:$H$665,MATCH($A5,'Input Statistiche 2025_26'!$A$3:$A$665,0)),"")</f>
        <v>7.44</v>
      </c>
      <c r="U5" s="26" t="str">
        <f aca="false">IF(OR('La Mia Rosa'!$O$12="",$D5&lt;&gt;""),"",IF($F5&lt;='La Mia Rosa'!$O$12*'Parametri Modello'!$B$24,"OK",IF($F5&lt;='La Mia Rosa'!$O$12*'Parametri Modello'!$B$25,"Attenzione","Rischio Alto")))</f>
        <v>Rischio Alto</v>
      </c>
      <c r="V5" s="26" t="n">
        <f aca="false">IFERROR(COUNTIFS($B$2:$B$492,$B5,$O$2:$O$492,"&gt;"&amp;$O5)+1,"")</f>
        <v>4</v>
      </c>
      <c r="W5" s="21" t="n">
        <f aca="false">'Info Lega'!$B$4-SUMIFS($M$2:$M$492,$D$2:$D$492,'Info Lega'!$B$28)</f>
        <v>1000</v>
      </c>
      <c r="X5" s="21" t="n">
        <f aca="false">('Info Lega'!$B$5-COUNTIFS($D$2:$D$492,'Info Lega'!$B$28,$B$2:$B$492,"P"))+('Info Lega'!$B$6-COUNTIFS($D$2:$D$492,'Info Lega'!$B$28,$B$2:$B$492,"D"))+('Info Lega'!$B$7-COUNTIFS($D$2:$D$492,'Info Lega'!$B$28,$B$2:$B$492,"C"))+('Info Lega'!$B$8-COUNTIFS($D$2:$D$492,'Info Lega'!$B$28,$B$2:$B$492,"A"))</f>
        <v>25</v>
      </c>
      <c r="Y5" s="21" t="n">
        <f aca="false">X5*'Parametri Modello'!$B$30</f>
        <v>25</v>
      </c>
      <c r="Z5" s="21" t="n">
        <f aca="false">MAX(0,W5-Y5)</f>
        <v>975</v>
      </c>
      <c r="AA5" s="21" t="n">
        <f aca="false">MIN(F5,Z5)</f>
        <v>246</v>
      </c>
      <c r="AB5" s="21"/>
      <c r="AC5" s="21" t="str">
        <f aca="false">IF(AB5="","",IF(AB5&gt;AA5,"PASS",IF(AB5&lt;=AA5*0.85,"BID","ATTENZIONE")))</f>
        <v/>
      </c>
      <c r="AD5" s="31" t="n">
        <f aca="false">IF(I5="","",ROUND(100*(1-EXP(-I5/30)),0))</f>
        <v>67</v>
      </c>
      <c r="AE5" s="7" t="str">
        <f aca="false">IFERROR(INDEX('Stato Asta'!$G$9:$G$12,MATCH($B5,'Stato Asta'!$A$9:$A$12,0)),"")</f>
        <v>🔴 Non aspettare</v>
      </c>
    </row>
    <row r="6" customFormat="false" ht="14.25" hidden="false" customHeight="true" outlineLevel="0" collapsed="false">
      <c r="A6" s="21" t="n">
        <v>254</v>
      </c>
      <c r="B6" s="21" t="s">
        <v>44</v>
      </c>
      <c r="C6" s="21" t="s">
        <v>191</v>
      </c>
      <c r="E6" s="26" t="str">
        <f aca="false">IF(COUNTIF('Info Strategia'!$D$2:$D$51,$C6)&gt;0,"SI","NO")</f>
        <v>NO</v>
      </c>
      <c r="F6" s="27" t="n">
        <f aca="false">IFERROR(ROUND(($G6+($H6-$G6)*'Info Strategia'!$B$6)*(1+IF($E6="SI",'Parametri Modello'!$B$7*'Info Strategia'!$B$6,0)),0),"")</f>
        <v>134</v>
      </c>
      <c r="G6" s="27" t="n">
        <f aca="false">IFERROR(ROUND((IF(OR(INDEX('Parametri Modello'!$C$39:$C$42,MATCH($B6,'Parametri Modello'!$A$39:$A$42,0))="",INDEX('Parametri Modello'!$C$39:$C$42,MATCH($B6,'Parametri Modello'!$A$39:$A$42,0))=0),0,($O6/INDEX('Parametri Modello'!$C$39:$C$42,MATCH($B6,'Parametri Modello'!$A$39:$A$42,0)))*(INDEX('Parametri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99</v>
      </c>
      <c r="H6" s="27" t="n">
        <f aca="false">IFERROR(ROUND((IF(OR(INDEX('Parametri Modello'!$C$39:$C$42,MATCH($B6,'Parametri Modello'!$A$39:$A$42,0))="",INDEX('Parametri Modello'!$C$39:$C$42,MATCH($B6,'Parametri Modello'!$A$39:$A$42,0))=0),0,($O6/INDEX('Parametri Modello'!$C$39:$C$42,MATCH($B6,'Parametri Modello'!$A$39:$A$42,0)))*(INDEX('Parametri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149</v>
      </c>
      <c r="I6" s="26" t="n">
        <f aca="false">IFERROR(INDEX('Input Statistiche 2025_26'!$F$3:$F$665,MATCH($A6,'Input Statistiche 2025_26'!$A$3:$A$665,0)),"")</f>
        <v>35</v>
      </c>
      <c r="J6" s="26" t="n">
        <f aca="false">IFERROR(IF($I6="","",MAX(0,38-$I6)),"")</f>
        <v>3</v>
      </c>
      <c r="K6" s="26" t="n">
        <f aca="false">IFERROR(INDEX('Input Statistiche 2025_26'!$I$3:$I$665,MATCH($A6,'Input Statistiche 2025_26'!$A$3:$A$665,0)),"")</f>
        <v>7</v>
      </c>
      <c r="L6" s="26" t="n">
        <f aca="false">IFERROR(INDEX('Input Statistiche 2025_26'!$O$3:$O$665,MATCH($A6,'Input Statistiche 2025_26'!$A$3:$A$665,0)),"")</f>
        <v>17</v>
      </c>
      <c r="M6" s="28"/>
      <c r="N6" s="27" t="n">
        <f aca="false">IFERROR(INDEX('Input Giocatori 2026_27'!$E$3:$E$493,MATCH($A6,'Input Giocatori 2026_27'!$A$3:$A$493,0)),"")</f>
        <v>32</v>
      </c>
      <c r="O6" s="27" t="n">
        <f aca="false">IFERROR(INDEX('Input Giocatori 2026_27'!$G$3:$G$493,MATCH($A6,'Input Giocatori 2026_27'!$A$3:$A$493,0)),"")</f>
        <v>265</v>
      </c>
      <c r="P6" s="26" t="str">
        <f aca="false">IFERROR(IF($O6="","",IF((1-(COUNTIFS($B$2:$B$492,$B6,$O$2:$O$492,"&gt;"&amp;$O6)+1-1)/COUNTIF($B$2:$B$492,$B6))&gt;=0.85,"Top",IF((1-(COUNTIFS($B$2:$B$492,$B6,$O$2:$O$492,"&gt;"&amp;$O6)+1-1)/COUNTIF($B$2:$B$492,$B6))&gt;=0.6,"Buono",IF((1-(COUNTIFS($B$2:$B$492,$B6,$O$2:$O$492,"&gt;"&amp;$O6)+1-1)/COUNTIF($B$2:$B$492,$B6))&gt;=0.3,"Nella Media","Scommessa/Riserva")))),"")</f>
        <v>Top</v>
      </c>
      <c r="Q6" s="29" t="n">
        <f aca="false">IF($D6="",COUNTIF($D$2:$D6,""),"")</f>
        <v>5</v>
      </c>
      <c r="R6" s="29" t="str">
        <f aca="false">IF($D6='Info Lega'!$B$28,COUNTIFS($D$2:$D6,'Info Lega'!$B$28),"")</f>
        <v/>
      </c>
      <c r="S6" s="30" t="n">
        <f aca="false">IFERROR(INDEX('Input Statistiche 2025_26'!$G$3:$G$665,MATCH($A6,'Input Statistiche 2025_26'!$A$3:$A$665,0)),"")</f>
        <v>6.6</v>
      </c>
      <c r="T6" s="30" t="n">
        <f aca="false">IFERROR(INDEX('Input Statistiche 2025_26'!$H$3:$H$665,MATCH($A6,'Input Statistiche 2025_26'!$A$3:$A$665,0)),"")</f>
        <v>7.64</v>
      </c>
      <c r="U6" s="26" t="str">
        <f aca="false">IF(OR('La Mia Rosa'!$O$12="",$D6&lt;&gt;""),"",IF($F6&lt;='La Mia Rosa'!$O$12*'Parametri Modello'!$B$24,"OK",IF($F6&lt;='La Mia Rosa'!$O$12*'Parametri Modello'!$B$25,"Attenzione","Rischio Alto")))</f>
        <v>Rischio Alto</v>
      </c>
      <c r="V6" s="26" t="n">
        <f aca="false">IFERROR(COUNTIFS($B$2:$B$492,$B6,$O$2:$O$492,"&gt;"&amp;$O6)+1,"")</f>
        <v>1</v>
      </c>
      <c r="W6" s="21" t="n">
        <f aca="false">'Info Lega'!$B$4-SUMIFS($M$2:$M$492,$D$2:$D$492,'Info Lega'!$B$28)</f>
        <v>1000</v>
      </c>
      <c r="X6" s="21" t="n">
        <f aca="false">('Info Lega'!$B$5-COUNTIFS($D$2:$D$492,'Info Lega'!$B$28,$B$2:$B$492,"P"))+('Info Lega'!$B$6-COUNTIFS($D$2:$D$492,'Info Lega'!$B$28,$B$2:$B$492,"D"))+('Info Lega'!$B$7-COUNTIFS($D$2:$D$492,'Info Lega'!$B$28,$B$2:$B$492,"C"))+('Info Lega'!$B$8-COUNTIFS($D$2:$D$492,'Info Lega'!$B$28,$B$2:$B$492,"A"))</f>
        <v>25</v>
      </c>
      <c r="Y6" s="21" t="n">
        <f aca="false">X6*'Parametri Modello'!$B$30</f>
        <v>25</v>
      </c>
      <c r="Z6" s="21" t="n">
        <f aca="false">MAX(0,W6-Y6)</f>
        <v>975</v>
      </c>
      <c r="AA6" s="21" t="n">
        <f aca="false">MIN(F6,Z6)</f>
        <v>134</v>
      </c>
      <c r="AB6" s="21"/>
      <c r="AC6" s="21" t="str">
        <f aca="false">IF(AB6="","",IF(AB6&gt;AA6,"PASS",IF(AB6&lt;=AA6*0.85,"BID","ATTENZIONE")))</f>
        <v/>
      </c>
      <c r="AD6" s="31" t="n">
        <f aca="false">IF(I6="","",ROUND(100*(1-EXP(-I6/30)),0))</f>
        <v>69</v>
      </c>
      <c r="AE6" s="7" t="str">
        <f aca="false">IFERROR(INDEX('Stato Asta'!$G$9:$G$12,MATCH($B6,'Stato Asta'!$A$9:$A$12,0)),"")</f>
        <v>🟡 Attesa rischiosa</v>
      </c>
    </row>
    <row r="7" customFormat="false" ht="14.25" hidden="false" customHeight="true" outlineLevel="0" collapsed="false">
      <c r="A7" s="21" t="n">
        <v>6875</v>
      </c>
      <c r="B7" s="21" t="s">
        <v>45</v>
      </c>
      <c r="C7" s="21" t="s">
        <v>366</v>
      </c>
      <c r="E7" s="26" t="str">
        <f aca="false">IF(COUNTIF('Info Strategia'!$D$2:$D$51,$C7)&gt;0,"SI","NO")</f>
        <v>NO</v>
      </c>
      <c r="F7" s="27" t="n">
        <f aca="false">IFERROR(ROUND(($G7+($H7-$G7)*'Info Strategia'!$B$6)*(1+IF($E7="SI",'Parametri Modello'!$B$7*'Info Strategia'!$B$6,0)),0),"")</f>
        <v>142</v>
      </c>
      <c r="G7" s="27" t="n">
        <f aca="false">IFERROR(ROUND((IF(OR(INDEX('Parametri Modello'!$C$39:$C$42,MATCH($B7,'Parametri Modello'!$A$39:$A$42,0))="",INDEX('Parametri Modello'!$C$39:$C$42,MATCH($B7,'Parametri Modello'!$A$39:$A$42,0))=0),0,($O7/INDEX('Parametri Modello'!$C$39:$C$42,MATCH($B7,'Parametri Modello'!$A$39:$A$42,0)))*(INDEX('Parametri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96</v>
      </c>
      <c r="H7" s="27" t="n">
        <f aca="false">IFERROR(ROUND((IF(OR(INDEX('Parametri Modello'!$C$39:$C$42,MATCH($B7,'Parametri Modello'!$A$39:$A$42,0))="",INDEX('Parametri Modello'!$C$39:$C$42,MATCH($B7,'Parametri Modello'!$A$39:$A$42,0))=0),0,($O7/INDEX('Parametri Modello'!$C$39:$C$42,MATCH($B7,'Parametri Modello'!$A$39:$A$42,0)))*(INDEX('Parametri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161</v>
      </c>
      <c r="I7" s="26" t="n">
        <f aca="false">IFERROR(INDEX('Input Statistiche 2025_26'!$F$3:$F$665,MATCH($A7,'Input Statistiche 2025_26'!$A$3:$A$665,0)),"")</f>
        <v>35</v>
      </c>
      <c r="J7" s="26" t="n">
        <f aca="false">IFERROR(IF($I7="","",MAX(0,38-$I7)),"")</f>
        <v>3</v>
      </c>
      <c r="K7" s="26" t="n">
        <f aca="false">IFERROR(INDEX('Input Statistiche 2025_26'!$I$3:$I$665,MATCH($A7,'Input Statistiche 2025_26'!$A$3:$A$665,0)),"")</f>
        <v>12</v>
      </c>
      <c r="L7" s="26" t="n">
        <f aca="false">IFERROR(INDEX('Input Statistiche 2025_26'!$O$3:$O$665,MATCH($A7,'Input Statistiche 2025_26'!$A$3:$A$665,0)),"")</f>
        <v>5</v>
      </c>
      <c r="M7" s="28"/>
      <c r="N7" s="27" t="n">
        <f aca="false">IFERROR(INDEX('Input Giocatori 2026_27'!$E$3:$E$493,MATCH($A7,'Input Giocatori 2026_27'!$A$3:$A$493,0)),"")</f>
        <v>30</v>
      </c>
      <c r="O7" s="27" t="n">
        <f aca="false">IFERROR(INDEX('Input Giocatori 2026_27'!$G$3:$G$493,MATCH($A7,'Input Giocatori 2026_27'!$A$3:$A$493,0)),"")</f>
        <v>250</v>
      </c>
      <c r="P7" s="26" t="str">
        <f aca="false">IFERROR(IF($O7="","",IF((1-(COUNTIFS($B$2:$B$492,$B7,$O$2:$O$492,"&gt;"&amp;$O7)+1-1)/COUNTIF($B$2:$B$492,$B7))&gt;=0.85,"Top",IF((1-(COUNTIFS($B$2:$B$492,$B7,$O$2:$O$492,"&gt;"&amp;$O7)+1-1)/COUNTIF($B$2:$B$492,$B7))&gt;=0.6,"Buono",IF((1-(COUNTIFS($B$2:$B$492,$B7,$O$2:$O$492,"&gt;"&amp;$O7)+1-1)/COUNTIF($B$2:$B$492,$B7))&gt;=0.3,"Nella Media","Scommessa/Riserva")))),"")</f>
        <v>Top</v>
      </c>
      <c r="Q7" s="29" t="n">
        <f aca="false">IF($D7="",COUNTIF($D$2:$D7,""),"")</f>
        <v>6</v>
      </c>
      <c r="R7" s="29" t="str">
        <f aca="false">IF($D7='Info Lega'!$B$28,COUNTIFS($D$2:$D7,'Info Lega'!$B$28),"")</f>
        <v/>
      </c>
      <c r="S7" s="30" t="n">
        <f aca="false">IFERROR(INDEX('Input Statistiche 2025_26'!$G$3:$G$665,MATCH($A7,'Input Statistiche 2025_26'!$A$3:$A$665,0)),"")</f>
        <v>6.37</v>
      </c>
      <c r="T7" s="30" t="n">
        <f aca="false">IFERROR(INDEX('Input Statistiche 2025_26'!$H$3:$H$665,MATCH($A7,'Input Statistiche 2025_26'!$A$3:$A$665,0)),"")</f>
        <v>7.3</v>
      </c>
      <c r="U7" s="26" t="str">
        <f aca="false">IF(OR('La Mia Rosa'!$O$12="",$D7&lt;&gt;""),"",IF($F7&lt;='La Mia Rosa'!$O$12*'Parametri Modello'!$B$24,"OK",IF($F7&lt;='La Mia Rosa'!$O$12*'Parametri Modello'!$B$25,"Attenzione","Rischio Alto")))</f>
        <v>Rischio Alto</v>
      </c>
      <c r="V7" s="26" t="n">
        <f aca="false">IFERROR(COUNTIFS($B$2:$B$492,$B7,$O$2:$O$492,"&gt;"&amp;$O7)+1,"")</f>
        <v>1</v>
      </c>
      <c r="W7" s="21" t="n">
        <f aca="false">'Info Lega'!$B$4-SUMIFS($M$2:$M$492,$D$2:$D$492,'Info Lega'!$B$28)</f>
        <v>1000</v>
      </c>
      <c r="X7" s="21" t="n">
        <f aca="false">('Info Lega'!$B$5-COUNTIFS($D$2:$D$492,'Info Lega'!$B$28,$B$2:$B$492,"P"))+('Info Lega'!$B$6-COUNTIFS($D$2:$D$492,'Info Lega'!$B$28,$B$2:$B$492,"D"))+('Info Lega'!$B$7-COUNTIFS($D$2:$D$492,'Info Lega'!$B$28,$B$2:$B$492,"C"))+('Info Lega'!$B$8-COUNTIFS($D$2:$D$492,'Info Lega'!$B$28,$B$2:$B$492,"A"))</f>
        <v>25</v>
      </c>
      <c r="Y7" s="21" t="n">
        <f aca="false">X7*'Parametri Modello'!$B$30</f>
        <v>25</v>
      </c>
      <c r="Z7" s="21" t="n">
        <f aca="false">MAX(0,W7-Y7)</f>
        <v>975</v>
      </c>
      <c r="AA7" s="21" t="n">
        <f aca="false">MIN(F7,Z7)</f>
        <v>142</v>
      </c>
      <c r="AB7" s="21"/>
      <c r="AC7" s="21" t="str">
        <f aca="false">IF(AB7="","",IF(AB7&gt;AA7,"PASS",IF(AB7&lt;=AA7*0.85,"BID","ATTENZIONE")))</f>
        <v/>
      </c>
      <c r="AD7" s="31" t="n">
        <f aca="false">IF(I7="","",ROUND(100*(1-EXP(-I7/30)),0))</f>
        <v>69</v>
      </c>
      <c r="AE7" s="7" t="str">
        <f aca="false">IFERROR(INDEX('Stato Asta'!$G$9:$G$12,MATCH($B7,'Stato Asta'!$A$9:$A$12,0)),"")</f>
        <v>🟡 Attesa rischiosa</v>
      </c>
    </row>
    <row r="8" customFormat="false" ht="14.25" hidden="false" customHeight="true" outlineLevel="0" collapsed="false">
      <c r="A8" s="21" t="n">
        <v>4777</v>
      </c>
      <c r="B8" s="21" t="s">
        <v>45</v>
      </c>
      <c r="C8" s="21" t="s">
        <v>367</v>
      </c>
      <c r="E8" s="26" t="str">
        <f aca="false">IF(COUNTIF('Info Strategia'!$D$2:$D$51,$C8)&gt;0,"SI","NO")</f>
        <v>NO</v>
      </c>
      <c r="F8" s="27" t="n">
        <f aca="false">IFERROR(ROUND(($G8+($H8-$G8)*'Info Strategia'!$B$6)*(1+IF($E8="SI",'Parametri Modello'!$B$7*'Info Strategia'!$B$6,0)),0),"")</f>
        <v>135</v>
      </c>
      <c r="G8" s="27" t="n">
        <f aca="false">IFERROR(ROUND((IF(OR(INDEX('Parametri Modello'!$C$39:$C$42,MATCH($B8,'Parametri Modello'!$A$39:$A$42,0))="",INDEX('Parametri Modello'!$C$39:$C$42,MATCH($B8,'Parametri Modello'!$A$39:$A$42,0))=0),0,($O8/INDEX('Parametri Modello'!$C$39:$C$42,MATCH($B8,'Parametri Modello'!$A$39:$A$42,0)))*(INDEX('Parametri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92</v>
      </c>
      <c r="H8" s="27" t="n">
        <f aca="false">IFERROR(ROUND((IF(OR(INDEX('Parametri Modello'!$C$39:$C$42,MATCH($B8,'Parametri Modello'!$A$39:$A$42,0))="",INDEX('Parametri Modello'!$C$39:$C$42,MATCH($B8,'Parametri Modello'!$A$39:$A$42,0))=0),0,($O8/INDEX('Parametri Modello'!$C$39:$C$42,MATCH($B8,'Parametri Modello'!$A$39:$A$42,0)))*(INDEX('Parametri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154</v>
      </c>
      <c r="I8" s="26" t="n">
        <f aca="false">IFERROR(INDEX('Input Statistiche 2025_26'!$F$3:$F$665,MATCH($A8,'Input Statistiche 2025_26'!$A$3:$A$665,0)),"")</f>
        <v>33</v>
      </c>
      <c r="J8" s="26" t="n">
        <f aca="false">IFERROR(IF($I8="","",MAX(0,38-$I8)),"")</f>
        <v>5</v>
      </c>
      <c r="K8" s="26" t="n">
        <f aca="false">IFERROR(INDEX('Input Statistiche 2025_26'!$I$3:$I$665,MATCH($A8,'Input Statistiche 2025_26'!$A$3:$A$665,0)),"")</f>
        <v>10</v>
      </c>
      <c r="L8" s="26" t="n">
        <f aca="false">IFERROR(INDEX('Input Statistiche 2025_26'!$O$3:$O$665,MATCH($A8,'Input Statistiche 2025_26'!$A$3:$A$665,0)),"")</f>
        <v>2</v>
      </c>
      <c r="M8" s="28"/>
      <c r="N8" s="27" t="n">
        <f aca="false">IFERROR(INDEX('Input Giocatori 2026_27'!$E$3:$E$493,MATCH($A8,'Input Giocatori 2026_27'!$A$3:$A$493,0)),"")</f>
        <v>28</v>
      </c>
      <c r="O8" s="27" t="n">
        <f aca="false">IFERROR(INDEX('Input Giocatori 2026_27'!$G$3:$G$493,MATCH($A8,'Input Giocatori 2026_27'!$A$3:$A$493,0)),"")</f>
        <v>240</v>
      </c>
      <c r="P8" s="26" t="str">
        <f aca="false">IFERROR(IF($O8="","",IF((1-(COUNTIFS($B$2:$B$492,$B8,$O$2:$O$492,"&gt;"&amp;$O8)+1-1)/COUNTIF($B$2:$B$492,$B8))&gt;=0.85,"Top",IF((1-(COUNTIFS($B$2:$B$492,$B8,$O$2:$O$492,"&gt;"&amp;$O8)+1-1)/COUNTIF($B$2:$B$492,$B8))&gt;=0.6,"Buono",IF((1-(COUNTIFS($B$2:$B$492,$B8,$O$2:$O$492,"&gt;"&amp;$O8)+1-1)/COUNTIF($B$2:$B$492,$B8))&gt;=0.3,"Nella Media","Scommessa/Riserva")))),"")</f>
        <v>Top</v>
      </c>
      <c r="Q8" s="29" t="n">
        <f aca="false">IF($D8="",COUNTIF($D$2:$D8,""),"")</f>
        <v>7</v>
      </c>
      <c r="R8" s="29" t="str">
        <f aca="false">IF($D8='Info Lega'!$B$28,COUNTIFS($D$2:$D8,'Info Lega'!$B$28),"")</f>
        <v/>
      </c>
      <c r="S8" s="30" t="n">
        <f aca="false">IFERROR(INDEX('Input Statistiche 2025_26'!$G$3:$G$665,MATCH($A8,'Input Statistiche 2025_26'!$A$3:$A$665,0)),"")</f>
        <v>6.39</v>
      </c>
      <c r="T8" s="30" t="n">
        <f aca="false">IFERROR(INDEX('Input Statistiche 2025_26'!$H$3:$H$665,MATCH($A8,'Input Statistiche 2025_26'!$A$3:$A$665,0)),"")</f>
        <v>7.26</v>
      </c>
      <c r="U8" s="26" t="str">
        <f aca="false">IF(OR('La Mia Rosa'!$O$12="",$D8&lt;&gt;""),"",IF($F8&lt;='La Mia Rosa'!$O$12*'Parametri Modello'!$B$24,"OK",IF($F8&lt;='La Mia Rosa'!$O$12*'Parametri Modello'!$B$25,"Attenzione","Rischio Alto")))</f>
        <v>Rischio Alto</v>
      </c>
      <c r="V8" s="26" t="n">
        <f aca="false">IFERROR(COUNTIFS($B$2:$B$492,$B8,$O$2:$O$492,"&gt;"&amp;$O8)+1,"")</f>
        <v>2</v>
      </c>
      <c r="W8" s="21" t="n">
        <f aca="false">'Info Lega'!$B$4-SUMIFS($M$2:$M$492,$D$2:$D$492,'Info Lega'!$B$28)</f>
        <v>1000</v>
      </c>
      <c r="X8" s="21" t="n">
        <f aca="false">('Info Lega'!$B$5-COUNTIFS($D$2:$D$492,'Info Lega'!$B$28,$B$2:$B$492,"P"))+('Info Lega'!$B$6-COUNTIFS($D$2:$D$492,'Info Lega'!$B$28,$B$2:$B$492,"D"))+('Info Lega'!$B$7-COUNTIFS($D$2:$D$492,'Info Lega'!$B$28,$B$2:$B$492,"C"))+('Info Lega'!$B$8-COUNTIFS($D$2:$D$492,'Info Lega'!$B$28,$B$2:$B$492,"A"))</f>
        <v>25</v>
      </c>
      <c r="Y8" s="21" t="n">
        <f aca="false">X8*'Parametri Modello'!$B$30</f>
        <v>25</v>
      </c>
      <c r="Z8" s="21" t="n">
        <f aca="false">MAX(0,W8-Y8)</f>
        <v>975</v>
      </c>
      <c r="AA8" s="21" t="n">
        <f aca="false">MIN(F8,Z8)</f>
        <v>135</v>
      </c>
      <c r="AB8" s="21"/>
      <c r="AC8" s="21" t="str">
        <f aca="false">IF(AB8="","",IF(AB8&gt;AA8,"PASS",IF(AB8&lt;=AA8*0.85,"BID","ATTENZIONE")))</f>
        <v/>
      </c>
      <c r="AD8" s="31" t="n">
        <f aca="false">IF(I8="","",ROUND(100*(1-EXP(-I8/30)),0))</f>
        <v>67</v>
      </c>
      <c r="AE8" s="7" t="str">
        <f aca="false">IFERROR(INDEX('Stato Asta'!$G$9:$G$12,MATCH($B8,'Stato Asta'!$A$9:$A$12,0)),"")</f>
        <v>🟡 Attesa rischiosa</v>
      </c>
    </row>
    <row r="9" customFormat="false" ht="14.25" hidden="false" customHeight="true" outlineLevel="0" collapsed="false">
      <c r="A9" s="21" t="n">
        <v>6397</v>
      </c>
      <c r="B9" s="21" t="s">
        <v>46</v>
      </c>
      <c r="C9" s="21" t="s">
        <v>542</v>
      </c>
      <c r="E9" s="26" t="str">
        <f aca="false">IF(COUNTIF('Info Strategia'!$D$2:$D$51,$C9)&gt;0,"SI","NO")</f>
        <v>NO</v>
      </c>
      <c r="F9" s="27" t="n">
        <f aca="false">IFERROR(ROUND(($G9+($H9-$G9)*'Info Strategia'!$B$6)*(1+IF($E9="SI",'Parametri Modello'!$B$7*'Info Strategia'!$B$6,0)),0),"")</f>
        <v>214</v>
      </c>
      <c r="G9" s="27" t="n">
        <f aca="false">IFERROR(ROUND((IF(OR(INDEX('Parametri Modello'!$C$39:$C$42,MATCH($B9,'Parametri Modello'!$A$39:$A$42,0))="",INDEX('Parametri Modello'!$C$39:$C$42,MATCH($B9,'Parametri Modello'!$A$39:$A$42,0))=0),0,($O9/INDEX('Parametri Modello'!$C$39:$C$42,MATCH($B9,'Parametri Modello'!$A$39:$A$42,0)))*(INDEX('Parametri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133</v>
      </c>
      <c r="H9" s="27" t="n">
        <f aca="false">IFERROR(ROUND((IF(OR(INDEX('Parametri Modello'!$C$39:$C$42,MATCH($B9,'Parametri Modello'!$A$39:$A$42,0))="",INDEX('Parametri Modello'!$C$39:$C$42,MATCH($B9,'Parametri Modello'!$A$39:$A$42,0))=0),0,($O9/INDEX('Parametri Modello'!$C$39:$C$42,MATCH($B9,'Parametri Modello'!$A$39:$A$42,0)))*(INDEX('Parametri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248</v>
      </c>
      <c r="I9" s="26" t="str">
        <f aca="false">IFERROR(INDEX('Input Statistiche 2025_26'!$F$3:$F$665,MATCH($A9,'Input Statistiche 2025_26'!$A$3:$A$665,0)),"")</f>
        <v/>
      </c>
      <c r="J9" s="26" t="str">
        <f aca="false">IFERROR(IF($I9="","",MAX(0,38-$I9)),"")</f>
        <v/>
      </c>
      <c r="K9" s="26" t="str">
        <f aca="false">IFERROR(INDEX('Input Statistiche 2025_26'!$I$3:$I$665,MATCH($A9,'Input Statistiche 2025_26'!$A$3:$A$665,0)),"")</f>
        <v/>
      </c>
      <c r="L9" s="26" t="str">
        <f aca="false">IFERROR(INDEX('Input Statistiche 2025_26'!$O$3:$O$665,MATCH($A9,'Input Statistiche 2025_26'!$A$3:$A$665,0)),"")</f>
        <v/>
      </c>
      <c r="M9" s="28"/>
      <c r="N9" s="27" t="n">
        <f aca="false">IFERROR(INDEX('Input Giocatori 2026_27'!$E$3:$E$493,MATCH($A9,'Input Giocatori 2026_27'!$A$3:$A$493,0)),"")</f>
        <v>27</v>
      </c>
      <c r="O9" s="27" t="n">
        <f aca="false">IFERROR(INDEX('Input Giocatori 2026_27'!$G$3:$G$493,MATCH($A9,'Input Giocatori 2026_27'!$A$3:$A$493,0)),"")</f>
        <v>240</v>
      </c>
      <c r="P9" s="26" t="str">
        <f aca="false">IFERROR(IF($O9="","",IF((1-(COUNTIFS($B$2:$B$492,$B9,$O$2:$O$492,"&gt;"&amp;$O9)+1-1)/COUNTIF($B$2:$B$492,$B9))&gt;=0.85,"Top",IF((1-(COUNTIFS($B$2:$B$492,$B9,$O$2:$O$492,"&gt;"&amp;$O9)+1-1)/COUNTIF($B$2:$B$492,$B9))&gt;=0.6,"Buono",IF((1-(COUNTIFS($B$2:$B$492,$B9,$O$2:$O$492,"&gt;"&amp;$O9)+1-1)/COUNTIF($B$2:$B$492,$B9))&gt;=0.3,"Nella Media","Scommessa/Riserva")))),"")</f>
        <v>Top</v>
      </c>
      <c r="Q9" s="29" t="n">
        <f aca="false">IF($D9="",COUNTIF($D$2:$D9,""),"")</f>
        <v>8</v>
      </c>
      <c r="R9" s="29" t="str">
        <f aca="false">IF($D9='Info Lega'!$B$28,COUNTIFS($D$2:$D9,'Info Lega'!$B$28),"")</f>
        <v/>
      </c>
      <c r="S9" s="30" t="str">
        <f aca="false">IFERROR(INDEX('Input Statistiche 2025_26'!$G$3:$G$665,MATCH($A9,'Input Statistiche 2025_26'!$A$3:$A$665,0)),"")</f>
        <v/>
      </c>
      <c r="T9" s="30" t="str">
        <f aca="false">IFERROR(INDEX('Input Statistiche 2025_26'!$H$3:$H$665,MATCH($A9,'Input Statistiche 2025_26'!$A$3:$A$665,0)),"")</f>
        <v/>
      </c>
      <c r="U9" s="26" t="str">
        <f aca="false">IF(OR('La Mia Rosa'!$O$12="",$D9&lt;&gt;""),"",IF($F9&lt;='La Mia Rosa'!$O$12*'Parametri Modello'!$B$24,"OK",IF($F9&lt;='La Mia Rosa'!$O$12*'Parametri Modello'!$B$25,"Attenzione","Rischio Alto")))</f>
        <v>Rischio Alto</v>
      </c>
      <c r="V9" s="26" t="n">
        <f aca="false">IFERROR(COUNTIFS($B$2:$B$492,$B9,$O$2:$O$492,"&gt;"&amp;$O9)+1,"")</f>
        <v>5</v>
      </c>
      <c r="W9" s="21" t="n">
        <f aca="false">'Info Lega'!$B$4-SUMIFS($M$2:$M$492,$D$2:$D$492,'Info Lega'!$B$28)</f>
        <v>1000</v>
      </c>
      <c r="X9" s="21" t="n">
        <f aca="false">('Info Lega'!$B$5-COUNTIFS($D$2:$D$492,'Info Lega'!$B$28,$B$2:$B$492,"P"))+('Info Lega'!$B$6-COUNTIFS($D$2:$D$492,'Info Lega'!$B$28,$B$2:$B$492,"D"))+('Info Lega'!$B$7-COUNTIFS($D$2:$D$492,'Info Lega'!$B$28,$B$2:$B$492,"C"))+('Info Lega'!$B$8-COUNTIFS($D$2:$D$492,'Info Lega'!$B$28,$B$2:$B$492,"A"))</f>
        <v>25</v>
      </c>
      <c r="Y9" s="21" t="n">
        <f aca="false">X9*'Parametri Modello'!$B$30</f>
        <v>25</v>
      </c>
      <c r="Z9" s="21" t="n">
        <f aca="false">MAX(0,W9-Y9)</f>
        <v>975</v>
      </c>
      <c r="AA9" s="21" t="n">
        <f aca="false">MIN(F9,Z9)</f>
        <v>214</v>
      </c>
      <c r="AB9" s="21"/>
      <c r="AC9" s="21" t="str">
        <f aca="false">IF(AB9="","",IF(AB9&gt;AA9,"PASS",IF(AB9&lt;=AA9*0.85,"BID","ATTENZIONE")))</f>
        <v/>
      </c>
      <c r="AD9" s="31" t="str">
        <f aca="false">IF(I9="","",ROUND(100*(1-EXP(-I9/30)),0))</f>
        <v/>
      </c>
      <c r="AE9" s="7" t="str">
        <f aca="false">IFERROR(INDEX('Stato Asta'!$G$9:$G$12,MATCH($B9,'Stato Asta'!$A$9:$A$12,0)),"")</f>
        <v>🔴 Non aspettare</v>
      </c>
    </row>
    <row r="10" customFormat="false" ht="14.25" hidden="false" customHeight="true" outlineLevel="0" collapsed="false">
      <c r="A10" s="21" t="n">
        <v>2194</v>
      </c>
      <c r="B10" s="21" t="s">
        <v>45</v>
      </c>
      <c r="C10" s="21" t="s">
        <v>368</v>
      </c>
      <c r="E10" s="26" t="str">
        <f aca="false">IF(COUNTIF('Info Strategia'!$D$2:$D$51,$C10)&gt;0,"SI","NO")</f>
        <v>NO</v>
      </c>
      <c r="F10" s="27" t="n">
        <f aca="false">IFERROR(ROUND(($G10+($H10-$G10)*'Info Strategia'!$B$6)*(1+IF($E10="SI",'Parametri Modello'!$B$7*'Info Strategia'!$B$6,0)),0),"")</f>
        <v>131</v>
      </c>
      <c r="G10" s="27" t="n">
        <f aca="false">IFERROR(ROUND((IF(OR(INDEX('Parametri Modello'!$C$39:$C$42,MATCH($B10,'Parametri Modello'!$A$39:$A$42,0))="",INDEX('Parametri Modello'!$C$39:$C$42,MATCH($B10,'Parametri Modello'!$A$39:$A$42,0))=0),0,($O10/INDEX('Parametri Modello'!$C$39:$C$42,MATCH($B10,'Parametri Modello'!$A$39:$A$42,0)))*(INDEX('Parametri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90</v>
      </c>
      <c r="H10" s="27" t="n">
        <f aca="false">IFERROR(ROUND((IF(OR(INDEX('Parametri Modello'!$C$39:$C$42,MATCH($B10,'Parametri Modello'!$A$39:$A$42,0))="",INDEX('Parametri Modello'!$C$39:$C$42,MATCH($B10,'Parametri Modello'!$A$39:$A$42,0))=0),0,($O10/INDEX('Parametri Modello'!$C$39:$C$42,MATCH($B10,'Parametri Modello'!$A$39:$A$42,0)))*(INDEX('Parametri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149</v>
      </c>
      <c r="I10" s="26" t="n">
        <f aca="false">IFERROR(INDEX('Input Statistiche 2025_26'!$F$3:$F$665,MATCH($A10,'Input Statistiche 2025_26'!$A$3:$A$665,0)),"")</f>
        <v>22</v>
      </c>
      <c r="J10" s="26" t="n">
        <f aca="false">IFERROR(IF($I10="","",MAX(0,38-$I10)),"")</f>
        <v>16</v>
      </c>
      <c r="K10" s="26" t="n">
        <f aca="false">IFERROR(INDEX('Input Statistiche 2025_26'!$I$3:$I$665,MATCH($A10,'Input Statistiche 2025_26'!$A$3:$A$665,0)),"")</f>
        <v>9</v>
      </c>
      <c r="L10" s="26" t="n">
        <f aca="false">IFERROR(INDEX('Input Statistiche 2025_26'!$O$3:$O$665,MATCH($A10,'Input Statistiche 2025_26'!$A$3:$A$665,0)),"")</f>
        <v>4</v>
      </c>
      <c r="M10" s="28"/>
      <c r="N10" s="27" t="n">
        <f aca="false">IFERROR(INDEX('Input Giocatori 2026_27'!$E$3:$E$493,MATCH($A10,'Input Giocatori 2026_27'!$A$3:$A$493,0)),"")</f>
        <v>27</v>
      </c>
      <c r="O10" s="27" t="n">
        <f aca="false">IFERROR(INDEX('Input Giocatori 2026_27'!$G$3:$G$493,MATCH($A10,'Input Giocatori 2026_27'!$A$3:$A$493,0)),"")</f>
        <v>230</v>
      </c>
      <c r="P10" s="26" t="str">
        <f aca="false">IFERROR(IF($O10="","",IF((1-(COUNTIFS($B$2:$B$492,$B10,$O$2:$O$492,"&gt;"&amp;$O10)+1-1)/COUNTIF($B$2:$B$492,$B10))&gt;=0.85,"Top",IF((1-(COUNTIFS($B$2:$B$492,$B10,$O$2:$O$492,"&gt;"&amp;$O10)+1-1)/COUNTIF($B$2:$B$492,$B10))&gt;=0.6,"Buono",IF((1-(COUNTIFS($B$2:$B$492,$B10,$O$2:$O$492,"&gt;"&amp;$O10)+1-1)/COUNTIF($B$2:$B$492,$B10))&gt;=0.3,"Nella Media","Scommessa/Riserva")))),"")</f>
        <v>Top</v>
      </c>
      <c r="Q10" s="29" t="n">
        <f aca="false">IF($D10="",COUNTIF($D$2:$D10,""),"")</f>
        <v>9</v>
      </c>
      <c r="R10" s="29" t="str">
        <f aca="false">IF($D10='Info Lega'!$B$28,COUNTIFS($D$2:$D10,'Info Lega'!$B$28),"")</f>
        <v/>
      </c>
      <c r="S10" s="30" t="n">
        <f aca="false">IFERROR(INDEX('Input Statistiche 2025_26'!$G$3:$G$665,MATCH($A10,'Input Statistiche 2025_26'!$A$3:$A$665,0)),"")</f>
        <v>6.52</v>
      </c>
      <c r="T10" s="30" t="n">
        <f aca="false">IFERROR(INDEX('Input Statistiche 2025_26'!$H$3:$H$665,MATCH($A10,'Input Statistiche 2025_26'!$A$3:$A$665,0)),"")</f>
        <v>7.64</v>
      </c>
      <c r="U10" s="26" t="str">
        <f aca="false">IF(OR('La Mia Rosa'!$O$12="",$D10&lt;&gt;""),"",IF($F10&lt;='La Mia Rosa'!$O$12*'Parametri Modello'!$B$24,"OK",IF($F10&lt;='La Mia Rosa'!$O$12*'Parametri Modello'!$B$25,"Attenzione","Rischio Alto")))</f>
        <v>Rischio Alto</v>
      </c>
      <c r="V10" s="26" t="n">
        <f aca="false">IFERROR(COUNTIFS($B$2:$B$492,$B10,$O$2:$O$492,"&gt;"&amp;$O10)+1,"")</f>
        <v>3</v>
      </c>
      <c r="W10" s="21" t="n">
        <f aca="false">'Info Lega'!$B$4-SUMIFS($M$2:$M$492,$D$2:$D$492,'Info Lega'!$B$28)</f>
        <v>1000</v>
      </c>
      <c r="X10" s="21" t="n">
        <f aca="false">('Info Lega'!$B$5-COUNTIFS($D$2:$D$492,'Info Lega'!$B$28,$B$2:$B$492,"P"))+('Info Lega'!$B$6-COUNTIFS($D$2:$D$492,'Info Lega'!$B$28,$B$2:$B$492,"D"))+('Info Lega'!$B$7-COUNTIFS($D$2:$D$492,'Info Lega'!$B$28,$B$2:$B$492,"C"))+('Info Lega'!$B$8-COUNTIFS($D$2:$D$492,'Info Lega'!$B$28,$B$2:$B$492,"A"))</f>
        <v>25</v>
      </c>
      <c r="Y10" s="21" t="n">
        <f aca="false">X10*'Parametri Modello'!$B$30</f>
        <v>25</v>
      </c>
      <c r="Z10" s="21" t="n">
        <f aca="false">MAX(0,W10-Y10)</f>
        <v>975</v>
      </c>
      <c r="AA10" s="21" t="n">
        <f aca="false">MIN(F10,Z10)</f>
        <v>131</v>
      </c>
      <c r="AB10" s="21"/>
      <c r="AC10" s="21" t="str">
        <f aca="false">IF(AB10="","",IF(AB10&gt;AA10,"PASS",IF(AB10&lt;=AA10*0.85,"BID","ATTENZIONE")))</f>
        <v/>
      </c>
      <c r="AD10" s="31" t="n">
        <f aca="false">IF(I10="","",ROUND(100*(1-EXP(-I10/30)),0))</f>
        <v>52</v>
      </c>
      <c r="AE10" s="7" t="str">
        <f aca="false">IFERROR(INDEX('Stato Asta'!$G$9:$G$12,MATCH($B10,'Stato Asta'!$A$9:$A$12,0)),"")</f>
        <v>🟡 Attesa rischiosa</v>
      </c>
    </row>
    <row r="11" customFormat="false" ht="14.25" hidden="false" customHeight="true" outlineLevel="0" collapsed="false">
      <c r="A11" s="21" t="n">
        <v>5951</v>
      </c>
      <c r="B11" s="21" t="s">
        <v>46</v>
      </c>
      <c r="C11" s="21" t="s">
        <v>543</v>
      </c>
      <c r="E11" s="26" t="str">
        <f aca="false">IF(COUNTIF('Info Strategia'!$D$2:$D$51,$C11)&gt;0,"SI","NO")</f>
        <v>NO</v>
      </c>
      <c r="F11" s="27" t="n">
        <f aca="false">IFERROR(ROUND(($G11+($H11-$G11)*'Info Strategia'!$B$6)*(1+IF($E11="SI",'Parametri Modello'!$B$7*'Info Strategia'!$B$6,0)),0),"")</f>
        <v>200</v>
      </c>
      <c r="G11" s="27" t="n">
        <f aca="false">IFERROR(ROUND((IF(OR(INDEX('Parametri Modello'!$C$39:$C$42,MATCH($B11,'Parametri Modello'!$A$39:$A$42,0))="",INDEX('Parametri Modello'!$C$39:$C$42,MATCH($B11,'Parametri Modello'!$A$39:$A$42,0))=0),0,($O11/INDEX('Parametri Modello'!$C$39:$C$42,MATCH($B11,'Parametri Modello'!$A$39:$A$42,0)))*(INDEX('Parametri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125</v>
      </c>
      <c r="H11" s="27" t="n">
        <f aca="false">IFERROR(ROUND((IF(OR(INDEX('Parametri Modello'!$C$39:$C$42,MATCH($B11,'Parametri Modello'!$A$39:$A$42,0))="",INDEX('Parametri Modello'!$C$39:$C$42,MATCH($B11,'Parametri Modello'!$A$39:$A$42,0))=0),0,($O11/INDEX('Parametri Modello'!$C$39:$C$42,MATCH($B11,'Parametri Modello'!$A$39:$A$42,0)))*(INDEX('Parametri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232</v>
      </c>
      <c r="I11" s="26" t="str">
        <f aca="false">IFERROR(INDEX('Input Statistiche 2025_26'!$F$3:$F$665,MATCH($A11,'Input Statistiche 2025_26'!$A$3:$A$665,0)),"")</f>
        <v/>
      </c>
      <c r="J11" s="26" t="str">
        <f aca="false">IFERROR(IF($I11="","",MAX(0,38-$I11)),"")</f>
        <v/>
      </c>
      <c r="K11" s="26" t="str">
        <f aca="false">IFERROR(INDEX('Input Statistiche 2025_26'!$I$3:$I$665,MATCH($A11,'Input Statistiche 2025_26'!$A$3:$A$665,0)),"")</f>
        <v/>
      </c>
      <c r="L11" s="26" t="str">
        <f aca="false">IFERROR(INDEX('Input Statistiche 2025_26'!$O$3:$O$665,MATCH($A11,'Input Statistiche 2025_26'!$A$3:$A$665,0)),"")</f>
        <v/>
      </c>
      <c r="M11" s="28"/>
      <c r="N11" s="27" t="n">
        <f aca="false">IFERROR(INDEX('Input Giocatori 2026_27'!$E$3:$E$493,MATCH($A11,'Input Giocatori 2026_27'!$A$3:$A$493,0)),"")</f>
        <v>26</v>
      </c>
      <c r="O11" s="27" t="n">
        <f aca="false">IFERROR(INDEX('Input Giocatori 2026_27'!$G$3:$G$493,MATCH($A11,'Input Giocatori 2026_27'!$A$3:$A$493,0)),"")</f>
        <v>225</v>
      </c>
      <c r="P11" s="26" t="str">
        <f aca="false">IFERROR(IF($O11="","",IF((1-(COUNTIFS($B$2:$B$492,$B11,$O$2:$O$492,"&gt;"&amp;$O11)+1-1)/COUNTIF($B$2:$B$492,$B11))&gt;=0.85,"Top",IF((1-(COUNTIFS($B$2:$B$492,$B11,$O$2:$O$492,"&gt;"&amp;$O11)+1-1)/COUNTIF($B$2:$B$492,$B11))&gt;=0.6,"Buono",IF((1-(COUNTIFS($B$2:$B$492,$B11,$O$2:$O$492,"&gt;"&amp;$O11)+1-1)/COUNTIF($B$2:$B$492,$B11))&gt;=0.3,"Nella Media","Scommessa/Riserva")))),"")</f>
        <v>Top</v>
      </c>
      <c r="Q11" s="29" t="n">
        <f aca="false">IF($D11="",COUNTIF($D$2:$D11,""),"")</f>
        <v>10</v>
      </c>
      <c r="R11" s="29" t="str">
        <f aca="false">IF($D11='Info Lega'!$B$28,COUNTIFS($D$2:$D11,'Info Lega'!$B$28),"")</f>
        <v/>
      </c>
      <c r="S11" s="30" t="str">
        <f aca="false">IFERROR(INDEX('Input Statistiche 2025_26'!$G$3:$G$665,MATCH($A11,'Input Statistiche 2025_26'!$A$3:$A$665,0)),"")</f>
        <v/>
      </c>
      <c r="T11" s="30" t="str">
        <f aca="false">IFERROR(INDEX('Input Statistiche 2025_26'!$H$3:$H$665,MATCH($A11,'Input Statistiche 2025_26'!$A$3:$A$665,0)),"")</f>
        <v/>
      </c>
      <c r="U11" s="26" t="str">
        <f aca="false">IF(OR('La Mia Rosa'!$O$12="",$D11&lt;&gt;""),"",IF($F11&lt;='La Mia Rosa'!$O$12*'Parametri Modello'!$B$24,"OK",IF($F11&lt;='La Mia Rosa'!$O$12*'Parametri Modello'!$B$25,"Attenzione","Rischio Alto")))</f>
        <v>Rischio Alto</v>
      </c>
      <c r="V11" s="26" t="n">
        <f aca="false">IFERROR(COUNTIFS($B$2:$B$492,$B11,$O$2:$O$492,"&gt;"&amp;$O11)+1,"")</f>
        <v>6</v>
      </c>
      <c r="W11" s="21" t="n">
        <f aca="false">'Info Lega'!$B$4-SUMIFS($M$2:$M$492,$D$2:$D$492,'Info Lega'!$B$28)</f>
        <v>1000</v>
      </c>
      <c r="X11" s="21" t="n">
        <f aca="false">('Info Lega'!$B$5-COUNTIFS($D$2:$D$492,'Info Lega'!$B$28,$B$2:$B$492,"P"))+('Info Lega'!$B$6-COUNTIFS($D$2:$D$492,'Info Lega'!$B$28,$B$2:$B$492,"D"))+('Info Lega'!$B$7-COUNTIFS($D$2:$D$492,'Info Lega'!$B$28,$B$2:$B$492,"C"))+('Info Lega'!$B$8-COUNTIFS($D$2:$D$492,'Info Lega'!$B$28,$B$2:$B$492,"A"))</f>
        <v>25</v>
      </c>
      <c r="Y11" s="21" t="n">
        <f aca="false">X11*'Parametri Modello'!$B$30</f>
        <v>25</v>
      </c>
      <c r="Z11" s="21" t="n">
        <f aca="false">MAX(0,W11-Y11)</f>
        <v>975</v>
      </c>
      <c r="AA11" s="21" t="n">
        <f aca="false">MIN(F11,Z11)</f>
        <v>200</v>
      </c>
      <c r="AB11" s="21"/>
      <c r="AC11" s="21" t="str">
        <f aca="false">IF(AB11="","",IF(AB11&gt;AA11,"PASS",IF(AB11&lt;=AA11*0.85,"BID","ATTENZIONE")))</f>
        <v/>
      </c>
      <c r="AD11" s="31" t="str">
        <f aca="false">IF(I11="","",ROUND(100*(1-EXP(-I11/30)),0))</f>
        <v/>
      </c>
      <c r="AE11" s="7" t="str">
        <f aca="false">IFERROR(INDEX('Stato Asta'!$G$9:$G$12,MATCH($B11,'Stato Asta'!$A$9:$A$12,0)),"")</f>
        <v>🔴 Non aspettare</v>
      </c>
    </row>
    <row r="12" customFormat="false" ht="14.25" hidden="false" customHeight="true" outlineLevel="0" collapsed="false">
      <c r="A12" s="21" t="n">
        <v>2097</v>
      </c>
      <c r="B12" s="21" t="s">
        <v>46</v>
      </c>
      <c r="C12" s="21" t="s">
        <v>544</v>
      </c>
      <c r="E12" s="26" t="str">
        <f aca="false">IF(COUNTIF('Info Strategia'!$D$2:$D$51,$C12)&gt;0,"SI","NO")</f>
        <v>NO</v>
      </c>
      <c r="F12" s="27" t="n">
        <f aca="false">IFERROR(ROUND(($G12+($H12-$G12)*'Info Strategia'!$B$6)*(1+IF($E12="SI",'Parametri Modello'!$B$7*'Info Strategia'!$B$6,0)),0),"")</f>
        <v>189</v>
      </c>
      <c r="G12" s="27" t="n">
        <f aca="false">IFERROR(ROUND((IF(OR(INDEX('Parametri Modello'!$C$39:$C$42,MATCH($B12,'Parametri Modello'!$A$39:$A$42,0))="",INDEX('Parametri Modello'!$C$39:$C$42,MATCH($B12,'Parametri Modello'!$A$39:$A$42,0))=0),0,($O12/INDEX('Parametri Modello'!$C$39:$C$42,MATCH($B12,'Parametri Modello'!$A$39:$A$42,0)))*(INDEX('Parametri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118</v>
      </c>
      <c r="H12" s="27" t="n">
        <f aca="false">IFERROR(ROUND((IF(OR(INDEX('Parametri Modello'!$C$39:$C$42,MATCH($B12,'Parametri Modello'!$A$39:$A$42,0))="",INDEX('Parametri Modello'!$C$39:$C$42,MATCH($B12,'Parametri Modello'!$A$39:$A$42,0))=0),0,($O12/INDEX('Parametri Modello'!$C$39:$C$42,MATCH($B12,'Parametri Modello'!$A$39:$A$42,0)))*(INDEX('Parametri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219</v>
      </c>
      <c r="I12" s="26" t="n">
        <f aca="false">IFERROR(INDEX('Input Statistiche 2025_26'!$F$3:$F$665,MATCH($A12,'Input Statistiche 2025_26'!$A$3:$A$665,0)),"")</f>
        <v>26</v>
      </c>
      <c r="J12" s="26" t="n">
        <f aca="false">IFERROR(IF($I12="","",MAX(0,38-$I12)),"")</f>
        <v>12</v>
      </c>
      <c r="K12" s="26" t="n">
        <f aca="false">IFERROR(INDEX('Input Statistiche 2025_26'!$I$3:$I$665,MATCH($A12,'Input Statistiche 2025_26'!$A$3:$A$665,0)),"")</f>
        <v>8</v>
      </c>
      <c r="L12" s="26" t="n">
        <f aca="false">IFERROR(INDEX('Input Statistiche 2025_26'!$O$3:$O$665,MATCH($A12,'Input Statistiche 2025_26'!$A$3:$A$665,0)),"")</f>
        <v>1</v>
      </c>
      <c r="M12" s="28"/>
      <c r="N12" s="27" t="n">
        <f aca="false">IFERROR(INDEX('Input Giocatori 2026_27'!$E$3:$E$493,MATCH($A12,'Input Giocatori 2026_27'!$A$3:$A$493,0)),"")</f>
        <v>25</v>
      </c>
      <c r="O12" s="27" t="n">
        <f aca="false">IFERROR(INDEX('Input Giocatori 2026_27'!$G$3:$G$493,MATCH($A12,'Input Giocatori 2026_27'!$A$3:$A$493,0)),"")</f>
        <v>212</v>
      </c>
      <c r="P12" s="26" t="str">
        <f aca="false">IFERROR(IF($O12="","",IF((1-(COUNTIFS($B$2:$B$492,$B12,$O$2:$O$492,"&gt;"&amp;$O12)+1-1)/COUNTIF($B$2:$B$492,$B12))&gt;=0.85,"Top",IF((1-(COUNTIFS($B$2:$B$492,$B12,$O$2:$O$492,"&gt;"&amp;$O12)+1-1)/COUNTIF($B$2:$B$492,$B12))&gt;=0.6,"Buono",IF((1-(COUNTIFS($B$2:$B$492,$B12,$O$2:$O$492,"&gt;"&amp;$O12)+1-1)/COUNTIF($B$2:$B$492,$B12))&gt;=0.3,"Nella Media","Scommessa/Riserva")))),"")</f>
        <v>Top</v>
      </c>
      <c r="Q12" s="29" t="n">
        <f aca="false">IF($D12="",COUNTIF($D$2:$D12,""),"")</f>
        <v>11</v>
      </c>
      <c r="R12" s="29" t="str">
        <f aca="false">IF($D12='Info Lega'!$B$28,COUNTIFS($D$2:$D12,'Info Lega'!$B$28),"")</f>
        <v/>
      </c>
      <c r="S12" s="30" t="n">
        <f aca="false">IFERROR(INDEX('Input Statistiche 2025_26'!$G$3:$G$665,MATCH($A12,'Input Statistiche 2025_26'!$A$3:$A$665,0)),"")</f>
        <v>5.88</v>
      </c>
      <c r="T12" s="30" t="n">
        <f aca="false">IFERROR(INDEX('Input Statistiche 2025_26'!$H$3:$H$665,MATCH($A12,'Input Statistiche 2025_26'!$A$3:$A$665,0)),"")</f>
        <v>6.77</v>
      </c>
      <c r="U12" s="26" t="str">
        <f aca="false">IF(OR('La Mia Rosa'!$O$12="",$D12&lt;&gt;""),"",IF($F12&lt;='La Mia Rosa'!$O$12*'Parametri Modello'!$B$24,"OK",IF($F12&lt;='La Mia Rosa'!$O$12*'Parametri Modello'!$B$25,"Attenzione","Rischio Alto")))</f>
        <v>Rischio Alto</v>
      </c>
      <c r="V12" s="26" t="n">
        <f aca="false">IFERROR(COUNTIFS($B$2:$B$492,$B12,$O$2:$O$492,"&gt;"&amp;$O12)+1,"")</f>
        <v>7</v>
      </c>
      <c r="W12" s="21" t="n">
        <f aca="false">'Info Lega'!$B$4-SUMIFS($M$2:$M$492,$D$2:$D$492,'Info Lega'!$B$28)</f>
        <v>1000</v>
      </c>
      <c r="X12" s="21" t="n">
        <f aca="false">('Info Lega'!$B$5-COUNTIFS($D$2:$D$492,'Info Lega'!$B$28,$B$2:$B$492,"P"))+('Info Lega'!$B$6-COUNTIFS($D$2:$D$492,'Info Lega'!$B$28,$B$2:$B$492,"D"))+('Info Lega'!$B$7-COUNTIFS($D$2:$D$492,'Info Lega'!$B$28,$B$2:$B$492,"C"))+('Info Lega'!$B$8-COUNTIFS($D$2:$D$492,'Info Lega'!$B$28,$B$2:$B$492,"A"))</f>
        <v>25</v>
      </c>
      <c r="Y12" s="21" t="n">
        <f aca="false">X12*'Parametri Modello'!$B$30</f>
        <v>25</v>
      </c>
      <c r="Z12" s="21" t="n">
        <f aca="false">MAX(0,W12-Y12)</f>
        <v>975</v>
      </c>
      <c r="AA12" s="21" t="n">
        <f aca="false">MIN(F12,Z12)</f>
        <v>189</v>
      </c>
      <c r="AB12" s="21"/>
      <c r="AC12" s="21" t="str">
        <f aca="false">IF(AB12="","",IF(AB12&gt;AA12,"PASS",IF(AB12&lt;=AA12*0.85,"BID","ATTENZIONE")))</f>
        <v/>
      </c>
      <c r="AD12" s="31" t="n">
        <f aca="false">IF(I12="","",ROUND(100*(1-EXP(-I12/30)),0))</f>
        <v>58</v>
      </c>
      <c r="AE12" s="7" t="str">
        <f aca="false">IFERROR(INDEX('Stato Asta'!$G$9:$G$12,MATCH($B12,'Stato Asta'!$A$9:$A$12,0)),"")</f>
        <v>🔴 Non aspettare</v>
      </c>
    </row>
    <row r="13" customFormat="false" ht="14.25" hidden="false" customHeight="true" outlineLevel="0" collapsed="false">
      <c r="A13" s="21" t="n">
        <v>2167</v>
      </c>
      <c r="B13" s="21" t="s">
        <v>45</v>
      </c>
      <c r="C13" s="21" t="s">
        <v>369</v>
      </c>
      <c r="E13" s="26" t="str">
        <f aca="false">IF(COUNTIF('Info Strategia'!$D$2:$D$51,$C13)&gt;0,"SI","NO")</f>
        <v>NO</v>
      </c>
      <c r="F13" s="27" t="n">
        <f aca="false">IFERROR(ROUND(($G13+($H13-$G13)*'Info Strategia'!$B$6)*(1+IF($E13="SI",'Parametri Modello'!$B$7*'Info Strategia'!$B$6,0)),0),"")</f>
        <v>111</v>
      </c>
      <c r="G13" s="27" t="n">
        <f aca="false">IFERROR(ROUND((IF(OR(INDEX('Parametri Modello'!$C$39:$C$42,MATCH($B13,'Parametri Modello'!$A$39:$A$42,0))="",INDEX('Parametri Modello'!$C$39:$C$42,MATCH($B13,'Parametri Modello'!$A$39:$A$42,0))=0),0,($O13/INDEX('Parametri Modello'!$C$39:$C$42,MATCH($B13,'Parametri Modello'!$A$39:$A$42,0)))*(INDEX('Parametri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76</v>
      </c>
      <c r="H13" s="27" t="n">
        <f aca="false">IFERROR(ROUND((IF(OR(INDEX('Parametri Modello'!$C$39:$C$42,MATCH($B13,'Parametri Modello'!$A$39:$A$42,0))="",INDEX('Parametri Modello'!$C$39:$C$42,MATCH($B13,'Parametri Modello'!$A$39:$A$42,0))=0),0,($O13/INDEX('Parametri Modello'!$C$39:$C$42,MATCH($B13,'Parametri Modello'!$A$39:$A$42,0)))*(INDEX('Parametri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126</v>
      </c>
      <c r="I13" s="26" t="n">
        <f aca="false">IFERROR(INDEX('Input Statistiche 2025_26'!$F$3:$F$665,MATCH($A13,'Input Statistiche 2025_26'!$A$3:$A$665,0)),"")</f>
        <v>34</v>
      </c>
      <c r="J13" s="26" t="n">
        <f aca="false">IFERROR(IF($I13="","",MAX(0,38-$I13)),"")</f>
        <v>4</v>
      </c>
      <c r="K13" s="26" t="n">
        <f aca="false">IFERROR(INDEX('Input Statistiche 2025_26'!$I$3:$I$665,MATCH($A13,'Input Statistiche 2025_26'!$A$3:$A$665,0)),"")</f>
        <v>10</v>
      </c>
      <c r="L13" s="26" t="n">
        <f aca="false">IFERROR(INDEX('Input Statistiche 2025_26'!$O$3:$O$665,MATCH($A13,'Input Statistiche 2025_26'!$A$3:$A$665,0)),"")</f>
        <v>1</v>
      </c>
      <c r="M13" s="28"/>
      <c r="N13" s="27" t="n">
        <f aca="false">IFERROR(INDEX('Input Giocatori 2026_27'!$E$3:$E$493,MATCH($A13,'Input Giocatori 2026_27'!$A$3:$A$493,0)),"")</f>
        <v>26</v>
      </c>
      <c r="O13" s="27" t="n">
        <f aca="false">IFERROR(INDEX('Input Giocatori 2026_27'!$G$3:$G$493,MATCH($A13,'Input Giocatori 2026_27'!$A$3:$A$493,0)),"")</f>
        <v>200</v>
      </c>
      <c r="P13" s="26" t="str">
        <f aca="false">IFERROR(IF($O13="","",IF((1-(COUNTIFS($B$2:$B$492,$B13,$O$2:$O$492,"&gt;"&amp;$O13)+1-1)/COUNTIF($B$2:$B$492,$B13))&gt;=0.85,"Top",IF((1-(COUNTIFS($B$2:$B$492,$B13,$O$2:$O$492,"&gt;"&amp;$O13)+1-1)/COUNTIF($B$2:$B$492,$B13))&gt;=0.6,"Buono",IF((1-(COUNTIFS($B$2:$B$492,$B13,$O$2:$O$492,"&gt;"&amp;$O13)+1-1)/COUNTIF($B$2:$B$492,$B13))&gt;=0.3,"Nella Media","Scommessa/Riserva")))),"")</f>
        <v>Top</v>
      </c>
      <c r="Q13" s="29" t="n">
        <f aca="false">IF($D13="",COUNTIF($D$2:$D13,""),"")</f>
        <v>12</v>
      </c>
      <c r="R13" s="29" t="str">
        <f aca="false">IF($D13='Info Lega'!$B$28,COUNTIFS($D$2:$D13,'Info Lega'!$B$28),"")</f>
        <v/>
      </c>
      <c r="S13" s="30" t="n">
        <f aca="false">IFERROR(INDEX('Input Statistiche 2025_26'!$G$3:$G$665,MATCH($A13,'Input Statistiche 2025_26'!$A$3:$A$665,0)),"")</f>
        <v>6.06</v>
      </c>
      <c r="T13" s="30" t="n">
        <f aca="false">IFERROR(INDEX('Input Statistiche 2025_26'!$H$3:$H$665,MATCH($A13,'Input Statistiche 2025_26'!$A$3:$A$665,0)),"")</f>
        <v>6.76</v>
      </c>
      <c r="U13" s="26" t="str">
        <f aca="false">IF(OR('La Mia Rosa'!$O$12="",$D13&lt;&gt;""),"",IF($F13&lt;='La Mia Rosa'!$O$12*'Parametri Modello'!$B$24,"OK",IF($F13&lt;='La Mia Rosa'!$O$12*'Parametri Modello'!$B$25,"Attenzione","Rischio Alto")))</f>
        <v>Attenzione</v>
      </c>
      <c r="V13" s="26" t="n">
        <f aca="false">IFERROR(COUNTIFS($B$2:$B$492,$B13,$O$2:$O$492,"&gt;"&amp;$O13)+1,"")</f>
        <v>4</v>
      </c>
      <c r="W13" s="21" t="n">
        <f aca="false">'Info Lega'!$B$4-SUMIFS($M$2:$M$492,$D$2:$D$492,'Info Lega'!$B$28)</f>
        <v>1000</v>
      </c>
      <c r="X13" s="21" t="n">
        <f aca="false">('Info Lega'!$B$5-COUNTIFS($D$2:$D$492,'Info Lega'!$B$28,$B$2:$B$492,"P"))+('Info Lega'!$B$6-COUNTIFS($D$2:$D$492,'Info Lega'!$B$28,$B$2:$B$492,"D"))+('Info Lega'!$B$7-COUNTIFS($D$2:$D$492,'Info Lega'!$B$28,$B$2:$B$492,"C"))+('Info Lega'!$B$8-COUNTIFS($D$2:$D$492,'Info Lega'!$B$28,$B$2:$B$492,"A"))</f>
        <v>25</v>
      </c>
      <c r="Y13" s="21" t="n">
        <f aca="false">X13*'Parametri Modello'!$B$30</f>
        <v>25</v>
      </c>
      <c r="Z13" s="21" t="n">
        <f aca="false">MAX(0,W13-Y13)</f>
        <v>975</v>
      </c>
      <c r="AA13" s="21" t="n">
        <f aca="false">MIN(F13,Z13)</f>
        <v>111</v>
      </c>
      <c r="AB13" s="21"/>
      <c r="AC13" s="21" t="str">
        <f aca="false">IF(AB13="","",IF(AB13&gt;AA13,"PASS",IF(AB13&lt;=AA13*0.85,"BID","ATTENZIONE")))</f>
        <v/>
      </c>
      <c r="AD13" s="31" t="n">
        <f aca="false">IF(I13="","",ROUND(100*(1-EXP(-I13/30)),0))</f>
        <v>68</v>
      </c>
      <c r="AE13" s="7" t="str">
        <f aca="false">IFERROR(INDEX('Stato Asta'!$G$9:$G$12,MATCH($B13,'Stato Asta'!$A$9:$A$12,0)),"")</f>
        <v>🟡 Attesa rischiosa</v>
      </c>
    </row>
    <row r="14" customFormat="false" ht="14.25" hidden="false" customHeight="true" outlineLevel="0" collapsed="false">
      <c r="A14" s="21" t="n">
        <v>6434</v>
      </c>
      <c r="B14" s="21" t="s">
        <v>46</v>
      </c>
      <c r="C14" s="21" t="s">
        <v>545</v>
      </c>
      <c r="E14" s="26" t="str">
        <f aca="false">IF(COUNTIF('Info Strategia'!$D$2:$D$51,$C14)&gt;0,"SI","NO")</f>
        <v>NO</v>
      </c>
      <c r="F14" s="27" t="n">
        <f aca="false">IFERROR(ROUND(($G14+($H14-$G14)*'Info Strategia'!$B$6)*(1+IF($E14="SI",'Parametri Modello'!$B$7*'Info Strategia'!$B$6,0)),0),"")</f>
        <v>181</v>
      </c>
      <c r="G14" s="27" t="n">
        <f aca="false">IFERROR(ROUND((IF(OR(INDEX('Parametri Modello'!$C$39:$C$42,MATCH($B14,'Parametri Modello'!$A$39:$A$42,0))="",INDEX('Parametri Modello'!$C$39:$C$42,MATCH($B14,'Parametri Modello'!$A$39:$A$42,0))=0),0,($O14/INDEX('Parametri Modello'!$C$39:$C$42,MATCH($B14,'Parametri Modello'!$A$39:$A$42,0)))*(INDEX('Parametri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113</v>
      </c>
      <c r="H14" s="27" t="n">
        <f aca="false">IFERROR(ROUND((IF(OR(INDEX('Parametri Modello'!$C$39:$C$42,MATCH($B14,'Parametri Modello'!$A$39:$A$42,0))="",INDEX('Parametri Modello'!$C$39:$C$42,MATCH($B14,'Parametri Modello'!$A$39:$A$42,0))=0),0,($O14/INDEX('Parametri Modello'!$C$39:$C$42,MATCH($B14,'Parametri Modello'!$A$39:$A$42,0)))*(INDEX('Parametri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210</v>
      </c>
      <c r="I14" s="26" t="n">
        <f aca="false">IFERROR(INDEX('Input Statistiche 2025_26'!$F$3:$F$665,MATCH($A14,'Input Statistiche 2025_26'!$A$3:$A$665,0)),"")</f>
        <v>35</v>
      </c>
      <c r="J14" s="26" t="n">
        <f aca="false">IFERROR(IF($I14="","",MAX(0,38-$I14)),"")</f>
        <v>3</v>
      </c>
      <c r="K14" s="26" t="n">
        <f aca="false">IFERROR(INDEX('Input Statistiche 2025_26'!$I$3:$I$665,MATCH($A14,'Input Statistiche 2025_26'!$A$3:$A$665,0)),"")</f>
        <v>10</v>
      </c>
      <c r="L14" s="26" t="n">
        <f aca="false">IFERROR(INDEX('Input Statistiche 2025_26'!$O$3:$O$665,MATCH($A14,'Input Statistiche 2025_26'!$A$3:$A$665,0)),"")</f>
        <v>6</v>
      </c>
      <c r="M14" s="28"/>
      <c r="N14" s="27" t="n">
        <f aca="false">IFERROR(INDEX('Input Giocatori 2026_27'!$E$3:$E$493,MATCH($A14,'Input Giocatori 2026_27'!$A$3:$A$493,0)),"")</f>
        <v>23</v>
      </c>
      <c r="O14" s="27" t="n">
        <f aca="false">IFERROR(INDEX('Input Giocatori 2026_27'!$G$3:$G$493,MATCH($A14,'Input Giocatori 2026_27'!$A$3:$A$493,0)),"")</f>
        <v>200</v>
      </c>
      <c r="P14" s="26" t="str">
        <f aca="false">IFERROR(IF($O14="","",IF((1-(COUNTIFS($B$2:$B$492,$B14,$O$2:$O$492,"&gt;"&amp;$O14)+1-1)/COUNTIF($B$2:$B$492,$B14))&gt;=0.85,"Top",IF((1-(COUNTIFS($B$2:$B$492,$B14,$O$2:$O$492,"&gt;"&amp;$O14)+1-1)/COUNTIF($B$2:$B$492,$B14))&gt;=0.6,"Buono",IF((1-(COUNTIFS($B$2:$B$492,$B14,$O$2:$O$492,"&gt;"&amp;$O14)+1-1)/COUNTIF($B$2:$B$492,$B14))&gt;=0.3,"Nella Media","Scommessa/Riserva")))),"")</f>
        <v>Top</v>
      </c>
      <c r="Q14" s="29" t="n">
        <f aca="false">IF($D14="",COUNTIF($D$2:$D14,""),"")</f>
        <v>13</v>
      </c>
      <c r="R14" s="29" t="str">
        <f aca="false">IF($D14='Info Lega'!$B$28,COUNTIFS($D$2:$D14,'Info Lega'!$B$28),"")</f>
        <v/>
      </c>
      <c r="S14" s="30" t="n">
        <f aca="false">IFERROR(INDEX('Input Statistiche 2025_26'!$G$3:$G$665,MATCH($A14,'Input Statistiche 2025_26'!$A$3:$A$665,0)),"")</f>
        <v>6.39</v>
      </c>
      <c r="T14" s="30" t="n">
        <f aca="false">IFERROR(INDEX('Input Statistiche 2025_26'!$H$3:$H$665,MATCH($A14,'Input Statistiche 2025_26'!$A$3:$A$665,0)),"")</f>
        <v>7.3</v>
      </c>
      <c r="U14" s="26" t="str">
        <f aca="false">IF(OR('La Mia Rosa'!$O$12="",$D14&lt;&gt;""),"",IF($F14&lt;='La Mia Rosa'!$O$12*'Parametri Modello'!$B$24,"OK",IF($F14&lt;='La Mia Rosa'!$O$12*'Parametri Modello'!$B$25,"Attenzione","Rischio Alto")))</f>
        <v>Rischio Alto</v>
      </c>
      <c r="V14" s="26" t="n">
        <f aca="false">IFERROR(COUNTIFS($B$2:$B$492,$B14,$O$2:$O$492,"&gt;"&amp;$O14)+1,"")</f>
        <v>8</v>
      </c>
      <c r="W14" s="21" t="n">
        <f aca="false">'Info Lega'!$B$4-SUMIFS($M$2:$M$492,$D$2:$D$492,'Info Lega'!$B$28)</f>
        <v>1000</v>
      </c>
      <c r="X14" s="21" t="n">
        <f aca="false">('Info Lega'!$B$5-COUNTIFS($D$2:$D$492,'Info Lega'!$B$28,$B$2:$B$492,"P"))+('Info Lega'!$B$6-COUNTIFS($D$2:$D$492,'Info Lega'!$B$28,$B$2:$B$492,"D"))+('Info Lega'!$B$7-COUNTIFS($D$2:$D$492,'Info Lega'!$B$28,$B$2:$B$492,"C"))+('Info Lega'!$B$8-COUNTIFS($D$2:$D$492,'Info Lega'!$B$28,$B$2:$B$492,"A"))</f>
        <v>25</v>
      </c>
      <c r="Y14" s="21" t="n">
        <f aca="false">X14*'Parametri Modello'!$B$30</f>
        <v>25</v>
      </c>
      <c r="Z14" s="21" t="n">
        <f aca="false">MAX(0,W14-Y14)</f>
        <v>975</v>
      </c>
      <c r="AA14" s="21" t="n">
        <f aca="false">MIN(F14,Z14)</f>
        <v>181</v>
      </c>
      <c r="AB14" s="21"/>
      <c r="AC14" s="21" t="str">
        <f aca="false">IF(AB14="","",IF(AB14&gt;AA14,"PASS",IF(AB14&lt;=AA14*0.85,"BID","ATTENZIONE")))</f>
        <v/>
      </c>
      <c r="AD14" s="31" t="n">
        <f aca="false">IF(I14="","",ROUND(100*(1-EXP(-I14/30)),0))</f>
        <v>69</v>
      </c>
      <c r="AE14" s="7" t="str">
        <f aca="false">IFERROR(INDEX('Stato Asta'!$G$9:$G$12,MATCH($B14,'Stato Asta'!$A$9:$A$12,0)),"")</f>
        <v>🔴 Non aspettare</v>
      </c>
    </row>
    <row r="15" customFormat="false" ht="14.25" hidden="false" customHeight="true" outlineLevel="0" collapsed="false">
      <c r="A15" s="21" t="n">
        <v>2423</v>
      </c>
      <c r="B15" s="21" t="s">
        <v>45</v>
      </c>
      <c r="C15" s="21" t="s">
        <v>370</v>
      </c>
      <c r="E15" s="26" t="str">
        <f aca="false">IF(COUNTIF('Info Strategia'!$D$2:$D$51,$C15)&gt;0,"SI","NO")</f>
        <v>NO</v>
      </c>
      <c r="F15" s="27" t="n">
        <f aca="false">IFERROR(ROUND(($G15+($H15-$G15)*'Info Strategia'!$B$6)*(1+IF($E15="SI",'Parametri Modello'!$B$7*'Info Strategia'!$B$6,0)),0),"")</f>
        <v>101</v>
      </c>
      <c r="G15" s="27" t="n">
        <f aca="false">IFERROR(ROUND((IF(OR(INDEX('Parametri Modello'!$C$39:$C$42,MATCH($B15,'Parametri Modello'!$A$39:$A$42,0))="",INDEX('Parametri Modello'!$C$39:$C$42,MATCH($B15,'Parametri Modello'!$A$39:$A$42,0))=0),0,($O15/INDEX('Parametri Modello'!$C$39:$C$42,MATCH($B15,'Parametri Modello'!$A$39:$A$42,0)))*(INDEX('Parametri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69</v>
      </c>
      <c r="H15" s="27" t="n">
        <f aca="false">IFERROR(ROUND((IF(OR(INDEX('Parametri Modello'!$C$39:$C$42,MATCH($B15,'Parametri Modello'!$A$39:$A$42,0))="",INDEX('Parametri Modello'!$C$39:$C$42,MATCH($B15,'Parametri Modello'!$A$39:$A$42,0))=0),0,($O15/INDEX('Parametri Modello'!$C$39:$C$42,MATCH($B15,'Parametri Modello'!$A$39:$A$42,0)))*(INDEX('Parametri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115</v>
      </c>
      <c r="I15" s="26" t="n">
        <f aca="false">IFERROR(INDEX('Input Statistiche 2025_26'!$F$3:$F$665,MATCH($A15,'Input Statistiche 2025_26'!$A$3:$A$665,0)),"")</f>
        <v>27</v>
      </c>
      <c r="J15" s="26" t="n">
        <f aca="false">IFERROR(IF($I15="","",MAX(0,38-$I15)),"")</f>
        <v>11</v>
      </c>
      <c r="K15" s="26" t="n">
        <f aca="false">IFERROR(INDEX('Input Statistiche 2025_26'!$I$3:$I$665,MATCH($A15,'Input Statistiche 2025_26'!$A$3:$A$665,0)),"")</f>
        <v>8</v>
      </c>
      <c r="L15" s="26" t="n">
        <f aca="false">IFERROR(INDEX('Input Statistiche 2025_26'!$O$3:$O$665,MATCH($A15,'Input Statistiche 2025_26'!$A$3:$A$665,0)),"")</f>
        <v>4</v>
      </c>
      <c r="M15" s="28"/>
      <c r="N15" s="27" t="n">
        <f aca="false">IFERROR(INDEX('Input Giocatori 2026_27'!$E$3:$E$493,MATCH($A15,'Input Giocatori 2026_27'!$A$3:$A$493,0)),"")</f>
        <v>25</v>
      </c>
      <c r="O15" s="27" t="n">
        <f aca="false">IFERROR(INDEX('Input Giocatori 2026_27'!$G$3:$G$493,MATCH($A15,'Input Giocatori 2026_27'!$A$3:$A$493,0)),"")</f>
        <v>180</v>
      </c>
      <c r="P15" s="26" t="str">
        <f aca="false">IFERROR(IF($O15="","",IF((1-(COUNTIFS($B$2:$B$492,$B15,$O$2:$O$492,"&gt;"&amp;$O15)+1-1)/COUNTIF($B$2:$B$492,$B15))&gt;=0.85,"Top",IF((1-(COUNTIFS($B$2:$B$492,$B15,$O$2:$O$492,"&gt;"&amp;$O15)+1-1)/COUNTIF($B$2:$B$492,$B15))&gt;=0.6,"Buono",IF((1-(COUNTIFS($B$2:$B$492,$B15,$O$2:$O$492,"&gt;"&amp;$O15)+1-1)/COUNTIF($B$2:$B$492,$B15))&gt;=0.3,"Nella Media","Scommessa/Riserva")))),"")</f>
        <v>Top</v>
      </c>
      <c r="Q15" s="29" t="n">
        <f aca="false">IF($D15="",COUNTIF($D$2:$D15,""),"")</f>
        <v>14</v>
      </c>
      <c r="R15" s="29" t="str">
        <f aca="false">IF($D15='Info Lega'!$B$28,COUNTIFS($D$2:$D15,'Info Lega'!$B$28),"")</f>
        <v/>
      </c>
      <c r="S15" s="30" t="n">
        <f aca="false">IFERROR(INDEX('Input Statistiche 2025_26'!$G$3:$G$665,MATCH($A15,'Input Statistiche 2025_26'!$A$3:$A$665,0)),"")</f>
        <v>6.15</v>
      </c>
      <c r="T15" s="30" t="n">
        <f aca="false">IFERROR(INDEX('Input Statistiche 2025_26'!$H$3:$H$665,MATCH($A15,'Input Statistiche 2025_26'!$A$3:$A$665,0)),"")</f>
        <v>7.07</v>
      </c>
      <c r="U15" s="26" t="str">
        <f aca="false">IF(OR('La Mia Rosa'!$O$12="",$D15&lt;&gt;""),"",IF($F15&lt;='La Mia Rosa'!$O$12*'Parametri Modello'!$B$24,"OK",IF($F15&lt;='La Mia Rosa'!$O$12*'Parametri Modello'!$B$25,"Attenzione","Rischio Alto")))</f>
        <v>Attenzione</v>
      </c>
      <c r="V15" s="26" t="n">
        <f aca="false">IFERROR(COUNTIFS($B$2:$B$492,$B15,$O$2:$O$492,"&gt;"&amp;$O15)+1,"")</f>
        <v>5</v>
      </c>
      <c r="W15" s="21" t="n">
        <f aca="false">'Info Lega'!$B$4-SUMIFS($M$2:$M$492,$D$2:$D$492,'Info Lega'!$B$28)</f>
        <v>1000</v>
      </c>
      <c r="X15" s="21" t="n">
        <f aca="false">('Info Lega'!$B$5-COUNTIFS($D$2:$D$492,'Info Lega'!$B$28,$B$2:$B$492,"P"))+('Info Lega'!$B$6-COUNTIFS($D$2:$D$492,'Info Lega'!$B$28,$B$2:$B$492,"D"))+('Info Lega'!$B$7-COUNTIFS($D$2:$D$492,'Info Lega'!$B$28,$B$2:$B$492,"C"))+('Info Lega'!$B$8-COUNTIFS($D$2:$D$492,'Info Lega'!$B$28,$B$2:$B$492,"A"))</f>
        <v>25</v>
      </c>
      <c r="Y15" s="21" t="n">
        <f aca="false">X15*'Parametri Modello'!$B$30</f>
        <v>25</v>
      </c>
      <c r="Z15" s="21" t="n">
        <f aca="false">MAX(0,W15-Y15)</f>
        <v>975</v>
      </c>
      <c r="AA15" s="21" t="n">
        <f aca="false">MIN(F15,Z15)</f>
        <v>101</v>
      </c>
      <c r="AB15" s="21"/>
      <c r="AC15" s="21" t="str">
        <f aca="false">IF(AB15="","",IF(AB15&gt;AA15,"PASS",IF(AB15&lt;=AA15*0.85,"BID","ATTENZIONE")))</f>
        <v/>
      </c>
      <c r="AD15" s="31" t="n">
        <f aca="false">IF(I15="","",ROUND(100*(1-EXP(-I15/30)),0))</f>
        <v>59</v>
      </c>
      <c r="AE15" s="7" t="str">
        <f aca="false">IFERROR(INDEX('Stato Asta'!$G$9:$G$12,MATCH($B15,'Stato Asta'!$A$9:$A$12,0)),"")</f>
        <v>🟡 Attesa rischiosa</v>
      </c>
    </row>
    <row r="16" customFormat="false" ht="14.25" hidden="false" customHeight="true" outlineLevel="0" collapsed="false">
      <c r="A16" s="21" t="n">
        <v>7017</v>
      </c>
      <c r="B16" s="21" t="s">
        <v>46</v>
      </c>
      <c r="C16" s="21" t="s">
        <v>546</v>
      </c>
      <c r="E16" s="26" t="str">
        <f aca="false">IF(COUNTIF('Info Strategia'!$D$2:$D$51,$C16)&gt;0,"SI","NO")</f>
        <v>NO</v>
      </c>
      <c r="F16" s="27" t="n">
        <f aca="false">IFERROR(ROUND(($G16+($H16-$G16)*'Info Strategia'!$B$6)*(1+IF($E16="SI",'Parametri Modello'!$B$7*'Info Strategia'!$B$6,0)),0),"")</f>
        <v>142</v>
      </c>
      <c r="G16" s="27" t="n">
        <f aca="false">IFERROR(ROUND((IF(OR(INDEX('Parametri Modello'!$C$39:$C$42,MATCH($B16,'Parametri Modello'!$A$39:$A$42,0))="",INDEX('Parametri Modello'!$C$39:$C$42,MATCH($B16,'Parametri Modello'!$A$39:$A$42,0))=0),0,($O16/INDEX('Parametri Modello'!$C$39:$C$42,MATCH($B16,'Parametri Modello'!$A$39:$A$42,0)))*(INDEX('Parametri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89</v>
      </c>
      <c r="H16" s="27" t="n">
        <f aca="false">IFERROR(ROUND((IF(OR(INDEX('Parametri Modello'!$C$39:$C$42,MATCH($B16,'Parametri Modello'!$A$39:$A$42,0))="",INDEX('Parametri Modello'!$C$39:$C$42,MATCH($B16,'Parametri Modello'!$A$39:$A$42,0))=0),0,($O16/INDEX('Parametri Modello'!$C$39:$C$42,MATCH($B16,'Parametri Modello'!$A$39:$A$42,0)))*(INDEX('Parametri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165</v>
      </c>
      <c r="I16" s="26" t="n">
        <f aca="false">IFERROR(INDEX('Input Statistiche 2025_26'!$F$3:$F$665,MATCH($A16,'Input Statistiche 2025_26'!$A$3:$A$665,0)),"")</f>
        <v>36</v>
      </c>
      <c r="J16" s="26" t="n">
        <f aca="false">IFERROR(IF($I16="","",MAX(0,38-$I16)),"")</f>
        <v>2</v>
      </c>
      <c r="K16" s="26" t="n">
        <f aca="false">IFERROR(INDEX('Input Statistiche 2025_26'!$I$3:$I$665,MATCH($A16,'Input Statistiche 2025_26'!$A$3:$A$665,0)),"")</f>
        <v>14</v>
      </c>
      <c r="L16" s="26" t="n">
        <f aca="false">IFERROR(INDEX('Input Statistiche 2025_26'!$O$3:$O$665,MATCH($A16,'Input Statistiche 2025_26'!$A$3:$A$665,0)),"")</f>
        <v>1</v>
      </c>
      <c r="M16" s="28"/>
      <c r="N16" s="27" t="n">
        <f aca="false">IFERROR(INDEX('Input Giocatori 2026_27'!$E$3:$E$493,MATCH($A16,'Input Giocatori 2026_27'!$A$3:$A$493,0)),"")</f>
        <v>20</v>
      </c>
      <c r="O16" s="27" t="n">
        <f aca="false">IFERROR(INDEX('Input Giocatori 2026_27'!$G$3:$G$493,MATCH($A16,'Input Giocatori 2026_27'!$A$3:$A$493,0)),"")</f>
        <v>157</v>
      </c>
      <c r="P16" s="26" t="str">
        <f aca="false">IFERROR(IF($O16="","",IF((1-(COUNTIFS($B$2:$B$492,$B16,$O$2:$O$492,"&gt;"&amp;$O16)+1-1)/COUNTIF($B$2:$B$492,$B16))&gt;=0.85,"Top",IF((1-(COUNTIFS($B$2:$B$492,$B16,$O$2:$O$492,"&gt;"&amp;$O16)+1-1)/COUNTIF($B$2:$B$492,$B16))&gt;=0.6,"Buono",IF((1-(COUNTIFS($B$2:$B$492,$B16,$O$2:$O$492,"&gt;"&amp;$O16)+1-1)/COUNTIF($B$2:$B$492,$B16))&gt;=0.3,"Nella Media","Scommessa/Riserva")))),"")</f>
        <v>Top</v>
      </c>
      <c r="Q16" s="29" t="n">
        <f aca="false">IF($D16="",COUNTIF($D$2:$D16,""),"")</f>
        <v>15</v>
      </c>
      <c r="R16" s="29" t="str">
        <f aca="false">IF($D16='Info Lega'!$B$28,COUNTIFS($D$2:$D16,'Info Lega'!$B$28),"")</f>
        <v/>
      </c>
      <c r="S16" s="30" t="n">
        <f aca="false">IFERROR(INDEX('Input Statistiche 2025_26'!$G$3:$G$665,MATCH($A16,'Input Statistiche 2025_26'!$A$3:$A$665,0)),"")</f>
        <v>6.18</v>
      </c>
      <c r="T16" s="30" t="n">
        <f aca="false">IFERROR(INDEX('Input Statistiche 2025_26'!$H$3:$H$665,MATCH($A16,'Input Statistiche 2025_26'!$A$3:$A$665,0)),"")</f>
        <v>7.38</v>
      </c>
      <c r="U16" s="26" t="str">
        <f aca="false">IF(OR('La Mia Rosa'!$O$12="",$D16&lt;&gt;""),"",IF($F16&lt;='La Mia Rosa'!$O$12*'Parametri Modello'!$B$24,"OK",IF($F16&lt;='La Mia Rosa'!$O$12*'Parametri Modello'!$B$25,"Attenzione","Rischio Alto")))</f>
        <v>Rischio Alto</v>
      </c>
      <c r="V16" s="26" t="n">
        <f aca="false">IFERROR(COUNTIFS($B$2:$B$492,$B16,$O$2:$O$492,"&gt;"&amp;$O16)+1,"")</f>
        <v>9</v>
      </c>
      <c r="W16" s="21" t="n">
        <f aca="false">'Info Lega'!$B$4-SUMIFS($M$2:$M$492,$D$2:$D$492,'Info Lega'!$B$28)</f>
        <v>1000</v>
      </c>
      <c r="X16" s="21" t="n">
        <f aca="false">('Info Lega'!$B$5-COUNTIFS($D$2:$D$492,'Info Lega'!$B$28,$B$2:$B$492,"P"))+('Info Lega'!$B$6-COUNTIFS($D$2:$D$492,'Info Lega'!$B$28,$B$2:$B$492,"D"))+('Info Lega'!$B$7-COUNTIFS($D$2:$D$492,'Info Lega'!$B$28,$B$2:$B$492,"C"))+('Info Lega'!$B$8-COUNTIFS($D$2:$D$492,'Info Lega'!$B$28,$B$2:$B$492,"A"))</f>
        <v>25</v>
      </c>
      <c r="Y16" s="21" t="n">
        <f aca="false">X16*'Parametri Modello'!$B$30</f>
        <v>25</v>
      </c>
      <c r="Z16" s="21" t="n">
        <f aca="false">MAX(0,W16-Y16)</f>
        <v>975</v>
      </c>
      <c r="AA16" s="21" t="n">
        <f aca="false">MIN(F16,Z16)</f>
        <v>142</v>
      </c>
      <c r="AB16" s="21"/>
      <c r="AC16" s="21" t="str">
        <f aca="false">IF(AB16="","",IF(AB16&gt;AA16,"PASS",IF(AB16&lt;=AA16*0.85,"BID","ATTENZIONE")))</f>
        <v/>
      </c>
      <c r="AD16" s="31" t="n">
        <f aca="false">IF(I16="","",ROUND(100*(1-EXP(-I16/30)),0))</f>
        <v>70</v>
      </c>
      <c r="AE16" s="7" t="str">
        <f aca="false">IFERROR(INDEX('Stato Asta'!$G$9:$G$12,MATCH($B16,'Stato Asta'!$A$9:$A$12,0)),"")</f>
        <v>🔴 Non aspettare</v>
      </c>
    </row>
    <row r="17" customFormat="false" ht="14.25" hidden="false" customHeight="true" outlineLevel="0" collapsed="false">
      <c r="A17" s="21" t="n">
        <v>2379</v>
      </c>
      <c r="B17" s="21" t="s">
        <v>45</v>
      </c>
      <c r="C17" s="21" t="s">
        <v>371</v>
      </c>
      <c r="E17" s="26" t="str">
        <f aca="false">IF(COUNTIF('Info Strategia'!$D$2:$D$51,$C17)&gt;0,"SI","NO")</f>
        <v>NO</v>
      </c>
      <c r="F17" s="27" t="n">
        <f aca="false">IFERROR(ROUND(($G17+($H17-$G17)*'Info Strategia'!$B$6)*(1+IF($E17="SI",'Parametri Modello'!$B$7*'Info Strategia'!$B$6,0)),0),"")</f>
        <v>71</v>
      </c>
      <c r="G17" s="27" t="n">
        <f aca="false">IFERROR(ROUND((IF(OR(INDEX('Parametri Modello'!$C$39:$C$42,MATCH($B17,'Parametri Modello'!$A$39:$A$42,0))="",INDEX('Parametri Modello'!$C$39:$C$42,MATCH($B17,'Parametri Modello'!$A$39:$A$42,0))=0),0,($O17/INDEX('Parametri Modello'!$C$39:$C$42,MATCH($B17,'Parametri Modello'!$A$39:$A$42,0)))*(INDEX('Parametri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49</v>
      </c>
      <c r="H17" s="27" t="n">
        <f aca="false">IFERROR(ROUND((IF(OR(INDEX('Parametri Modello'!$C$39:$C$42,MATCH($B17,'Parametri Modello'!$A$39:$A$42,0))="",INDEX('Parametri Modello'!$C$39:$C$42,MATCH($B17,'Parametri Modello'!$A$39:$A$42,0))=0),0,($O17/INDEX('Parametri Modello'!$C$39:$C$42,MATCH($B17,'Parametri Modello'!$A$39:$A$42,0)))*(INDEX('Parametri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81</v>
      </c>
      <c r="I17" s="26" t="n">
        <f aca="false">IFERROR(INDEX('Input Statistiche 2025_26'!$F$3:$F$665,MATCH($A17,'Input Statistiche 2025_26'!$A$3:$A$665,0)),"")</f>
        <v>29</v>
      </c>
      <c r="J17" s="26" t="n">
        <f aca="false">IFERROR(IF($I17="","",MAX(0,38-$I17)),"")</f>
        <v>9</v>
      </c>
      <c r="K17" s="26" t="n">
        <f aca="false">IFERROR(INDEX('Input Statistiche 2025_26'!$I$3:$I$665,MATCH($A17,'Input Statistiche 2025_26'!$A$3:$A$665,0)),"")</f>
        <v>6</v>
      </c>
      <c r="L17" s="26" t="n">
        <f aca="false">IFERROR(INDEX('Input Statistiche 2025_26'!$O$3:$O$665,MATCH($A17,'Input Statistiche 2025_26'!$A$3:$A$665,0)),"")</f>
        <v>4</v>
      </c>
      <c r="M17" s="28"/>
      <c r="N17" s="27" t="n">
        <f aca="false">IFERROR(INDEX('Input Giocatori 2026_27'!$E$3:$E$493,MATCH($A17,'Input Giocatori 2026_27'!$A$3:$A$493,0)),"")</f>
        <v>22</v>
      </c>
      <c r="O17" s="27" t="n">
        <f aca="false">IFERROR(INDEX('Input Giocatori 2026_27'!$G$3:$G$493,MATCH($A17,'Input Giocatori 2026_27'!$A$3:$A$493,0)),"")</f>
        <v>128</v>
      </c>
      <c r="P17" s="26" t="str">
        <f aca="false">IFERROR(IF($O17="","",IF((1-(COUNTIFS($B$2:$B$492,$B17,$O$2:$O$492,"&gt;"&amp;$O17)+1-1)/COUNTIF($B$2:$B$492,$B17))&gt;=0.85,"Top",IF((1-(COUNTIFS($B$2:$B$492,$B17,$O$2:$O$492,"&gt;"&amp;$O17)+1-1)/COUNTIF($B$2:$B$492,$B17))&gt;=0.6,"Buono",IF((1-(COUNTIFS($B$2:$B$492,$B17,$O$2:$O$492,"&gt;"&amp;$O17)+1-1)/COUNTIF($B$2:$B$492,$B17))&gt;=0.3,"Nella Media","Scommessa/Riserva")))),"")</f>
        <v>Top</v>
      </c>
      <c r="Q17" s="29" t="n">
        <f aca="false">IF($D17="",COUNTIF($D$2:$D17,""),"")</f>
        <v>16</v>
      </c>
      <c r="R17" s="29" t="str">
        <f aca="false">IF($D17='Info Lega'!$B$28,COUNTIFS($D$2:$D17,'Info Lega'!$B$28),"")</f>
        <v/>
      </c>
      <c r="S17" s="30" t="n">
        <f aca="false">IFERROR(INDEX('Input Statistiche 2025_26'!$G$3:$G$665,MATCH($A17,'Input Statistiche 2025_26'!$A$3:$A$665,0)),"")</f>
        <v>6.33</v>
      </c>
      <c r="T17" s="30" t="n">
        <f aca="false">IFERROR(INDEX('Input Statistiche 2025_26'!$H$3:$H$665,MATCH($A17,'Input Statistiche 2025_26'!$A$3:$A$665,0)),"")</f>
        <v>6.98</v>
      </c>
      <c r="U17" s="26" t="str">
        <f aca="false">IF(OR('La Mia Rosa'!$O$12="",$D17&lt;&gt;""),"",IF($F17&lt;='La Mia Rosa'!$O$12*'Parametri Modello'!$B$24,"OK",IF($F17&lt;='La Mia Rosa'!$O$12*'Parametri Modello'!$B$25,"Attenzione","Rischio Alto")))</f>
        <v>Attenzione</v>
      </c>
      <c r="V17" s="26" t="n">
        <f aca="false">IFERROR(COUNTIFS($B$2:$B$492,$B17,$O$2:$O$492,"&gt;"&amp;$O17)+1,"")</f>
        <v>6</v>
      </c>
      <c r="W17" s="21" t="n">
        <f aca="false">'Info Lega'!$B$4-SUMIFS($M$2:$M$492,$D$2:$D$492,'Info Lega'!$B$28)</f>
        <v>1000</v>
      </c>
      <c r="X17" s="21" t="n">
        <f aca="false">('Info Lega'!$B$5-COUNTIFS($D$2:$D$492,'Info Lega'!$B$28,$B$2:$B$492,"P"))+('Info Lega'!$B$6-COUNTIFS($D$2:$D$492,'Info Lega'!$B$28,$B$2:$B$492,"D"))+('Info Lega'!$B$7-COUNTIFS($D$2:$D$492,'Info Lega'!$B$28,$B$2:$B$492,"C"))+('Info Lega'!$B$8-COUNTIFS($D$2:$D$492,'Info Lega'!$B$28,$B$2:$B$492,"A"))</f>
        <v>25</v>
      </c>
      <c r="Y17" s="21" t="n">
        <f aca="false">X17*'Parametri Modello'!$B$30</f>
        <v>25</v>
      </c>
      <c r="Z17" s="21" t="n">
        <f aca="false">MAX(0,W17-Y17)</f>
        <v>975</v>
      </c>
      <c r="AA17" s="21" t="n">
        <f aca="false">MIN(F17,Z17)</f>
        <v>71</v>
      </c>
      <c r="AB17" s="21"/>
      <c r="AC17" s="21" t="str">
        <f aca="false">IF(AB17="","",IF(AB17&gt;AA17,"PASS",IF(AB17&lt;=AA17*0.85,"BID","ATTENZIONE")))</f>
        <v/>
      </c>
      <c r="AD17" s="31" t="n">
        <f aca="false">IF(I17="","",ROUND(100*(1-EXP(-I17/30)),0))</f>
        <v>62</v>
      </c>
      <c r="AE17" s="7" t="str">
        <f aca="false">IFERROR(INDEX('Stato Asta'!$G$9:$G$12,MATCH($B17,'Stato Asta'!$A$9:$A$12,0)),"")</f>
        <v>🟡 Attesa rischiosa</v>
      </c>
    </row>
    <row r="18" customFormat="false" ht="14.25" hidden="false" customHeight="true" outlineLevel="0" collapsed="false">
      <c r="A18" s="21" t="n">
        <v>2137</v>
      </c>
      <c r="B18" s="21" t="s">
        <v>46</v>
      </c>
      <c r="C18" s="21" t="s">
        <v>547</v>
      </c>
      <c r="E18" s="26" t="str">
        <f aca="false">IF(COUNTIF('Info Strategia'!$D$2:$D$51,$C18)&gt;0,"SI","NO")</f>
        <v>NO</v>
      </c>
      <c r="F18" s="27" t="n">
        <f aca="false">IFERROR(ROUND(($G18+($H18-$G18)*'Info Strategia'!$B$6)*(1+IF($E18="SI",'Parametri Modello'!$B$7*'Info Strategia'!$B$6,0)),0),"")</f>
        <v>117</v>
      </c>
      <c r="G18" s="27" t="n">
        <f aca="false">IFERROR(ROUND((IF(OR(INDEX('Parametri Modello'!$C$39:$C$42,MATCH($B18,'Parametri Modello'!$A$39:$A$42,0))="",INDEX('Parametri Modello'!$C$39:$C$42,MATCH($B18,'Parametri Modello'!$A$39:$A$42,0))=0),0,($O18/INDEX('Parametri Modello'!$C$39:$C$42,MATCH($B18,'Parametri Modello'!$A$39:$A$42,0)))*(INDEX('Parametri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73</v>
      </c>
      <c r="H18" s="27" t="n">
        <f aca="false">IFERROR(ROUND((IF(OR(INDEX('Parametri Modello'!$C$39:$C$42,MATCH($B18,'Parametri Modello'!$A$39:$A$42,0))="",INDEX('Parametri Modello'!$C$39:$C$42,MATCH($B18,'Parametri Modello'!$A$39:$A$42,0))=0),0,($O18/INDEX('Parametri Modello'!$C$39:$C$42,MATCH($B18,'Parametri Modello'!$A$39:$A$42,0)))*(INDEX('Parametri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136</v>
      </c>
      <c r="I18" s="26" t="n">
        <f aca="false">IFERROR(INDEX('Input Statistiche 2025_26'!$F$3:$F$665,MATCH($A18,'Input Statistiche 2025_26'!$A$3:$A$665,0)),"")</f>
        <v>22</v>
      </c>
      <c r="J18" s="26" t="n">
        <f aca="false">IFERROR(IF($I18="","",MAX(0,38-$I18)),"")</f>
        <v>16</v>
      </c>
      <c r="K18" s="26" t="n">
        <f aca="false">IFERROR(INDEX('Input Statistiche 2025_26'!$I$3:$I$665,MATCH($A18,'Input Statistiche 2025_26'!$A$3:$A$665,0)),"")</f>
        <v>10</v>
      </c>
      <c r="L18" s="26" t="n">
        <f aca="false">IFERROR(INDEX('Input Statistiche 2025_26'!$O$3:$O$665,MATCH($A18,'Input Statistiche 2025_26'!$A$3:$A$665,0)),"")</f>
        <v>1</v>
      </c>
      <c r="M18" s="28"/>
      <c r="N18" s="27" t="n">
        <f aca="false">IFERROR(INDEX('Input Giocatori 2026_27'!$E$3:$E$493,MATCH($A18,'Input Giocatori 2026_27'!$A$3:$A$493,0)),"")</f>
        <v>19</v>
      </c>
      <c r="O18" s="27" t="n">
        <f aca="false">IFERROR(INDEX('Input Giocatori 2026_27'!$G$3:$G$493,MATCH($A18,'Input Giocatori 2026_27'!$A$3:$A$493,0)),"")</f>
        <v>128</v>
      </c>
      <c r="P18" s="26" t="str">
        <f aca="false">IFERROR(IF($O18="","",IF((1-(COUNTIFS($B$2:$B$492,$B18,$O$2:$O$492,"&gt;"&amp;$O18)+1-1)/COUNTIF($B$2:$B$492,$B18))&gt;=0.85,"Top",IF((1-(COUNTIFS($B$2:$B$492,$B18,$O$2:$O$492,"&gt;"&amp;$O18)+1-1)/COUNTIF($B$2:$B$492,$B18))&gt;=0.6,"Buono",IF((1-(COUNTIFS($B$2:$B$492,$B18,$O$2:$O$492,"&gt;"&amp;$O18)+1-1)/COUNTIF($B$2:$B$492,$B18))&gt;=0.3,"Nella Media","Scommessa/Riserva")))),"")</f>
        <v>Top</v>
      </c>
      <c r="Q18" s="29" t="n">
        <f aca="false">IF($D18="",COUNTIF($D$2:$D18,""),"")</f>
        <v>17</v>
      </c>
      <c r="R18" s="29" t="str">
        <f aca="false">IF($D18='Info Lega'!$B$28,COUNTIFS($D$2:$D18,'Info Lega'!$B$28),"")</f>
        <v/>
      </c>
      <c r="S18" s="30" t="n">
        <f aca="false">IFERROR(INDEX('Input Statistiche 2025_26'!$G$3:$G$665,MATCH($A18,'Input Statistiche 2025_26'!$A$3:$A$665,0)),"")</f>
        <v>6.18</v>
      </c>
      <c r="T18" s="30" t="n">
        <f aca="false">IFERROR(INDEX('Input Statistiche 2025_26'!$H$3:$H$665,MATCH($A18,'Input Statistiche 2025_26'!$A$3:$A$665,0)),"")</f>
        <v>7.55</v>
      </c>
      <c r="U18" s="26" t="str">
        <f aca="false">IF(OR('La Mia Rosa'!$O$12="",$D18&lt;&gt;""),"",IF($F18&lt;='La Mia Rosa'!$O$12*'Parametri Modello'!$B$24,"OK",IF($F18&lt;='La Mia Rosa'!$O$12*'Parametri Modello'!$B$25,"Attenzione","Rischio Alto")))</f>
        <v>Attenzione</v>
      </c>
      <c r="V18" s="26" t="n">
        <f aca="false">IFERROR(COUNTIFS($B$2:$B$492,$B18,$O$2:$O$492,"&gt;"&amp;$O18)+1,"")</f>
        <v>10</v>
      </c>
      <c r="W18" s="21" t="n">
        <f aca="false">'Info Lega'!$B$4-SUMIFS($M$2:$M$492,$D$2:$D$492,'Info Lega'!$B$28)</f>
        <v>1000</v>
      </c>
      <c r="X18" s="21" t="n">
        <f aca="false">('Info Lega'!$B$5-COUNTIFS($D$2:$D$492,'Info Lega'!$B$28,$B$2:$B$492,"P"))+('Info Lega'!$B$6-COUNTIFS($D$2:$D$492,'Info Lega'!$B$28,$B$2:$B$492,"D"))+('Info Lega'!$B$7-COUNTIFS($D$2:$D$492,'Info Lega'!$B$28,$B$2:$B$492,"C"))+('Info Lega'!$B$8-COUNTIFS($D$2:$D$492,'Info Lega'!$B$28,$B$2:$B$492,"A"))</f>
        <v>25</v>
      </c>
      <c r="Y18" s="21" t="n">
        <f aca="false">X18*'Parametri Modello'!$B$30</f>
        <v>25</v>
      </c>
      <c r="Z18" s="21" t="n">
        <f aca="false">MAX(0,W18-Y18)</f>
        <v>975</v>
      </c>
      <c r="AA18" s="21" t="n">
        <f aca="false">MIN(F18,Z18)</f>
        <v>117</v>
      </c>
      <c r="AB18" s="21"/>
      <c r="AC18" s="21" t="str">
        <f aca="false">IF(AB18="","",IF(AB18&gt;AA18,"PASS",IF(AB18&lt;=AA18*0.85,"BID","ATTENZIONE")))</f>
        <v/>
      </c>
      <c r="AD18" s="31" t="n">
        <f aca="false">IF(I18="","",ROUND(100*(1-EXP(-I18/30)),0))</f>
        <v>52</v>
      </c>
      <c r="AE18" s="7" t="str">
        <f aca="false">IFERROR(INDEX('Stato Asta'!$G$9:$G$12,MATCH($B18,'Stato Asta'!$A$9:$A$12,0)),"")</f>
        <v>🔴 Non aspettare</v>
      </c>
    </row>
    <row r="19" customFormat="false" ht="14.25" hidden="false" customHeight="true" outlineLevel="0" collapsed="false">
      <c r="A19" s="21" t="n">
        <v>5637</v>
      </c>
      <c r="B19" s="21" t="s">
        <v>46</v>
      </c>
      <c r="C19" s="21" t="s">
        <v>548</v>
      </c>
      <c r="E19" s="26" t="str">
        <f aca="false">IF(COUNTIF('Info Strategia'!$D$2:$D$51,$C19)&gt;0,"SI","NO")</f>
        <v>NO</v>
      </c>
      <c r="F19" s="27" t="n">
        <f aca="false">IFERROR(ROUND(($G19+($H19-$G19)*'Info Strategia'!$B$6)*(1+IF($E19="SI",'Parametri Modello'!$B$7*'Info Strategia'!$B$6,0)),0),"")</f>
        <v>110</v>
      </c>
      <c r="G19" s="27" t="n">
        <f aca="false">IFERROR(ROUND((IF(OR(INDEX('Parametri Modello'!$C$39:$C$42,MATCH($B19,'Parametri Modello'!$A$39:$A$42,0))="",INDEX('Parametri Modello'!$C$39:$C$42,MATCH($B19,'Parametri Modello'!$A$39:$A$42,0))=0),0,($O19/INDEX('Parametri Modello'!$C$39:$C$42,MATCH($B19,'Parametri Modello'!$A$39:$A$42,0)))*(INDEX('Parametri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69</v>
      </c>
      <c r="H19" s="27" t="n">
        <f aca="false">IFERROR(ROUND((IF(OR(INDEX('Parametri Modello'!$C$39:$C$42,MATCH($B19,'Parametri Modello'!$A$39:$A$42,0))="",INDEX('Parametri Modello'!$C$39:$C$42,MATCH($B19,'Parametri Modello'!$A$39:$A$42,0))=0),0,($O19/INDEX('Parametri Modello'!$C$39:$C$42,MATCH($B19,'Parametri Modello'!$A$39:$A$42,0)))*(INDEX('Parametri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127</v>
      </c>
      <c r="I19" s="26" t="n">
        <f aca="false">IFERROR(INDEX('Input Statistiche 2025_26'!$F$3:$F$665,MATCH($A19,'Input Statistiche 2025_26'!$A$3:$A$665,0)),"")</f>
        <v>30</v>
      </c>
      <c r="J19" s="26" t="n">
        <f aca="false">IFERROR(IF($I19="","",MAX(0,38-$I19)),"")</f>
        <v>8</v>
      </c>
      <c r="K19" s="26" t="n">
        <f aca="false">IFERROR(INDEX('Input Statistiche 2025_26'!$I$3:$I$665,MATCH($A19,'Input Statistiche 2025_26'!$A$3:$A$665,0)),"")</f>
        <v>10</v>
      </c>
      <c r="L19" s="26" t="n">
        <f aca="false">IFERROR(INDEX('Input Statistiche 2025_26'!$O$3:$O$665,MATCH($A19,'Input Statistiche 2025_26'!$A$3:$A$665,0)),"")</f>
        <v>4</v>
      </c>
      <c r="M19" s="28"/>
      <c r="N19" s="27" t="n">
        <f aca="false">IFERROR(INDEX('Input Giocatori 2026_27'!$E$3:$E$493,MATCH($A19,'Input Giocatori 2026_27'!$A$3:$A$493,0)),"")</f>
        <v>19</v>
      </c>
      <c r="O19" s="27" t="n">
        <f aca="false">IFERROR(INDEX('Input Giocatori 2026_27'!$G$3:$G$493,MATCH($A19,'Input Giocatori 2026_27'!$A$3:$A$493,0)),"")</f>
        <v>121</v>
      </c>
      <c r="P19" s="26" t="str">
        <f aca="false">IFERROR(IF($O19="","",IF((1-(COUNTIFS($B$2:$B$492,$B19,$O$2:$O$492,"&gt;"&amp;$O19)+1-1)/COUNTIF($B$2:$B$492,$B19))&gt;=0.85,"Top",IF((1-(COUNTIFS($B$2:$B$492,$B19,$O$2:$O$492,"&gt;"&amp;$O19)+1-1)/COUNTIF($B$2:$B$492,$B19))&gt;=0.6,"Buono",IF((1-(COUNTIFS($B$2:$B$492,$B19,$O$2:$O$492,"&gt;"&amp;$O19)+1-1)/COUNTIF($B$2:$B$492,$B19))&gt;=0.3,"Nella Media","Scommessa/Riserva")))),"")</f>
        <v>Top</v>
      </c>
      <c r="Q19" s="29" t="n">
        <f aca="false">IF($D19="",COUNTIF($D$2:$D19,""),"")</f>
        <v>18</v>
      </c>
      <c r="R19" s="29" t="str">
        <f aca="false">IF($D19='Info Lega'!$B$28,COUNTIFS($D$2:$D19,'Info Lega'!$B$28),"")</f>
        <v/>
      </c>
      <c r="S19" s="30" t="n">
        <f aca="false">IFERROR(INDEX('Input Statistiche 2025_26'!$G$3:$G$665,MATCH($A19,'Input Statistiche 2025_26'!$A$3:$A$665,0)),"")</f>
        <v>6.32</v>
      </c>
      <c r="T19" s="30" t="n">
        <f aca="false">IFERROR(INDEX('Input Statistiche 2025_26'!$H$3:$H$665,MATCH($A19,'Input Statistiche 2025_26'!$A$3:$A$665,0)),"")</f>
        <v>7.37</v>
      </c>
      <c r="U19" s="26" t="str">
        <f aca="false">IF(OR('La Mia Rosa'!$O$12="",$D19&lt;&gt;""),"",IF($F19&lt;='La Mia Rosa'!$O$12*'Parametri Modello'!$B$24,"OK",IF($F19&lt;='La Mia Rosa'!$O$12*'Parametri Modello'!$B$25,"Attenzione","Rischio Alto")))</f>
        <v>Attenzione</v>
      </c>
      <c r="V19" s="26" t="n">
        <f aca="false">IFERROR(COUNTIFS($B$2:$B$492,$B19,$O$2:$O$492,"&gt;"&amp;$O19)+1,"")</f>
        <v>11</v>
      </c>
      <c r="W19" s="21" t="n">
        <f aca="false">'Info Lega'!$B$4-SUMIFS($M$2:$M$492,$D$2:$D$492,'Info Lega'!$B$28)</f>
        <v>1000</v>
      </c>
      <c r="X19" s="21" t="n">
        <f aca="false">('Info Lega'!$B$5-COUNTIFS($D$2:$D$492,'Info Lega'!$B$28,$B$2:$B$492,"P"))+('Info Lega'!$B$6-COUNTIFS($D$2:$D$492,'Info Lega'!$B$28,$B$2:$B$492,"D"))+('Info Lega'!$B$7-COUNTIFS($D$2:$D$492,'Info Lega'!$B$28,$B$2:$B$492,"C"))+('Info Lega'!$B$8-COUNTIFS($D$2:$D$492,'Info Lega'!$B$28,$B$2:$B$492,"A"))</f>
        <v>25</v>
      </c>
      <c r="Y19" s="21" t="n">
        <f aca="false">X19*'Parametri Modello'!$B$30</f>
        <v>25</v>
      </c>
      <c r="Z19" s="21" t="n">
        <f aca="false">MAX(0,W19-Y19)</f>
        <v>975</v>
      </c>
      <c r="AA19" s="21" t="n">
        <f aca="false">MIN(F19,Z19)</f>
        <v>110</v>
      </c>
      <c r="AB19" s="21"/>
      <c r="AC19" s="21" t="str">
        <f aca="false">IF(AB19="","",IF(AB19&gt;AA19,"PASS",IF(AB19&lt;=AA19*0.85,"BID","ATTENZIONE")))</f>
        <v/>
      </c>
      <c r="AD19" s="31" t="n">
        <f aca="false">IF(I19="","",ROUND(100*(1-EXP(-I19/30)),0))</f>
        <v>63</v>
      </c>
      <c r="AE19" s="7" t="str">
        <f aca="false">IFERROR(INDEX('Stato Asta'!$G$9:$G$12,MATCH($B19,'Stato Asta'!$A$9:$A$12,0)),"")</f>
        <v>🔴 Non aspettare</v>
      </c>
    </row>
    <row r="20" customFormat="false" ht="14.25" hidden="false" customHeight="true" outlineLevel="0" collapsed="false">
      <c r="A20" s="21" t="n">
        <v>4510</v>
      </c>
      <c r="B20" s="21" t="s">
        <v>46</v>
      </c>
      <c r="C20" s="21" t="s">
        <v>550</v>
      </c>
      <c r="E20" s="26" t="str">
        <f aca="false">IF(COUNTIF('Info Strategia'!$D$2:$D$51,$C20)&gt;0,"SI","NO")</f>
        <v>NO</v>
      </c>
      <c r="F20" s="27" t="n">
        <f aca="false">IFERROR(ROUND(($G20+($H20-$G20)*'Info Strategia'!$B$6)*(1+IF($E20="SI",'Parametri Modello'!$B$7*'Info Strategia'!$B$6,0)),0),"")</f>
        <v>108</v>
      </c>
      <c r="G20" s="27" t="n">
        <f aca="false">IFERROR(ROUND((IF(OR(INDEX('Parametri Modello'!$C$39:$C$42,MATCH($B20,'Parametri Modello'!$A$39:$A$42,0))="",INDEX('Parametri Modello'!$C$39:$C$42,MATCH($B20,'Parametri Modello'!$A$39:$A$42,0))=0),0,($O20/INDEX('Parametri Modello'!$C$39:$C$42,MATCH($B20,'Parametri Modello'!$A$39:$A$42,0)))*(INDEX('Parametri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67</v>
      </c>
      <c r="H20" s="27" t="n">
        <f aca="false">IFERROR(ROUND((IF(OR(INDEX('Parametri Modello'!$C$39:$C$42,MATCH($B20,'Parametri Modello'!$A$39:$A$42,0))="",INDEX('Parametri Modello'!$C$39:$C$42,MATCH($B20,'Parametri Modello'!$A$39:$A$42,0))=0),0,($O20/INDEX('Parametri Modello'!$C$39:$C$42,MATCH($B20,'Parametri Modello'!$A$39:$A$42,0)))*(INDEX('Parametri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125</v>
      </c>
      <c r="I20" s="26" t="n">
        <f aca="false">IFERROR(INDEX('Input Statistiche 2025_26'!$F$3:$F$665,MATCH($A20,'Input Statistiche 2025_26'!$A$3:$A$665,0)),"")</f>
        <v>28</v>
      </c>
      <c r="J20" s="26" t="n">
        <f aca="false">IFERROR(IF($I20="","",MAX(0,38-$I20)),"")</f>
        <v>10</v>
      </c>
      <c r="K20" s="26" t="n">
        <f aca="false">IFERROR(INDEX('Input Statistiche 2025_26'!$I$3:$I$665,MATCH($A20,'Input Statistiche 2025_26'!$A$3:$A$665,0)),"")</f>
        <v>9</v>
      </c>
      <c r="L20" s="26" t="n">
        <f aca="false">IFERROR(INDEX('Input Statistiche 2025_26'!$O$3:$O$665,MATCH($A20,'Input Statistiche 2025_26'!$A$3:$A$665,0)),"")</f>
        <v>3</v>
      </c>
      <c r="M20" s="28"/>
      <c r="N20" s="27" t="n">
        <f aca="false">IFERROR(INDEX('Input Giocatori 2026_27'!$E$3:$E$493,MATCH($A20,'Input Giocatori 2026_27'!$A$3:$A$493,0)),"")</f>
        <v>18</v>
      </c>
      <c r="O20" s="27" t="n">
        <f aca="false">IFERROR(INDEX('Input Giocatori 2026_27'!$G$3:$G$493,MATCH($A20,'Input Giocatori 2026_27'!$A$3:$A$493,0)),"")</f>
        <v>120</v>
      </c>
      <c r="P20" s="26" t="str">
        <f aca="false">IFERROR(IF($O20="","",IF((1-(COUNTIFS($B$2:$B$492,$B20,$O$2:$O$492,"&gt;"&amp;$O20)+1-1)/COUNTIF($B$2:$B$492,$B20))&gt;=0.85,"Top",IF((1-(COUNTIFS($B$2:$B$492,$B20,$O$2:$O$492,"&gt;"&amp;$O20)+1-1)/COUNTIF($B$2:$B$492,$B20))&gt;=0.6,"Buono",IF((1-(COUNTIFS($B$2:$B$492,$B20,$O$2:$O$492,"&gt;"&amp;$O20)+1-1)/COUNTIF($B$2:$B$492,$B20))&gt;=0.3,"Nella Media","Scommessa/Riserva")))),"")</f>
        <v>Top</v>
      </c>
      <c r="Q20" s="29" t="n">
        <f aca="false">IF($D20="",COUNTIF($D$2:$D20,""),"")</f>
        <v>19</v>
      </c>
      <c r="R20" s="29" t="str">
        <f aca="false">IF($D20='Info Lega'!$B$28,COUNTIFS($D$2:$D20,'Info Lega'!$B$28),"")</f>
        <v/>
      </c>
      <c r="S20" s="30" t="n">
        <f aca="false">IFERROR(INDEX('Input Statistiche 2025_26'!$G$3:$G$665,MATCH($A20,'Input Statistiche 2025_26'!$A$3:$A$665,0)),"")</f>
        <v>5.88</v>
      </c>
      <c r="T20" s="30" t="n">
        <f aca="false">IFERROR(INDEX('Input Statistiche 2025_26'!$H$3:$H$665,MATCH($A20,'Input Statistiche 2025_26'!$A$3:$A$665,0)),"")</f>
        <v>6.86</v>
      </c>
      <c r="U20" s="26" t="str">
        <f aca="false">IF(OR('La Mia Rosa'!$O$12="",$D20&lt;&gt;""),"",IF($F20&lt;='La Mia Rosa'!$O$12*'Parametri Modello'!$B$24,"OK",IF($F20&lt;='La Mia Rosa'!$O$12*'Parametri Modello'!$B$25,"Attenzione","Rischio Alto")))</f>
        <v>Attenzione</v>
      </c>
      <c r="V20" s="26" t="n">
        <f aca="false">IFERROR(COUNTIFS($B$2:$B$492,$B20,$O$2:$O$492,"&gt;"&amp;$O20)+1,"")</f>
        <v>12</v>
      </c>
      <c r="W20" s="21" t="n">
        <f aca="false">'Info Lega'!$B$4-SUMIFS($M$2:$M$492,$D$2:$D$492,'Info Lega'!$B$28)</f>
        <v>1000</v>
      </c>
      <c r="X20" s="21" t="n">
        <f aca="false">('Info Lega'!$B$5-COUNTIFS($D$2:$D$492,'Info Lega'!$B$28,$B$2:$B$492,"P"))+('Info Lega'!$B$6-COUNTIFS($D$2:$D$492,'Info Lega'!$B$28,$B$2:$B$492,"D"))+('Info Lega'!$B$7-COUNTIFS($D$2:$D$492,'Info Lega'!$B$28,$B$2:$B$492,"C"))+('Info Lega'!$B$8-COUNTIFS($D$2:$D$492,'Info Lega'!$B$28,$B$2:$B$492,"A"))</f>
        <v>25</v>
      </c>
      <c r="Y20" s="21" t="n">
        <f aca="false">X20*'Parametri Modello'!$B$30</f>
        <v>25</v>
      </c>
      <c r="Z20" s="21" t="n">
        <f aca="false">MAX(0,W20-Y20)</f>
        <v>975</v>
      </c>
      <c r="AA20" s="21" t="n">
        <f aca="false">MIN(F20,Z20)</f>
        <v>108</v>
      </c>
      <c r="AB20" s="21"/>
      <c r="AC20" s="21" t="str">
        <f aca="false">IF(AB20="","",IF(AB20&gt;AA20,"PASS",IF(AB20&lt;=AA20*0.85,"BID","ATTENZIONE")))</f>
        <v/>
      </c>
      <c r="AD20" s="31" t="n">
        <f aca="false">IF(I20="","",ROUND(100*(1-EXP(-I20/30)),0))</f>
        <v>61</v>
      </c>
      <c r="AE20" s="7" t="str">
        <f aca="false">IFERROR(INDEX('Stato Asta'!$G$9:$G$12,MATCH($B20,'Stato Asta'!$A$9:$A$12,0)),"")</f>
        <v>🔴 Non aspettare</v>
      </c>
    </row>
    <row r="21" customFormat="false" ht="14.25" hidden="false" customHeight="true" outlineLevel="0" collapsed="false">
      <c r="A21" s="21" t="n">
        <v>531</v>
      </c>
      <c r="B21" s="21" t="s">
        <v>46</v>
      </c>
      <c r="C21" s="21" t="s">
        <v>551</v>
      </c>
      <c r="E21" s="26" t="str">
        <f aca="false">IF(COUNTIF('Info Strategia'!$D$2:$D$51,$C21)&gt;0,"SI","NO")</f>
        <v>NO</v>
      </c>
      <c r="F21" s="27" t="n">
        <f aca="false">IFERROR(ROUND(($G21+($H21-$G21)*'Info Strategia'!$B$6)*(1+IF($E21="SI",'Parametri Modello'!$B$7*'Info Strategia'!$B$6,0)),0),"")</f>
        <v>104</v>
      </c>
      <c r="G21" s="27" t="n">
        <f aca="false">IFERROR(ROUND((IF(OR(INDEX('Parametri Modello'!$C$39:$C$42,MATCH($B21,'Parametri Modello'!$A$39:$A$42,0))="",INDEX('Parametri Modello'!$C$39:$C$42,MATCH($B21,'Parametri Modello'!$A$39:$A$42,0))=0),0,($O21/INDEX('Parametri Modello'!$C$39:$C$42,MATCH($B21,'Parametri Modello'!$A$39:$A$42,0)))*(INDEX('Parametri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65</v>
      </c>
      <c r="H21" s="27" t="n">
        <f aca="false">IFERROR(ROUND((IF(OR(INDEX('Parametri Modello'!$C$39:$C$42,MATCH($B21,'Parametri Modello'!$A$39:$A$42,0))="",INDEX('Parametri Modello'!$C$39:$C$42,MATCH($B21,'Parametri Modello'!$A$39:$A$42,0))=0),0,($O21/INDEX('Parametri Modello'!$C$39:$C$42,MATCH($B21,'Parametri Modello'!$A$39:$A$42,0)))*(INDEX('Parametri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121</v>
      </c>
      <c r="I21" s="26" t="n">
        <f aca="false">IFERROR(INDEX('Input Statistiche 2025_26'!$F$3:$F$665,MATCH($A21,'Input Statistiche 2025_26'!$A$3:$A$665,0)),"")</f>
        <v>26</v>
      </c>
      <c r="J21" s="26" t="n">
        <f aca="false">IFERROR(IF($I21="","",MAX(0,38-$I21)),"")</f>
        <v>12</v>
      </c>
      <c r="K21" s="26" t="n">
        <f aca="false">IFERROR(INDEX('Input Statistiche 2025_26'!$I$3:$I$665,MATCH($A21,'Input Statistiche 2025_26'!$A$3:$A$665,0)),"")</f>
        <v>8</v>
      </c>
      <c r="L21" s="26" t="n">
        <f aca="false">IFERROR(INDEX('Input Statistiche 2025_26'!$O$3:$O$665,MATCH($A21,'Input Statistiche 2025_26'!$A$3:$A$665,0)),"")</f>
        <v>4</v>
      </c>
      <c r="M21" s="28"/>
      <c r="N21" s="27" t="n">
        <f aca="false">IFERROR(INDEX('Input Giocatori 2026_27'!$E$3:$E$493,MATCH($A21,'Input Giocatori 2026_27'!$A$3:$A$493,0)),"")</f>
        <v>18</v>
      </c>
      <c r="O21" s="27" t="n">
        <f aca="false">IFERROR(INDEX('Input Giocatori 2026_27'!$G$3:$G$493,MATCH($A21,'Input Giocatori 2026_27'!$A$3:$A$493,0)),"")</f>
        <v>115</v>
      </c>
      <c r="P21" s="26" t="str">
        <f aca="false">IFERROR(IF($O21="","",IF((1-(COUNTIFS($B$2:$B$492,$B21,$O$2:$O$492,"&gt;"&amp;$O21)+1-1)/COUNTIF($B$2:$B$492,$B21))&gt;=0.85,"Top",IF((1-(COUNTIFS($B$2:$B$492,$B21,$O$2:$O$492,"&gt;"&amp;$O21)+1-1)/COUNTIF($B$2:$B$492,$B21))&gt;=0.6,"Buono",IF((1-(COUNTIFS($B$2:$B$492,$B21,$O$2:$O$492,"&gt;"&amp;$O21)+1-1)/COUNTIF($B$2:$B$492,$B21))&gt;=0.3,"Nella Media","Scommessa/Riserva")))),"")</f>
        <v>Top</v>
      </c>
      <c r="Q21" s="29" t="n">
        <f aca="false">IF($D21="",COUNTIF($D$2:$D21,""),"")</f>
        <v>20</v>
      </c>
      <c r="R21" s="29" t="str">
        <f aca="false">IF($D21='Info Lega'!$B$28,COUNTIFS($D$2:$D21,'Info Lega'!$B$28),"")</f>
        <v/>
      </c>
      <c r="S21" s="30" t="n">
        <f aca="false">IFERROR(INDEX('Input Statistiche 2025_26'!$G$3:$G$665,MATCH($A21,'Input Statistiche 2025_26'!$A$3:$A$665,0)),"")</f>
        <v>6.31</v>
      </c>
      <c r="T21" s="30" t="n">
        <f aca="false">IFERROR(INDEX('Input Statistiche 2025_26'!$H$3:$H$665,MATCH($A21,'Input Statistiche 2025_26'!$A$3:$A$665,0)),"")</f>
        <v>7.19</v>
      </c>
      <c r="U21" s="26" t="str">
        <f aca="false">IF(OR('La Mia Rosa'!$O$12="",$D21&lt;&gt;""),"",IF($F21&lt;='La Mia Rosa'!$O$12*'Parametri Modello'!$B$24,"OK",IF($F21&lt;='La Mia Rosa'!$O$12*'Parametri Modello'!$B$25,"Attenzione","Rischio Alto")))</f>
        <v>Attenzione</v>
      </c>
      <c r="V21" s="26" t="n">
        <f aca="false">IFERROR(COUNTIFS($B$2:$B$492,$B21,$O$2:$O$492,"&gt;"&amp;$O21)+1,"")</f>
        <v>13</v>
      </c>
      <c r="W21" s="21" t="n">
        <f aca="false">'Info Lega'!$B$4-SUMIFS($M$2:$M$492,$D$2:$D$492,'Info Lega'!$B$28)</f>
        <v>1000</v>
      </c>
      <c r="X21" s="21" t="n">
        <f aca="false">('Info Lega'!$B$5-COUNTIFS($D$2:$D$492,'Info Lega'!$B$28,$B$2:$B$492,"P"))+('Info Lega'!$B$6-COUNTIFS($D$2:$D$492,'Info Lega'!$B$28,$B$2:$B$492,"D"))+('Info Lega'!$B$7-COUNTIFS($D$2:$D$492,'Info Lega'!$B$28,$B$2:$B$492,"C"))+('Info Lega'!$B$8-COUNTIFS($D$2:$D$492,'Info Lega'!$B$28,$B$2:$B$492,"A"))</f>
        <v>25</v>
      </c>
      <c r="Y21" s="21" t="n">
        <f aca="false">X21*'Parametri Modello'!$B$30</f>
        <v>25</v>
      </c>
      <c r="Z21" s="21" t="n">
        <f aca="false">MAX(0,W21-Y21)</f>
        <v>975</v>
      </c>
      <c r="AA21" s="21" t="n">
        <f aca="false">MIN(F21,Z21)</f>
        <v>104</v>
      </c>
      <c r="AB21" s="21"/>
      <c r="AC21" s="21" t="str">
        <f aca="false">IF(AB21="","",IF(AB21&gt;AA21,"PASS",IF(AB21&lt;=AA21*0.85,"BID","ATTENZIONE")))</f>
        <v/>
      </c>
      <c r="AD21" s="31" t="n">
        <f aca="false">IF(I21="","",ROUND(100*(1-EXP(-I21/30)),0))</f>
        <v>58</v>
      </c>
      <c r="AE21" s="7" t="str">
        <f aca="false">IFERROR(INDEX('Stato Asta'!$G$9:$G$12,MATCH($B21,'Stato Asta'!$A$9:$A$12,0)),"")</f>
        <v>🔴 Non aspettare</v>
      </c>
    </row>
    <row r="22" customFormat="false" ht="14.25" hidden="false" customHeight="true" outlineLevel="0" collapsed="false">
      <c r="A22" s="21" t="n">
        <v>5995</v>
      </c>
      <c r="B22" s="21" t="s">
        <v>46</v>
      </c>
      <c r="C22" s="21" t="s">
        <v>552</v>
      </c>
      <c r="E22" s="26" t="str">
        <f aca="false">IF(COUNTIF('Info Strategia'!$D$2:$D$51,$C22)&gt;0,"SI","NO")</f>
        <v>NO</v>
      </c>
      <c r="F22" s="27" t="n">
        <f aca="false">IFERROR(ROUND(($G22+($H22-$G22)*'Info Strategia'!$B$6)*(1+IF($E22="SI",'Parametri Modello'!$B$7*'Info Strategia'!$B$6,0)),0),"")</f>
        <v>94</v>
      </c>
      <c r="G22" s="27" t="n">
        <f aca="false">IFERROR(ROUND((IF(OR(INDEX('Parametri Modello'!$C$39:$C$42,MATCH($B22,'Parametri Modello'!$A$39:$A$42,0))="",INDEX('Parametri Modello'!$C$39:$C$42,MATCH($B22,'Parametri Modello'!$A$39:$A$42,0))=0),0,($O22/INDEX('Parametri Modello'!$C$39:$C$42,MATCH($B22,'Parametri Modello'!$A$39:$A$42,0)))*(INDEX('Parametri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59</v>
      </c>
      <c r="H22" s="27" t="n">
        <f aca="false">IFERROR(ROUND((IF(OR(INDEX('Parametri Modello'!$C$39:$C$42,MATCH($B22,'Parametri Modello'!$A$39:$A$42,0))="",INDEX('Parametri Modello'!$C$39:$C$42,MATCH($B22,'Parametri Modello'!$A$39:$A$42,0))=0),0,($O22/INDEX('Parametri Modello'!$C$39:$C$42,MATCH($B22,'Parametri Modello'!$A$39:$A$42,0)))*(INDEX('Parametri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109</v>
      </c>
      <c r="I22" s="26" t="n">
        <f aca="false">IFERROR(INDEX('Input Statistiche 2025_26'!$F$3:$F$665,MATCH($A22,'Input Statistiche 2025_26'!$A$3:$A$665,0)),"")</f>
        <v>31</v>
      </c>
      <c r="J22" s="26" t="n">
        <f aca="false">IFERROR(IF($I22="","",MAX(0,38-$I22)),"")</f>
        <v>7</v>
      </c>
      <c r="K22" s="26" t="n">
        <f aca="false">IFERROR(INDEX('Input Statistiche 2025_26'!$I$3:$I$665,MATCH($A22,'Input Statistiche 2025_26'!$A$3:$A$665,0)),"")</f>
        <v>3</v>
      </c>
      <c r="L22" s="26" t="n">
        <f aca="false">IFERROR(INDEX('Input Statistiche 2025_26'!$O$3:$O$665,MATCH($A22,'Input Statistiche 2025_26'!$A$3:$A$665,0)),"")</f>
        <v>5</v>
      </c>
      <c r="M22" s="28"/>
      <c r="N22" s="27" t="n">
        <f aca="false">IFERROR(INDEX('Input Giocatori 2026_27'!$E$3:$E$493,MATCH($A22,'Input Giocatori 2026_27'!$A$3:$A$493,0)),"")</f>
        <v>17</v>
      </c>
      <c r="O22" s="27" t="n">
        <f aca="false">IFERROR(INDEX('Input Giocatori 2026_27'!$G$3:$G$493,MATCH($A22,'Input Giocatori 2026_27'!$A$3:$A$493,0)),"")</f>
        <v>106</v>
      </c>
      <c r="P22" s="26" t="str">
        <f aca="false">IFERROR(IF($O22="","",IF((1-(COUNTIFS($B$2:$B$492,$B22,$O$2:$O$492,"&gt;"&amp;$O22)+1-1)/COUNTIF($B$2:$B$492,$B22))&gt;=0.85,"Top",IF((1-(COUNTIFS($B$2:$B$492,$B22,$O$2:$O$492,"&gt;"&amp;$O22)+1-1)/COUNTIF($B$2:$B$492,$B22))&gt;=0.6,"Buono",IF((1-(COUNTIFS($B$2:$B$492,$B22,$O$2:$O$492,"&gt;"&amp;$O22)+1-1)/COUNTIF($B$2:$B$492,$B22))&gt;=0.3,"Nella Media","Scommessa/Riserva")))),"")</f>
        <v>Buono</v>
      </c>
      <c r="Q22" s="29" t="n">
        <f aca="false">IF($D22="",COUNTIF($D$2:$D22,""),"")</f>
        <v>21</v>
      </c>
      <c r="R22" s="29" t="str">
        <f aca="false">IF($D22='Info Lega'!$B$28,COUNTIFS($D$2:$D22,'Info Lega'!$B$28),"")</f>
        <v/>
      </c>
      <c r="S22" s="30" t="n">
        <f aca="false">IFERROR(INDEX('Input Statistiche 2025_26'!$G$3:$G$665,MATCH($A22,'Input Statistiche 2025_26'!$A$3:$A$665,0)),"")</f>
        <v>6.21</v>
      </c>
      <c r="T22" s="30" t="n">
        <f aca="false">IFERROR(INDEX('Input Statistiche 2025_26'!$H$3:$H$665,MATCH($A22,'Input Statistiche 2025_26'!$A$3:$A$665,0)),"")</f>
        <v>6.6</v>
      </c>
      <c r="U22" s="26" t="str">
        <f aca="false">IF(OR('La Mia Rosa'!$O$12="",$D22&lt;&gt;""),"",IF($F22&lt;='La Mia Rosa'!$O$12*'Parametri Modello'!$B$24,"OK",IF($F22&lt;='La Mia Rosa'!$O$12*'Parametri Modello'!$B$25,"Attenzione","Rischio Alto")))</f>
        <v>Attenzione</v>
      </c>
      <c r="V22" s="26" t="n">
        <f aca="false">IFERROR(COUNTIFS($B$2:$B$492,$B22,$O$2:$O$492,"&gt;"&amp;$O22)+1,"")</f>
        <v>14</v>
      </c>
      <c r="W22" s="21" t="n">
        <f aca="false">'Info Lega'!$B$4-SUMIFS($M$2:$M$492,$D$2:$D$492,'Info Lega'!$B$28)</f>
        <v>1000</v>
      </c>
      <c r="X22" s="21" t="n">
        <f aca="false">('Info Lega'!$B$5-COUNTIFS($D$2:$D$492,'Info Lega'!$B$28,$B$2:$B$492,"P"))+('Info Lega'!$B$6-COUNTIFS($D$2:$D$492,'Info Lega'!$B$28,$B$2:$B$492,"D"))+('Info Lega'!$B$7-COUNTIFS($D$2:$D$492,'Info Lega'!$B$28,$B$2:$B$492,"C"))+('Info Lega'!$B$8-COUNTIFS($D$2:$D$492,'Info Lega'!$B$28,$B$2:$B$492,"A"))</f>
        <v>25</v>
      </c>
      <c r="Y22" s="21" t="n">
        <f aca="false">X22*'Parametri Modello'!$B$30</f>
        <v>25</v>
      </c>
      <c r="Z22" s="21" t="n">
        <f aca="false">MAX(0,W22-Y22)</f>
        <v>975</v>
      </c>
      <c r="AA22" s="21" t="n">
        <f aca="false">MIN(F22,Z22)</f>
        <v>94</v>
      </c>
      <c r="AB22" s="21"/>
      <c r="AC22" s="21" t="str">
        <f aca="false">IF(AB22="","",IF(AB22&gt;AA22,"PASS",IF(AB22&lt;=AA22*0.85,"BID","ATTENZIONE")))</f>
        <v/>
      </c>
      <c r="AD22" s="31" t="n">
        <f aca="false">IF(I22="","",ROUND(100*(1-EXP(-I22/30)),0))</f>
        <v>64</v>
      </c>
      <c r="AE22" s="7" t="str">
        <f aca="false">IFERROR(INDEX('Stato Asta'!$G$9:$G$12,MATCH($B22,'Stato Asta'!$A$9:$A$12,0)),"")</f>
        <v>🔴 Non aspettare</v>
      </c>
    </row>
    <row r="23" customFormat="false" ht="14.25" hidden="false" customHeight="true" outlineLevel="0" collapsed="false">
      <c r="A23" s="21" t="n">
        <v>7126</v>
      </c>
      <c r="B23" s="21" t="s">
        <v>45</v>
      </c>
      <c r="C23" s="21" t="s">
        <v>372</v>
      </c>
      <c r="E23" s="26" t="str">
        <f aca="false">IF(COUNTIF('Info Strategia'!$D$2:$D$51,$C23)&gt;0,"SI","NO")</f>
        <v>NO</v>
      </c>
      <c r="F23" s="27" t="n">
        <f aca="false">IFERROR(ROUND(($G23+($H23-$G23)*'Info Strategia'!$B$6)*(1+IF($E23="SI",'Parametri Modello'!$B$7*'Info Strategia'!$B$6,0)),0),"")</f>
        <v>57</v>
      </c>
      <c r="G23" s="27" t="n">
        <f aca="false">IFERROR(ROUND((IF(OR(INDEX('Parametri Modello'!$C$39:$C$42,MATCH($B23,'Parametri Modello'!$A$39:$A$42,0))="",INDEX('Parametri Modello'!$C$39:$C$42,MATCH($B23,'Parametri Modello'!$A$39:$A$42,0))=0),0,($O23/INDEX('Parametri Modello'!$C$39:$C$42,MATCH($B23,'Parametri Modello'!$A$39:$A$42,0)))*(INDEX('Parametri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39</v>
      </c>
      <c r="H23" s="27" t="n">
        <f aca="false">IFERROR(ROUND((IF(OR(INDEX('Parametri Modello'!$C$39:$C$42,MATCH($B23,'Parametri Modello'!$A$39:$A$42,0))="",INDEX('Parametri Modello'!$C$39:$C$42,MATCH($B23,'Parametri Modello'!$A$39:$A$42,0))=0),0,($O23/INDEX('Parametri Modello'!$C$39:$C$42,MATCH($B23,'Parametri Modello'!$A$39:$A$42,0)))*(INDEX('Parametri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65</v>
      </c>
      <c r="I23" s="26" t="n">
        <f aca="false">IFERROR(INDEX('Input Statistiche 2025_26'!$F$3:$F$665,MATCH($A23,'Input Statistiche 2025_26'!$A$3:$A$665,0)),"")</f>
        <v>25</v>
      </c>
      <c r="J23" s="26" t="n">
        <f aca="false">IFERROR(IF($I23="","",MAX(0,38-$I23)),"")</f>
        <v>13</v>
      </c>
      <c r="K23" s="26" t="n">
        <f aca="false">IFERROR(INDEX('Input Statistiche 2025_26'!$I$3:$I$665,MATCH($A23,'Input Statistiche 2025_26'!$A$3:$A$665,0)),"")</f>
        <v>6</v>
      </c>
      <c r="L23" s="26" t="n">
        <f aca="false">IFERROR(INDEX('Input Statistiche 2025_26'!$O$3:$O$665,MATCH($A23,'Input Statistiche 2025_26'!$A$3:$A$665,0)),"")</f>
        <v>3</v>
      </c>
      <c r="M23" s="28"/>
      <c r="N23" s="27" t="n">
        <f aca="false">IFERROR(INDEX('Input Giocatori 2026_27'!$E$3:$E$493,MATCH($A23,'Input Giocatori 2026_27'!$A$3:$A$493,0)),"")</f>
        <v>19</v>
      </c>
      <c r="O23" s="27" t="n">
        <f aca="false">IFERROR(INDEX('Input Giocatori 2026_27'!$G$3:$G$493,MATCH($A23,'Input Giocatori 2026_27'!$A$3:$A$493,0)),"")</f>
        <v>102</v>
      </c>
      <c r="P23" s="26" t="str">
        <f aca="false">IFERROR(IF($O23="","",IF((1-(COUNTIFS($B$2:$B$492,$B23,$O$2:$O$492,"&gt;"&amp;$O23)+1-1)/COUNTIF($B$2:$B$492,$B23))&gt;=0.85,"Top",IF((1-(COUNTIFS($B$2:$B$492,$B23,$O$2:$O$492,"&gt;"&amp;$O23)+1-1)/COUNTIF($B$2:$B$492,$B23))&gt;=0.6,"Buono",IF((1-(COUNTIFS($B$2:$B$492,$B23,$O$2:$O$492,"&gt;"&amp;$O23)+1-1)/COUNTIF($B$2:$B$492,$B23))&gt;=0.3,"Nella Media","Scommessa/Riserva")))),"")</f>
        <v>Top</v>
      </c>
      <c r="Q23" s="29" t="n">
        <f aca="false">IF($D23="",COUNTIF($D$2:$D23,""),"")</f>
        <v>22</v>
      </c>
      <c r="R23" s="29" t="str">
        <f aca="false">IF($D23='Info Lega'!$B$28,COUNTIFS($D$2:$D23,'Info Lega'!$B$28),"")</f>
        <v/>
      </c>
      <c r="S23" s="30" t="n">
        <f aca="false">IFERROR(INDEX('Input Statistiche 2025_26'!$G$3:$G$665,MATCH($A23,'Input Statistiche 2025_26'!$A$3:$A$665,0)),"")</f>
        <v>6.3</v>
      </c>
      <c r="T23" s="30" t="n">
        <f aca="false">IFERROR(INDEX('Input Statistiche 2025_26'!$H$3:$H$665,MATCH($A23,'Input Statistiche 2025_26'!$A$3:$A$665,0)),"")</f>
        <v>7.14</v>
      </c>
      <c r="U23" s="26" t="str">
        <f aca="false">IF(OR('La Mia Rosa'!$O$12="",$D23&lt;&gt;""),"",IF($F23&lt;='La Mia Rosa'!$O$12*'Parametri Modello'!$B$24,"OK",IF($F23&lt;='La Mia Rosa'!$O$12*'Parametri Modello'!$B$25,"Attenzione","Rischio Alto")))</f>
        <v>OK</v>
      </c>
      <c r="V23" s="26" t="n">
        <f aca="false">IFERROR(COUNTIFS($B$2:$B$492,$B23,$O$2:$O$492,"&gt;"&amp;$O23)+1,"")</f>
        <v>7</v>
      </c>
      <c r="W23" s="21" t="n">
        <f aca="false">'Info Lega'!$B$4-SUMIFS($M$2:$M$492,$D$2:$D$492,'Info Lega'!$B$28)</f>
        <v>1000</v>
      </c>
      <c r="X23" s="21" t="n">
        <f aca="false">('Info Lega'!$B$5-COUNTIFS($D$2:$D$492,'Info Lega'!$B$28,$B$2:$B$492,"P"))+('Info Lega'!$B$6-COUNTIFS($D$2:$D$492,'Info Lega'!$B$28,$B$2:$B$492,"D"))+('Info Lega'!$B$7-COUNTIFS($D$2:$D$492,'Info Lega'!$B$28,$B$2:$B$492,"C"))+('Info Lega'!$B$8-COUNTIFS($D$2:$D$492,'Info Lega'!$B$28,$B$2:$B$492,"A"))</f>
        <v>25</v>
      </c>
      <c r="Y23" s="21" t="n">
        <f aca="false">X23*'Parametri Modello'!$B$30</f>
        <v>25</v>
      </c>
      <c r="Z23" s="21" t="n">
        <f aca="false">MAX(0,W23-Y23)</f>
        <v>975</v>
      </c>
      <c r="AA23" s="21" t="n">
        <f aca="false">MIN(F23,Z23)</f>
        <v>57</v>
      </c>
      <c r="AB23" s="21"/>
      <c r="AC23" s="21" t="str">
        <f aca="false">IF(AB23="","",IF(AB23&gt;AA23,"PASS",IF(AB23&lt;=AA23*0.85,"BID","ATTENZIONE")))</f>
        <v/>
      </c>
      <c r="AD23" s="31" t="n">
        <f aca="false">IF(I23="","",ROUND(100*(1-EXP(-I23/30)),0))</f>
        <v>57</v>
      </c>
      <c r="AE23" s="7" t="str">
        <f aca="false">IFERROR(INDEX('Stato Asta'!$G$9:$G$12,MATCH($B23,'Stato Asta'!$A$9:$A$12,0)),"")</f>
        <v>🟡 Attesa rischiosa</v>
      </c>
    </row>
    <row r="24" customFormat="false" ht="14.25" hidden="false" customHeight="true" outlineLevel="0" collapsed="false">
      <c r="A24" s="21" t="n">
        <v>2517</v>
      </c>
      <c r="B24" s="21" t="s">
        <v>45</v>
      </c>
      <c r="C24" s="21" t="s">
        <v>379</v>
      </c>
      <c r="E24" s="26" t="str">
        <f aca="false">IF(COUNTIF('Info Strategia'!$D$2:$D$51,$C24)&gt;0,"SI","NO")</f>
        <v>NO</v>
      </c>
      <c r="F24" s="27" t="n">
        <f aca="false">IFERROR(ROUND(($G24+($H24-$G24)*'Info Strategia'!$B$6)*(1+IF($E24="SI",'Parametri Modello'!$B$7*'Info Strategia'!$B$6,0)),0),"")</f>
        <v>57</v>
      </c>
      <c r="G24" s="27" t="n">
        <f aca="false">IFERROR(ROUND((IF(OR(INDEX('Parametri Modello'!$C$39:$C$42,MATCH($B24,'Parametri Modello'!$A$39:$A$42,0))="",INDEX('Parametri Modello'!$C$39:$C$42,MATCH($B24,'Parametri Modello'!$A$39:$A$42,0))=0),0,($O24/INDEX('Parametri Modello'!$C$39:$C$42,MATCH($B24,'Parametri Modello'!$A$39:$A$42,0)))*(INDEX('Parametri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39</v>
      </c>
      <c r="H24" s="27" t="n">
        <f aca="false">IFERROR(ROUND((IF(OR(INDEX('Parametri Modello'!$C$39:$C$42,MATCH($B24,'Parametri Modello'!$A$39:$A$42,0))="",INDEX('Parametri Modello'!$C$39:$C$42,MATCH($B24,'Parametri Modello'!$A$39:$A$42,0))=0),0,($O24/INDEX('Parametri Modello'!$C$39:$C$42,MATCH($B24,'Parametri Modello'!$A$39:$A$42,0)))*(INDEX('Parametri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64</v>
      </c>
      <c r="I24" s="26" t="n">
        <f aca="false">IFERROR(INDEX('Input Statistiche 2025_26'!$F$3:$F$665,MATCH($A24,'Input Statistiche 2025_26'!$A$3:$A$665,0)),"")</f>
        <v>17</v>
      </c>
      <c r="J24" s="26" t="n">
        <f aca="false">IFERROR(IF($I24="","",MAX(0,38-$I24)),"")</f>
        <v>21</v>
      </c>
      <c r="K24" s="26" t="n">
        <f aca="false">IFERROR(INDEX('Input Statistiche 2025_26'!$I$3:$I$665,MATCH($A24,'Input Statistiche 2025_26'!$A$3:$A$665,0)),"")</f>
        <v>5</v>
      </c>
      <c r="L24" s="26" t="n">
        <f aca="false">IFERROR(INDEX('Input Statistiche 2025_26'!$O$3:$O$665,MATCH($A24,'Input Statistiche 2025_26'!$A$3:$A$665,0)),"")</f>
        <v>2</v>
      </c>
      <c r="M24" s="28"/>
      <c r="N24" s="27" t="n">
        <f aca="false">IFERROR(INDEX('Input Giocatori 2026_27'!$E$3:$E$493,MATCH($A24,'Input Giocatori 2026_27'!$A$3:$A$493,0)),"")</f>
        <v>15</v>
      </c>
      <c r="O24" s="27" t="n">
        <f aca="false">IFERROR(INDEX('Input Giocatori 2026_27'!$G$3:$G$493,MATCH($A24,'Input Giocatori 2026_27'!$A$3:$A$493,0)),"")</f>
        <v>100</v>
      </c>
      <c r="P24" s="26" t="str">
        <f aca="false">IFERROR(IF($O24="","",IF((1-(COUNTIFS($B$2:$B$492,$B24,$O$2:$O$492,"&gt;"&amp;$O24)+1-1)/COUNTIF($B$2:$B$492,$B24))&gt;=0.85,"Top",IF((1-(COUNTIFS($B$2:$B$492,$B24,$O$2:$O$492,"&gt;"&amp;$O24)+1-1)/COUNTIF($B$2:$B$492,$B24))&gt;=0.6,"Buono",IF((1-(COUNTIFS($B$2:$B$492,$B24,$O$2:$O$492,"&gt;"&amp;$O24)+1-1)/COUNTIF($B$2:$B$492,$B24))&gt;=0.3,"Nella Media","Scommessa/Riserva")))),"")</f>
        <v>Top</v>
      </c>
      <c r="Q24" s="29" t="n">
        <f aca="false">IF($D24="",COUNTIF($D$2:$D24,""),"")</f>
        <v>23</v>
      </c>
      <c r="R24" s="29" t="str">
        <f aca="false">IF($D24='Info Lega'!$B$28,COUNTIFS($D$2:$D24,'Info Lega'!$B$28),"")</f>
        <v/>
      </c>
      <c r="S24" s="30" t="n">
        <f aca="false">IFERROR(INDEX('Input Statistiche 2025_26'!$G$3:$G$665,MATCH($A24,'Input Statistiche 2025_26'!$A$3:$A$665,0)),"")</f>
        <v>6.26</v>
      </c>
      <c r="T24" s="30" t="n">
        <f aca="false">IFERROR(INDEX('Input Statistiche 2025_26'!$H$3:$H$665,MATCH($A24,'Input Statistiche 2025_26'!$A$3:$A$665,0)),"")</f>
        <v>7.24</v>
      </c>
      <c r="U24" s="26" t="str">
        <f aca="false">IF(OR('La Mia Rosa'!$O$12="",$D24&lt;&gt;""),"",IF($F24&lt;='La Mia Rosa'!$O$12*'Parametri Modello'!$B$24,"OK",IF($F24&lt;='La Mia Rosa'!$O$12*'Parametri Modello'!$B$25,"Attenzione","Rischio Alto")))</f>
        <v>OK</v>
      </c>
      <c r="V24" s="26" t="n">
        <f aca="false">IFERROR(COUNTIFS($B$2:$B$492,$B24,$O$2:$O$492,"&gt;"&amp;$O24)+1,"")</f>
        <v>8</v>
      </c>
      <c r="W24" s="21" t="n">
        <f aca="false">'Info Lega'!$B$4-SUMIFS($M$2:$M$492,$D$2:$D$492,'Info Lega'!$B$28)</f>
        <v>1000</v>
      </c>
      <c r="X24" s="21" t="n">
        <f aca="false">('Info Lega'!$B$5-COUNTIFS($D$2:$D$492,'Info Lega'!$B$28,$B$2:$B$492,"P"))+('Info Lega'!$B$6-COUNTIFS($D$2:$D$492,'Info Lega'!$B$28,$B$2:$B$492,"D"))+('Info Lega'!$B$7-COUNTIFS($D$2:$D$492,'Info Lega'!$B$28,$B$2:$B$492,"C"))+('Info Lega'!$B$8-COUNTIFS($D$2:$D$492,'Info Lega'!$B$28,$B$2:$B$492,"A"))</f>
        <v>25</v>
      </c>
      <c r="Y24" s="21" t="n">
        <f aca="false">X24*'Parametri Modello'!$B$30</f>
        <v>25</v>
      </c>
      <c r="Z24" s="21" t="n">
        <f aca="false">MAX(0,W24-Y24)</f>
        <v>975</v>
      </c>
      <c r="AA24" s="21" t="n">
        <f aca="false">MIN(F24,Z24)</f>
        <v>57</v>
      </c>
      <c r="AB24" s="21"/>
      <c r="AC24" s="21" t="str">
        <f aca="false">IF(AB24="","",IF(AB24&gt;AA24,"PASS",IF(AB24&lt;=AA24*0.85,"BID","ATTENZIONE")))</f>
        <v/>
      </c>
      <c r="AD24" s="31" t="n">
        <f aca="false">IF(I24="","",ROUND(100*(1-EXP(-I24/30)),0))</f>
        <v>43</v>
      </c>
      <c r="AE24" s="7" t="str">
        <f aca="false">IFERROR(INDEX('Stato Asta'!$G$9:$G$12,MATCH($B24,'Stato Asta'!$A$9:$A$12,0)),"")</f>
        <v>🟡 Attesa rischiosa</v>
      </c>
    </row>
    <row r="25" customFormat="false" ht="14.25" hidden="false" customHeight="true" outlineLevel="0" collapsed="false">
      <c r="A25" s="21" t="n">
        <v>6435</v>
      </c>
      <c r="B25" s="21" t="s">
        <v>46</v>
      </c>
      <c r="C25" s="21" t="s">
        <v>549</v>
      </c>
      <c r="E25" s="26" t="str">
        <f aca="false">IF(COUNTIF('Info Strategia'!$D$2:$D$51,$C25)&gt;0,"SI","NO")</f>
        <v>NO</v>
      </c>
      <c r="F25" s="27" t="n">
        <f aca="false">IFERROR(ROUND(($G25+($H25-$G25)*'Info Strategia'!$B$6)*(1+IF($E25="SI",'Parametri Modello'!$B$7*'Info Strategia'!$B$6,0)),0),"")</f>
        <v>90</v>
      </c>
      <c r="G25" s="27" t="n">
        <f aca="false">IFERROR(ROUND((IF(OR(INDEX('Parametri Modello'!$C$39:$C$42,MATCH($B25,'Parametri Modello'!$A$39:$A$42,0))="",INDEX('Parametri Modello'!$C$39:$C$42,MATCH($B25,'Parametri Modello'!$A$39:$A$42,0))=0),0,($O25/INDEX('Parametri Modello'!$C$39:$C$42,MATCH($B25,'Parametri Modello'!$A$39:$A$42,0)))*(INDEX('Parametri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56</v>
      </c>
      <c r="H25" s="27" t="n">
        <f aca="false">IFERROR(ROUND((IF(OR(INDEX('Parametri Modello'!$C$39:$C$42,MATCH($B25,'Parametri Modello'!$A$39:$A$42,0))="",INDEX('Parametri Modello'!$C$39:$C$42,MATCH($B25,'Parametri Modello'!$A$39:$A$42,0))=0),0,($O25/INDEX('Parametri Modello'!$C$39:$C$42,MATCH($B25,'Parametri Modello'!$A$39:$A$42,0)))*(INDEX('Parametri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105</v>
      </c>
      <c r="I25" s="26" t="n">
        <f aca="false">IFERROR(INDEX('Input Statistiche 2025_26'!$F$3:$F$665,MATCH($A25,'Input Statistiche 2025_26'!$A$3:$A$665,0)),"")</f>
        <v>32</v>
      </c>
      <c r="J25" s="26" t="n">
        <f aca="false">IFERROR(IF($I25="","",MAX(0,38-$I25)),"")</f>
        <v>6</v>
      </c>
      <c r="K25" s="26" t="n">
        <f aca="false">IFERROR(INDEX('Input Statistiche 2025_26'!$I$3:$I$665,MATCH($A25,'Input Statistiche 2025_26'!$A$3:$A$665,0)),"")</f>
        <v>10</v>
      </c>
      <c r="L25" s="26" t="n">
        <f aca="false">IFERROR(INDEX('Input Statistiche 2025_26'!$O$3:$O$665,MATCH($A25,'Input Statistiche 2025_26'!$A$3:$A$665,0)),"")</f>
        <v>5</v>
      </c>
      <c r="M25" s="28"/>
      <c r="N25" s="27" t="n">
        <f aca="false">IFERROR(INDEX('Input Giocatori 2026_27'!$E$3:$E$493,MATCH($A25,'Input Giocatori 2026_27'!$A$3:$A$493,0)),"")</f>
        <v>18</v>
      </c>
      <c r="O25" s="27" t="n">
        <f aca="false">IFERROR(INDEX('Input Giocatori 2026_27'!$G$3:$G$493,MATCH($A25,'Input Giocatori 2026_27'!$A$3:$A$493,0)),"")</f>
        <v>100</v>
      </c>
      <c r="P25" s="26" t="str">
        <f aca="false">IFERROR(IF($O25="","",IF((1-(COUNTIFS($B$2:$B$492,$B25,$O$2:$O$492,"&gt;"&amp;$O25)+1-1)/COUNTIF($B$2:$B$492,$B25))&gt;=0.85,"Top",IF((1-(COUNTIFS($B$2:$B$492,$B25,$O$2:$O$492,"&gt;"&amp;$O25)+1-1)/COUNTIF($B$2:$B$492,$B25))&gt;=0.6,"Buono",IF((1-(COUNTIFS($B$2:$B$492,$B25,$O$2:$O$492,"&gt;"&amp;$O25)+1-1)/COUNTIF($B$2:$B$492,$B25))&gt;=0.3,"Nella Media","Scommessa/Riserva")))),"")</f>
        <v>Buono</v>
      </c>
      <c r="Q25" s="29" t="n">
        <f aca="false">IF($D25="",COUNTIF($D$2:$D25,""),"")</f>
        <v>24</v>
      </c>
      <c r="R25" s="29" t="str">
        <f aca="false">IF($D25='Info Lega'!$B$28,COUNTIFS($D$2:$D25,'Info Lega'!$B$28),"")</f>
        <v/>
      </c>
      <c r="S25" s="30" t="n">
        <f aca="false">IFERROR(INDEX('Input Statistiche 2025_26'!$G$3:$G$665,MATCH($A25,'Input Statistiche 2025_26'!$A$3:$A$665,0)),"")</f>
        <v>6.16</v>
      </c>
      <c r="T25" s="30" t="n">
        <f aca="false">IFERROR(INDEX('Input Statistiche 2025_26'!$H$3:$H$665,MATCH($A25,'Input Statistiche 2025_26'!$A$3:$A$665,0)),"")</f>
        <v>7.19</v>
      </c>
      <c r="U25" s="26" t="str">
        <f aca="false">IF(OR('La Mia Rosa'!$O$12="",$D25&lt;&gt;""),"",IF($F25&lt;='La Mia Rosa'!$O$12*'Parametri Modello'!$B$24,"OK",IF($F25&lt;='La Mia Rosa'!$O$12*'Parametri Modello'!$B$25,"Attenzione","Rischio Alto")))</f>
        <v>Attenzione</v>
      </c>
      <c r="V25" s="26" t="n">
        <f aca="false">IFERROR(COUNTIFS($B$2:$B$492,$B25,$O$2:$O$492,"&gt;"&amp;$O25)+1,"")</f>
        <v>15</v>
      </c>
      <c r="W25" s="21" t="n">
        <f aca="false">'Info Lega'!$B$4-SUMIFS($M$2:$M$492,$D$2:$D$492,'Info Lega'!$B$28)</f>
        <v>1000</v>
      </c>
      <c r="X25" s="21" t="n">
        <f aca="false">('Info Lega'!$B$5-COUNTIFS($D$2:$D$492,'Info Lega'!$B$28,$B$2:$B$492,"P"))+('Info Lega'!$B$6-COUNTIFS($D$2:$D$492,'Info Lega'!$B$28,$B$2:$B$492,"D"))+('Info Lega'!$B$7-COUNTIFS($D$2:$D$492,'Info Lega'!$B$28,$B$2:$B$492,"C"))+('Info Lega'!$B$8-COUNTIFS($D$2:$D$492,'Info Lega'!$B$28,$B$2:$B$492,"A"))</f>
        <v>25</v>
      </c>
      <c r="Y25" s="21" t="n">
        <f aca="false">X25*'Parametri Modello'!$B$30</f>
        <v>25</v>
      </c>
      <c r="Z25" s="21" t="n">
        <f aca="false">MAX(0,W25-Y25)</f>
        <v>975</v>
      </c>
      <c r="AA25" s="21" t="n">
        <f aca="false">MIN(F25,Z25)</f>
        <v>90</v>
      </c>
      <c r="AB25" s="21"/>
      <c r="AC25" s="21" t="str">
        <f aca="false">IF(AB25="","",IF(AB25&gt;AA25,"PASS",IF(AB25&lt;=AA25*0.85,"BID","ATTENZIONE")))</f>
        <v/>
      </c>
      <c r="AD25" s="31" t="n">
        <f aca="false">IF(I25="","",ROUND(100*(1-EXP(-I25/30)),0))</f>
        <v>66</v>
      </c>
      <c r="AE25" s="7" t="str">
        <f aca="false">IFERROR(INDEX('Stato Asta'!$G$9:$G$12,MATCH($B25,'Stato Asta'!$A$9:$A$12,0)),"")</f>
        <v>🔴 Non aspettare</v>
      </c>
    </row>
    <row r="26" customFormat="false" ht="14.25" hidden="false" customHeight="true" outlineLevel="0" collapsed="false">
      <c r="A26" s="21" t="n">
        <v>7071</v>
      </c>
      <c r="B26" s="21" t="s">
        <v>46</v>
      </c>
      <c r="C26" s="21" t="s">
        <v>554</v>
      </c>
      <c r="E26" s="26" t="str">
        <f aca="false">IF(COUNTIF('Info Strategia'!$D$2:$D$51,$C26)&gt;0,"SI","NO")</f>
        <v>NO</v>
      </c>
      <c r="F26" s="27" t="n">
        <f aca="false">IFERROR(ROUND(($G26+($H26-$G26)*'Info Strategia'!$B$6)*(1+IF($E26="SI",'Parametri Modello'!$B$7*'Info Strategia'!$B$6,0)),0),"")</f>
        <v>84</v>
      </c>
      <c r="G26" s="27" t="n">
        <f aca="false">IFERROR(ROUND((IF(OR(INDEX('Parametri Modello'!$C$39:$C$42,MATCH($B26,'Parametri Modello'!$A$39:$A$42,0))="",INDEX('Parametri Modello'!$C$39:$C$42,MATCH($B26,'Parametri Modello'!$A$39:$A$42,0))=0),0,($O26/INDEX('Parametri Modello'!$C$39:$C$42,MATCH($B26,'Parametri Modello'!$A$39:$A$42,0)))*(INDEX('Parametri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52</v>
      </c>
      <c r="H26" s="27" t="n">
        <f aca="false">IFERROR(ROUND((IF(OR(INDEX('Parametri Modello'!$C$39:$C$42,MATCH($B26,'Parametri Modello'!$A$39:$A$42,0))="",INDEX('Parametri Modello'!$C$39:$C$42,MATCH($B26,'Parametri Modello'!$A$39:$A$42,0))=0),0,($O26/INDEX('Parametri Modello'!$C$39:$C$42,MATCH($B26,'Parametri Modello'!$A$39:$A$42,0)))*(INDEX('Parametri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97</v>
      </c>
      <c r="I26" s="26" t="n">
        <f aca="false">IFERROR(INDEX('Input Statistiche 2025_26'!$F$3:$F$665,MATCH($A26,'Input Statistiche 2025_26'!$A$3:$A$665,0)),"")</f>
        <v>31</v>
      </c>
      <c r="J26" s="26" t="n">
        <f aca="false">IFERROR(IF($I26="","",MAX(0,38-$I26)),"")</f>
        <v>7</v>
      </c>
      <c r="K26" s="26" t="n">
        <f aca="false">IFERROR(INDEX('Input Statistiche 2025_26'!$I$3:$I$665,MATCH($A26,'Input Statistiche 2025_26'!$A$3:$A$665,0)),"")</f>
        <v>7</v>
      </c>
      <c r="L26" s="26" t="n">
        <f aca="false">IFERROR(INDEX('Input Statistiche 2025_26'!$O$3:$O$665,MATCH($A26,'Input Statistiche 2025_26'!$A$3:$A$665,0)),"")</f>
        <v>3</v>
      </c>
      <c r="M26" s="28"/>
      <c r="N26" s="27" t="n">
        <f aca="false">IFERROR(INDEX('Input Giocatori 2026_27'!$E$3:$E$493,MATCH($A26,'Input Giocatori 2026_27'!$A$3:$A$493,0)),"")</f>
        <v>16</v>
      </c>
      <c r="O26" s="27" t="n">
        <f aca="false">IFERROR(INDEX('Input Giocatori 2026_27'!$G$3:$G$493,MATCH($A26,'Input Giocatori 2026_27'!$A$3:$A$493,0)),"")</f>
        <v>93</v>
      </c>
      <c r="P26" s="26" t="str">
        <f aca="false">IFERROR(IF($O26="","",IF((1-(COUNTIFS($B$2:$B$492,$B26,$O$2:$O$492,"&gt;"&amp;$O26)+1-1)/COUNTIF($B$2:$B$492,$B26))&gt;=0.85,"Top",IF((1-(COUNTIFS($B$2:$B$492,$B26,$O$2:$O$492,"&gt;"&amp;$O26)+1-1)/COUNTIF($B$2:$B$492,$B26))&gt;=0.6,"Buono",IF((1-(COUNTIFS($B$2:$B$492,$B26,$O$2:$O$492,"&gt;"&amp;$O26)+1-1)/COUNTIF($B$2:$B$492,$B26))&gt;=0.3,"Nella Media","Scommessa/Riserva")))),"")</f>
        <v>Buono</v>
      </c>
      <c r="Q26" s="29" t="n">
        <f aca="false">IF($D26="",COUNTIF($D$2:$D26,""),"")</f>
        <v>25</v>
      </c>
      <c r="R26" s="29" t="str">
        <f aca="false">IF($D26='Info Lega'!$B$28,COUNTIFS($D$2:$D26,'Info Lega'!$B$28),"")</f>
        <v/>
      </c>
      <c r="S26" s="30" t="n">
        <f aca="false">IFERROR(INDEX('Input Statistiche 2025_26'!$G$3:$G$665,MATCH($A26,'Input Statistiche 2025_26'!$A$3:$A$665,0)),"")</f>
        <v>6.26</v>
      </c>
      <c r="T26" s="30" t="n">
        <f aca="false">IFERROR(INDEX('Input Statistiche 2025_26'!$H$3:$H$665,MATCH($A26,'Input Statistiche 2025_26'!$A$3:$A$665,0)),"")</f>
        <v>7.02</v>
      </c>
      <c r="U26" s="26" t="str">
        <f aca="false">IF(OR('La Mia Rosa'!$O$12="",$D26&lt;&gt;""),"",IF($F26&lt;='La Mia Rosa'!$O$12*'Parametri Modello'!$B$24,"OK",IF($F26&lt;='La Mia Rosa'!$O$12*'Parametri Modello'!$B$25,"Attenzione","Rischio Alto")))</f>
        <v>Attenzione</v>
      </c>
      <c r="V26" s="26" t="n">
        <f aca="false">IFERROR(COUNTIFS($B$2:$B$492,$B26,$O$2:$O$492,"&gt;"&amp;$O26)+1,"")</f>
        <v>16</v>
      </c>
      <c r="W26" s="21" t="n">
        <f aca="false">'Info Lega'!$B$4-SUMIFS($M$2:$M$492,$D$2:$D$492,'Info Lega'!$B$28)</f>
        <v>1000</v>
      </c>
      <c r="X26" s="21" t="n">
        <f aca="false">('Info Lega'!$B$5-COUNTIFS($D$2:$D$492,'Info Lega'!$B$28,$B$2:$B$492,"P"))+('Info Lega'!$B$6-COUNTIFS($D$2:$D$492,'Info Lega'!$B$28,$B$2:$B$492,"D"))+('Info Lega'!$B$7-COUNTIFS($D$2:$D$492,'Info Lega'!$B$28,$B$2:$B$492,"C"))+('Info Lega'!$B$8-COUNTIFS($D$2:$D$492,'Info Lega'!$B$28,$B$2:$B$492,"A"))</f>
        <v>25</v>
      </c>
      <c r="Y26" s="21" t="n">
        <f aca="false">X26*'Parametri Modello'!$B$30</f>
        <v>25</v>
      </c>
      <c r="Z26" s="21" t="n">
        <f aca="false">MAX(0,W26-Y26)</f>
        <v>975</v>
      </c>
      <c r="AA26" s="21" t="n">
        <f aca="false">MIN(F26,Z26)</f>
        <v>84</v>
      </c>
      <c r="AB26" s="21"/>
      <c r="AC26" s="21" t="str">
        <f aca="false">IF(AB26="","",IF(AB26&gt;AA26,"PASS",IF(AB26&lt;=AA26*0.85,"BID","ATTENZIONE")))</f>
        <v/>
      </c>
      <c r="AD26" s="31" t="n">
        <f aca="false">IF(I26="","",ROUND(100*(1-EXP(-I26/30)),0))</f>
        <v>64</v>
      </c>
      <c r="AE26" s="7" t="str">
        <f aca="false">IFERROR(INDEX('Stato Asta'!$G$9:$G$12,MATCH($B26,'Stato Asta'!$A$9:$A$12,0)),"")</f>
        <v>🔴 Non aspettare</v>
      </c>
    </row>
    <row r="27" customFormat="false" ht="14.25" hidden="false" customHeight="true" outlineLevel="0" collapsed="false">
      <c r="A27" s="21" t="n">
        <v>632</v>
      </c>
      <c r="B27" s="21" t="s">
        <v>45</v>
      </c>
      <c r="C27" s="21" t="s">
        <v>378</v>
      </c>
      <c r="E27" s="26" t="str">
        <f aca="false">IF(COUNTIF('Info Strategia'!$D$2:$D$51,$C27)&gt;0,"SI","NO")</f>
        <v>NO</v>
      </c>
      <c r="F27" s="27" t="n">
        <f aca="false">IFERROR(ROUND(($G27+($H27-$G27)*'Info Strategia'!$B$6)*(1+IF($E27="SI",'Parametri Modello'!$B$7*'Info Strategia'!$B$6,0)),0),"")</f>
        <v>49</v>
      </c>
      <c r="G27" s="27" t="n">
        <f aca="false">IFERROR(ROUND((IF(OR(INDEX('Parametri Modello'!$C$39:$C$42,MATCH($B27,'Parametri Modello'!$A$39:$A$42,0))="",INDEX('Parametri Modello'!$C$39:$C$42,MATCH($B27,'Parametri Modello'!$A$39:$A$42,0))=0),0,($O27/INDEX('Parametri Modello'!$C$39:$C$42,MATCH($B27,'Parametri Modello'!$A$39:$A$42,0)))*(INDEX('Parametri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34</v>
      </c>
      <c r="H27" s="27" t="n">
        <f aca="false">IFERROR(ROUND((IF(OR(INDEX('Parametri Modello'!$C$39:$C$42,MATCH($B27,'Parametri Modello'!$A$39:$A$42,0))="",INDEX('Parametri Modello'!$C$39:$C$42,MATCH($B27,'Parametri Modello'!$A$39:$A$42,0))=0),0,($O27/INDEX('Parametri Modello'!$C$39:$C$42,MATCH($B27,'Parametri Modello'!$A$39:$A$42,0)))*(INDEX('Parametri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56</v>
      </c>
      <c r="I27" s="26" t="n">
        <f aca="false">IFERROR(INDEX('Input Statistiche 2025_26'!$F$3:$F$665,MATCH($A27,'Input Statistiche 2025_26'!$A$3:$A$665,0)),"")</f>
        <v>26</v>
      </c>
      <c r="J27" s="26" t="n">
        <f aca="false">IFERROR(IF($I27="","",MAX(0,38-$I27)),"")</f>
        <v>12</v>
      </c>
      <c r="K27" s="26" t="n">
        <f aca="false">IFERROR(INDEX('Input Statistiche 2025_26'!$I$3:$I$665,MATCH($A27,'Input Statistiche 2025_26'!$A$3:$A$665,0)),"")</f>
        <v>3</v>
      </c>
      <c r="L27" s="26" t="n">
        <f aca="false">IFERROR(INDEX('Input Statistiche 2025_26'!$O$3:$O$665,MATCH($A27,'Input Statistiche 2025_26'!$A$3:$A$665,0)),"")</f>
        <v>0</v>
      </c>
      <c r="M27" s="28"/>
      <c r="N27" s="27" t="n">
        <f aca="false">IFERROR(INDEX('Input Giocatori 2026_27'!$E$3:$E$493,MATCH($A27,'Input Giocatori 2026_27'!$A$3:$A$493,0)),"")</f>
        <v>16</v>
      </c>
      <c r="O27" s="27" t="n">
        <f aca="false">IFERROR(INDEX('Input Giocatori 2026_27'!$G$3:$G$493,MATCH($A27,'Input Giocatori 2026_27'!$A$3:$A$493,0)),"")</f>
        <v>91</v>
      </c>
      <c r="P27" s="26" t="str">
        <f aca="false">IFERROR(IF($O27="","",IF((1-(COUNTIFS($B$2:$B$492,$B27,$O$2:$O$492,"&gt;"&amp;$O27)+1-1)/COUNTIF($B$2:$B$492,$B27))&gt;=0.85,"Top",IF((1-(COUNTIFS($B$2:$B$492,$B27,$O$2:$O$492,"&gt;"&amp;$O27)+1-1)/COUNTIF($B$2:$B$492,$B27))&gt;=0.6,"Buono",IF((1-(COUNTIFS($B$2:$B$492,$B27,$O$2:$O$492,"&gt;"&amp;$O27)+1-1)/COUNTIF($B$2:$B$492,$B27))&gt;=0.3,"Nella Media","Scommessa/Riserva")))),"")</f>
        <v>Top</v>
      </c>
      <c r="Q27" s="29" t="n">
        <f aca="false">IF($D27="",COUNTIF($D$2:$D27,""),"")</f>
        <v>26</v>
      </c>
      <c r="R27" s="29" t="str">
        <f aca="false">IF($D27='Info Lega'!$B$28,COUNTIFS($D$2:$D27,'Info Lega'!$B$28),"")</f>
        <v/>
      </c>
      <c r="S27" s="30" t="n">
        <f aca="false">IFERROR(INDEX('Input Statistiche 2025_26'!$G$3:$G$665,MATCH($A27,'Input Statistiche 2025_26'!$A$3:$A$665,0)),"")</f>
        <v>5.88</v>
      </c>
      <c r="T27" s="30" t="n">
        <f aca="false">IFERROR(INDEX('Input Statistiche 2025_26'!$H$3:$H$665,MATCH($A27,'Input Statistiche 2025_26'!$A$3:$A$665,0)),"")</f>
        <v>5.96</v>
      </c>
      <c r="U27" s="26" t="str">
        <f aca="false">IF(OR('La Mia Rosa'!$O$12="",$D27&lt;&gt;""),"",IF($F27&lt;='La Mia Rosa'!$O$12*'Parametri Modello'!$B$24,"OK",IF($F27&lt;='La Mia Rosa'!$O$12*'Parametri Modello'!$B$25,"Attenzione","Rischio Alto")))</f>
        <v>OK</v>
      </c>
      <c r="V27" s="26" t="n">
        <f aca="false">IFERROR(COUNTIFS($B$2:$B$492,$B27,$O$2:$O$492,"&gt;"&amp;$O27)+1,"")</f>
        <v>9</v>
      </c>
      <c r="W27" s="21" t="n">
        <f aca="false">'Info Lega'!$B$4-SUMIFS($M$2:$M$492,$D$2:$D$492,'Info Lega'!$B$28)</f>
        <v>1000</v>
      </c>
      <c r="X27" s="21" t="n">
        <f aca="false">('Info Lega'!$B$5-COUNTIFS($D$2:$D$492,'Info Lega'!$B$28,$B$2:$B$492,"P"))+('Info Lega'!$B$6-COUNTIFS($D$2:$D$492,'Info Lega'!$B$28,$B$2:$B$492,"D"))+('Info Lega'!$B$7-COUNTIFS($D$2:$D$492,'Info Lega'!$B$28,$B$2:$B$492,"C"))+('Info Lega'!$B$8-COUNTIFS($D$2:$D$492,'Info Lega'!$B$28,$B$2:$B$492,"A"))</f>
        <v>25</v>
      </c>
      <c r="Y27" s="21" t="n">
        <f aca="false">X27*'Parametri Modello'!$B$30</f>
        <v>25</v>
      </c>
      <c r="Z27" s="21" t="n">
        <f aca="false">MAX(0,W27-Y27)</f>
        <v>975</v>
      </c>
      <c r="AA27" s="21" t="n">
        <f aca="false">MIN(F27,Z27)</f>
        <v>49</v>
      </c>
      <c r="AB27" s="21"/>
      <c r="AC27" s="21" t="str">
        <f aca="false">IF(AB27="","",IF(AB27&gt;AA27,"PASS",IF(AB27&lt;=AA27*0.85,"BID","ATTENZIONE")))</f>
        <v/>
      </c>
      <c r="AD27" s="31" t="n">
        <f aca="false">IF(I27="","",ROUND(100*(1-EXP(-I27/30)),0))</f>
        <v>58</v>
      </c>
      <c r="AE27" s="7" t="str">
        <f aca="false">IFERROR(INDEX('Stato Asta'!$G$9:$G$12,MATCH($B27,'Stato Asta'!$A$9:$A$12,0)),"")</f>
        <v>🟡 Attesa rischiosa</v>
      </c>
    </row>
    <row r="28" customFormat="false" ht="14.25" hidden="false" customHeight="true" outlineLevel="0" collapsed="false">
      <c r="A28" s="21" t="n">
        <v>7181</v>
      </c>
      <c r="B28" s="21" t="s">
        <v>44</v>
      </c>
      <c r="C28" s="21" t="s">
        <v>192</v>
      </c>
      <c r="E28" s="26" t="str">
        <f aca="false">IF(COUNTIF('Info Strategia'!$D$2:$D$51,$C28)&gt;0,"SI","NO")</f>
        <v>NO</v>
      </c>
      <c r="F28" s="27" t="n">
        <f aca="false">IFERROR(ROUND(($G28+($H28-$G28)*'Info Strategia'!$B$6)*(1+IF($E28="SI",'Parametri Modello'!$B$7*'Info Strategia'!$B$6,0)),0),"")</f>
        <v>44</v>
      </c>
      <c r="G28" s="27" t="n">
        <f aca="false">IFERROR(ROUND((IF(OR(INDEX('Parametri Modello'!$C$39:$C$42,MATCH($B28,'Parametri Modello'!$A$39:$A$42,0))="",INDEX('Parametri Modello'!$C$39:$C$42,MATCH($B28,'Parametri Modello'!$A$39:$A$42,0))=0),0,($O28/INDEX('Parametri Modello'!$C$39:$C$42,MATCH($B28,'Parametri Modello'!$A$39:$A$42,0)))*(INDEX('Parametri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32</v>
      </c>
      <c r="H28" s="27" t="n">
        <f aca="false">IFERROR(ROUND((IF(OR(INDEX('Parametri Modello'!$C$39:$C$42,MATCH($B28,'Parametri Modello'!$A$39:$A$42,0))="",INDEX('Parametri Modello'!$C$39:$C$42,MATCH($B28,'Parametri Modello'!$A$39:$A$42,0))=0),0,($O28/INDEX('Parametri Modello'!$C$39:$C$42,MATCH($B28,'Parametri Modello'!$A$39:$A$42,0)))*(INDEX('Parametri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49</v>
      </c>
      <c r="I28" s="26" t="n">
        <f aca="false">IFERROR(INDEX('Input Statistiche 2025_26'!$F$3:$F$665,MATCH($A28,'Input Statistiche 2025_26'!$A$3:$A$665,0)),"")</f>
        <v>30</v>
      </c>
      <c r="J28" s="26" t="n">
        <f aca="false">IFERROR(IF($I28="","",MAX(0,38-$I28)),"")</f>
        <v>8</v>
      </c>
      <c r="K28" s="26" t="n">
        <f aca="false">IFERROR(INDEX('Input Statistiche 2025_26'!$I$3:$I$665,MATCH($A28,'Input Statistiche 2025_26'!$A$3:$A$665,0)),"")</f>
        <v>5</v>
      </c>
      <c r="L28" s="26" t="n">
        <f aca="false">IFERROR(INDEX('Input Statistiche 2025_26'!$O$3:$O$665,MATCH($A28,'Input Statistiche 2025_26'!$A$3:$A$665,0)),"")</f>
        <v>0</v>
      </c>
      <c r="M28" s="28"/>
      <c r="N28" s="27" t="n">
        <f aca="false">IFERROR(INDEX('Input Giocatori 2026_27'!$E$3:$E$493,MATCH($A28,'Input Giocatori 2026_27'!$A$3:$A$493,0)),"")</f>
        <v>17</v>
      </c>
      <c r="O28" s="27" t="n">
        <f aca="false">IFERROR(INDEX('Input Giocatori 2026_27'!$G$3:$G$493,MATCH($A28,'Input Giocatori 2026_27'!$A$3:$A$493,0)),"")</f>
        <v>90</v>
      </c>
      <c r="P28" s="26" t="str">
        <f aca="false">IFERROR(IF($O28="","",IF((1-(COUNTIFS($B$2:$B$492,$B28,$O$2:$O$492,"&gt;"&amp;$O28)+1-1)/COUNTIF($B$2:$B$492,$B28))&gt;=0.85,"Top",IF((1-(COUNTIFS($B$2:$B$492,$B28,$O$2:$O$492,"&gt;"&amp;$O28)+1-1)/COUNTIF($B$2:$B$492,$B28))&gt;=0.6,"Buono",IF((1-(COUNTIFS($B$2:$B$492,$B28,$O$2:$O$492,"&gt;"&amp;$O28)+1-1)/COUNTIF($B$2:$B$492,$B28))&gt;=0.3,"Nella Media","Scommessa/Riserva")))),"")</f>
        <v>Top</v>
      </c>
      <c r="Q28" s="29" t="n">
        <f aca="false">IF($D28="",COUNTIF($D$2:$D28,""),"")</f>
        <v>27</v>
      </c>
      <c r="R28" s="29" t="str">
        <f aca="false">IF($D28='Info Lega'!$B$28,COUNTIFS($D$2:$D28,'Info Lega'!$B$28),"")</f>
        <v/>
      </c>
      <c r="S28" s="30" t="n">
        <f aca="false">IFERROR(INDEX('Input Statistiche 2025_26'!$G$3:$G$665,MATCH($A28,'Input Statistiche 2025_26'!$A$3:$A$665,0)),"")</f>
        <v>6.12</v>
      </c>
      <c r="T28" s="30" t="n">
        <f aca="false">IFERROR(INDEX('Input Statistiche 2025_26'!$H$3:$H$665,MATCH($A28,'Input Statistiche 2025_26'!$A$3:$A$665,0)),"")</f>
        <v>6.47</v>
      </c>
      <c r="U28" s="26" t="str">
        <f aca="false">IF(OR('La Mia Rosa'!$O$12="",$D28&lt;&gt;""),"",IF($F28&lt;='La Mia Rosa'!$O$12*'Parametri Modello'!$B$24,"OK",IF($F28&lt;='La Mia Rosa'!$O$12*'Parametri Modello'!$B$25,"Attenzione","Rischio Alto")))</f>
        <v>OK</v>
      </c>
      <c r="V28" s="26" t="n">
        <f aca="false">IFERROR(COUNTIFS($B$2:$B$492,$B28,$O$2:$O$492,"&gt;"&amp;$O28)+1,"")</f>
        <v>2</v>
      </c>
      <c r="W28" s="21" t="n">
        <f aca="false">'Info Lega'!$B$4-SUMIFS($M$2:$M$492,$D$2:$D$492,'Info Lega'!$B$28)</f>
        <v>1000</v>
      </c>
      <c r="X28" s="21" t="n">
        <f aca="false">('Info Lega'!$B$5-COUNTIFS($D$2:$D$492,'Info Lega'!$B$28,$B$2:$B$492,"P"))+('Info Lega'!$B$6-COUNTIFS($D$2:$D$492,'Info Lega'!$B$28,$B$2:$B$492,"D"))+('Info Lega'!$B$7-COUNTIFS($D$2:$D$492,'Info Lega'!$B$28,$B$2:$B$492,"C"))+('Info Lega'!$B$8-COUNTIFS($D$2:$D$492,'Info Lega'!$B$28,$B$2:$B$492,"A"))</f>
        <v>25</v>
      </c>
      <c r="Y28" s="21" t="n">
        <f aca="false">X28*'Parametri Modello'!$B$30</f>
        <v>25</v>
      </c>
      <c r="Z28" s="21" t="n">
        <f aca="false">MAX(0,W28-Y28)</f>
        <v>975</v>
      </c>
      <c r="AA28" s="21" t="n">
        <f aca="false">MIN(F28,Z28)</f>
        <v>44</v>
      </c>
      <c r="AB28" s="21"/>
      <c r="AC28" s="21" t="str">
        <f aca="false">IF(AB28="","",IF(AB28&gt;AA28,"PASS",IF(AB28&lt;=AA28*0.85,"BID","ATTENZIONE")))</f>
        <v/>
      </c>
      <c r="AD28" s="31" t="n">
        <f aca="false">IF(I28="","",ROUND(100*(1-EXP(-I28/30)),0))</f>
        <v>63</v>
      </c>
      <c r="AE28" s="7" t="str">
        <f aca="false">IFERROR(INDEX('Stato Asta'!$G$9:$G$12,MATCH($B28,'Stato Asta'!$A$9:$A$12,0)),"")</f>
        <v>🟡 Attesa rischiosa</v>
      </c>
    </row>
    <row r="29" customFormat="false" ht="14.25" hidden="false" customHeight="true" outlineLevel="0" collapsed="false">
      <c r="A29" s="21" t="n">
        <v>5559</v>
      </c>
      <c r="B29" s="21" t="s">
        <v>45</v>
      </c>
      <c r="C29" s="21" t="s">
        <v>373</v>
      </c>
      <c r="E29" s="26" t="str">
        <f aca="false">IF(COUNTIF('Info Strategia'!$D$2:$D$51,$C29)&gt;0,"SI","NO")</f>
        <v>NO</v>
      </c>
      <c r="F29" s="27" t="n">
        <f aca="false">IFERROR(ROUND(($G29+($H29-$G29)*'Info Strategia'!$B$6)*(1+IF($E29="SI",'Parametri Modello'!$B$7*'Info Strategia'!$B$6,0)),0),"")</f>
        <v>50</v>
      </c>
      <c r="G29" s="27" t="n">
        <f aca="false">IFERROR(ROUND((IF(OR(INDEX('Parametri Modello'!$C$39:$C$42,MATCH($B29,'Parametri Modello'!$A$39:$A$42,0))="",INDEX('Parametri Modello'!$C$39:$C$42,MATCH($B29,'Parametri Modello'!$A$39:$A$42,0))=0),0,($O29/INDEX('Parametri Modello'!$C$39:$C$42,MATCH($B29,'Parametri Modello'!$A$39:$A$42,0)))*(INDEX('Parametri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34</v>
      </c>
      <c r="H29" s="27" t="n">
        <f aca="false">IFERROR(ROUND((IF(OR(INDEX('Parametri Modello'!$C$39:$C$42,MATCH($B29,'Parametri Modello'!$A$39:$A$42,0))="",INDEX('Parametri Modello'!$C$39:$C$42,MATCH($B29,'Parametri Modello'!$A$39:$A$42,0))=0),0,($O29/INDEX('Parametri Modello'!$C$39:$C$42,MATCH($B29,'Parametri Modello'!$A$39:$A$42,0)))*(INDEX('Parametri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57</v>
      </c>
      <c r="I29" s="26" t="n">
        <f aca="false">IFERROR(INDEX('Input Statistiche 2025_26'!$F$3:$F$665,MATCH($A29,'Input Statistiche 2025_26'!$A$3:$A$665,0)),"")</f>
        <v>35</v>
      </c>
      <c r="J29" s="26" t="n">
        <f aca="false">IFERROR(IF($I29="","",MAX(0,38-$I29)),"")</f>
        <v>3</v>
      </c>
      <c r="K29" s="26" t="n">
        <f aca="false">IFERROR(INDEX('Input Statistiche 2025_26'!$I$3:$I$665,MATCH($A29,'Input Statistiche 2025_26'!$A$3:$A$665,0)),"")</f>
        <v>6</v>
      </c>
      <c r="L29" s="26" t="n">
        <f aca="false">IFERROR(INDEX('Input Statistiche 2025_26'!$O$3:$O$665,MATCH($A29,'Input Statistiche 2025_26'!$A$3:$A$665,0)),"")</f>
        <v>4</v>
      </c>
      <c r="M29" s="28"/>
      <c r="N29" s="27" t="n">
        <f aca="false">IFERROR(INDEX('Input Giocatori 2026_27'!$E$3:$E$493,MATCH($A29,'Input Giocatori 2026_27'!$A$3:$A$493,0)),"")</f>
        <v>18</v>
      </c>
      <c r="O29" s="27" t="n">
        <f aca="false">IFERROR(INDEX('Input Giocatori 2026_27'!$G$3:$G$493,MATCH($A29,'Input Giocatori 2026_27'!$A$3:$A$493,0)),"")</f>
        <v>90</v>
      </c>
      <c r="P29" s="26" t="str">
        <f aca="false">IFERROR(IF($O29="","",IF((1-(COUNTIFS($B$2:$B$492,$B29,$O$2:$O$492,"&gt;"&amp;$O29)+1-1)/COUNTIF($B$2:$B$492,$B29))&gt;=0.85,"Top",IF((1-(COUNTIFS($B$2:$B$492,$B29,$O$2:$O$492,"&gt;"&amp;$O29)+1-1)/COUNTIF($B$2:$B$492,$B29))&gt;=0.6,"Buono",IF((1-(COUNTIFS($B$2:$B$492,$B29,$O$2:$O$492,"&gt;"&amp;$O29)+1-1)/COUNTIF($B$2:$B$492,$B29))&gt;=0.3,"Nella Media","Scommessa/Riserva")))),"")</f>
        <v>Top</v>
      </c>
      <c r="Q29" s="29" t="n">
        <f aca="false">IF($D29="",COUNTIF($D$2:$D29,""),"")</f>
        <v>28</v>
      </c>
      <c r="R29" s="29" t="str">
        <f aca="false">IF($D29='Info Lega'!$B$28,COUNTIFS($D$2:$D29,'Info Lega'!$B$28),"")</f>
        <v/>
      </c>
      <c r="S29" s="30" t="n">
        <f aca="false">IFERROR(INDEX('Input Statistiche 2025_26'!$G$3:$G$665,MATCH($A29,'Input Statistiche 2025_26'!$A$3:$A$665,0)),"")</f>
        <v>6.34</v>
      </c>
      <c r="T29" s="30" t="n">
        <f aca="false">IFERROR(INDEX('Input Statistiche 2025_26'!$H$3:$H$665,MATCH($A29,'Input Statistiche 2025_26'!$A$3:$A$665,0)),"")</f>
        <v>6.91</v>
      </c>
      <c r="U29" s="26" t="str">
        <f aca="false">IF(OR('La Mia Rosa'!$O$12="",$D29&lt;&gt;""),"",IF($F29&lt;='La Mia Rosa'!$O$12*'Parametri Modello'!$B$24,"OK",IF($F29&lt;='La Mia Rosa'!$O$12*'Parametri Modello'!$B$25,"Attenzione","Rischio Alto")))</f>
        <v>OK</v>
      </c>
      <c r="V29" s="26" t="n">
        <f aca="false">IFERROR(COUNTIFS($B$2:$B$492,$B29,$O$2:$O$492,"&gt;"&amp;$O29)+1,"")</f>
        <v>10</v>
      </c>
      <c r="W29" s="21" t="n">
        <f aca="false">'Info Lega'!$B$4-SUMIFS($M$2:$M$492,$D$2:$D$492,'Info Lega'!$B$28)</f>
        <v>1000</v>
      </c>
      <c r="X29" s="21" t="n">
        <f aca="false">('Info Lega'!$B$5-COUNTIFS($D$2:$D$492,'Info Lega'!$B$28,$B$2:$B$492,"P"))+('Info Lega'!$B$6-COUNTIFS($D$2:$D$492,'Info Lega'!$B$28,$B$2:$B$492,"D"))+('Info Lega'!$B$7-COUNTIFS($D$2:$D$492,'Info Lega'!$B$28,$B$2:$B$492,"C"))+('Info Lega'!$B$8-COUNTIFS($D$2:$D$492,'Info Lega'!$B$28,$B$2:$B$492,"A"))</f>
        <v>25</v>
      </c>
      <c r="Y29" s="21" t="n">
        <f aca="false">X29*'Parametri Modello'!$B$30</f>
        <v>25</v>
      </c>
      <c r="Z29" s="21" t="n">
        <f aca="false">MAX(0,W29-Y29)</f>
        <v>975</v>
      </c>
      <c r="AA29" s="21" t="n">
        <f aca="false">MIN(F29,Z29)</f>
        <v>50</v>
      </c>
      <c r="AB29" s="21"/>
      <c r="AC29" s="21" t="str">
        <f aca="false">IF(AB29="","",IF(AB29&gt;AA29,"PASS",IF(AB29&lt;=AA29*0.85,"BID","ATTENZIONE")))</f>
        <v/>
      </c>
      <c r="AD29" s="31" t="n">
        <f aca="false">IF(I29="","",ROUND(100*(1-EXP(-I29/30)),0))</f>
        <v>69</v>
      </c>
      <c r="AE29" s="7" t="str">
        <f aca="false">IFERROR(INDEX('Stato Asta'!$G$9:$G$12,MATCH($B29,'Stato Asta'!$A$9:$A$12,0)),"")</f>
        <v>🟡 Attesa rischiosa</v>
      </c>
    </row>
    <row r="30" customFormat="false" ht="14.25" hidden="false" customHeight="true" outlineLevel="0" collapsed="false">
      <c r="A30" s="21" t="n">
        <v>2766</v>
      </c>
      <c r="B30" s="21" t="s">
        <v>45</v>
      </c>
      <c r="C30" s="21" t="s">
        <v>374</v>
      </c>
      <c r="E30" s="26" t="str">
        <f aca="false">IF(COUNTIF('Info Strategia'!$D$2:$D$51,$C30)&gt;0,"SI","NO")</f>
        <v>NO</v>
      </c>
      <c r="F30" s="27" t="n">
        <f aca="false">IFERROR(ROUND(($G30+($H30-$G30)*'Info Strategia'!$B$6)*(1+IF($E30="SI",'Parametri Modello'!$B$7*'Info Strategia'!$B$6,0)),0),"")</f>
        <v>50</v>
      </c>
      <c r="G30" s="27" t="n">
        <f aca="false">IFERROR(ROUND((IF(OR(INDEX('Parametri Modello'!$C$39:$C$42,MATCH($B30,'Parametri Modello'!$A$39:$A$42,0))="",INDEX('Parametri Modello'!$C$39:$C$42,MATCH($B30,'Parametri Modello'!$A$39:$A$42,0))=0),0,($O30/INDEX('Parametri Modello'!$C$39:$C$42,MATCH($B30,'Parametri Modello'!$A$39:$A$42,0)))*(INDEX('Parametri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34</v>
      </c>
      <c r="H30" s="27" t="n">
        <f aca="false">IFERROR(ROUND((IF(OR(INDEX('Parametri Modello'!$C$39:$C$42,MATCH($B30,'Parametri Modello'!$A$39:$A$42,0))="",INDEX('Parametri Modello'!$C$39:$C$42,MATCH($B30,'Parametri Modello'!$A$39:$A$42,0))=0),0,($O30/INDEX('Parametri Modello'!$C$39:$C$42,MATCH($B30,'Parametri Modello'!$A$39:$A$42,0)))*(INDEX('Parametri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57</v>
      </c>
      <c r="I30" s="26" t="n">
        <f aca="false">IFERROR(INDEX('Input Statistiche 2025_26'!$F$3:$F$665,MATCH($A30,'Input Statistiche 2025_26'!$A$3:$A$665,0)),"")</f>
        <v>31</v>
      </c>
      <c r="J30" s="26" t="n">
        <f aca="false">IFERROR(IF($I30="","",MAX(0,38-$I30)),"")</f>
        <v>7</v>
      </c>
      <c r="K30" s="26" t="n">
        <f aca="false">IFERROR(INDEX('Input Statistiche 2025_26'!$I$3:$I$665,MATCH($A30,'Input Statistiche 2025_26'!$A$3:$A$665,0)),"")</f>
        <v>5</v>
      </c>
      <c r="L30" s="26" t="n">
        <f aca="false">IFERROR(INDEX('Input Statistiche 2025_26'!$O$3:$O$665,MATCH($A30,'Input Statistiche 2025_26'!$A$3:$A$665,0)),"")</f>
        <v>5</v>
      </c>
      <c r="M30" s="28"/>
      <c r="N30" s="27" t="n">
        <f aca="false">IFERROR(INDEX('Input Giocatori 2026_27'!$E$3:$E$493,MATCH($A30,'Input Giocatori 2026_27'!$A$3:$A$493,0)),"")</f>
        <v>18</v>
      </c>
      <c r="O30" s="27" t="n">
        <f aca="false">IFERROR(INDEX('Input Giocatori 2026_27'!$G$3:$G$493,MATCH($A30,'Input Giocatori 2026_27'!$A$3:$A$493,0)),"")</f>
        <v>90</v>
      </c>
      <c r="P30" s="26" t="str">
        <f aca="false">IFERROR(IF($O30="","",IF((1-(COUNTIFS($B$2:$B$492,$B30,$O$2:$O$492,"&gt;"&amp;$O30)+1-1)/COUNTIF($B$2:$B$492,$B30))&gt;=0.85,"Top",IF((1-(COUNTIFS($B$2:$B$492,$B30,$O$2:$O$492,"&gt;"&amp;$O30)+1-1)/COUNTIF($B$2:$B$492,$B30))&gt;=0.6,"Buono",IF((1-(COUNTIFS($B$2:$B$492,$B30,$O$2:$O$492,"&gt;"&amp;$O30)+1-1)/COUNTIF($B$2:$B$492,$B30))&gt;=0.3,"Nella Media","Scommessa/Riserva")))),"")</f>
        <v>Top</v>
      </c>
      <c r="Q30" s="29" t="n">
        <f aca="false">IF($D30="",COUNTIF($D$2:$D30,""),"")</f>
        <v>29</v>
      </c>
      <c r="R30" s="29" t="str">
        <f aca="false">IF($D30='Info Lega'!$B$28,COUNTIFS($D$2:$D30,'Info Lega'!$B$28),"")</f>
        <v/>
      </c>
      <c r="S30" s="30" t="n">
        <f aca="false">IFERROR(INDEX('Input Statistiche 2025_26'!$G$3:$G$665,MATCH($A30,'Input Statistiche 2025_26'!$A$3:$A$665,0)),"")</f>
        <v>6.26</v>
      </c>
      <c r="T30" s="30" t="n">
        <f aca="false">IFERROR(INDEX('Input Statistiche 2025_26'!$H$3:$H$665,MATCH($A30,'Input Statistiche 2025_26'!$A$3:$A$665,0)),"")</f>
        <v>6.77</v>
      </c>
      <c r="U30" s="26" t="str">
        <f aca="false">IF(OR('La Mia Rosa'!$O$12="",$D30&lt;&gt;""),"",IF($F30&lt;='La Mia Rosa'!$O$12*'Parametri Modello'!$B$24,"OK",IF($F30&lt;='La Mia Rosa'!$O$12*'Parametri Modello'!$B$25,"Attenzione","Rischio Alto")))</f>
        <v>OK</v>
      </c>
      <c r="V30" s="26" t="n">
        <f aca="false">IFERROR(COUNTIFS($B$2:$B$492,$B30,$O$2:$O$492,"&gt;"&amp;$O30)+1,"")</f>
        <v>10</v>
      </c>
      <c r="W30" s="21" t="n">
        <f aca="false">'Info Lega'!$B$4-SUMIFS($M$2:$M$492,$D$2:$D$492,'Info Lega'!$B$28)</f>
        <v>1000</v>
      </c>
      <c r="X30" s="21" t="n">
        <f aca="false">('Info Lega'!$B$5-COUNTIFS($D$2:$D$492,'Info Lega'!$B$28,$B$2:$B$492,"P"))+('Info Lega'!$B$6-COUNTIFS($D$2:$D$492,'Info Lega'!$B$28,$B$2:$B$492,"D"))+('Info Lega'!$B$7-COUNTIFS($D$2:$D$492,'Info Lega'!$B$28,$B$2:$B$492,"C"))+('Info Lega'!$B$8-COUNTIFS($D$2:$D$492,'Info Lega'!$B$28,$B$2:$B$492,"A"))</f>
        <v>25</v>
      </c>
      <c r="Y30" s="21" t="n">
        <f aca="false">X30*'Parametri Modello'!$B$30</f>
        <v>25</v>
      </c>
      <c r="Z30" s="21" t="n">
        <f aca="false">MAX(0,W30-Y30)</f>
        <v>975</v>
      </c>
      <c r="AA30" s="21" t="n">
        <f aca="false">MIN(F30,Z30)</f>
        <v>50</v>
      </c>
      <c r="AB30" s="21"/>
      <c r="AC30" s="21" t="str">
        <f aca="false">IF(AB30="","",IF(AB30&gt;AA30,"PASS",IF(AB30&lt;=AA30*0.85,"BID","ATTENZIONE")))</f>
        <v/>
      </c>
      <c r="AD30" s="31" t="n">
        <f aca="false">IF(I30="","",ROUND(100*(1-EXP(-I30/30)),0))</f>
        <v>64</v>
      </c>
      <c r="AE30" s="7" t="str">
        <f aca="false">IFERROR(INDEX('Stato Asta'!$G$9:$G$12,MATCH($B30,'Stato Asta'!$A$9:$A$12,0)),"")</f>
        <v>🟡 Attesa rischiosa</v>
      </c>
    </row>
    <row r="31" customFormat="false" ht="14.25" hidden="false" customHeight="true" outlineLevel="0" collapsed="false">
      <c r="A31" s="21" t="n">
        <v>6060</v>
      </c>
      <c r="B31" s="21" t="s">
        <v>46</v>
      </c>
      <c r="C31" s="21" t="s">
        <v>556</v>
      </c>
      <c r="E31" s="26" t="str">
        <f aca="false">IF(COUNTIF('Info Strategia'!$D$2:$D$51,$C31)&gt;0,"SI","NO")</f>
        <v>NO</v>
      </c>
      <c r="F31" s="27" t="n">
        <f aca="false">IFERROR(ROUND(($G31+($H31-$G31)*'Info Strategia'!$B$6)*(1+IF($E31="SI",'Parametri Modello'!$B$7*'Info Strategia'!$B$6,0)),0),"")</f>
        <v>79</v>
      </c>
      <c r="G31" s="27" t="n">
        <f aca="false">IFERROR(ROUND((IF(OR(INDEX('Parametri Modello'!$C$39:$C$42,MATCH($B31,'Parametri Modello'!$A$39:$A$42,0))="",INDEX('Parametri Modello'!$C$39:$C$42,MATCH($B31,'Parametri Modello'!$A$39:$A$42,0))=0),0,($O31/INDEX('Parametri Modello'!$C$39:$C$42,MATCH($B31,'Parametri Modello'!$A$39:$A$42,0)))*(INDEX('Parametri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49</v>
      </c>
      <c r="H31" s="27" t="n">
        <f aca="false">IFERROR(ROUND((IF(OR(INDEX('Parametri Modello'!$C$39:$C$42,MATCH($B31,'Parametri Modello'!$A$39:$A$42,0))="",INDEX('Parametri Modello'!$C$39:$C$42,MATCH($B31,'Parametri Modello'!$A$39:$A$42,0))=0),0,($O31/INDEX('Parametri Modello'!$C$39:$C$42,MATCH($B31,'Parametri Modello'!$A$39:$A$42,0)))*(INDEX('Parametri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92</v>
      </c>
      <c r="I31" s="26" t="n">
        <f aca="false">IFERROR(INDEX('Input Statistiche 2025_26'!$F$3:$F$665,MATCH($A31,'Input Statistiche 2025_26'!$A$3:$A$665,0)),"")</f>
        <v>37</v>
      </c>
      <c r="J31" s="26" t="n">
        <f aca="false">IFERROR(IF($I31="","",MAX(0,38-$I31)),"")</f>
        <v>1</v>
      </c>
      <c r="K31" s="26" t="n">
        <f aca="false">IFERROR(INDEX('Input Statistiche 2025_26'!$I$3:$I$665,MATCH($A31,'Input Statistiche 2025_26'!$A$3:$A$665,0)),"")</f>
        <v>7</v>
      </c>
      <c r="L31" s="26" t="n">
        <f aca="false">IFERROR(INDEX('Input Statistiche 2025_26'!$O$3:$O$665,MATCH($A31,'Input Statistiche 2025_26'!$A$3:$A$665,0)),"")</f>
        <v>9</v>
      </c>
      <c r="M31" s="28"/>
      <c r="N31" s="27" t="n">
        <f aca="false">IFERROR(INDEX('Input Giocatori 2026_27'!$E$3:$E$493,MATCH($A31,'Input Giocatori 2026_27'!$A$3:$A$493,0)),"")</f>
        <v>15</v>
      </c>
      <c r="O31" s="27" t="n">
        <f aca="false">IFERROR(INDEX('Input Giocatori 2026_27'!$G$3:$G$493,MATCH($A31,'Input Giocatori 2026_27'!$A$3:$A$493,0)),"")</f>
        <v>88</v>
      </c>
      <c r="P31" s="26" t="str">
        <f aca="false">IFERROR(IF($O31="","",IF((1-(COUNTIFS($B$2:$B$492,$B31,$O$2:$O$492,"&gt;"&amp;$O31)+1-1)/COUNTIF($B$2:$B$492,$B31))&gt;=0.85,"Top",IF((1-(COUNTIFS($B$2:$B$492,$B31,$O$2:$O$492,"&gt;"&amp;$O31)+1-1)/COUNTIF($B$2:$B$492,$B31))&gt;=0.6,"Buono",IF((1-(COUNTIFS($B$2:$B$492,$B31,$O$2:$O$492,"&gt;"&amp;$O31)+1-1)/COUNTIF($B$2:$B$492,$B31))&gt;=0.3,"Nella Media","Scommessa/Riserva")))),"")</f>
        <v>Buono</v>
      </c>
      <c r="Q31" s="29" t="n">
        <f aca="false">IF($D31="",COUNTIF($D$2:$D31,""),"")</f>
        <v>30</v>
      </c>
      <c r="R31" s="29" t="str">
        <f aca="false">IF($D31='Info Lega'!$B$28,COUNTIFS($D$2:$D31,'Info Lega'!$B$28),"")</f>
        <v/>
      </c>
      <c r="S31" s="30" t="n">
        <f aca="false">IFERROR(INDEX('Input Statistiche 2025_26'!$G$3:$G$665,MATCH($A31,'Input Statistiche 2025_26'!$A$3:$A$665,0)),"")</f>
        <v>6.23</v>
      </c>
      <c r="T31" s="30" t="n">
        <f aca="false">IFERROR(INDEX('Input Statistiche 2025_26'!$H$3:$H$665,MATCH($A31,'Input Statistiche 2025_26'!$A$3:$A$665,0)),"")</f>
        <v>6.99</v>
      </c>
      <c r="U31" s="26" t="str">
        <f aca="false">IF(OR('La Mia Rosa'!$O$12="",$D31&lt;&gt;""),"",IF($F31&lt;='La Mia Rosa'!$O$12*'Parametri Modello'!$B$24,"OK",IF($F31&lt;='La Mia Rosa'!$O$12*'Parametri Modello'!$B$25,"Attenzione","Rischio Alto")))</f>
        <v>Attenzione</v>
      </c>
      <c r="V31" s="26" t="n">
        <f aca="false">IFERROR(COUNTIFS($B$2:$B$492,$B31,$O$2:$O$492,"&gt;"&amp;$O31)+1,"")</f>
        <v>17</v>
      </c>
      <c r="W31" s="21" t="n">
        <f aca="false">'Info Lega'!$B$4-SUMIFS($M$2:$M$492,$D$2:$D$492,'Info Lega'!$B$28)</f>
        <v>1000</v>
      </c>
      <c r="X31" s="21" t="n">
        <f aca="false">('Info Lega'!$B$5-COUNTIFS($D$2:$D$492,'Info Lega'!$B$28,$B$2:$B$492,"P"))+('Info Lega'!$B$6-COUNTIFS($D$2:$D$492,'Info Lega'!$B$28,$B$2:$B$492,"D"))+('Info Lega'!$B$7-COUNTIFS($D$2:$D$492,'Info Lega'!$B$28,$B$2:$B$492,"C"))+('Info Lega'!$B$8-COUNTIFS($D$2:$D$492,'Info Lega'!$B$28,$B$2:$B$492,"A"))</f>
        <v>25</v>
      </c>
      <c r="Y31" s="21" t="n">
        <f aca="false">X31*'Parametri Modello'!$B$30</f>
        <v>25</v>
      </c>
      <c r="Z31" s="21" t="n">
        <f aca="false">MAX(0,W31-Y31)</f>
        <v>975</v>
      </c>
      <c r="AA31" s="21" t="n">
        <f aca="false">MIN(F31,Z31)</f>
        <v>79</v>
      </c>
      <c r="AB31" s="21"/>
      <c r="AC31" s="21" t="str">
        <f aca="false">IF(AB31="","",IF(AB31&gt;AA31,"PASS",IF(AB31&lt;=AA31*0.85,"BID","ATTENZIONE")))</f>
        <v/>
      </c>
      <c r="AD31" s="31" t="n">
        <f aca="false">IF(I31="","",ROUND(100*(1-EXP(-I31/30)),0))</f>
        <v>71</v>
      </c>
      <c r="AE31" s="7" t="str">
        <f aca="false">IFERROR(INDEX('Stato Asta'!$G$9:$G$12,MATCH($B31,'Stato Asta'!$A$9:$A$12,0)),"")</f>
        <v>🔴 Non aspettare</v>
      </c>
    </row>
    <row r="32" customFormat="false" ht="14.25" hidden="false" customHeight="true" outlineLevel="0" collapsed="false">
      <c r="A32" s="21" t="n">
        <v>6908</v>
      </c>
      <c r="B32" s="21" t="s">
        <v>45</v>
      </c>
      <c r="C32" s="21" t="s">
        <v>375</v>
      </c>
      <c r="E32" s="26" t="str">
        <f aca="false">IF(COUNTIF('Info Strategia'!$D$2:$D$51,$C32)&gt;0,"SI","NO")</f>
        <v>NO</v>
      </c>
      <c r="F32" s="27" t="n">
        <f aca="false">IFERROR(ROUND(($G32+($H32-$G32)*'Info Strategia'!$B$6)*(1+IF($E32="SI",'Parametri Modello'!$B$7*'Info Strategia'!$B$6,0)),0),"")</f>
        <v>48</v>
      </c>
      <c r="G32" s="27" t="n">
        <f aca="false">IFERROR(ROUND((IF(OR(INDEX('Parametri Modello'!$C$39:$C$42,MATCH($B32,'Parametri Modello'!$A$39:$A$42,0))="",INDEX('Parametri Modello'!$C$39:$C$42,MATCH($B32,'Parametri Modello'!$A$39:$A$42,0))=0),0,($O32/INDEX('Parametri Modello'!$C$39:$C$42,MATCH($B32,'Parametri Modello'!$A$39:$A$42,0)))*(INDEX('Parametri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33</v>
      </c>
      <c r="H32" s="27" t="n">
        <f aca="false">IFERROR(ROUND((IF(OR(INDEX('Parametri Modello'!$C$39:$C$42,MATCH($B32,'Parametri Modello'!$A$39:$A$42,0))="",INDEX('Parametri Modello'!$C$39:$C$42,MATCH($B32,'Parametri Modello'!$A$39:$A$42,0))=0),0,($O32/INDEX('Parametri Modello'!$C$39:$C$42,MATCH($B32,'Parametri Modello'!$A$39:$A$42,0)))*(INDEX('Parametri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55</v>
      </c>
      <c r="I32" s="26" t="n">
        <f aca="false">IFERROR(INDEX('Input Statistiche 2025_26'!$F$3:$F$665,MATCH($A32,'Input Statistiche 2025_26'!$A$3:$A$665,0)),"")</f>
        <v>32</v>
      </c>
      <c r="J32" s="26" t="n">
        <f aca="false">IFERROR(IF($I32="","",MAX(0,38-$I32)),"")</f>
        <v>6</v>
      </c>
      <c r="K32" s="26" t="n">
        <f aca="false">IFERROR(INDEX('Input Statistiche 2025_26'!$I$3:$I$665,MATCH($A32,'Input Statistiche 2025_26'!$A$3:$A$665,0)),"")</f>
        <v>5</v>
      </c>
      <c r="L32" s="26" t="n">
        <f aca="false">IFERROR(INDEX('Input Statistiche 2025_26'!$O$3:$O$665,MATCH($A32,'Input Statistiche 2025_26'!$A$3:$A$665,0)),"")</f>
        <v>3</v>
      </c>
      <c r="M32" s="28"/>
      <c r="N32" s="27" t="n">
        <f aca="false">IFERROR(INDEX('Input Giocatori 2026_27'!$E$3:$E$493,MATCH($A32,'Input Giocatori 2026_27'!$A$3:$A$493,0)),"")</f>
        <v>17</v>
      </c>
      <c r="O32" s="27" t="n">
        <f aca="false">IFERROR(INDEX('Input Giocatori 2026_27'!$G$3:$G$493,MATCH($A32,'Input Giocatori 2026_27'!$A$3:$A$493,0)),"")</f>
        <v>87</v>
      </c>
      <c r="P32" s="26" t="str">
        <f aca="false">IFERROR(IF($O32="","",IF((1-(COUNTIFS($B$2:$B$492,$B32,$O$2:$O$492,"&gt;"&amp;$O32)+1-1)/COUNTIF($B$2:$B$492,$B32))&gt;=0.85,"Top",IF((1-(COUNTIFS($B$2:$B$492,$B32,$O$2:$O$492,"&gt;"&amp;$O32)+1-1)/COUNTIF($B$2:$B$492,$B32))&gt;=0.6,"Buono",IF((1-(COUNTIFS($B$2:$B$492,$B32,$O$2:$O$492,"&gt;"&amp;$O32)+1-1)/COUNTIF($B$2:$B$492,$B32))&gt;=0.3,"Nella Media","Scommessa/Riserva")))),"")</f>
        <v>Top</v>
      </c>
      <c r="Q32" s="29" t="n">
        <f aca="false">IF($D32="",COUNTIF($D$2:$D32,""),"")</f>
        <v>31</v>
      </c>
      <c r="R32" s="29" t="str">
        <f aca="false">IF($D32='Info Lega'!$B$28,COUNTIFS($D$2:$D32,'Info Lega'!$B$28),"")</f>
        <v/>
      </c>
      <c r="S32" s="30" t="n">
        <f aca="false">IFERROR(INDEX('Input Statistiche 2025_26'!$G$3:$G$665,MATCH($A32,'Input Statistiche 2025_26'!$A$3:$A$665,0)),"")</f>
        <v>6.36</v>
      </c>
      <c r="T32" s="30" t="n">
        <f aca="false">IFERROR(INDEX('Input Statistiche 2025_26'!$H$3:$H$665,MATCH($A32,'Input Statistiche 2025_26'!$A$3:$A$665,0)),"")</f>
        <v>6.88</v>
      </c>
      <c r="U32" s="26" t="str">
        <f aca="false">IF(OR('La Mia Rosa'!$O$12="",$D32&lt;&gt;""),"",IF($F32&lt;='La Mia Rosa'!$O$12*'Parametri Modello'!$B$24,"OK",IF($F32&lt;='La Mia Rosa'!$O$12*'Parametri Modello'!$B$25,"Attenzione","Rischio Alto")))</f>
        <v>OK</v>
      </c>
      <c r="V32" s="26" t="n">
        <f aca="false">IFERROR(COUNTIFS($B$2:$B$492,$B32,$O$2:$O$492,"&gt;"&amp;$O32)+1,"")</f>
        <v>12</v>
      </c>
      <c r="W32" s="21" t="n">
        <f aca="false">'Info Lega'!$B$4-SUMIFS($M$2:$M$492,$D$2:$D$492,'Info Lega'!$B$28)</f>
        <v>1000</v>
      </c>
      <c r="X32" s="21" t="n">
        <f aca="false">('Info Lega'!$B$5-COUNTIFS($D$2:$D$492,'Info Lega'!$B$28,$B$2:$B$492,"P"))+('Info Lega'!$B$6-COUNTIFS($D$2:$D$492,'Info Lega'!$B$28,$B$2:$B$492,"D"))+('Info Lega'!$B$7-COUNTIFS($D$2:$D$492,'Info Lega'!$B$28,$B$2:$B$492,"C"))+('Info Lega'!$B$8-COUNTIFS($D$2:$D$492,'Info Lega'!$B$28,$B$2:$B$492,"A"))</f>
        <v>25</v>
      </c>
      <c r="Y32" s="21" t="n">
        <f aca="false">X32*'Parametri Modello'!$B$30</f>
        <v>25</v>
      </c>
      <c r="Z32" s="21" t="n">
        <f aca="false">MAX(0,W32-Y32)</f>
        <v>975</v>
      </c>
      <c r="AA32" s="21" t="n">
        <f aca="false">MIN(F32,Z32)</f>
        <v>48</v>
      </c>
      <c r="AB32" s="21"/>
      <c r="AC32" s="21" t="str">
        <f aca="false">IF(AB32="","",IF(AB32&gt;AA32,"PASS",IF(AB32&lt;=AA32*0.85,"BID","ATTENZIONE")))</f>
        <v/>
      </c>
      <c r="AD32" s="31" t="n">
        <f aca="false">IF(I32="","",ROUND(100*(1-EXP(-I32/30)),0))</f>
        <v>66</v>
      </c>
      <c r="AE32" s="7" t="str">
        <f aca="false">IFERROR(INDEX('Stato Asta'!$G$9:$G$12,MATCH($B32,'Stato Asta'!$A$9:$A$12,0)),"")</f>
        <v>🟡 Attesa rischiosa</v>
      </c>
    </row>
    <row r="33" customFormat="false" ht="14.25" hidden="false" customHeight="true" outlineLevel="0" collapsed="false">
      <c r="A33" s="21" t="n">
        <v>6675</v>
      </c>
      <c r="B33" s="21" t="s">
        <v>46</v>
      </c>
      <c r="C33" s="21" t="s">
        <v>553</v>
      </c>
      <c r="E33" s="26" t="str">
        <f aca="false">IF(COUNTIF('Info Strategia'!$D$2:$D$51,$C33)&gt;0,"SI","NO")</f>
        <v>NO</v>
      </c>
      <c r="F33" s="27" t="n">
        <f aca="false">IFERROR(ROUND(($G33+($H33-$G33)*'Info Strategia'!$B$6)*(1+IF($E33="SI",'Parametri Modello'!$B$7*'Info Strategia'!$B$6,0)),0),"")</f>
        <v>75</v>
      </c>
      <c r="G33" s="27" t="n">
        <f aca="false">IFERROR(ROUND((IF(OR(INDEX('Parametri Modello'!$C$39:$C$42,MATCH($B33,'Parametri Modello'!$A$39:$A$42,0))="",INDEX('Parametri Modello'!$C$39:$C$42,MATCH($B33,'Parametri Modello'!$A$39:$A$42,0))=0),0,($O33/INDEX('Parametri Modello'!$C$39:$C$42,MATCH($B33,'Parametri Modello'!$A$39:$A$42,0)))*(INDEX('Parametri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47</v>
      </c>
      <c r="H33" s="27" t="n">
        <f aca="false">IFERROR(ROUND((IF(OR(INDEX('Parametri Modello'!$C$39:$C$42,MATCH($B33,'Parametri Modello'!$A$39:$A$42,0))="",INDEX('Parametri Modello'!$C$39:$C$42,MATCH($B33,'Parametri Modello'!$A$39:$A$42,0))=0),0,($O33/INDEX('Parametri Modello'!$C$39:$C$42,MATCH($B33,'Parametri Modello'!$A$39:$A$42,0)))*(INDEX('Parametri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87</v>
      </c>
      <c r="I33" s="26" t="n">
        <f aca="false">IFERROR(INDEX('Input Statistiche 2025_26'!$F$3:$F$665,MATCH($A33,'Input Statistiche 2025_26'!$A$3:$A$665,0)),"")</f>
        <v>13</v>
      </c>
      <c r="J33" s="26" t="n">
        <f aca="false">IFERROR(IF($I33="","",MAX(0,38-$I33)),"")</f>
        <v>25</v>
      </c>
      <c r="K33" s="26" t="n">
        <f aca="false">IFERROR(INDEX('Input Statistiche 2025_26'!$I$3:$I$665,MATCH($A33,'Input Statistiche 2025_26'!$A$3:$A$665,0)),"")</f>
        <v>3</v>
      </c>
      <c r="L33" s="26" t="n">
        <f aca="false">IFERROR(INDEX('Input Statistiche 2025_26'!$O$3:$O$665,MATCH($A33,'Input Statistiche 2025_26'!$A$3:$A$665,0)),"")</f>
        <v>1</v>
      </c>
      <c r="M33" s="28"/>
      <c r="N33" s="27" t="n">
        <f aca="false">IFERROR(INDEX('Input Giocatori 2026_27'!$E$3:$E$493,MATCH($A33,'Input Giocatori 2026_27'!$A$3:$A$493,0)),"")</f>
        <v>16</v>
      </c>
      <c r="O33" s="27" t="n">
        <f aca="false">IFERROR(INDEX('Input Giocatori 2026_27'!$G$3:$G$493,MATCH($A33,'Input Giocatori 2026_27'!$A$3:$A$493,0)),"")</f>
        <v>84</v>
      </c>
      <c r="P33" s="26" t="str">
        <f aca="false">IFERROR(IF($O33="","",IF((1-(COUNTIFS($B$2:$B$492,$B33,$O$2:$O$492,"&gt;"&amp;$O33)+1-1)/COUNTIF($B$2:$B$492,$B33))&gt;=0.85,"Top",IF((1-(COUNTIFS($B$2:$B$492,$B33,$O$2:$O$492,"&gt;"&amp;$O33)+1-1)/COUNTIF($B$2:$B$492,$B33))&gt;=0.6,"Buono",IF((1-(COUNTIFS($B$2:$B$492,$B33,$O$2:$O$492,"&gt;"&amp;$O33)+1-1)/COUNTIF($B$2:$B$492,$B33))&gt;=0.3,"Nella Media","Scommessa/Riserva")))),"")</f>
        <v>Buono</v>
      </c>
      <c r="Q33" s="29" t="n">
        <f aca="false">IF($D33="",COUNTIF($D$2:$D33,""),"")</f>
        <v>32</v>
      </c>
      <c r="R33" s="29" t="str">
        <f aca="false">IF($D33='Info Lega'!$B$28,COUNTIFS($D$2:$D33,'Info Lega'!$B$28),"")</f>
        <v/>
      </c>
      <c r="S33" s="30" t="n">
        <f aca="false">IFERROR(INDEX('Input Statistiche 2025_26'!$G$3:$G$665,MATCH($A33,'Input Statistiche 2025_26'!$A$3:$A$665,0)),"")</f>
        <v>6</v>
      </c>
      <c r="T33" s="30" t="n">
        <f aca="false">IFERROR(INDEX('Input Statistiche 2025_26'!$H$3:$H$665,MATCH($A33,'Input Statistiche 2025_26'!$A$3:$A$665,0)),"")</f>
        <v>6.77</v>
      </c>
      <c r="U33" s="26" t="str">
        <f aca="false">IF(OR('La Mia Rosa'!$O$12="",$D33&lt;&gt;""),"",IF($F33&lt;='La Mia Rosa'!$O$12*'Parametri Modello'!$B$24,"OK",IF($F33&lt;='La Mia Rosa'!$O$12*'Parametri Modello'!$B$25,"Attenzione","Rischio Alto")))</f>
        <v>Attenzione</v>
      </c>
      <c r="V33" s="26" t="n">
        <f aca="false">IFERROR(COUNTIFS($B$2:$B$492,$B33,$O$2:$O$492,"&gt;"&amp;$O33)+1,"")</f>
        <v>18</v>
      </c>
      <c r="W33" s="21" t="n">
        <f aca="false">'Info Lega'!$B$4-SUMIFS($M$2:$M$492,$D$2:$D$492,'Info Lega'!$B$28)</f>
        <v>1000</v>
      </c>
      <c r="X33" s="21" t="n">
        <f aca="false">('Info Lega'!$B$5-COUNTIFS($D$2:$D$492,'Info Lega'!$B$28,$B$2:$B$492,"P"))+('Info Lega'!$B$6-COUNTIFS($D$2:$D$492,'Info Lega'!$B$28,$B$2:$B$492,"D"))+('Info Lega'!$B$7-COUNTIFS($D$2:$D$492,'Info Lega'!$B$28,$B$2:$B$492,"C"))+('Info Lega'!$B$8-COUNTIFS($D$2:$D$492,'Info Lega'!$B$28,$B$2:$B$492,"A"))</f>
        <v>25</v>
      </c>
      <c r="Y33" s="21" t="n">
        <f aca="false">X33*'Parametri Modello'!$B$30</f>
        <v>25</v>
      </c>
      <c r="Z33" s="21" t="n">
        <f aca="false">MAX(0,W33-Y33)</f>
        <v>975</v>
      </c>
      <c r="AA33" s="21" t="n">
        <f aca="false">MIN(F33,Z33)</f>
        <v>75</v>
      </c>
      <c r="AB33" s="21"/>
      <c r="AC33" s="21" t="str">
        <f aca="false">IF(AB33="","",IF(AB33&gt;AA33,"PASS",IF(AB33&lt;=AA33*0.85,"BID","ATTENZIONE")))</f>
        <v/>
      </c>
      <c r="AD33" s="31" t="n">
        <f aca="false">IF(I33="","",ROUND(100*(1-EXP(-I33/30)),0))</f>
        <v>35</v>
      </c>
      <c r="AE33" s="7" t="str">
        <f aca="false">IFERROR(INDEX('Stato Asta'!$G$9:$G$12,MATCH($B33,'Stato Asta'!$A$9:$A$12,0)),"")</f>
        <v>🔴 Non aspettare</v>
      </c>
    </row>
    <row r="34" customFormat="false" ht="14.25" hidden="false" customHeight="true" outlineLevel="0" collapsed="false">
      <c r="A34" s="21" t="n">
        <v>6572</v>
      </c>
      <c r="B34" s="21" t="s">
        <v>46</v>
      </c>
      <c r="C34" s="21" t="s">
        <v>560</v>
      </c>
      <c r="E34" s="26" t="str">
        <f aca="false">IF(COUNTIF('Info Strategia'!$D$2:$D$51,$C34)&gt;0,"SI","NO")</f>
        <v>NO</v>
      </c>
      <c r="F34" s="27" t="n">
        <f aca="false">IFERROR(ROUND(($G34+($H34-$G34)*'Info Strategia'!$B$6)*(1+IF($E34="SI",'Parametri Modello'!$B$7*'Info Strategia'!$B$6,0)),0),"")</f>
        <v>73</v>
      </c>
      <c r="G34" s="27" t="n">
        <f aca="false">IFERROR(ROUND((IF(OR(INDEX('Parametri Modello'!$C$39:$C$42,MATCH($B34,'Parametri Modello'!$A$39:$A$42,0))="",INDEX('Parametri Modello'!$C$39:$C$42,MATCH($B34,'Parametri Modello'!$A$39:$A$42,0))=0),0,($O34/INDEX('Parametri Modello'!$C$39:$C$42,MATCH($B34,'Parametri Modello'!$A$39:$A$42,0)))*(INDEX('Parametri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46</v>
      </c>
      <c r="H34" s="27" t="n">
        <f aca="false">IFERROR(ROUND((IF(OR(INDEX('Parametri Modello'!$C$39:$C$42,MATCH($B34,'Parametri Modello'!$A$39:$A$42,0))="",INDEX('Parametri Modello'!$C$39:$C$42,MATCH($B34,'Parametri Modello'!$A$39:$A$42,0))=0),0,($O34/INDEX('Parametri Modello'!$C$39:$C$42,MATCH($B34,'Parametri Modello'!$A$39:$A$42,0)))*(INDEX('Parametri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85</v>
      </c>
      <c r="I34" s="26" t="n">
        <f aca="false">IFERROR(INDEX('Input Statistiche 2025_26'!$F$3:$F$665,MATCH($A34,'Input Statistiche 2025_26'!$A$3:$A$665,0)),"")</f>
        <v>35</v>
      </c>
      <c r="J34" s="26" t="n">
        <f aca="false">IFERROR(IF($I34="","",MAX(0,38-$I34)),"")</f>
        <v>3</v>
      </c>
      <c r="K34" s="26" t="n">
        <f aca="false">IFERROR(INDEX('Input Statistiche 2025_26'!$I$3:$I$665,MATCH($A34,'Input Statistiche 2025_26'!$A$3:$A$665,0)),"")</f>
        <v>7</v>
      </c>
      <c r="L34" s="26" t="n">
        <f aca="false">IFERROR(INDEX('Input Statistiche 2025_26'!$O$3:$O$665,MATCH($A34,'Input Statistiche 2025_26'!$A$3:$A$665,0)),"")</f>
        <v>1</v>
      </c>
      <c r="M34" s="28"/>
      <c r="N34" s="27" t="n">
        <f aca="false">IFERROR(INDEX('Input Giocatori 2026_27'!$E$3:$E$493,MATCH($A34,'Input Giocatori 2026_27'!$A$3:$A$493,0)),"")</f>
        <v>14</v>
      </c>
      <c r="O34" s="27" t="n">
        <f aca="false">IFERROR(INDEX('Input Giocatori 2026_27'!$G$3:$G$493,MATCH($A34,'Input Giocatori 2026_27'!$A$3:$A$493,0)),"")</f>
        <v>83</v>
      </c>
      <c r="P34" s="26" t="str">
        <f aca="false">IFERROR(IF($O34="","",IF((1-(COUNTIFS($B$2:$B$492,$B34,$O$2:$O$492,"&gt;"&amp;$O34)+1-1)/COUNTIF($B$2:$B$492,$B34))&gt;=0.85,"Top",IF((1-(COUNTIFS($B$2:$B$492,$B34,$O$2:$O$492,"&gt;"&amp;$O34)+1-1)/COUNTIF($B$2:$B$492,$B34))&gt;=0.6,"Buono",IF((1-(COUNTIFS($B$2:$B$492,$B34,$O$2:$O$492,"&gt;"&amp;$O34)+1-1)/COUNTIF($B$2:$B$492,$B34))&gt;=0.3,"Nella Media","Scommessa/Riserva")))),"")</f>
        <v>Buono</v>
      </c>
      <c r="Q34" s="29" t="n">
        <f aca="false">IF($D34="",COUNTIF($D$2:$D34,""),"")</f>
        <v>33</v>
      </c>
      <c r="R34" s="29" t="str">
        <f aca="false">IF($D34='Info Lega'!$B$28,COUNTIFS($D$2:$D34,'Info Lega'!$B$28),"")</f>
        <v/>
      </c>
      <c r="S34" s="30" t="n">
        <f aca="false">IFERROR(INDEX('Input Statistiche 2025_26'!$G$3:$G$665,MATCH($A34,'Input Statistiche 2025_26'!$A$3:$A$665,0)),"")</f>
        <v>5.93</v>
      </c>
      <c r="T34" s="30" t="n">
        <f aca="false">IFERROR(INDEX('Input Statistiche 2025_26'!$H$3:$H$665,MATCH($A34,'Input Statistiche 2025_26'!$A$3:$A$665,0)),"")</f>
        <v>6.51</v>
      </c>
      <c r="U34" s="26" t="str">
        <f aca="false">IF(OR('La Mia Rosa'!$O$12="",$D34&lt;&gt;""),"",IF($F34&lt;='La Mia Rosa'!$O$12*'Parametri Modello'!$B$24,"OK",IF($F34&lt;='La Mia Rosa'!$O$12*'Parametri Modello'!$B$25,"Attenzione","Rischio Alto")))</f>
        <v>Attenzione</v>
      </c>
      <c r="V34" s="26" t="n">
        <f aca="false">IFERROR(COUNTIFS($B$2:$B$492,$B34,$O$2:$O$492,"&gt;"&amp;$O34)+1,"")</f>
        <v>19</v>
      </c>
      <c r="W34" s="21" t="n">
        <f aca="false">'Info Lega'!$B$4-SUMIFS($M$2:$M$492,$D$2:$D$492,'Info Lega'!$B$28)</f>
        <v>1000</v>
      </c>
      <c r="X34" s="21" t="n">
        <f aca="false">('Info Lega'!$B$5-COUNTIFS($D$2:$D$492,'Info Lega'!$B$28,$B$2:$B$492,"P"))+('Info Lega'!$B$6-COUNTIFS($D$2:$D$492,'Info Lega'!$B$28,$B$2:$B$492,"D"))+('Info Lega'!$B$7-COUNTIFS($D$2:$D$492,'Info Lega'!$B$28,$B$2:$B$492,"C"))+('Info Lega'!$B$8-COUNTIFS($D$2:$D$492,'Info Lega'!$B$28,$B$2:$B$492,"A"))</f>
        <v>25</v>
      </c>
      <c r="Y34" s="21" t="n">
        <f aca="false">X34*'Parametri Modello'!$B$30</f>
        <v>25</v>
      </c>
      <c r="Z34" s="21" t="n">
        <f aca="false">MAX(0,W34-Y34)</f>
        <v>975</v>
      </c>
      <c r="AA34" s="21" t="n">
        <f aca="false">MIN(F34,Z34)</f>
        <v>73</v>
      </c>
      <c r="AB34" s="21"/>
      <c r="AC34" s="21" t="str">
        <f aca="false">IF(AB34="","",IF(AB34&gt;AA34,"PASS",IF(AB34&lt;=AA34*0.85,"BID","ATTENZIONE")))</f>
        <v/>
      </c>
      <c r="AD34" s="31" t="n">
        <f aca="false">IF(I34="","",ROUND(100*(1-EXP(-I34/30)),0))</f>
        <v>69</v>
      </c>
      <c r="AE34" s="7" t="str">
        <f aca="false">IFERROR(INDEX('Stato Asta'!$G$9:$G$12,MATCH($B34,'Stato Asta'!$A$9:$A$12,0)),"")</f>
        <v>🔴 Non aspettare</v>
      </c>
    </row>
    <row r="35" customFormat="false" ht="14.25" hidden="false" customHeight="true" outlineLevel="0" collapsed="false">
      <c r="A35" s="21" t="n">
        <v>1870</v>
      </c>
      <c r="B35" s="21" t="s">
        <v>45</v>
      </c>
      <c r="C35" s="21" t="s">
        <v>376</v>
      </c>
      <c r="E35" s="26" t="str">
        <f aca="false">IF(COUNTIF('Info Strategia'!$D$2:$D$51,$C35)&gt;0,"SI","NO")</f>
        <v>NO</v>
      </c>
      <c r="F35" s="27" t="n">
        <f aca="false">IFERROR(ROUND(($G35+($H35-$G35)*'Info Strategia'!$B$6)*(1+IF($E35="SI",'Parametri Modello'!$B$7*'Info Strategia'!$B$6,0)),0),"")</f>
        <v>46</v>
      </c>
      <c r="G35" s="27" t="n">
        <f aca="false">IFERROR(ROUND((IF(OR(INDEX('Parametri Modello'!$C$39:$C$42,MATCH($B35,'Parametri Modello'!$A$39:$A$42,0))="",INDEX('Parametri Modello'!$C$39:$C$42,MATCH($B35,'Parametri Modello'!$A$39:$A$42,0))=0),0,($O35/INDEX('Parametri Modello'!$C$39:$C$42,MATCH($B35,'Parametri Modello'!$A$39:$A$42,0)))*(INDEX('Parametri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31</v>
      </c>
      <c r="H35" s="27" t="n">
        <f aca="false">IFERROR(ROUND((IF(OR(INDEX('Parametri Modello'!$C$39:$C$42,MATCH($B35,'Parametri Modello'!$A$39:$A$42,0))="",INDEX('Parametri Modello'!$C$39:$C$42,MATCH($B35,'Parametri Modello'!$A$39:$A$42,0))=0),0,($O35/INDEX('Parametri Modello'!$C$39:$C$42,MATCH($B35,'Parametri Modello'!$A$39:$A$42,0)))*(INDEX('Parametri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52</v>
      </c>
      <c r="I35" s="26" t="n">
        <f aca="false">IFERROR(INDEX('Input Statistiche 2025_26'!$F$3:$F$665,MATCH($A35,'Input Statistiche 2025_26'!$A$3:$A$665,0)),"")</f>
        <v>34</v>
      </c>
      <c r="J35" s="26" t="n">
        <f aca="false">IFERROR(IF($I35="","",MAX(0,38-$I35)),"")</f>
        <v>4</v>
      </c>
      <c r="K35" s="26" t="n">
        <f aca="false">IFERROR(INDEX('Input Statistiche 2025_26'!$I$3:$I$665,MATCH($A35,'Input Statistiche 2025_26'!$A$3:$A$665,0)),"")</f>
        <v>3</v>
      </c>
      <c r="L35" s="26" t="n">
        <f aca="false">IFERROR(INDEX('Input Statistiche 2025_26'!$O$3:$O$665,MATCH($A35,'Input Statistiche 2025_26'!$A$3:$A$665,0)),"")</f>
        <v>9</v>
      </c>
      <c r="M35" s="28"/>
      <c r="N35" s="27" t="n">
        <f aca="false">IFERROR(INDEX('Input Giocatori 2026_27'!$E$3:$E$493,MATCH($A35,'Input Giocatori 2026_27'!$A$3:$A$493,0)),"")</f>
        <v>17</v>
      </c>
      <c r="O35" s="27" t="n">
        <f aca="false">IFERROR(INDEX('Input Giocatori 2026_27'!$G$3:$G$493,MATCH($A35,'Input Giocatori 2026_27'!$A$3:$A$493,0)),"")</f>
        <v>82</v>
      </c>
      <c r="P35" s="26" t="str">
        <f aca="false">IFERROR(IF($O35="","",IF((1-(COUNTIFS($B$2:$B$492,$B35,$O$2:$O$492,"&gt;"&amp;$O35)+1-1)/COUNTIF($B$2:$B$492,$B35))&gt;=0.85,"Top",IF((1-(COUNTIFS($B$2:$B$492,$B35,$O$2:$O$492,"&gt;"&amp;$O35)+1-1)/COUNTIF($B$2:$B$492,$B35))&gt;=0.6,"Buono",IF((1-(COUNTIFS($B$2:$B$492,$B35,$O$2:$O$492,"&gt;"&amp;$O35)+1-1)/COUNTIF($B$2:$B$492,$B35))&gt;=0.3,"Nella Media","Scommessa/Riserva")))),"")</f>
        <v>Top</v>
      </c>
      <c r="Q35" s="29" t="n">
        <f aca="false">IF($D35="",COUNTIF($D$2:$D35,""),"")</f>
        <v>34</v>
      </c>
      <c r="R35" s="29" t="str">
        <f aca="false">IF($D35='Info Lega'!$B$28,COUNTIFS($D$2:$D35,'Info Lega'!$B$28),"")</f>
        <v/>
      </c>
      <c r="S35" s="30" t="n">
        <f aca="false">IFERROR(INDEX('Input Statistiche 2025_26'!$G$3:$G$665,MATCH($A35,'Input Statistiche 2025_26'!$A$3:$A$665,0)),"")</f>
        <v>6.28</v>
      </c>
      <c r="T35" s="30" t="n">
        <f aca="false">IFERROR(INDEX('Input Statistiche 2025_26'!$H$3:$H$665,MATCH($A35,'Input Statistiche 2025_26'!$A$3:$A$665,0)),"")</f>
        <v>6.71</v>
      </c>
      <c r="U35" s="26" t="str">
        <f aca="false">IF(OR('La Mia Rosa'!$O$12="",$D35&lt;&gt;""),"",IF($F35&lt;='La Mia Rosa'!$O$12*'Parametri Modello'!$B$24,"OK",IF($F35&lt;='La Mia Rosa'!$O$12*'Parametri Modello'!$B$25,"Attenzione","Rischio Alto")))</f>
        <v>OK</v>
      </c>
      <c r="V35" s="26" t="n">
        <f aca="false">IFERROR(COUNTIFS($B$2:$B$492,$B35,$O$2:$O$492,"&gt;"&amp;$O35)+1,"")</f>
        <v>13</v>
      </c>
      <c r="W35" s="21" t="n">
        <f aca="false">'Info Lega'!$B$4-SUMIFS($M$2:$M$492,$D$2:$D$492,'Info Lega'!$B$28)</f>
        <v>1000</v>
      </c>
      <c r="X35" s="21" t="n">
        <f aca="false">('Info Lega'!$B$5-COUNTIFS($D$2:$D$492,'Info Lega'!$B$28,$B$2:$B$492,"P"))+('Info Lega'!$B$6-COUNTIFS($D$2:$D$492,'Info Lega'!$B$28,$B$2:$B$492,"D"))+('Info Lega'!$B$7-COUNTIFS($D$2:$D$492,'Info Lega'!$B$28,$B$2:$B$492,"C"))+('Info Lega'!$B$8-COUNTIFS($D$2:$D$492,'Info Lega'!$B$28,$B$2:$B$492,"A"))</f>
        <v>25</v>
      </c>
      <c r="Y35" s="21" t="n">
        <f aca="false">X35*'Parametri Modello'!$B$30</f>
        <v>25</v>
      </c>
      <c r="Z35" s="21" t="n">
        <f aca="false">MAX(0,W35-Y35)</f>
        <v>975</v>
      </c>
      <c r="AA35" s="21" t="n">
        <f aca="false">MIN(F35,Z35)</f>
        <v>46</v>
      </c>
      <c r="AB35" s="21"/>
      <c r="AC35" s="21" t="str">
        <f aca="false">IF(AB35="","",IF(AB35&gt;AA35,"PASS",IF(AB35&lt;=AA35*0.85,"BID","ATTENZIONE")))</f>
        <v/>
      </c>
      <c r="AD35" s="31" t="n">
        <f aca="false">IF(I35="","",ROUND(100*(1-EXP(-I35/30)),0))</f>
        <v>68</v>
      </c>
      <c r="AE35" s="7" t="str">
        <f aca="false">IFERROR(INDEX('Stato Asta'!$G$9:$G$12,MATCH($B35,'Stato Asta'!$A$9:$A$12,0)),"")</f>
        <v>🟡 Attesa rischiosa</v>
      </c>
    </row>
    <row r="36" customFormat="false" ht="14.25" hidden="false" customHeight="true" outlineLevel="0" collapsed="false">
      <c r="A36" s="21" t="n">
        <v>2061</v>
      </c>
      <c r="B36" s="21" t="s">
        <v>46</v>
      </c>
      <c r="C36" s="21" t="s">
        <v>557</v>
      </c>
      <c r="E36" s="26" t="str">
        <f aca="false">IF(COUNTIF('Info Strategia'!$D$2:$D$51,$C36)&gt;0,"SI","NO")</f>
        <v>NO</v>
      </c>
      <c r="F36" s="27" t="n">
        <f aca="false">IFERROR(ROUND(($G36+($H36-$G36)*'Info Strategia'!$B$6)*(1+IF($E36="SI",'Parametri Modello'!$B$7*'Info Strategia'!$B$6,0)),0),"")</f>
        <v>74</v>
      </c>
      <c r="G36" s="27" t="n">
        <f aca="false">IFERROR(ROUND((IF(OR(INDEX('Parametri Modello'!$C$39:$C$42,MATCH($B36,'Parametri Modello'!$A$39:$A$42,0))="",INDEX('Parametri Modello'!$C$39:$C$42,MATCH($B36,'Parametri Modello'!$A$39:$A$42,0))=0),0,($O36/INDEX('Parametri Modello'!$C$39:$C$42,MATCH($B36,'Parametri Modello'!$A$39:$A$42,0)))*(INDEX('Parametri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46</v>
      </c>
      <c r="H36" s="27" t="n">
        <f aca="false">IFERROR(ROUND((IF(OR(INDEX('Parametri Modello'!$C$39:$C$42,MATCH($B36,'Parametri Modello'!$A$39:$A$42,0))="",INDEX('Parametri Modello'!$C$39:$C$42,MATCH($B36,'Parametri Modello'!$A$39:$A$42,0))=0),0,($O36/INDEX('Parametri Modello'!$C$39:$C$42,MATCH($B36,'Parametri Modello'!$A$39:$A$42,0)))*(INDEX('Parametri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86</v>
      </c>
      <c r="I36" s="26" t="n">
        <f aca="false">IFERROR(INDEX('Input Statistiche 2025_26'!$F$3:$F$665,MATCH($A36,'Input Statistiche 2025_26'!$A$3:$A$665,0)),"")</f>
        <v>32</v>
      </c>
      <c r="J36" s="26" t="n">
        <f aca="false">IFERROR(IF($I36="","",MAX(0,38-$I36)),"")</f>
        <v>6</v>
      </c>
      <c r="K36" s="26" t="n">
        <f aca="false">IFERROR(INDEX('Input Statistiche 2025_26'!$I$3:$I$665,MATCH($A36,'Input Statistiche 2025_26'!$A$3:$A$665,0)),"")</f>
        <v>11</v>
      </c>
      <c r="L36" s="26" t="n">
        <f aca="false">IFERROR(INDEX('Input Statistiche 2025_26'!$O$3:$O$665,MATCH($A36,'Input Statistiche 2025_26'!$A$3:$A$665,0)),"")</f>
        <v>0</v>
      </c>
      <c r="M36" s="28"/>
      <c r="N36" s="27" t="n">
        <f aca="false">IFERROR(INDEX('Input Giocatori 2026_27'!$E$3:$E$493,MATCH($A36,'Input Giocatori 2026_27'!$A$3:$A$493,0)),"")</f>
        <v>15</v>
      </c>
      <c r="O36" s="27" t="n">
        <f aca="false">IFERROR(INDEX('Input Giocatori 2026_27'!$G$3:$G$493,MATCH($A36,'Input Giocatori 2026_27'!$A$3:$A$493,0)),"")</f>
        <v>82</v>
      </c>
      <c r="P36" s="26" t="str">
        <f aca="false">IFERROR(IF($O36="","",IF((1-(COUNTIFS($B$2:$B$492,$B36,$O$2:$O$492,"&gt;"&amp;$O36)+1-1)/COUNTIF($B$2:$B$492,$B36))&gt;=0.85,"Top",IF((1-(COUNTIFS($B$2:$B$492,$B36,$O$2:$O$492,"&gt;"&amp;$O36)+1-1)/COUNTIF($B$2:$B$492,$B36))&gt;=0.6,"Buono",IF((1-(COUNTIFS($B$2:$B$492,$B36,$O$2:$O$492,"&gt;"&amp;$O36)+1-1)/COUNTIF($B$2:$B$492,$B36))&gt;=0.3,"Nella Media","Scommessa/Riserva")))),"")</f>
        <v>Buono</v>
      </c>
      <c r="Q36" s="29" t="n">
        <f aca="false">IF($D36="",COUNTIF($D$2:$D36,""),"")</f>
        <v>35</v>
      </c>
      <c r="R36" s="29" t="str">
        <f aca="false">IF($D36='Info Lega'!$B$28,COUNTIFS($D$2:$D36,'Info Lega'!$B$28),"")</f>
        <v/>
      </c>
      <c r="S36" s="30" t="n">
        <f aca="false">IFERROR(INDEX('Input Statistiche 2025_26'!$G$3:$G$665,MATCH($A36,'Input Statistiche 2025_26'!$A$3:$A$665,0)),"")</f>
        <v>6.08</v>
      </c>
      <c r="T36" s="30" t="n">
        <f aca="false">IFERROR(INDEX('Input Statistiche 2025_26'!$H$3:$H$665,MATCH($A36,'Input Statistiche 2025_26'!$A$3:$A$665,0)),"")</f>
        <v>7.09</v>
      </c>
      <c r="U36" s="26" t="str">
        <f aca="false">IF(OR('La Mia Rosa'!$O$12="",$D36&lt;&gt;""),"",IF($F36&lt;='La Mia Rosa'!$O$12*'Parametri Modello'!$B$24,"OK",IF($F36&lt;='La Mia Rosa'!$O$12*'Parametri Modello'!$B$25,"Attenzione","Rischio Alto")))</f>
        <v>Attenzione</v>
      </c>
      <c r="V36" s="26" t="n">
        <f aca="false">IFERROR(COUNTIFS($B$2:$B$492,$B36,$O$2:$O$492,"&gt;"&amp;$O36)+1,"")</f>
        <v>20</v>
      </c>
      <c r="W36" s="21" t="n">
        <f aca="false">'Info Lega'!$B$4-SUMIFS($M$2:$M$492,$D$2:$D$492,'Info Lega'!$B$28)</f>
        <v>1000</v>
      </c>
      <c r="X36" s="21" t="n">
        <f aca="false">('Info Lega'!$B$5-COUNTIFS($D$2:$D$492,'Info Lega'!$B$28,$B$2:$B$492,"P"))+('Info Lega'!$B$6-COUNTIFS($D$2:$D$492,'Info Lega'!$B$28,$B$2:$B$492,"D"))+('Info Lega'!$B$7-COUNTIFS($D$2:$D$492,'Info Lega'!$B$28,$B$2:$B$492,"C"))+('Info Lega'!$B$8-COUNTIFS($D$2:$D$492,'Info Lega'!$B$28,$B$2:$B$492,"A"))</f>
        <v>25</v>
      </c>
      <c r="Y36" s="21" t="n">
        <f aca="false">X36*'Parametri Modello'!$B$30</f>
        <v>25</v>
      </c>
      <c r="Z36" s="21" t="n">
        <f aca="false">MAX(0,W36-Y36)</f>
        <v>975</v>
      </c>
      <c r="AA36" s="21" t="n">
        <f aca="false">MIN(F36,Z36)</f>
        <v>74</v>
      </c>
      <c r="AB36" s="21"/>
      <c r="AC36" s="21" t="str">
        <f aca="false">IF(AB36="","",IF(AB36&gt;AA36,"PASS",IF(AB36&lt;=AA36*0.85,"BID","ATTENZIONE")))</f>
        <v/>
      </c>
      <c r="AD36" s="31" t="n">
        <f aca="false">IF(I36="","",ROUND(100*(1-EXP(-I36/30)),0))</f>
        <v>66</v>
      </c>
      <c r="AE36" s="7" t="str">
        <f aca="false">IFERROR(INDEX('Stato Asta'!$G$9:$G$12,MATCH($B36,'Stato Asta'!$A$9:$A$12,0)),"")</f>
        <v>🔴 Non aspettare</v>
      </c>
    </row>
    <row r="37" customFormat="false" ht="14.25" hidden="false" customHeight="true" outlineLevel="0" collapsed="false">
      <c r="A37" s="21" t="n">
        <v>7023</v>
      </c>
      <c r="B37" s="21" t="s">
        <v>46</v>
      </c>
      <c r="C37" s="21" t="s">
        <v>555</v>
      </c>
      <c r="E37" s="26" t="str">
        <f aca="false">IF(COUNTIF('Info Strategia'!$D$2:$D$51,$C37)&gt;0,"SI","NO")</f>
        <v>NO</v>
      </c>
      <c r="F37" s="27" t="n">
        <f aca="false">IFERROR(ROUND(($G37+($H37-$G37)*'Info Strategia'!$B$6)*(1+IF($E37="SI",'Parametri Modello'!$B$7*'Info Strategia'!$B$6,0)),0),"")</f>
        <v>72</v>
      </c>
      <c r="G37" s="27" t="n">
        <f aca="false">IFERROR(ROUND((IF(OR(INDEX('Parametri Modello'!$C$39:$C$42,MATCH($B37,'Parametri Modello'!$A$39:$A$42,0))="",INDEX('Parametri Modello'!$C$39:$C$42,MATCH($B37,'Parametri Modello'!$A$39:$A$42,0))=0),0,($O37/INDEX('Parametri Modello'!$C$39:$C$42,MATCH($B37,'Parametri Modello'!$A$39:$A$42,0)))*(INDEX('Parametri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45</v>
      </c>
      <c r="H37" s="27" t="n">
        <f aca="false">IFERROR(ROUND((IF(OR(INDEX('Parametri Modello'!$C$39:$C$42,MATCH($B37,'Parametri Modello'!$A$39:$A$42,0))="",INDEX('Parametri Modello'!$C$39:$C$42,MATCH($B37,'Parametri Modello'!$A$39:$A$42,0))=0),0,($O37/INDEX('Parametri Modello'!$C$39:$C$42,MATCH($B37,'Parametri Modello'!$A$39:$A$42,0)))*(INDEX('Parametri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84</v>
      </c>
      <c r="I37" s="26" t="n">
        <f aca="false">IFERROR(INDEX('Input Statistiche 2025_26'!$F$3:$F$665,MATCH($A37,'Input Statistiche 2025_26'!$A$3:$A$665,0)),"")</f>
        <v>37</v>
      </c>
      <c r="J37" s="26" t="n">
        <f aca="false">IFERROR(IF($I37="","",MAX(0,38-$I37)),"")</f>
        <v>1</v>
      </c>
      <c r="K37" s="26" t="n">
        <f aca="false">IFERROR(INDEX('Input Statistiche 2025_26'!$I$3:$I$665,MATCH($A37,'Input Statistiche 2025_26'!$A$3:$A$665,0)),"")</f>
        <v>9</v>
      </c>
      <c r="L37" s="26" t="n">
        <f aca="false">IFERROR(INDEX('Input Statistiche 2025_26'!$O$3:$O$665,MATCH($A37,'Input Statistiche 2025_26'!$A$3:$A$665,0)),"")</f>
        <v>0</v>
      </c>
      <c r="M37" s="28"/>
      <c r="N37" s="27" t="n">
        <f aca="false">IFERROR(INDEX('Input Giocatori 2026_27'!$E$3:$E$493,MATCH($A37,'Input Giocatori 2026_27'!$A$3:$A$493,0)),"")</f>
        <v>15</v>
      </c>
      <c r="O37" s="27" t="n">
        <f aca="false">IFERROR(INDEX('Input Giocatori 2026_27'!$G$3:$G$493,MATCH($A37,'Input Giocatori 2026_27'!$A$3:$A$493,0)),"")</f>
        <v>81</v>
      </c>
      <c r="P37" s="26" t="str">
        <f aca="false">IFERROR(IF($O37="","",IF((1-(COUNTIFS($B$2:$B$492,$B37,$O$2:$O$492,"&gt;"&amp;$O37)+1-1)/COUNTIF($B$2:$B$492,$B37))&gt;=0.85,"Top",IF((1-(COUNTIFS($B$2:$B$492,$B37,$O$2:$O$492,"&gt;"&amp;$O37)+1-1)/COUNTIF($B$2:$B$492,$B37))&gt;=0.6,"Buono",IF((1-(COUNTIFS($B$2:$B$492,$B37,$O$2:$O$492,"&gt;"&amp;$O37)+1-1)/COUNTIF($B$2:$B$492,$B37))&gt;=0.3,"Nella Media","Scommessa/Riserva")))),"")</f>
        <v>Buono</v>
      </c>
      <c r="Q37" s="29" t="n">
        <f aca="false">IF($D37="",COUNTIF($D$2:$D37,""),"")</f>
        <v>36</v>
      </c>
      <c r="R37" s="29" t="str">
        <f aca="false">IF($D37='Info Lega'!$B$28,COUNTIFS($D$2:$D37,'Info Lega'!$B$28),"")</f>
        <v/>
      </c>
      <c r="S37" s="30" t="n">
        <f aca="false">IFERROR(INDEX('Input Statistiche 2025_26'!$G$3:$G$665,MATCH($A37,'Input Statistiche 2025_26'!$A$3:$A$665,0)),"")</f>
        <v>5.99</v>
      </c>
      <c r="T37" s="30" t="n">
        <f aca="false">IFERROR(INDEX('Input Statistiche 2025_26'!$H$3:$H$665,MATCH($A37,'Input Statistiche 2025_26'!$A$3:$A$665,0)),"")</f>
        <v>6.65</v>
      </c>
      <c r="U37" s="26" t="str">
        <f aca="false">IF(OR('La Mia Rosa'!$O$12="",$D37&lt;&gt;""),"",IF($F37&lt;='La Mia Rosa'!$O$12*'Parametri Modello'!$B$24,"OK",IF($F37&lt;='La Mia Rosa'!$O$12*'Parametri Modello'!$B$25,"Attenzione","Rischio Alto")))</f>
        <v>Attenzione</v>
      </c>
      <c r="V37" s="26" t="n">
        <f aca="false">IFERROR(COUNTIFS($B$2:$B$492,$B37,$O$2:$O$492,"&gt;"&amp;$O37)+1,"")</f>
        <v>21</v>
      </c>
      <c r="W37" s="21" t="n">
        <f aca="false">'Info Lega'!$B$4-SUMIFS($M$2:$M$492,$D$2:$D$492,'Info Lega'!$B$28)</f>
        <v>1000</v>
      </c>
      <c r="X37" s="21" t="n">
        <f aca="false">('Info Lega'!$B$5-COUNTIFS($D$2:$D$492,'Info Lega'!$B$28,$B$2:$B$492,"P"))+('Info Lega'!$B$6-COUNTIFS($D$2:$D$492,'Info Lega'!$B$28,$B$2:$B$492,"D"))+('Info Lega'!$B$7-COUNTIFS($D$2:$D$492,'Info Lega'!$B$28,$B$2:$B$492,"C"))+('Info Lega'!$B$8-COUNTIFS($D$2:$D$492,'Info Lega'!$B$28,$B$2:$B$492,"A"))</f>
        <v>25</v>
      </c>
      <c r="Y37" s="21" t="n">
        <f aca="false">X37*'Parametri Modello'!$B$30</f>
        <v>25</v>
      </c>
      <c r="Z37" s="21" t="n">
        <f aca="false">MAX(0,W37-Y37)</f>
        <v>975</v>
      </c>
      <c r="AA37" s="21" t="n">
        <f aca="false">MIN(F37,Z37)</f>
        <v>72</v>
      </c>
      <c r="AB37" s="21"/>
      <c r="AC37" s="21" t="str">
        <f aca="false">IF(AB37="","",IF(AB37&gt;AA37,"PASS",IF(AB37&lt;=AA37*0.85,"BID","ATTENZIONE")))</f>
        <v/>
      </c>
      <c r="AD37" s="31" t="n">
        <f aca="false">IF(I37="","",ROUND(100*(1-EXP(-I37/30)),0))</f>
        <v>71</v>
      </c>
      <c r="AE37" s="7" t="str">
        <f aca="false">IFERROR(INDEX('Stato Asta'!$G$9:$G$12,MATCH($B37,'Stato Asta'!$A$9:$A$12,0)),"")</f>
        <v>🔴 Non aspettare</v>
      </c>
    </row>
    <row r="38" customFormat="false" ht="14.25" hidden="false" customHeight="true" outlineLevel="0" collapsed="false">
      <c r="A38" s="21" t="n">
        <v>5687</v>
      </c>
      <c r="B38" s="21" t="s">
        <v>45</v>
      </c>
      <c r="C38" s="21" t="s">
        <v>380</v>
      </c>
      <c r="E38" s="26" t="str">
        <f aca="false">IF(COUNTIF('Info Strategia'!$D$2:$D$51,$C38)&gt;0,"SI","NO")</f>
        <v>NO</v>
      </c>
      <c r="F38" s="27" t="n">
        <f aca="false">IFERROR(ROUND(($G38+($H38-$G38)*'Info Strategia'!$B$6)*(1+IF($E38="SI",'Parametri Modello'!$B$7*'Info Strategia'!$B$6,0)),0),"")</f>
        <v>44</v>
      </c>
      <c r="G38" s="27" t="n">
        <f aca="false">IFERROR(ROUND((IF(OR(INDEX('Parametri Modello'!$C$39:$C$42,MATCH($B38,'Parametri Modello'!$A$39:$A$42,0))="",INDEX('Parametri Modello'!$C$39:$C$42,MATCH($B38,'Parametri Modello'!$A$39:$A$42,0))=0),0,($O38/INDEX('Parametri Modello'!$C$39:$C$42,MATCH($B38,'Parametri Modello'!$A$39:$A$42,0)))*(INDEX('Parametri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30</v>
      </c>
      <c r="H38" s="27" t="n">
        <f aca="false">IFERROR(ROUND((IF(OR(INDEX('Parametri Modello'!$C$39:$C$42,MATCH($B38,'Parametri Modello'!$A$39:$A$42,0))="",INDEX('Parametri Modello'!$C$39:$C$42,MATCH($B38,'Parametri Modello'!$A$39:$A$42,0))=0),0,($O38/INDEX('Parametri Modello'!$C$39:$C$42,MATCH($B38,'Parametri Modello'!$A$39:$A$42,0)))*(INDEX('Parametri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50</v>
      </c>
      <c r="I38" s="26" t="n">
        <f aca="false">IFERROR(INDEX('Input Statistiche 2025_26'!$F$3:$F$665,MATCH($A38,'Input Statistiche 2025_26'!$A$3:$A$665,0)),"")</f>
        <v>37</v>
      </c>
      <c r="J38" s="26" t="n">
        <f aca="false">IFERROR(IF($I38="","",MAX(0,38-$I38)),"")</f>
        <v>1</v>
      </c>
      <c r="K38" s="26" t="n">
        <f aca="false">IFERROR(INDEX('Input Statistiche 2025_26'!$I$3:$I$665,MATCH($A38,'Input Statistiche 2025_26'!$A$3:$A$665,0)),"")</f>
        <v>8</v>
      </c>
      <c r="L38" s="26" t="n">
        <f aca="false">IFERROR(INDEX('Input Statistiche 2025_26'!$O$3:$O$665,MATCH($A38,'Input Statistiche 2025_26'!$A$3:$A$665,0)),"")</f>
        <v>3</v>
      </c>
      <c r="M38" s="28"/>
      <c r="N38" s="27" t="n">
        <f aca="false">IFERROR(INDEX('Input Giocatori 2026_27'!$E$3:$E$493,MATCH($A38,'Input Giocatori 2026_27'!$A$3:$A$493,0)),"")</f>
        <v>14</v>
      </c>
      <c r="O38" s="27" t="n">
        <f aca="false">IFERROR(INDEX('Input Giocatori 2026_27'!$G$3:$G$493,MATCH($A38,'Input Giocatori 2026_27'!$A$3:$A$493,0)),"")</f>
        <v>80</v>
      </c>
      <c r="P38" s="26" t="str">
        <f aca="false">IFERROR(IF($O38="","",IF((1-(COUNTIFS($B$2:$B$492,$B38,$O$2:$O$492,"&gt;"&amp;$O38)+1-1)/COUNTIF($B$2:$B$492,$B38))&gt;=0.85,"Top",IF((1-(COUNTIFS($B$2:$B$492,$B38,$O$2:$O$492,"&gt;"&amp;$O38)+1-1)/COUNTIF($B$2:$B$492,$B38))&gt;=0.6,"Buono",IF((1-(COUNTIFS($B$2:$B$492,$B38,$O$2:$O$492,"&gt;"&amp;$O38)+1-1)/COUNTIF($B$2:$B$492,$B38))&gt;=0.3,"Nella Media","Scommessa/Riserva")))),"")</f>
        <v>Top</v>
      </c>
      <c r="Q38" s="29" t="n">
        <f aca="false">IF($D38="",COUNTIF($D$2:$D38,""),"")</f>
        <v>37</v>
      </c>
      <c r="R38" s="29" t="str">
        <f aca="false">IF($D38='Info Lega'!$B$28,COUNTIFS($D$2:$D38,'Info Lega'!$B$28),"")</f>
        <v/>
      </c>
      <c r="S38" s="30" t="n">
        <f aca="false">IFERROR(INDEX('Input Statistiche 2025_26'!$G$3:$G$665,MATCH($A38,'Input Statistiche 2025_26'!$A$3:$A$665,0)),"")</f>
        <v>6.03</v>
      </c>
      <c r="T38" s="30" t="n">
        <f aca="false">IFERROR(INDEX('Input Statistiche 2025_26'!$H$3:$H$665,MATCH($A38,'Input Statistiche 2025_26'!$A$3:$A$665,0)),"")</f>
        <v>6.66</v>
      </c>
      <c r="U38" s="26" t="str">
        <f aca="false">IF(OR('La Mia Rosa'!$O$12="",$D38&lt;&gt;""),"",IF($F38&lt;='La Mia Rosa'!$O$12*'Parametri Modello'!$B$24,"OK",IF($F38&lt;='La Mia Rosa'!$O$12*'Parametri Modello'!$B$25,"Attenzione","Rischio Alto")))</f>
        <v>OK</v>
      </c>
      <c r="V38" s="26" t="n">
        <f aca="false">IFERROR(COUNTIFS($B$2:$B$492,$B38,$O$2:$O$492,"&gt;"&amp;$O38)+1,"")</f>
        <v>14</v>
      </c>
      <c r="W38" s="21" t="n">
        <f aca="false">'Info Lega'!$B$4-SUMIFS($M$2:$M$492,$D$2:$D$492,'Info Lega'!$B$28)</f>
        <v>1000</v>
      </c>
      <c r="X38" s="21" t="n">
        <f aca="false">('Info Lega'!$B$5-COUNTIFS($D$2:$D$492,'Info Lega'!$B$28,$B$2:$B$492,"P"))+('Info Lega'!$B$6-COUNTIFS($D$2:$D$492,'Info Lega'!$B$28,$B$2:$B$492,"D"))+('Info Lega'!$B$7-COUNTIFS($D$2:$D$492,'Info Lega'!$B$28,$B$2:$B$492,"C"))+('Info Lega'!$B$8-COUNTIFS($D$2:$D$492,'Info Lega'!$B$28,$B$2:$B$492,"A"))</f>
        <v>25</v>
      </c>
      <c r="Y38" s="21" t="n">
        <f aca="false">X38*'Parametri Modello'!$B$30</f>
        <v>25</v>
      </c>
      <c r="Z38" s="21" t="n">
        <f aca="false">MAX(0,W38-Y38)</f>
        <v>975</v>
      </c>
      <c r="AA38" s="21" t="n">
        <f aca="false">MIN(F38,Z38)</f>
        <v>44</v>
      </c>
      <c r="AB38" s="21"/>
      <c r="AC38" s="21" t="str">
        <f aca="false">IF(AB38="","",IF(AB38&gt;AA38,"PASS",IF(AB38&lt;=AA38*0.85,"BID","ATTENZIONE")))</f>
        <v/>
      </c>
      <c r="AD38" s="31" t="n">
        <f aca="false">IF(I38="","",ROUND(100*(1-EXP(-I38/30)),0))</f>
        <v>71</v>
      </c>
      <c r="AE38" s="7" t="str">
        <f aca="false">IFERROR(INDEX('Stato Asta'!$G$9:$G$12,MATCH($B38,'Stato Asta'!$A$9:$A$12,0)),"")</f>
        <v>🟡 Attesa rischiosa</v>
      </c>
    </row>
    <row r="39" customFormat="false" ht="14.25" hidden="false" customHeight="true" outlineLevel="0" collapsed="false">
      <c r="A39" s="21" t="n">
        <v>4973</v>
      </c>
      <c r="B39" s="21" t="s">
        <v>45</v>
      </c>
      <c r="C39" s="21" t="s">
        <v>377</v>
      </c>
      <c r="E39" s="26" t="str">
        <f aca="false">IF(COUNTIF('Info Strategia'!$D$2:$D$51,$C39)&gt;0,"SI","NO")</f>
        <v>NO</v>
      </c>
      <c r="F39" s="27" t="n">
        <f aca="false">IFERROR(ROUND(($G39+($H39-$G39)*'Info Strategia'!$B$6)*(1+IF($E39="SI",'Parametri Modello'!$B$7*'Info Strategia'!$B$6,0)),0),"")</f>
        <v>38</v>
      </c>
      <c r="G39" s="27" t="n">
        <f aca="false">IFERROR(ROUND((IF(OR(INDEX('Parametri Modello'!$C$39:$C$42,MATCH($B39,'Parametri Modello'!$A$39:$A$42,0))="",INDEX('Parametri Modello'!$C$39:$C$42,MATCH($B39,'Parametri Modello'!$A$39:$A$42,0))=0),0,($O39/INDEX('Parametri Modello'!$C$39:$C$42,MATCH($B39,'Parametri Modello'!$A$39:$A$42,0)))*(INDEX('Parametri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26</v>
      </c>
      <c r="H39" s="27" t="n">
        <f aca="false">IFERROR(ROUND((IF(OR(INDEX('Parametri Modello'!$C$39:$C$42,MATCH($B39,'Parametri Modello'!$A$39:$A$42,0))="",INDEX('Parametri Modello'!$C$39:$C$42,MATCH($B39,'Parametri Modello'!$A$39:$A$42,0))=0),0,($O39/INDEX('Parametri Modello'!$C$39:$C$42,MATCH($B39,'Parametri Modello'!$A$39:$A$42,0)))*(INDEX('Parametri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43</v>
      </c>
      <c r="I39" s="26" t="n">
        <f aca="false">IFERROR(INDEX('Input Statistiche 2025_26'!$F$3:$F$665,MATCH($A39,'Input Statistiche 2025_26'!$A$3:$A$665,0)),"")</f>
        <v>34</v>
      </c>
      <c r="J39" s="26" t="n">
        <f aca="false">IFERROR(IF($I39="","",MAX(0,38-$I39)),"")</f>
        <v>4</v>
      </c>
      <c r="K39" s="26" t="n">
        <f aca="false">IFERROR(INDEX('Input Statistiche 2025_26'!$I$3:$I$665,MATCH($A39,'Input Statistiche 2025_26'!$A$3:$A$665,0)),"")</f>
        <v>5</v>
      </c>
      <c r="L39" s="26" t="n">
        <f aca="false">IFERROR(INDEX('Input Statistiche 2025_26'!$O$3:$O$665,MATCH($A39,'Input Statistiche 2025_26'!$A$3:$A$665,0)),"")</f>
        <v>6</v>
      </c>
      <c r="M39" s="28"/>
      <c r="N39" s="27" t="n">
        <f aca="false">IFERROR(INDEX('Input Giocatori 2026_27'!$E$3:$E$493,MATCH($A39,'Input Giocatori 2026_27'!$A$3:$A$493,0)),"")</f>
        <v>17</v>
      </c>
      <c r="O39" s="27" t="n">
        <f aca="false">IFERROR(INDEX('Input Giocatori 2026_27'!$G$3:$G$493,MATCH($A39,'Input Giocatori 2026_27'!$A$3:$A$493,0)),"")</f>
        <v>68</v>
      </c>
      <c r="P39" s="26" t="str">
        <f aca="false">IFERROR(IF($O39="","",IF((1-(COUNTIFS($B$2:$B$492,$B39,$O$2:$O$492,"&gt;"&amp;$O39)+1-1)/COUNTIF($B$2:$B$492,$B39))&gt;=0.85,"Top",IF((1-(COUNTIFS($B$2:$B$492,$B39,$O$2:$O$492,"&gt;"&amp;$O39)+1-1)/COUNTIF($B$2:$B$492,$B39))&gt;=0.6,"Buono",IF((1-(COUNTIFS($B$2:$B$492,$B39,$O$2:$O$492,"&gt;"&amp;$O39)+1-1)/COUNTIF($B$2:$B$492,$B39))&gt;=0.3,"Nella Media","Scommessa/Riserva")))),"")</f>
        <v>Top</v>
      </c>
      <c r="Q39" s="29" t="n">
        <f aca="false">IF($D39="",COUNTIF($D$2:$D39,""),"")</f>
        <v>38</v>
      </c>
      <c r="R39" s="29" t="str">
        <f aca="false">IF($D39='Info Lega'!$B$28,COUNTIFS($D$2:$D39,'Info Lega'!$B$28),"")</f>
        <v/>
      </c>
      <c r="S39" s="30" t="n">
        <f aca="false">IFERROR(INDEX('Input Statistiche 2025_26'!$G$3:$G$665,MATCH($A39,'Input Statistiche 2025_26'!$A$3:$A$665,0)),"")</f>
        <v>6.13</v>
      </c>
      <c r="T39" s="30" t="n">
        <f aca="false">IFERROR(INDEX('Input Statistiche 2025_26'!$H$3:$H$665,MATCH($A39,'Input Statistiche 2025_26'!$A$3:$A$665,0)),"")</f>
        <v>6.68</v>
      </c>
      <c r="U39" s="26" t="str">
        <f aca="false">IF(OR('La Mia Rosa'!$O$12="",$D39&lt;&gt;""),"",IF($F39&lt;='La Mia Rosa'!$O$12*'Parametri Modello'!$B$24,"OK",IF($F39&lt;='La Mia Rosa'!$O$12*'Parametri Modello'!$B$25,"Attenzione","Rischio Alto")))</f>
        <v>OK</v>
      </c>
      <c r="V39" s="26" t="n">
        <f aca="false">IFERROR(COUNTIFS($B$2:$B$492,$B39,$O$2:$O$492,"&gt;"&amp;$O39)+1,"")</f>
        <v>15</v>
      </c>
      <c r="W39" s="21" t="n">
        <f aca="false">'Info Lega'!$B$4-SUMIFS($M$2:$M$492,$D$2:$D$492,'Info Lega'!$B$28)</f>
        <v>1000</v>
      </c>
      <c r="X39" s="21" t="n">
        <f aca="false">('Info Lega'!$B$5-COUNTIFS($D$2:$D$492,'Info Lega'!$B$28,$B$2:$B$492,"P"))+('Info Lega'!$B$6-COUNTIFS($D$2:$D$492,'Info Lega'!$B$28,$B$2:$B$492,"D"))+('Info Lega'!$B$7-COUNTIFS($D$2:$D$492,'Info Lega'!$B$28,$B$2:$B$492,"C"))+('Info Lega'!$B$8-COUNTIFS($D$2:$D$492,'Info Lega'!$B$28,$B$2:$B$492,"A"))</f>
        <v>25</v>
      </c>
      <c r="Y39" s="21" t="n">
        <f aca="false">X39*'Parametri Modello'!$B$30</f>
        <v>25</v>
      </c>
      <c r="Z39" s="21" t="n">
        <f aca="false">MAX(0,W39-Y39)</f>
        <v>975</v>
      </c>
      <c r="AA39" s="21" t="n">
        <f aca="false">MIN(F39,Z39)</f>
        <v>38</v>
      </c>
      <c r="AB39" s="21"/>
      <c r="AC39" s="21" t="str">
        <f aca="false">IF(AB39="","",IF(AB39&gt;AA39,"PASS",IF(AB39&lt;=AA39*0.85,"BID","ATTENZIONE")))</f>
        <v/>
      </c>
      <c r="AD39" s="31" t="n">
        <f aca="false">IF(I39="","",ROUND(100*(1-EXP(-I39/30)),0))</f>
        <v>68</v>
      </c>
      <c r="AE39" s="7" t="str">
        <f aca="false">IFERROR(INDEX('Stato Asta'!$G$9:$G$12,MATCH($B39,'Stato Asta'!$A$9:$A$12,0)),"")</f>
        <v>🟡 Attesa rischiosa</v>
      </c>
    </row>
    <row r="40" customFormat="false" ht="14.25" hidden="false" customHeight="true" outlineLevel="0" collapsed="false">
      <c r="A40" s="21" t="n">
        <v>309</v>
      </c>
      <c r="B40" s="21" t="s">
        <v>46</v>
      </c>
      <c r="C40" s="21" t="s">
        <v>559</v>
      </c>
      <c r="E40" s="26" t="str">
        <f aca="false">IF(COUNTIF('Info Strategia'!$D$2:$D$51,$C40)&gt;0,"SI","NO")</f>
        <v>NO</v>
      </c>
      <c r="F40" s="27" t="n">
        <f aca="false">IFERROR(ROUND(($G40+($H40-$G40)*'Info Strategia'!$B$6)*(1+IF($E40="SI",'Parametri Modello'!$B$7*'Info Strategia'!$B$6,0)),0),"")</f>
        <v>59</v>
      </c>
      <c r="G40" s="27" t="n">
        <f aca="false">IFERROR(ROUND((IF(OR(INDEX('Parametri Modello'!$C$39:$C$42,MATCH($B40,'Parametri Modello'!$A$39:$A$42,0))="",INDEX('Parametri Modello'!$C$39:$C$42,MATCH($B40,'Parametri Modello'!$A$39:$A$42,0))=0),0,($O40/INDEX('Parametri Modello'!$C$39:$C$42,MATCH($B40,'Parametri Modello'!$A$39:$A$42,0)))*(INDEX('Parametri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37</v>
      </c>
      <c r="H40" s="27" t="n">
        <f aca="false">IFERROR(ROUND((IF(OR(INDEX('Parametri Modello'!$C$39:$C$42,MATCH($B40,'Parametri Modello'!$A$39:$A$42,0))="",INDEX('Parametri Modello'!$C$39:$C$42,MATCH($B40,'Parametri Modello'!$A$39:$A$42,0))=0),0,($O40/INDEX('Parametri Modello'!$C$39:$C$42,MATCH($B40,'Parametri Modello'!$A$39:$A$42,0)))*(INDEX('Parametri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69</v>
      </c>
      <c r="I40" s="26" t="n">
        <f aca="false">IFERROR(INDEX('Input Statistiche 2025_26'!$F$3:$F$665,MATCH($A40,'Input Statistiche 2025_26'!$A$3:$A$665,0)),"")</f>
        <v>21</v>
      </c>
      <c r="J40" s="26" t="n">
        <f aca="false">IFERROR(IF($I40="","",MAX(0,38-$I40)),"")</f>
        <v>17</v>
      </c>
      <c r="K40" s="26" t="n">
        <f aca="false">IFERROR(INDEX('Input Statistiche 2025_26'!$I$3:$I$665,MATCH($A40,'Input Statistiche 2025_26'!$A$3:$A$665,0)),"")</f>
        <v>2</v>
      </c>
      <c r="L40" s="26" t="n">
        <f aca="false">IFERROR(INDEX('Input Statistiche 2025_26'!$O$3:$O$665,MATCH($A40,'Input Statistiche 2025_26'!$A$3:$A$665,0)),"")</f>
        <v>7</v>
      </c>
      <c r="M40" s="28"/>
      <c r="N40" s="27" t="n">
        <f aca="false">IFERROR(INDEX('Input Giocatori 2026_27'!$E$3:$E$493,MATCH($A40,'Input Giocatori 2026_27'!$A$3:$A$493,0)),"")</f>
        <v>14</v>
      </c>
      <c r="O40" s="27" t="n">
        <f aca="false">IFERROR(INDEX('Input Giocatori 2026_27'!$G$3:$G$493,MATCH($A40,'Input Giocatori 2026_27'!$A$3:$A$493,0)),"")</f>
        <v>67</v>
      </c>
      <c r="P40" s="26" t="str">
        <f aca="false">IFERROR(IF($O40="","",IF((1-(COUNTIFS($B$2:$B$492,$B40,$O$2:$O$492,"&gt;"&amp;$O40)+1-1)/COUNTIF($B$2:$B$492,$B40))&gt;=0.85,"Top",IF((1-(COUNTIFS($B$2:$B$492,$B40,$O$2:$O$492,"&gt;"&amp;$O40)+1-1)/COUNTIF($B$2:$B$492,$B40))&gt;=0.6,"Buono",IF((1-(COUNTIFS($B$2:$B$492,$B40,$O$2:$O$492,"&gt;"&amp;$O40)+1-1)/COUNTIF($B$2:$B$492,$B40))&gt;=0.3,"Nella Media","Scommessa/Riserva")))),"")</f>
        <v>Buono</v>
      </c>
      <c r="Q40" s="29" t="n">
        <f aca="false">IF($D40="",COUNTIF($D$2:$D40,""),"")</f>
        <v>39</v>
      </c>
      <c r="R40" s="29" t="str">
        <f aca="false">IF($D40='Info Lega'!$B$28,COUNTIFS($D$2:$D40,'Info Lega'!$B$28),"")</f>
        <v/>
      </c>
      <c r="S40" s="30" t="n">
        <f aca="false">IFERROR(INDEX('Input Statistiche 2025_26'!$G$3:$G$665,MATCH($A40,'Input Statistiche 2025_26'!$A$3:$A$665,0)),"")</f>
        <v>6.26</v>
      </c>
      <c r="T40" s="30" t="n">
        <f aca="false">IFERROR(INDEX('Input Statistiche 2025_26'!$H$3:$H$665,MATCH($A40,'Input Statistiche 2025_26'!$A$3:$A$665,0)),"")</f>
        <v>6.74</v>
      </c>
      <c r="U40" s="26" t="str">
        <f aca="false">IF(OR('La Mia Rosa'!$O$12="",$D40&lt;&gt;""),"",IF($F40&lt;='La Mia Rosa'!$O$12*'Parametri Modello'!$B$24,"OK",IF($F40&lt;='La Mia Rosa'!$O$12*'Parametri Modello'!$B$25,"Attenzione","Rischio Alto")))</f>
        <v>OK</v>
      </c>
      <c r="V40" s="26" t="n">
        <f aca="false">IFERROR(COUNTIFS($B$2:$B$492,$B40,$O$2:$O$492,"&gt;"&amp;$O40)+1,"")</f>
        <v>22</v>
      </c>
      <c r="W40" s="21" t="n">
        <f aca="false">'Info Lega'!$B$4-SUMIFS($M$2:$M$492,$D$2:$D$492,'Info Lega'!$B$28)</f>
        <v>1000</v>
      </c>
      <c r="X40" s="21" t="n">
        <f aca="false">('Info Lega'!$B$5-COUNTIFS($D$2:$D$492,'Info Lega'!$B$28,$B$2:$B$492,"P"))+('Info Lega'!$B$6-COUNTIFS($D$2:$D$492,'Info Lega'!$B$28,$B$2:$B$492,"D"))+('Info Lega'!$B$7-COUNTIFS($D$2:$D$492,'Info Lega'!$B$28,$B$2:$B$492,"C"))+('Info Lega'!$B$8-COUNTIFS($D$2:$D$492,'Info Lega'!$B$28,$B$2:$B$492,"A"))</f>
        <v>25</v>
      </c>
      <c r="Y40" s="21" t="n">
        <f aca="false">X40*'Parametri Modello'!$B$30</f>
        <v>25</v>
      </c>
      <c r="Z40" s="21" t="n">
        <f aca="false">MAX(0,W40-Y40)</f>
        <v>975</v>
      </c>
      <c r="AA40" s="21" t="n">
        <f aca="false">MIN(F40,Z40)</f>
        <v>59</v>
      </c>
      <c r="AB40" s="21"/>
      <c r="AC40" s="21" t="str">
        <f aca="false">IF(AB40="","",IF(AB40&gt;AA40,"PASS",IF(AB40&lt;=AA40*0.85,"BID","ATTENZIONE")))</f>
        <v/>
      </c>
      <c r="AD40" s="31" t="n">
        <f aca="false">IF(I40="","",ROUND(100*(1-EXP(-I40/30)),0))</f>
        <v>50</v>
      </c>
      <c r="AE40" s="7" t="str">
        <f aca="false">IFERROR(INDEX('Stato Asta'!$G$9:$G$12,MATCH($B40,'Stato Asta'!$A$9:$A$12,0)),"")</f>
        <v>🔴 Non aspettare</v>
      </c>
    </row>
    <row r="41" customFormat="false" ht="14.25" hidden="false" customHeight="true" outlineLevel="0" collapsed="false">
      <c r="A41" s="21" t="n">
        <v>5841</v>
      </c>
      <c r="B41" s="21" t="s">
        <v>43</v>
      </c>
      <c r="C41" s="21" t="s">
        <v>112</v>
      </c>
      <c r="E41" s="26" t="str">
        <f aca="false">IF(COUNTIF('Info Strategia'!$D$2:$D$51,$C41)&gt;0,"SI","NO")</f>
        <v>NO</v>
      </c>
      <c r="F41" s="27" t="n">
        <f aca="false">IFERROR(ROUND(($G41+($H41-$G41)*'Info Strategia'!$B$6)*(1+IF($E41="SI",'Parametri Modello'!$B$7*'Info Strategia'!$B$6,0)),0),"")</f>
        <v>75</v>
      </c>
      <c r="G41" s="27" t="n">
        <f aca="false">IFERROR(ROUND((IF(OR(INDEX('Parametri Modello'!$C$39:$C$42,MATCH($B41,'Parametri Modello'!$A$39:$A$42,0))="",INDEX('Parametri Modello'!$C$39:$C$42,MATCH($B41,'Parametri Modello'!$A$39:$A$42,0))=0),0,($O41/INDEX('Parametri Modello'!$C$39:$C$42,MATCH($B41,'Parametri Modello'!$A$39:$A$42,0)))*(INDEX('Parametri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60</v>
      </c>
      <c r="H41" s="27" t="n">
        <f aca="false">IFERROR(ROUND((IF(OR(INDEX('Parametri Modello'!$C$39:$C$42,MATCH($B41,'Parametri Modello'!$A$39:$A$42,0))="",INDEX('Parametri Modello'!$C$39:$C$42,MATCH($B41,'Parametri Modello'!$A$39:$A$42,0))=0),0,($O41/INDEX('Parametri Modello'!$C$39:$C$42,MATCH($B41,'Parametri Modello'!$A$39:$A$42,0)))*(INDEX('Parametri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82</v>
      </c>
      <c r="I41" s="26" t="n">
        <f aca="false">IFERROR(INDEX('Input Statistiche 2025_26'!$F$3:$F$665,MATCH($A41,'Input Statistiche 2025_26'!$A$3:$A$665,0)),"")</f>
        <v>38</v>
      </c>
      <c r="J41" s="26" t="n">
        <f aca="false">IFERROR(IF($I41="","",MAX(0,38-$I41)),"")</f>
        <v>0</v>
      </c>
      <c r="K41" s="26" t="n">
        <f aca="false">IFERROR(INDEX('Input Statistiche 2025_26'!$I$3:$I$665,MATCH($A41,'Input Statistiche 2025_26'!$A$3:$A$665,0)),"")</f>
        <v>0</v>
      </c>
      <c r="L41" s="26" t="n">
        <f aca="false">IFERROR(INDEX('Input Statistiche 2025_26'!$O$3:$O$665,MATCH($A41,'Input Statistiche 2025_26'!$A$3:$A$665,0)),"")</f>
        <v>0</v>
      </c>
      <c r="M41" s="28"/>
      <c r="N41" s="27" t="n">
        <f aca="false">IFERROR(INDEX('Input Giocatori 2026_27'!$E$3:$E$493,MATCH($A41,'Input Giocatori 2026_27'!$A$3:$A$493,0)),"")</f>
        <v>18</v>
      </c>
      <c r="O41" s="27" t="n">
        <f aca="false">IFERROR(INDEX('Input Giocatori 2026_27'!$G$3:$G$493,MATCH($A41,'Input Giocatori 2026_27'!$A$3:$A$493,0)),"")</f>
        <v>65</v>
      </c>
      <c r="P41" s="26" t="str">
        <f aca="false">IFERROR(IF($O41="","",IF((1-(COUNTIFS($B$2:$B$492,$B41,$O$2:$O$492,"&gt;"&amp;$O41)+1-1)/COUNTIF($B$2:$B$492,$B41))&gt;=0.85,"Top",IF((1-(COUNTIFS($B$2:$B$492,$B41,$O$2:$O$492,"&gt;"&amp;$O41)+1-1)/COUNTIF($B$2:$B$492,$B41))&gt;=0.6,"Buono",IF((1-(COUNTIFS($B$2:$B$492,$B41,$O$2:$O$492,"&gt;"&amp;$O41)+1-1)/COUNTIF($B$2:$B$492,$B41))&gt;=0.3,"Nella Media","Scommessa/Riserva")))),"")</f>
        <v>Top</v>
      </c>
      <c r="Q41" s="29" t="n">
        <f aca="false">IF($D41="",COUNTIF($D$2:$D41,""),"")</f>
        <v>40</v>
      </c>
      <c r="R41" s="29" t="str">
        <f aca="false">IF($D41='Info Lega'!$B$28,COUNTIFS($D$2:$D41,'Info Lega'!$B$28),"")</f>
        <v/>
      </c>
      <c r="S41" s="30" t="n">
        <f aca="false">IFERROR(INDEX('Input Statistiche 2025_26'!$G$3:$G$665,MATCH($A41,'Input Statistiche 2025_26'!$A$3:$A$665,0)),"")</f>
        <v>6.26</v>
      </c>
      <c r="T41" s="30" t="n">
        <f aca="false">IFERROR(INDEX('Input Statistiche 2025_26'!$H$3:$H$665,MATCH($A41,'Input Statistiche 2025_26'!$A$3:$A$665,0)),"")</f>
        <v>5.45</v>
      </c>
      <c r="U41" s="26" t="str">
        <f aca="false">IF(OR('La Mia Rosa'!$O$12="",$D41&lt;&gt;""),"",IF($F41&lt;='La Mia Rosa'!$O$12*'Parametri Modello'!$B$24,"OK",IF($F41&lt;='La Mia Rosa'!$O$12*'Parametri Modello'!$B$25,"Attenzione","Rischio Alto")))</f>
        <v>Attenzione</v>
      </c>
      <c r="V41" s="26" t="n">
        <f aca="false">IFERROR(COUNTIFS($B$2:$B$492,$B41,$O$2:$O$492,"&gt;"&amp;$O41)+1,"")</f>
        <v>1</v>
      </c>
      <c r="W41" s="21" t="n">
        <f aca="false">'Info Lega'!$B$4-SUMIFS($M$2:$M$492,$D$2:$D$492,'Info Lega'!$B$28)</f>
        <v>1000</v>
      </c>
      <c r="X41" s="21" t="n">
        <f aca="false">('Info Lega'!$B$5-COUNTIFS($D$2:$D$492,'Info Lega'!$B$28,$B$2:$B$492,"P"))+('Info Lega'!$B$6-COUNTIFS($D$2:$D$492,'Info Lega'!$B$28,$B$2:$B$492,"D"))+('Info Lega'!$B$7-COUNTIFS($D$2:$D$492,'Info Lega'!$B$28,$B$2:$B$492,"C"))+('Info Lega'!$B$8-COUNTIFS($D$2:$D$492,'Info Lega'!$B$28,$B$2:$B$492,"A"))</f>
        <v>25</v>
      </c>
      <c r="Y41" s="21" t="n">
        <f aca="false">X41*'Parametri Modello'!$B$30</f>
        <v>25</v>
      </c>
      <c r="Z41" s="21" t="n">
        <f aca="false">MAX(0,W41-Y41)</f>
        <v>975</v>
      </c>
      <c r="AA41" s="21" t="n">
        <f aca="false">MIN(F41,Z41)</f>
        <v>75</v>
      </c>
      <c r="AB41" s="21"/>
      <c r="AC41" s="21" t="str">
        <f aca="false">IF(AB41="","",IF(AB41&gt;AA41,"PASS",IF(AB41&lt;=AA41*0.85,"BID","ATTENZIONE")))</f>
        <v/>
      </c>
      <c r="AD41" s="31" t="n">
        <f aca="false">IF(I41="","",ROUND(100*(1-EXP(-I41/30)),0))</f>
        <v>72</v>
      </c>
      <c r="AE41" s="7" t="str">
        <f aca="false">IFERROR(INDEX('Stato Asta'!$G$9:$G$12,MATCH($B41,'Stato Asta'!$A$9:$A$12,0)),"")</f>
        <v>🟡 Attesa rischiosa</v>
      </c>
    </row>
    <row r="42" customFormat="false" ht="14.25" hidden="false" customHeight="true" outlineLevel="0" collapsed="false">
      <c r="A42" s="21" t="n">
        <v>7314</v>
      </c>
      <c r="B42" s="21" t="s">
        <v>45</v>
      </c>
      <c r="C42" s="21" t="s">
        <v>382</v>
      </c>
      <c r="E42" s="26" t="str">
        <f aca="false">IF(COUNTIF('Info Strategia'!$D$2:$D$51,$C42)&gt;0,"SI","NO")</f>
        <v>NO</v>
      </c>
      <c r="F42" s="27" t="n">
        <f aca="false">IFERROR(ROUND(($G42+($H42-$G42)*'Info Strategia'!$B$6)*(1+IF($E42="SI",'Parametri Modello'!$B$7*'Info Strategia'!$B$6,0)),0),"")</f>
        <v>35</v>
      </c>
      <c r="G42" s="27" t="n">
        <f aca="false">IFERROR(ROUND((IF(OR(INDEX('Parametri Modello'!$C$39:$C$42,MATCH($B42,'Parametri Modello'!$A$39:$A$42,0))="",INDEX('Parametri Modello'!$C$39:$C$42,MATCH($B42,'Parametri Modello'!$A$39:$A$42,0))=0),0,($O42/INDEX('Parametri Modello'!$C$39:$C$42,MATCH($B42,'Parametri Modello'!$A$39:$A$42,0)))*(INDEX('Parametri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24</v>
      </c>
      <c r="H42" s="27" t="n">
        <f aca="false">IFERROR(ROUND((IF(OR(INDEX('Parametri Modello'!$C$39:$C$42,MATCH($B42,'Parametri Modello'!$A$39:$A$42,0))="",INDEX('Parametri Modello'!$C$39:$C$42,MATCH($B42,'Parametri Modello'!$A$39:$A$42,0))=0),0,($O42/INDEX('Parametri Modello'!$C$39:$C$42,MATCH($B42,'Parametri Modello'!$A$39:$A$42,0)))*(INDEX('Parametri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40</v>
      </c>
      <c r="I42" s="26" t="n">
        <f aca="false">IFERROR(INDEX('Input Statistiche 2025_26'!$F$3:$F$665,MATCH($A42,'Input Statistiche 2025_26'!$A$3:$A$665,0)),"")</f>
        <v>17</v>
      </c>
      <c r="J42" s="26" t="n">
        <f aca="false">IFERROR(IF($I42="","",MAX(0,38-$I42)),"")</f>
        <v>21</v>
      </c>
      <c r="K42" s="26" t="n">
        <f aca="false">IFERROR(INDEX('Input Statistiche 2025_26'!$I$3:$I$665,MATCH($A42,'Input Statistiche 2025_26'!$A$3:$A$665,0)),"")</f>
        <v>3</v>
      </c>
      <c r="L42" s="26" t="n">
        <f aca="false">IFERROR(INDEX('Input Statistiche 2025_26'!$O$3:$O$665,MATCH($A42,'Input Statistiche 2025_26'!$A$3:$A$665,0)),"")</f>
        <v>2</v>
      </c>
      <c r="M42" s="28"/>
      <c r="N42" s="27" t="n">
        <f aca="false">IFERROR(INDEX('Input Giocatori 2026_27'!$E$3:$E$493,MATCH($A42,'Input Giocatori 2026_27'!$A$3:$A$493,0)),"")</f>
        <v>13</v>
      </c>
      <c r="O42" s="27" t="n">
        <f aca="false">IFERROR(INDEX('Input Giocatori 2026_27'!$G$3:$G$493,MATCH($A42,'Input Giocatori 2026_27'!$A$3:$A$493,0)),"")</f>
        <v>64</v>
      </c>
      <c r="P42" s="26" t="str">
        <f aca="false">IFERROR(IF($O42="","",IF((1-(COUNTIFS($B$2:$B$492,$B42,$O$2:$O$492,"&gt;"&amp;$O42)+1-1)/COUNTIF($B$2:$B$492,$B42))&gt;=0.85,"Top",IF((1-(COUNTIFS($B$2:$B$492,$B42,$O$2:$O$492,"&gt;"&amp;$O42)+1-1)/COUNTIF($B$2:$B$492,$B42))&gt;=0.6,"Buono",IF((1-(COUNTIFS($B$2:$B$492,$B42,$O$2:$O$492,"&gt;"&amp;$O42)+1-1)/COUNTIF($B$2:$B$492,$B42))&gt;=0.3,"Nella Media","Scommessa/Riserva")))),"")</f>
        <v>Top</v>
      </c>
      <c r="Q42" s="29" t="n">
        <f aca="false">IF($D42="",COUNTIF($D$2:$D42,""),"")</f>
        <v>41</v>
      </c>
      <c r="R42" s="29" t="str">
        <f aca="false">IF($D42='Info Lega'!$B$28,COUNTIFS($D$2:$D42,'Info Lega'!$B$28),"")</f>
        <v/>
      </c>
      <c r="S42" s="30" t="n">
        <f aca="false">IFERROR(INDEX('Input Statistiche 2025_26'!$G$3:$G$665,MATCH($A42,'Input Statistiche 2025_26'!$A$3:$A$665,0)),"")</f>
        <v>6.06</v>
      </c>
      <c r="T42" s="30" t="n">
        <f aca="false">IFERROR(INDEX('Input Statistiche 2025_26'!$H$3:$H$665,MATCH($A42,'Input Statistiche 2025_26'!$A$3:$A$665,0)),"")</f>
        <v>6.56</v>
      </c>
      <c r="U42" s="26" t="str">
        <f aca="false">IF(OR('La Mia Rosa'!$O$12="",$D42&lt;&gt;""),"",IF($F42&lt;='La Mia Rosa'!$O$12*'Parametri Modello'!$B$24,"OK",IF($F42&lt;='La Mia Rosa'!$O$12*'Parametri Modello'!$B$25,"Attenzione","Rischio Alto")))</f>
        <v>OK</v>
      </c>
      <c r="V42" s="26" t="n">
        <f aca="false">IFERROR(COUNTIFS($B$2:$B$492,$B42,$O$2:$O$492,"&gt;"&amp;$O42)+1,"")</f>
        <v>16</v>
      </c>
      <c r="W42" s="21" t="n">
        <f aca="false">'Info Lega'!$B$4-SUMIFS($M$2:$M$492,$D$2:$D$492,'Info Lega'!$B$28)</f>
        <v>1000</v>
      </c>
      <c r="X42" s="21" t="n">
        <f aca="false">('Info Lega'!$B$5-COUNTIFS($D$2:$D$492,'Info Lega'!$B$28,$B$2:$B$492,"P"))+('Info Lega'!$B$6-COUNTIFS($D$2:$D$492,'Info Lega'!$B$28,$B$2:$B$492,"D"))+('Info Lega'!$B$7-COUNTIFS($D$2:$D$492,'Info Lega'!$B$28,$B$2:$B$492,"C"))+('Info Lega'!$B$8-COUNTIFS($D$2:$D$492,'Info Lega'!$B$28,$B$2:$B$492,"A"))</f>
        <v>25</v>
      </c>
      <c r="Y42" s="21" t="n">
        <f aca="false">X42*'Parametri Modello'!$B$30</f>
        <v>25</v>
      </c>
      <c r="Z42" s="21" t="n">
        <f aca="false">MAX(0,W42-Y42)</f>
        <v>975</v>
      </c>
      <c r="AA42" s="21" t="n">
        <f aca="false">MIN(F42,Z42)</f>
        <v>35</v>
      </c>
      <c r="AB42" s="21"/>
      <c r="AC42" s="21" t="str">
        <f aca="false">IF(AB42="","",IF(AB42&gt;AA42,"PASS",IF(AB42&lt;=AA42*0.85,"BID","ATTENZIONE")))</f>
        <v/>
      </c>
      <c r="AD42" s="31" t="n">
        <f aca="false">IF(I42="","",ROUND(100*(1-EXP(-I42/30)),0))</f>
        <v>43</v>
      </c>
      <c r="AE42" s="7" t="str">
        <f aca="false">IFERROR(INDEX('Stato Asta'!$G$9:$G$12,MATCH($B42,'Stato Asta'!$A$9:$A$12,0)),"")</f>
        <v>🟡 Attesa rischiosa</v>
      </c>
    </row>
    <row r="43" customFormat="false" ht="14.25" hidden="false" customHeight="true" outlineLevel="0" collapsed="false">
      <c r="A43" s="21" t="n">
        <v>5116</v>
      </c>
      <c r="B43" s="21" t="s">
        <v>43</v>
      </c>
      <c r="C43" s="21" t="s">
        <v>114</v>
      </c>
      <c r="E43" s="26" t="str">
        <f aca="false">IF(COUNTIF('Info Strategia'!$D$2:$D$51,$C43)&gt;0,"SI","NO")</f>
        <v>NO</v>
      </c>
      <c r="F43" s="27" t="n">
        <f aca="false">IFERROR(ROUND(($G43+($H43-$G43)*'Info Strategia'!$B$6)*(1+IF($E43="SI",'Parametri Modello'!$B$7*'Info Strategia'!$B$6,0)),0),"")</f>
        <v>72</v>
      </c>
      <c r="G43" s="27" t="n">
        <f aca="false">IFERROR(ROUND((IF(OR(INDEX('Parametri Modello'!$C$39:$C$42,MATCH($B43,'Parametri Modello'!$A$39:$A$42,0))="",INDEX('Parametri Modello'!$C$39:$C$42,MATCH($B43,'Parametri Modello'!$A$39:$A$42,0))=0),0,($O43/INDEX('Parametri Modello'!$C$39:$C$42,MATCH($B43,'Parametri Modello'!$A$39:$A$42,0)))*(INDEX('Parametri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58</v>
      </c>
      <c r="H43" s="27" t="n">
        <f aca="false">IFERROR(ROUND((IF(OR(INDEX('Parametri Modello'!$C$39:$C$42,MATCH($B43,'Parametri Modello'!$A$39:$A$42,0))="",INDEX('Parametri Modello'!$C$39:$C$42,MATCH($B43,'Parametri Modello'!$A$39:$A$42,0))=0),0,($O43/INDEX('Parametri Modello'!$C$39:$C$42,MATCH($B43,'Parametri Modello'!$A$39:$A$42,0)))*(INDEX('Parametri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78</v>
      </c>
      <c r="I43" s="26" t="n">
        <f aca="false">IFERROR(INDEX('Input Statistiche 2025_26'!$F$3:$F$665,MATCH($A43,'Input Statistiche 2025_26'!$A$3:$A$665,0)),"")</f>
        <v>5</v>
      </c>
      <c r="J43" s="26" t="n">
        <f aca="false">IFERROR(IF($I43="","",MAX(0,38-$I43)),"")</f>
        <v>33</v>
      </c>
      <c r="K43" s="26" t="n">
        <f aca="false">IFERROR(INDEX('Input Statistiche 2025_26'!$I$3:$I$665,MATCH($A43,'Input Statistiche 2025_26'!$A$3:$A$665,0)),"")</f>
        <v>0</v>
      </c>
      <c r="L43" s="26" t="n">
        <f aca="false">IFERROR(INDEX('Input Statistiche 2025_26'!$O$3:$O$665,MATCH($A43,'Input Statistiche 2025_26'!$A$3:$A$665,0)),"")</f>
        <v>0</v>
      </c>
      <c r="M43" s="28"/>
      <c r="N43" s="27" t="n">
        <f aca="false">IFERROR(INDEX('Input Giocatori 2026_27'!$E$3:$E$493,MATCH($A43,'Input Giocatori 2026_27'!$A$3:$A$493,0)),"")</f>
        <v>17</v>
      </c>
      <c r="O43" s="27" t="n">
        <f aca="false">IFERROR(INDEX('Input Giocatori 2026_27'!$G$3:$G$493,MATCH($A43,'Input Giocatori 2026_27'!$A$3:$A$493,0)),"")</f>
        <v>63</v>
      </c>
      <c r="P43" s="26" t="str">
        <f aca="false">IFERROR(IF($O43="","",IF((1-(COUNTIFS($B$2:$B$492,$B43,$O$2:$O$492,"&gt;"&amp;$O43)+1-1)/COUNTIF($B$2:$B$492,$B43))&gt;=0.85,"Top",IF((1-(COUNTIFS($B$2:$B$492,$B43,$O$2:$O$492,"&gt;"&amp;$O43)+1-1)/COUNTIF($B$2:$B$492,$B43))&gt;=0.6,"Buono",IF((1-(COUNTIFS($B$2:$B$492,$B43,$O$2:$O$492,"&gt;"&amp;$O43)+1-1)/COUNTIF($B$2:$B$492,$B43))&gt;=0.3,"Nella Media","Scommessa/Riserva")))),"")</f>
        <v>Top</v>
      </c>
      <c r="Q43" s="29" t="n">
        <f aca="false">IF($D43="",COUNTIF($D$2:$D43,""),"")</f>
        <v>42</v>
      </c>
      <c r="R43" s="29" t="str">
        <f aca="false">IF($D43='Info Lega'!$B$28,COUNTIFS($D$2:$D43,'Info Lega'!$B$28),"")</f>
        <v/>
      </c>
      <c r="S43" s="30" t="n">
        <f aca="false">IFERROR(INDEX('Input Statistiche 2025_26'!$G$3:$G$665,MATCH($A43,'Input Statistiche 2025_26'!$A$3:$A$665,0)),"")</f>
        <v>6</v>
      </c>
      <c r="T43" s="30" t="n">
        <f aca="false">IFERROR(INDEX('Input Statistiche 2025_26'!$H$3:$H$665,MATCH($A43,'Input Statistiche 2025_26'!$A$3:$A$665,0)),"")</f>
        <v>5.2</v>
      </c>
      <c r="U43" s="26" t="str">
        <f aca="false">IF(OR('La Mia Rosa'!$O$12="",$D43&lt;&gt;""),"",IF($F43&lt;='La Mia Rosa'!$O$12*'Parametri Modello'!$B$24,"OK",IF($F43&lt;='La Mia Rosa'!$O$12*'Parametri Modello'!$B$25,"Attenzione","Rischio Alto")))</f>
        <v>Attenzione</v>
      </c>
      <c r="V43" s="26" t="n">
        <f aca="false">IFERROR(COUNTIFS($B$2:$B$492,$B43,$O$2:$O$492,"&gt;"&amp;$O43)+1,"")</f>
        <v>2</v>
      </c>
      <c r="W43" s="21" t="n">
        <f aca="false">'Info Lega'!$B$4-SUMIFS($M$2:$M$492,$D$2:$D$492,'Info Lega'!$B$28)</f>
        <v>1000</v>
      </c>
      <c r="X43" s="21" t="n">
        <f aca="false">('Info Lega'!$B$5-COUNTIFS($D$2:$D$492,'Info Lega'!$B$28,$B$2:$B$492,"P"))+('Info Lega'!$B$6-COUNTIFS($D$2:$D$492,'Info Lega'!$B$28,$B$2:$B$492,"D"))+('Info Lega'!$B$7-COUNTIFS($D$2:$D$492,'Info Lega'!$B$28,$B$2:$B$492,"C"))+('Info Lega'!$B$8-COUNTIFS($D$2:$D$492,'Info Lega'!$B$28,$B$2:$B$492,"A"))</f>
        <v>25</v>
      </c>
      <c r="Y43" s="21" t="n">
        <f aca="false">X43*'Parametri Modello'!$B$30</f>
        <v>25</v>
      </c>
      <c r="Z43" s="21" t="n">
        <f aca="false">MAX(0,W43-Y43)</f>
        <v>975</v>
      </c>
      <c r="AA43" s="21" t="n">
        <f aca="false">MIN(F43,Z43)</f>
        <v>72</v>
      </c>
      <c r="AB43" s="21"/>
      <c r="AC43" s="21" t="str">
        <f aca="false">IF(AB43="","",IF(AB43&gt;AA43,"PASS",IF(AB43&lt;=AA43*0.85,"BID","ATTENZIONE")))</f>
        <v/>
      </c>
      <c r="AD43" s="31" t="n">
        <f aca="false">IF(I43="","",ROUND(100*(1-EXP(-I43/30)),0))</f>
        <v>15</v>
      </c>
      <c r="AE43" s="7" t="str">
        <f aca="false">IFERROR(INDEX('Stato Asta'!$G$9:$G$12,MATCH($B43,'Stato Asta'!$A$9:$A$12,0)),"")</f>
        <v>🟡 Attesa rischiosa</v>
      </c>
    </row>
    <row r="44" customFormat="false" ht="14.25" hidden="false" customHeight="true" outlineLevel="0" collapsed="false">
      <c r="A44" s="21" t="n">
        <v>4923</v>
      </c>
      <c r="B44" s="21" t="s">
        <v>46</v>
      </c>
      <c r="C44" s="21" t="s">
        <v>568</v>
      </c>
      <c r="E44" s="26" t="str">
        <f aca="false">IF(COUNTIF('Info Strategia'!$D$2:$D$51,$C44)&gt;0,"SI","NO")</f>
        <v>NO</v>
      </c>
      <c r="F44" s="27" t="n">
        <f aca="false">IFERROR(ROUND(($G44+($H44-$G44)*'Info Strategia'!$B$6)*(1+IF($E44="SI",'Parametri Modello'!$B$7*'Info Strategia'!$B$6,0)),0),"")</f>
        <v>56</v>
      </c>
      <c r="G44" s="27" t="n">
        <f aca="false">IFERROR(ROUND((IF(OR(INDEX('Parametri Modello'!$C$39:$C$42,MATCH($B44,'Parametri Modello'!$A$39:$A$42,0))="",INDEX('Parametri Modello'!$C$39:$C$42,MATCH($B44,'Parametri Modello'!$A$39:$A$42,0))=0),0,($O44/INDEX('Parametri Modello'!$C$39:$C$42,MATCH($B44,'Parametri Modello'!$A$39:$A$42,0)))*(INDEX('Parametri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35</v>
      </c>
      <c r="H44" s="27" t="n">
        <f aca="false">IFERROR(ROUND((IF(OR(INDEX('Parametri Modello'!$C$39:$C$42,MATCH($B44,'Parametri Modello'!$A$39:$A$42,0))="",INDEX('Parametri Modello'!$C$39:$C$42,MATCH($B44,'Parametri Modello'!$A$39:$A$42,0))=0),0,($O44/INDEX('Parametri Modello'!$C$39:$C$42,MATCH($B44,'Parametri Modello'!$A$39:$A$42,0)))*(INDEX('Parametri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65</v>
      </c>
      <c r="I44" s="26" t="n">
        <f aca="false">IFERROR(INDEX('Input Statistiche 2025_26'!$F$3:$F$665,MATCH($A44,'Input Statistiche 2025_26'!$A$3:$A$665,0)),"")</f>
        <v>37</v>
      </c>
      <c r="J44" s="26" t="n">
        <f aca="false">IFERROR(IF($I44="","",MAX(0,38-$I44)),"")</f>
        <v>1</v>
      </c>
      <c r="K44" s="26" t="n">
        <f aca="false">IFERROR(INDEX('Input Statistiche 2025_26'!$I$3:$I$665,MATCH($A44,'Input Statistiche 2025_26'!$A$3:$A$665,0)),"")</f>
        <v>7</v>
      </c>
      <c r="L44" s="26" t="n">
        <f aca="false">IFERROR(INDEX('Input Statistiche 2025_26'!$O$3:$O$665,MATCH($A44,'Input Statistiche 2025_26'!$A$3:$A$665,0)),"")</f>
        <v>1</v>
      </c>
      <c r="M44" s="28"/>
      <c r="N44" s="27" t="n">
        <f aca="false">IFERROR(INDEX('Input Giocatori 2026_27'!$E$3:$E$493,MATCH($A44,'Input Giocatori 2026_27'!$A$3:$A$493,0)),"")</f>
        <v>11</v>
      </c>
      <c r="O44" s="27" t="n">
        <f aca="false">IFERROR(INDEX('Input Giocatori 2026_27'!$G$3:$G$493,MATCH($A44,'Input Giocatori 2026_27'!$A$3:$A$493,0)),"")</f>
        <v>63</v>
      </c>
      <c r="P44" s="26" t="str">
        <f aca="false">IFERROR(IF($O44="","",IF((1-(COUNTIFS($B$2:$B$492,$B44,$O$2:$O$492,"&gt;"&amp;$O44)+1-1)/COUNTIF($B$2:$B$492,$B44))&gt;=0.85,"Top",IF((1-(COUNTIFS($B$2:$B$492,$B44,$O$2:$O$492,"&gt;"&amp;$O44)+1-1)/COUNTIF($B$2:$B$492,$B44))&gt;=0.6,"Buono",IF((1-(COUNTIFS($B$2:$B$492,$B44,$O$2:$O$492,"&gt;"&amp;$O44)+1-1)/COUNTIF($B$2:$B$492,$B44))&gt;=0.3,"Nella Media","Scommessa/Riserva")))),"")</f>
        <v>Buono</v>
      </c>
      <c r="Q44" s="29" t="n">
        <f aca="false">IF($D44="",COUNTIF($D$2:$D44,""),"")</f>
        <v>43</v>
      </c>
      <c r="R44" s="29" t="str">
        <f aca="false">IF($D44='Info Lega'!$B$28,COUNTIFS($D$2:$D44,'Info Lega'!$B$28),"")</f>
        <v/>
      </c>
      <c r="S44" s="30" t="n">
        <f aca="false">IFERROR(INDEX('Input Statistiche 2025_26'!$G$3:$G$665,MATCH($A44,'Input Statistiche 2025_26'!$A$3:$A$665,0)),"")</f>
        <v>5.92</v>
      </c>
      <c r="T44" s="30" t="n">
        <f aca="false">IFERROR(INDEX('Input Statistiche 2025_26'!$H$3:$H$665,MATCH($A44,'Input Statistiche 2025_26'!$A$3:$A$665,0)),"")</f>
        <v>6.41</v>
      </c>
      <c r="U44" s="26" t="str">
        <f aca="false">IF(OR('La Mia Rosa'!$O$12="",$D44&lt;&gt;""),"",IF($F44&lt;='La Mia Rosa'!$O$12*'Parametri Modello'!$B$24,"OK",IF($F44&lt;='La Mia Rosa'!$O$12*'Parametri Modello'!$B$25,"Attenzione","Rischio Alto")))</f>
        <v>OK</v>
      </c>
      <c r="V44" s="26" t="n">
        <f aca="false">IFERROR(COUNTIFS($B$2:$B$492,$B44,$O$2:$O$492,"&gt;"&amp;$O44)+1,"")</f>
        <v>23</v>
      </c>
      <c r="W44" s="21" t="n">
        <f aca="false">'Info Lega'!$B$4-SUMIFS($M$2:$M$492,$D$2:$D$492,'Info Lega'!$B$28)</f>
        <v>1000</v>
      </c>
      <c r="X44" s="21" t="n">
        <f aca="false">('Info Lega'!$B$5-COUNTIFS($D$2:$D$492,'Info Lega'!$B$28,$B$2:$B$492,"P"))+('Info Lega'!$B$6-COUNTIFS($D$2:$D$492,'Info Lega'!$B$28,$B$2:$B$492,"D"))+('Info Lega'!$B$7-COUNTIFS($D$2:$D$492,'Info Lega'!$B$28,$B$2:$B$492,"C"))+('Info Lega'!$B$8-COUNTIFS($D$2:$D$492,'Info Lega'!$B$28,$B$2:$B$492,"A"))</f>
        <v>25</v>
      </c>
      <c r="Y44" s="21" t="n">
        <f aca="false">X44*'Parametri Modello'!$B$30</f>
        <v>25</v>
      </c>
      <c r="Z44" s="21" t="n">
        <f aca="false">MAX(0,W44-Y44)</f>
        <v>975</v>
      </c>
      <c r="AA44" s="21" t="n">
        <f aca="false">MIN(F44,Z44)</f>
        <v>56</v>
      </c>
      <c r="AB44" s="21"/>
      <c r="AC44" s="21" t="str">
        <f aca="false">IF(AB44="","",IF(AB44&gt;AA44,"PASS",IF(AB44&lt;=AA44*0.85,"BID","ATTENZIONE")))</f>
        <v/>
      </c>
      <c r="AD44" s="31" t="n">
        <f aca="false">IF(I44="","",ROUND(100*(1-EXP(-I44/30)),0))</f>
        <v>71</v>
      </c>
      <c r="AE44" s="7" t="str">
        <f aca="false">IFERROR(INDEX('Stato Asta'!$G$9:$G$12,MATCH($B44,'Stato Asta'!$A$9:$A$12,0)),"")</f>
        <v>🔴 Non aspettare</v>
      </c>
    </row>
    <row r="45" customFormat="false" ht="14.25" hidden="false" customHeight="true" outlineLevel="0" collapsed="false">
      <c r="A45" s="21" t="n">
        <v>4371</v>
      </c>
      <c r="B45" s="21" t="s">
        <v>46</v>
      </c>
      <c r="C45" s="21" t="s">
        <v>561</v>
      </c>
      <c r="E45" s="26" t="str">
        <f aca="false">IF(COUNTIF('Info Strategia'!$D$2:$D$51,$C45)&gt;0,"SI","NO")</f>
        <v>NO</v>
      </c>
      <c r="F45" s="27" t="n">
        <f aca="false">IFERROR(ROUND(($G45+($H45-$G45)*'Info Strategia'!$B$6)*(1+IF($E45="SI",'Parametri Modello'!$B$7*'Info Strategia'!$B$6,0)),0),"")</f>
        <v>55</v>
      </c>
      <c r="G45" s="27" t="n">
        <f aca="false">IFERROR(ROUND((IF(OR(INDEX('Parametri Modello'!$C$39:$C$42,MATCH($B45,'Parametri Modello'!$A$39:$A$42,0))="",INDEX('Parametri Modello'!$C$39:$C$42,MATCH($B45,'Parametri Modello'!$A$39:$A$42,0))=0),0,($O45/INDEX('Parametri Modello'!$C$39:$C$42,MATCH($B45,'Parametri Modello'!$A$39:$A$42,0)))*(INDEX('Parametri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35</v>
      </c>
      <c r="H45" s="27" t="n">
        <f aca="false">IFERROR(ROUND((IF(OR(INDEX('Parametri Modello'!$C$39:$C$42,MATCH($B45,'Parametri Modello'!$A$39:$A$42,0))="",INDEX('Parametri Modello'!$C$39:$C$42,MATCH($B45,'Parametri Modello'!$A$39:$A$42,0))=0),0,($O45/INDEX('Parametri Modello'!$C$39:$C$42,MATCH($B45,'Parametri Modello'!$A$39:$A$42,0)))*(INDEX('Parametri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64</v>
      </c>
      <c r="I45" s="26" t="n">
        <f aca="false">IFERROR(INDEX('Input Statistiche 2025_26'!$F$3:$F$665,MATCH($A45,'Input Statistiche 2025_26'!$A$3:$A$665,0)),"")</f>
        <v>13</v>
      </c>
      <c r="J45" s="26" t="n">
        <f aca="false">IFERROR(IF($I45="","",MAX(0,38-$I45)),"")</f>
        <v>25</v>
      </c>
      <c r="K45" s="26" t="n">
        <f aca="false">IFERROR(INDEX('Input Statistiche 2025_26'!$I$3:$I$665,MATCH($A45,'Input Statistiche 2025_26'!$A$3:$A$665,0)),"")</f>
        <v>3</v>
      </c>
      <c r="L45" s="26" t="n">
        <f aca="false">IFERROR(INDEX('Input Statistiche 2025_26'!$O$3:$O$665,MATCH($A45,'Input Statistiche 2025_26'!$A$3:$A$665,0)),"")</f>
        <v>1</v>
      </c>
      <c r="M45" s="28"/>
      <c r="N45" s="27" t="n">
        <f aca="false">IFERROR(INDEX('Input Giocatori 2026_27'!$E$3:$E$493,MATCH($A45,'Input Giocatori 2026_27'!$A$3:$A$493,0)),"")</f>
        <v>13</v>
      </c>
      <c r="O45" s="27" t="n">
        <f aca="false">IFERROR(INDEX('Input Giocatori 2026_27'!$G$3:$G$493,MATCH($A45,'Input Giocatori 2026_27'!$A$3:$A$493,0)),"")</f>
        <v>62</v>
      </c>
      <c r="P45" s="26" t="str">
        <f aca="false">IFERROR(IF($O45="","",IF((1-(COUNTIFS($B$2:$B$492,$B45,$O$2:$O$492,"&gt;"&amp;$O45)+1-1)/COUNTIF($B$2:$B$492,$B45))&gt;=0.85,"Top",IF((1-(COUNTIFS($B$2:$B$492,$B45,$O$2:$O$492,"&gt;"&amp;$O45)+1-1)/COUNTIF($B$2:$B$492,$B45))&gt;=0.6,"Buono",IF((1-(COUNTIFS($B$2:$B$492,$B45,$O$2:$O$492,"&gt;"&amp;$O45)+1-1)/COUNTIF($B$2:$B$492,$B45))&gt;=0.3,"Nella Media","Scommessa/Riserva")))),"")</f>
        <v>Buono</v>
      </c>
      <c r="Q45" s="29" t="n">
        <f aca="false">IF($D45="",COUNTIF($D$2:$D45,""),"")</f>
        <v>44</v>
      </c>
      <c r="R45" s="29" t="str">
        <f aca="false">IF($D45='Info Lega'!$B$28,COUNTIFS($D$2:$D45,'Info Lega'!$B$28),"")</f>
        <v/>
      </c>
      <c r="S45" s="30" t="n">
        <f aca="false">IFERROR(INDEX('Input Statistiche 2025_26'!$G$3:$G$665,MATCH($A45,'Input Statistiche 2025_26'!$A$3:$A$665,0)),"")</f>
        <v>6.12</v>
      </c>
      <c r="T45" s="30" t="n">
        <f aca="false">IFERROR(INDEX('Input Statistiche 2025_26'!$H$3:$H$665,MATCH($A45,'Input Statistiche 2025_26'!$A$3:$A$665,0)),"")</f>
        <v>6.88</v>
      </c>
      <c r="U45" s="26" t="str">
        <f aca="false">IF(OR('La Mia Rosa'!$O$12="",$D45&lt;&gt;""),"",IF($F45&lt;='La Mia Rosa'!$O$12*'Parametri Modello'!$B$24,"OK",IF($F45&lt;='La Mia Rosa'!$O$12*'Parametri Modello'!$B$25,"Attenzione","Rischio Alto")))</f>
        <v>OK</v>
      </c>
      <c r="V45" s="26" t="n">
        <f aca="false">IFERROR(COUNTIFS($B$2:$B$492,$B45,$O$2:$O$492,"&gt;"&amp;$O45)+1,"")</f>
        <v>24</v>
      </c>
      <c r="W45" s="21" t="n">
        <f aca="false">'Info Lega'!$B$4-SUMIFS($M$2:$M$492,$D$2:$D$492,'Info Lega'!$B$28)</f>
        <v>1000</v>
      </c>
      <c r="X45" s="21" t="n">
        <f aca="false">('Info Lega'!$B$5-COUNTIFS($D$2:$D$492,'Info Lega'!$B$28,$B$2:$B$492,"P"))+('Info Lega'!$B$6-COUNTIFS($D$2:$D$492,'Info Lega'!$B$28,$B$2:$B$492,"D"))+('Info Lega'!$B$7-COUNTIFS($D$2:$D$492,'Info Lega'!$B$28,$B$2:$B$492,"C"))+('Info Lega'!$B$8-COUNTIFS($D$2:$D$492,'Info Lega'!$B$28,$B$2:$B$492,"A"))</f>
        <v>25</v>
      </c>
      <c r="Y45" s="21" t="n">
        <f aca="false">X45*'Parametri Modello'!$B$30</f>
        <v>25</v>
      </c>
      <c r="Z45" s="21" t="n">
        <f aca="false">MAX(0,W45-Y45)</f>
        <v>975</v>
      </c>
      <c r="AA45" s="21" t="n">
        <f aca="false">MIN(F45,Z45)</f>
        <v>55</v>
      </c>
      <c r="AB45" s="21"/>
      <c r="AC45" s="21" t="str">
        <f aca="false">IF(AB45="","",IF(AB45&gt;AA45,"PASS",IF(AB45&lt;=AA45*0.85,"BID","ATTENZIONE")))</f>
        <v/>
      </c>
      <c r="AD45" s="31" t="n">
        <f aca="false">IF(I45="","",ROUND(100*(1-EXP(-I45/30)),0))</f>
        <v>35</v>
      </c>
      <c r="AE45" s="7" t="str">
        <f aca="false">IFERROR(INDEX('Stato Asta'!$G$9:$G$12,MATCH($B45,'Stato Asta'!$A$9:$A$12,0)),"")</f>
        <v>🔴 Non aspettare</v>
      </c>
    </row>
    <row r="46" customFormat="false" ht="14.25" hidden="false" customHeight="true" outlineLevel="0" collapsed="false">
      <c r="A46" s="21" t="n">
        <v>5800</v>
      </c>
      <c r="B46" s="21" t="s">
        <v>45</v>
      </c>
      <c r="C46" s="21" t="s">
        <v>381</v>
      </c>
      <c r="E46" s="26" t="str">
        <f aca="false">IF(COUNTIF('Info Strategia'!$D$2:$D$51,$C46)&gt;0,"SI","NO")</f>
        <v>NO</v>
      </c>
      <c r="F46" s="27" t="n">
        <f aca="false">IFERROR(ROUND(($G46+($H46-$G46)*'Info Strategia'!$B$6)*(1+IF($E46="SI",'Parametri Modello'!$B$7*'Info Strategia'!$B$6,0)),0),"")</f>
        <v>34</v>
      </c>
      <c r="G46" s="27" t="n">
        <f aca="false">IFERROR(ROUND((IF(OR(INDEX('Parametri Modello'!$C$39:$C$42,MATCH($B46,'Parametri Modello'!$A$39:$A$42,0))="",INDEX('Parametri Modello'!$C$39:$C$42,MATCH($B46,'Parametri Modello'!$A$39:$A$42,0))=0),0,($O46/INDEX('Parametri Modello'!$C$39:$C$42,MATCH($B46,'Parametri Modello'!$A$39:$A$42,0)))*(INDEX('Parametri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23</v>
      </c>
      <c r="H46" s="27" t="n">
        <f aca="false">IFERROR(ROUND((IF(OR(INDEX('Parametri Modello'!$C$39:$C$42,MATCH($B46,'Parametri Modello'!$A$39:$A$42,0))="",INDEX('Parametri Modello'!$C$39:$C$42,MATCH($B46,'Parametri Modello'!$A$39:$A$42,0))=0),0,($O46/INDEX('Parametri Modello'!$C$39:$C$42,MATCH($B46,'Parametri Modello'!$A$39:$A$42,0)))*(INDEX('Parametri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38</v>
      </c>
      <c r="I46" s="26" t="n">
        <f aca="false">IFERROR(INDEX('Input Statistiche 2025_26'!$F$3:$F$665,MATCH($A46,'Input Statistiche 2025_26'!$A$3:$A$665,0)),"")</f>
        <v>32</v>
      </c>
      <c r="J46" s="26" t="n">
        <f aca="false">IFERROR(IF($I46="","",MAX(0,38-$I46)),"")</f>
        <v>6</v>
      </c>
      <c r="K46" s="26" t="n">
        <f aca="false">IFERROR(INDEX('Input Statistiche 2025_26'!$I$3:$I$665,MATCH($A46,'Input Statistiche 2025_26'!$A$3:$A$665,0)),"")</f>
        <v>5</v>
      </c>
      <c r="L46" s="26" t="n">
        <f aca="false">IFERROR(INDEX('Input Statistiche 2025_26'!$O$3:$O$665,MATCH($A46,'Input Statistiche 2025_26'!$A$3:$A$665,0)),"")</f>
        <v>3</v>
      </c>
      <c r="M46" s="28"/>
      <c r="N46" s="27" t="n">
        <f aca="false">IFERROR(INDEX('Input Giocatori 2026_27'!$E$3:$E$493,MATCH($A46,'Input Giocatori 2026_27'!$A$3:$A$493,0)),"")</f>
        <v>13</v>
      </c>
      <c r="O46" s="27" t="n">
        <f aca="false">IFERROR(INDEX('Input Giocatori 2026_27'!$G$3:$G$493,MATCH($A46,'Input Giocatori 2026_27'!$A$3:$A$493,0)),"")</f>
        <v>61</v>
      </c>
      <c r="P46" s="26" t="str">
        <f aca="false">IFERROR(IF($O46="","",IF((1-(COUNTIFS($B$2:$B$492,$B46,$O$2:$O$492,"&gt;"&amp;$O46)+1-1)/COUNTIF($B$2:$B$492,$B46))&gt;=0.85,"Top",IF((1-(COUNTIFS($B$2:$B$492,$B46,$O$2:$O$492,"&gt;"&amp;$O46)+1-1)/COUNTIF($B$2:$B$492,$B46))&gt;=0.6,"Buono",IF((1-(COUNTIFS($B$2:$B$492,$B46,$O$2:$O$492,"&gt;"&amp;$O46)+1-1)/COUNTIF($B$2:$B$492,$B46))&gt;=0.3,"Nella Media","Scommessa/Riserva")))),"")</f>
        <v>Top</v>
      </c>
      <c r="Q46" s="29" t="n">
        <f aca="false">IF($D46="",COUNTIF($D$2:$D46,""),"")</f>
        <v>45</v>
      </c>
      <c r="R46" s="29" t="str">
        <f aca="false">IF($D46='Info Lega'!$B$28,COUNTIFS($D$2:$D46,'Info Lega'!$B$28),"")</f>
        <v/>
      </c>
      <c r="S46" s="30" t="n">
        <f aca="false">IFERROR(INDEX('Input Statistiche 2025_26'!$G$3:$G$665,MATCH($A46,'Input Statistiche 2025_26'!$A$3:$A$665,0)),"")</f>
        <v>5.88</v>
      </c>
      <c r="T46" s="30" t="n">
        <f aca="false">IFERROR(INDEX('Input Statistiche 2025_26'!$H$3:$H$665,MATCH($A46,'Input Statistiche 2025_26'!$A$3:$A$665,0)),"")</f>
        <v>6.34</v>
      </c>
      <c r="U46" s="26" t="str">
        <f aca="false">IF(OR('La Mia Rosa'!$O$12="",$D46&lt;&gt;""),"",IF($F46&lt;='La Mia Rosa'!$O$12*'Parametri Modello'!$B$24,"OK",IF($F46&lt;='La Mia Rosa'!$O$12*'Parametri Modello'!$B$25,"Attenzione","Rischio Alto")))</f>
        <v>OK</v>
      </c>
      <c r="V46" s="26" t="n">
        <f aca="false">IFERROR(COUNTIFS($B$2:$B$492,$B46,$O$2:$O$492,"&gt;"&amp;$O46)+1,"")</f>
        <v>17</v>
      </c>
      <c r="W46" s="21" t="n">
        <f aca="false">'Info Lega'!$B$4-SUMIFS($M$2:$M$492,$D$2:$D$492,'Info Lega'!$B$28)</f>
        <v>1000</v>
      </c>
      <c r="X46" s="21" t="n">
        <f aca="false">('Info Lega'!$B$5-COUNTIFS($D$2:$D$492,'Info Lega'!$B$28,$B$2:$B$492,"P"))+('Info Lega'!$B$6-COUNTIFS($D$2:$D$492,'Info Lega'!$B$28,$B$2:$B$492,"D"))+('Info Lega'!$B$7-COUNTIFS($D$2:$D$492,'Info Lega'!$B$28,$B$2:$B$492,"C"))+('Info Lega'!$B$8-COUNTIFS($D$2:$D$492,'Info Lega'!$B$28,$B$2:$B$492,"A"))</f>
        <v>25</v>
      </c>
      <c r="Y46" s="21" t="n">
        <f aca="false">X46*'Parametri Modello'!$B$30</f>
        <v>25</v>
      </c>
      <c r="Z46" s="21" t="n">
        <f aca="false">MAX(0,W46-Y46)</f>
        <v>975</v>
      </c>
      <c r="AA46" s="21" t="n">
        <f aca="false">MIN(F46,Z46)</f>
        <v>34</v>
      </c>
      <c r="AB46" s="21"/>
      <c r="AC46" s="21" t="str">
        <f aca="false">IF(AB46="","",IF(AB46&gt;AA46,"PASS",IF(AB46&lt;=AA46*0.85,"BID","ATTENZIONE")))</f>
        <v/>
      </c>
      <c r="AD46" s="31" t="n">
        <f aca="false">IF(I46="","",ROUND(100*(1-EXP(-I46/30)),0))</f>
        <v>66</v>
      </c>
      <c r="AE46" s="7" t="str">
        <f aca="false">IFERROR(INDEX('Stato Asta'!$G$9:$G$12,MATCH($B46,'Stato Asta'!$A$9:$A$12,0)),"")</f>
        <v>🟡 Attesa rischiosa</v>
      </c>
    </row>
    <row r="47" customFormat="false" ht="14.25" hidden="false" customHeight="true" outlineLevel="0" collapsed="false">
      <c r="A47" s="21" t="n">
        <v>6884</v>
      </c>
      <c r="B47" s="21" t="s">
        <v>45</v>
      </c>
      <c r="C47" s="21" t="s">
        <v>387</v>
      </c>
      <c r="E47" s="26" t="str">
        <f aca="false">IF(COUNTIF('Info Strategia'!$D$2:$D$51,$C47)&gt;0,"SI","NO")</f>
        <v>NO</v>
      </c>
      <c r="F47" s="27" t="n">
        <f aca="false">IFERROR(ROUND(($G47+($H47-$G47)*'Info Strategia'!$B$6)*(1+IF($E47="SI",'Parametri Modello'!$B$7*'Info Strategia'!$B$6,0)),0),"")</f>
        <v>34</v>
      </c>
      <c r="G47" s="27" t="n">
        <f aca="false">IFERROR(ROUND((IF(OR(INDEX('Parametri Modello'!$C$39:$C$42,MATCH($B47,'Parametri Modello'!$A$39:$A$42,0))="",INDEX('Parametri Modello'!$C$39:$C$42,MATCH($B47,'Parametri Modello'!$A$39:$A$42,0))=0),0,($O47/INDEX('Parametri Modello'!$C$39:$C$42,MATCH($B47,'Parametri Modello'!$A$39:$A$42,0)))*(INDEX('Parametri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23</v>
      </c>
      <c r="H47" s="27" t="n">
        <f aca="false">IFERROR(ROUND((IF(OR(INDEX('Parametri Modello'!$C$39:$C$42,MATCH($B47,'Parametri Modello'!$A$39:$A$42,0))="",INDEX('Parametri Modello'!$C$39:$C$42,MATCH($B47,'Parametri Modello'!$A$39:$A$42,0))=0),0,($O47/INDEX('Parametri Modello'!$C$39:$C$42,MATCH($B47,'Parametri Modello'!$A$39:$A$42,0)))*(INDEX('Parametri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38</v>
      </c>
      <c r="I47" s="26" t="n">
        <f aca="false">IFERROR(INDEX('Input Statistiche 2025_26'!$F$3:$F$665,MATCH($A47,'Input Statistiche 2025_26'!$A$3:$A$665,0)),"")</f>
        <v>30</v>
      </c>
      <c r="J47" s="26" t="n">
        <f aca="false">IFERROR(IF($I47="","",MAX(0,38-$I47)),"")</f>
        <v>8</v>
      </c>
      <c r="K47" s="26" t="n">
        <f aca="false">IFERROR(INDEX('Input Statistiche 2025_26'!$I$3:$I$665,MATCH($A47,'Input Statistiche 2025_26'!$A$3:$A$665,0)),"")</f>
        <v>3</v>
      </c>
      <c r="L47" s="26" t="n">
        <f aca="false">IFERROR(INDEX('Input Statistiche 2025_26'!$O$3:$O$665,MATCH($A47,'Input Statistiche 2025_26'!$A$3:$A$665,0)),"")</f>
        <v>5</v>
      </c>
      <c r="M47" s="28"/>
      <c r="N47" s="27" t="n">
        <f aca="false">IFERROR(INDEX('Input Giocatori 2026_27'!$E$3:$E$493,MATCH($A47,'Input Giocatori 2026_27'!$A$3:$A$493,0)),"")</f>
        <v>12</v>
      </c>
      <c r="O47" s="27" t="n">
        <f aca="false">IFERROR(INDEX('Input Giocatori 2026_27'!$G$3:$G$493,MATCH($A47,'Input Giocatori 2026_27'!$A$3:$A$493,0)),"")</f>
        <v>60</v>
      </c>
      <c r="P47" s="26" t="str">
        <f aca="false">IFERROR(IF($O47="","",IF((1-(COUNTIFS($B$2:$B$492,$B47,$O$2:$O$492,"&gt;"&amp;$O47)+1-1)/COUNTIF($B$2:$B$492,$B47))&gt;=0.85,"Top",IF((1-(COUNTIFS($B$2:$B$492,$B47,$O$2:$O$492,"&gt;"&amp;$O47)+1-1)/COUNTIF($B$2:$B$492,$B47))&gt;=0.6,"Buono",IF((1-(COUNTIFS($B$2:$B$492,$B47,$O$2:$O$492,"&gt;"&amp;$O47)+1-1)/COUNTIF($B$2:$B$492,$B47))&gt;=0.3,"Nella Media","Scommessa/Riserva")))),"")</f>
        <v>Top</v>
      </c>
      <c r="Q47" s="29" t="n">
        <f aca="false">IF($D47="",COUNTIF($D$2:$D47,""),"")</f>
        <v>46</v>
      </c>
      <c r="R47" s="29" t="str">
        <f aca="false">IF($D47='Info Lega'!$B$28,COUNTIFS($D$2:$D47,'Info Lega'!$B$28),"")</f>
        <v/>
      </c>
      <c r="S47" s="30" t="n">
        <f aca="false">IFERROR(INDEX('Input Statistiche 2025_26'!$G$3:$G$665,MATCH($A47,'Input Statistiche 2025_26'!$A$3:$A$665,0)),"")</f>
        <v>6.28</v>
      </c>
      <c r="T47" s="30" t="n">
        <f aca="false">IFERROR(INDEX('Input Statistiche 2025_26'!$H$3:$H$665,MATCH($A47,'Input Statistiche 2025_26'!$A$3:$A$665,0)),"")</f>
        <v>6.7</v>
      </c>
      <c r="U47" s="26" t="str">
        <f aca="false">IF(OR('La Mia Rosa'!$O$12="",$D47&lt;&gt;""),"",IF($F47&lt;='La Mia Rosa'!$O$12*'Parametri Modello'!$B$24,"OK",IF($F47&lt;='La Mia Rosa'!$O$12*'Parametri Modello'!$B$25,"Attenzione","Rischio Alto")))</f>
        <v>OK</v>
      </c>
      <c r="V47" s="26" t="n">
        <f aca="false">IFERROR(COUNTIFS($B$2:$B$492,$B47,$O$2:$O$492,"&gt;"&amp;$O47)+1,"")</f>
        <v>18</v>
      </c>
      <c r="W47" s="21" t="n">
        <f aca="false">'Info Lega'!$B$4-SUMIFS($M$2:$M$492,$D$2:$D$492,'Info Lega'!$B$28)</f>
        <v>1000</v>
      </c>
      <c r="X47" s="21" t="n">
        <f aca="false">('Info Lega'!$B$5-COUNTIFS($D$2:$D$492,'Info Lega'!$B$28,$B$2:$B$492,"P"))+('Info Lega'!$B$6-COUNTIFS($D$2:$D$492,'Info Lega'!$B$28,$B$2:$B$492,"D"))+('Info Lega'!$B$7-COUNTIFS($D$2:$D$492,'Info Lega'!$B$28,$B$2:$B$492,"C"))+('Info Lega'!$B$8-COUNTIFS($D$2:$D$492,'Info Lega'!$B$28,$B$2:$B$492,"A"))</f>
        <v>25</v>
      </c>
      <c r="Y47" s="21" t="n">
        <f aca="false">X47*'Parametri Modello'!$B$30</f>
        <v>25</v>
      </c>
      <c r="Z47" s="21" t="n">
        <f aca="false">MAX(0,W47-Y47)</f>
        <v>975</v>
      </c>
      <c r="AA47" s="21" t="n">
        <f aca="false">MIN(F47,Z47)</f>
        <v>34</v>
      </c>
      <c r="AB47" s="21"/>
      <c r="AC47" s="21" t="str">
        <f aca="false">IF(AB47="","",IF(AB47&gt;AA47,"PASS",IF(AB47&lt;=AA47*0.85,"BID","ATTENZIONE")))</f>
        <v/>
      </c>
      <c r="AD47" s="31" t="n">
        <f aca="false">IF(I47="","",ROUND(100*(1-EXP(-I47/30)),0))</f>
        <v>63</v>
      </c>
      <c r="AE47" s="7" t="str">
        <f aca="false">IFERROR(INDEX('Stato Asta'!$G$9:$G$12,MATCH($B47,'Stato Asta'!$A$9:$A$12,0)),"")</f>
        <v>🟡 Attesa rischiosa</v>
      </c>
    </row>
    <row r="48" customFormat="false" ht="14.25" hidden="false" customHeight="true" outlineLevel="0" collapsed="false">
      <c r="A48" s="21" t="n">
        <v>7351</v>
      </c>
      <c r="B48" s="21" t="s">
        <v>46</v>
      </c>
      <c r="C48" s="21" t="s">
        <v>558</v>
      </c>
      <c r="E48" s="26" t="str">
        <f aca="false">IF(COUNTIF('Info Strategia'!$D$2:$D$51,$C48)&gt;0,"SI","NO")</f>
        <v>NO</v>
      </c>
      <c r="F48" s="27" t="n">
        <f aca="false">IFERROR(ROUND(($G48+($H48-$G48)*'Info Strategia'!$B$6)*(1+IF($E48="SI",'Parametri Modello'!$B$7*'Info Strategia'!$B$6,0)),0),"")</f>
        <v>54</v>
      </c>
      <c r="G48" s="27" t="n">
        <f aca="false">IFERROR(ROUND((IF(OR(INDEX('Parametri Modello'!$C$39:$C$42,MATCH($B48,'Parametri Modello'!$A$39:$A$42,0))="",INDEX('Parametri Modello'!$C$39:$C$42,MATCH($B48,'Parametri Modello'!$A$39:$A$42,0))=0),0,($O48/INDEX('Parametri Modello'!$C$39:$C$42,MATCH($B48,'Parametri Modello'!$A$39:$A$42,0)))*(INDEX('Parametri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34</v>
      </c>
      <c r="H48" s="27" t="n">
        <f aca="false">IFERROR(ROUND((IF(OR(INDEX('Parametri Modello'!$C$39:$C$42,MATCH($B48,'Parametri Modello'!$A$39:$A$42,0))="",INDEX('Parametri Modello'!$C$39:$C$42,MATCH($B48,'Parametri Modello'!$A$39:$A$42,0))=0),0,($O48/INDEX('Parametri Modello'!$C$39:$C$42,MATCH($B48,'Parametri Modello'!$A$39:$A$42,0)))*(INDEX('Parametri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63</v>
      </c>
      <c r="I48" s="26" t="n">
        <f aca="false">IFERROR(INDEX('Input Statistiche 2025_26'!$F$3:$F$665,MATCH($A48,'Input Statistiche 2025_26'!$A$3:$A$665,0)),"")</f>
        <v>13</v>
      </c>
      <c r="J48" s="26" t="n">
        <f aca="false">IFERROR(IF($I48="","",MAX(0,38-$I48)),"")</f>
        <v>25</v>
      </c>
      <c r="K48" s="26" t="n">
        <f aca="false">IFERROR(INDEX('Input Statistiche 2025_26'!$I$3:$I$665,MATCH($A48,'Input Statistiche 2025_26'!$A$3:$A$665,0)),"")</f>
        <v>4</v>
      </c>
      <c r="L48" s="26" t="n">
        <f aca="false">IFERROR(INDEX('Input Statistiche 2025_26'!$O$3:$O$665,MATCH($A48,'Input Statistiche 2025_26'!$A$3:$A$665,0)),"")</f>
        <v>0</v>
      </c>
      <c r="M48" s="28"/>
      <c r="N48" s="27" t="n">
        <f aca="false">IFERROR(INDEX('Input Giocatori 2026_27'!$E$3:$E$493,MATCH($A48,'Input Giocatori 2026_27'!$A$3:$A$493,0)),"")</f>
        <v>14</v>
      </c>
      <c r="O48" s="27" t="n">
        <f aca="false">IFERROR(INDEX('Input Giocatori 2026_27'!$G$3:$G$493,MATCH($A48,'Input Giocatori 2026_27'!$A$3:$A$493,0)),"")</f>
        <v>60</v>
      </c>
      <c r="P48" s="26" t="str">
        <f aca="false">IFERROR(IF($O48="","",IF((1-(COUNTIFS($B$2:$B$492,$B48,$O$2:$O$492,"&gt;"&amp;$O48)+1-1)/COUNTIF($B$2:$B$492,$B48))&gt;=0.85,"Top",IF((1-(COUNTIFS($B$2:$B$492,$B48,$O$2:$O$492,"&gt;"&amp;$O48)+1-1)/COUNTIF($B$2:$B$492,$B48))&gt;=0.6,"Buono",IF((1-(COUNTIFS($B$2:$B$492,$B48,$O$2:$O$492,"&gt;"&amp;$O48)+1-1)/COUNTIF($B$2:$B$492,$B48))&gt;=0.3,"Nella Media","Scommessa/Riserva")))),"")</f>
        <v>Buono</v>
      </c>
      <c r="Q48" s="29" t="n">
        <f aca="false">IF($D48="",COUNTIF($D$2:$D48,""),"")</f>
        <v>47</v>
      </c>
      <c r="R48" s="29" t="str">
        <f aca="false">IF($D48='Info Lega'!$B$28,COUNTIFS($D$2:$D48,'Info Lega'!$B$28),"")</f>
        <v/>
      </c>
      <c r="S48" s="30" t="n">
        <f aca="false">IFERROR(INDEX('Input Statistiche 2025_26'!$G$3:$G$665,MATCH($A48,'Input Statistiche 2025_26'!$A$3:$A$665,0)),"")</f>
        <v>6.35</v>
      </c>
      <c r="T48" s="30" t="n">
        <f aca="false">IFERROR(INDEX('Input Statistiche 2025_26'!$H$3:$H$665,MATCH($A48,'Input Statistiche 2025_26'!$A$3:$A$665,0)),"")</f>
        <v>7.23</v>
      </c>
      <c r="U48" s="26" t="str">
        <f aca="false">IF(OR('La Mia Rosa'!$O$12="",$D48&lt;&gt;""),"",IF($F48&lt;='La Mia Rosa'!$O$12*'Parametri Modello'!$B$24,"OK",IF($F48&lt;='La Mia Rosa'!$O$12*'Parametri Modello'!$B$25,"Attenzione","Rischio Alto")))</f>
        <v>OK</v>
      </c>
      <c r="V48" s="26" t="n">
        <f aca="false">IFERROR(COUNTIFS($B$2:$B$492,$B48,$O$2:$O$492,"&gt;"&amp;$O48)+1,"")</f>
        <v>25</v>
      </c>
      <c r="W48" s="21" t="n">
        <f aca="false">'Info Lega'!$B$4-SUMIFS($M$2:$M$492,$D$2:$D$492,'Info Lega'!$B$28)</f>
        <v>1000</v>
      </c>
      <c r="X48" s="21" t="n">
        <f aca="false">('Info Lega'!$B$5-COUNTIFS($D$2:$D$492,'Info Lega'!$B$28,$B$2:$B$492,"P"))+('Info Lega'!$B$6-COUNTIFS($D$2:$D$492,'Info Lega'!$B$28,$B$2:$B$492,"D"))+('Info Lega'!$B$7-COUNTIFS($D$2:$D$492,'Info Lega'!$B$28,$B$2:$B$492,"C"))+('Info Lega'!$B$8-COUNTIFS($D$2:$D$492,'Info Lega'!$B$28,$B$2:$B$492,"A"))</f>
        <v>25</v>
      </c>
      <c r="Y48" s="21" t="n">
        <f aca="false">X48*'Parametri Modello'!$B$30</f>
        <v>25</v>
      </c>
      <c r="Z48" s="21" t="n">
        <f aca="false">MAX(0,W48-Y48)</f>
        <v>975</v>
      </c>
      <c r="AA48" s="21" t="n">
        <f aca="false">MIN(F48,Z48)</f>
        <v>54</v>
      </c>
      <c r="AB48" s="21"/>
      <c r="AC48" s="21" t="str">
        <f aca="false">IF(AB48="","",IF(AB48&gt;AA48,"PASS",IF(AB48&lt;=AA48*0.85,"BID","ATTENZIONE")))</f>
        <v/>
      </c>
      <c r="AD48" s="31" t="n">
        <f aca="false">IF(I48="","",ROUND(100*(1-EXP(-I48/30)),0))</f>
        <v>35</v>
      </c>
      <c r="AE48" s="7" t="str">
        <f aca="false">IFERROR(INDEX('Stato Asta'!$G$9:$G$12,MATCH($B48,'Stato Asta'!$A$9:$A$12,0)),"")</f>
        <v>🔴 Non aspettare</v>
      </c>
    </row>
    <row r="49" customFormat="false" ht="14.25" hidden="false" customHeight="true" outlineLevel="0" collapsed="false">
      <c r="A49" s="21" t="n">
        <v>2038</v>
      </c>
      <c r="B49" s="21" t="s">
        <v>46</v>
      </c>
      <c r="C49" s="21" t="s">
        <v>564</v>
      </c>
      <c r="E49" s="26" t="str">
        <f aca="false">IF(COUNTIF('Info Strategia'!$D$2:$D$51,$C49)&gt;0,"SI","NO")</f>
        <v>NO</v>
      </c>
      <c r="F49" s="27" t="n">
        <f aca="false">IFERROR(ROUND(($G49+($H49-$G49)*'Info Strategia'!$B$6)*(1+IF($E49="SI",'Parametri Modello'!$B$7*'Info Strategia'!$B$6,0)),0),"")</f>
        <v>52</v>
      </c>
      <c r="G49" s="27" t="n">
        <f aca="false">IFERROR(ROUND((IF(OR(INDEX('Parametri Modello'!$C$39:$C$42,MATCH($B49,'Parametri Modello'!$A$39:$A$42,0))="",INDEX('Parametri Modello'!$C$39:$C$42,MATCH($B49,'Parametri Modello'!$A$39:$A$42,0))=0),0,($O49/INDEX('Parametri Modello'!$C$39:$C$42,MATCH($B49,'Parametri Modello'!$A$39:$A$42,0)))*(INDEX('Parametri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32</v>
      </c>
      <c r="H49" s="27" t="n">
        <f aca="false">IFERROR(ROUND((IF(OR(INDEX('Parametri Modello'!$C$39:$C$42,MATCH($B49,'Parametri Modello'!$A$39:$A$42,0))="",INDEX('Parametri Modello'!$C$39:$C$42,MATCH($B49,'Parametri Modello'!$A$39:$A$42,0))=0),0,($O49/INDEX('Parametri Modello'!$C$39:$C$42,MATCH($B49,'Parametri Modello'!$A$39:$A$42,0)))*(INDEX('Parametri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60</v>
      </c>
      <c r="I49" s="26" t="n">
        <f aca="false">IFERROR(INDEX('Input Statistiche 2025_26'!$F$3:$F$665,MATCH($A49,'Input Statistiche 2025_26'!$A$3:$A$665,0)),"")</f>
        <v>34</v>
      </c>
      <c r="J49" s="26" t="n">
        <f aca="false">IFERROR(IF($I49="","",MAX(0,38-$I49)),"")</f>
        <v>4</v>
      </c>
      <c r="K49" s="26" t="n">
        <f aca="false">IFERROR(INDEX('Input Statistiche 2025_26'!$I$3:$I$665,MATCH($A49,'Input Statistiche 2025_26'!$A$3:$A$665,0)),"")</f>
        <v>9</v>
      </c>
      <c r="L49" s="26" t="n">
        <f aca="false">IFERROR(INDEX('Input Statistiche 2025_26'!$O$3:$O$665,MATCH($A49,'Input Statistiche 2025_26'!$A$3:$A$665,0)),"")</f>
        <v>3</v>
      </c>
      <c r="M49" s="28"/>
      <c r="N49" s="27" t="n">
        <f aca="false">IFERROR(INDEX('Input Giocatori 2026_27'!$E$3:$E$493,MATCH($A49,'Input Giocatori 2026_27'!$A$3:$A$493,0)),"")</f>
        <v>13</v>
      </c>
      <c r="O49" s="27" t="n">
        <f aca="false">IFERROR(INDEX('Input Giocatori 2026_27'!$G$3:$G$493,MATCH($A49,'Input Giocatori 2026_27'!$A$3:$A$493,0)),"")</f>
        <v>58</v>
      </c>
      <c r="P49" s="26" t="str">
        <f aca="false">IFERROR(IF($O49="","",IF((1-(COUNTIFS($B$2:$B$492,$B49,$O$2:$O$492,"&gt;"&amp;$O49)+1-1)/COUNTIF($B$2:$B$492,$B49))&gt;=0.85,"Top",IF((1-(COUNTIFS($B$2:$B$492,$B49,$O$2:$O$492,"&gt;"&amp;$O49)+1-1)/COUNTIF($B$2:$B$492,$B49))&gt;=0.6,"Buono",IF((1-(COUNTIFS($B$2:$B$492,$B49,$O$2:$O$492,"&gt;"&amp;$O49)+1-1)/COUNTIF($B$2:$B$492,$B49))&gt;=0.3,"Nella Media","Scommessa/Riserva")))),"")</f>
        <v>Buono</v>
      </c>
      <c r="Q49" s="29" t="n">
        <f aca="false">IF($D49="",COUNTIF($D$2:$D49,""),"")</f>
        <v>48</v>
      </c>
      <c r="R49" s="29" t="str">
        <f aca="false">IF($D49='Info Lega'!$B$28,COUNTIFS($D$2:$D49,'Info Lega'!$B$28),"")</f>
        <v/>
      </c>
      <c r="S49" s="30" t="n">
        <f aca="false">IFERROR(INDEX('Input Statistiche 2025_26'!$G$3:$G$665,MATCH($A49,'Input Statistiche 2025_26'!$A$3:$A$665,0)),"")</f>
        <v>5.88</v>
      </c>
      <c r="T49" s="30" t="n">
        <f aca="false">IFERROR(INDEX('Input Statistiche 2025_26'!$H$3:$H$665,MATCH($A49,'Input Statistiche 2025_26'!$A$3:$A$665,0)),"")</f>
        <v>6.62</v>
      </c>
      <c r="U49" s="26" t="str">
        <f aca="false">IF(OR('La Mia Rosa'!$O$12="",$D49&lt;&gt;""),"",IF($F49&lt;='La Mia Rosa'!$O$12*'Parametri Modello'!$B$24,"OK",IF($F49&lt;='La Mia Rosa'!$O$12*'Parametri Modello'!$B$25,"Attenzione","Rischio Alto")))</f>
        <v>OK</v>
      </c>
      <c r="V49" s="26" t="n">
        <f aca="false">IFERROR(COUNTIFS($B$2:$B$492,$B49,$O$2:$O$492,"&gt;"&amp;$O49)+1,"")</f>
        <v>26</v>
      </c>
      <c r="W49" s="21" t="n">
        <f aca="false">'Info Lega'!$B$4-SUMIFS($M$2:$M$492,$D$2:$D$492,'Info Lega'!$B$28)</f>
        <v>1000</v>
      </c>
      <c r="X49" s="21" t="n">
        <f aca="false">('Info Lega'!$B$5-COUNTIFS($D$2:$D$492,'Info Lega'!$B$28,$B$2:$B$492,"P"))+('Info Lega'!$B$6-COUNTIFS($D$2:$D$492,'Info Lega'!$B$28,$B$2:$B$492,"D"))+('Info Lega'!$B$7-COUNTIFS($D$2:$D$492,'Info Lega'!$B$28,$B$2:$B$492,"C"))+('Info Lega'!$B$8-COUNTIFS($D$2:$D$492,'Info Lega'!$B$28,$B$2:$B$492,"A"))</f>
        <v>25</v>
      </c>
      <c r="Y49" s="21" t="n">
        <f aca="false">X49*'Parametri Modello'!$B$30</f>
        <v>25</v>
      </c>
      <c r="Z49" s="21" t="n">
        <f aca="false">MAX(0,W49-Y49)</f>
        <v>975</v>
      </c>
      <c r="AA49" s="21" t="n">
        <f aca="false">MIN(F49,Z49)</f>
        <v>52</v>
      </c>
      <c r="AB49" s="21"/>
      <c r="AC49" s="21" t="str">
        <f aca="false">IF(AB49="","",IF(AB49&gt;AA49,"PASS",IF(AB49&lt;=AA49*0.85,"BID","ATTENZIONE")))</f>
        <v/>
      </c>
      <c r="AD49" s="31" t="n">
        <f aca="false">IF(I49="","",ROUND(100*(1-EXP(-I49/30)),0))</f>
        <v>68</v>
      </c>
      <c r="AE49" s="7" t="str">
        <f aca="false">IFERROR(INDEX('Stato Asta'!$G$9:$G$12,MATCH($B49,'Stato Asta'!$A$9:$A$12,0)),"")</f>
        <v>🔴 Non aspettare</v>
      </c>
    </row>
    <row r="50" customFormat="false" ht="14.25" hidden="false" customHeight="true" outlineLevel="0" collapsed="false">
      <c r="A50" s="21" t="n">
        <v>7436</v>
      </c>
      <c r="B50" s="21" t="s">
        <v>45</v>
      </c>
      <c r="C50" s="21" t="s">
        <v>386</v>
      </c>
      <c r="E50" s="26" t="str">
        <f aca="false">IF(COUNTIF('Info Strategia'!$D$2:$D$51,$C50)&gt;0,"SI","NO")</f>
        <v>NO</v>
      </c>
      <c r="F50" s="27" t="n">
        <f aca="false">IFERROR(ROUND(($G50+($H50-$G50)*'Info Strategia'!$B$6)*(1+IF($E50="SI",'Parametri Modello'!$B$7*'Info Strategia'!$B$6,0)),0),"")</f>
        <v>31</v>
      </c>
      <c r="G50" s="27" t="n">
        <f aca="false">IFERROR(ROUND((IF(OR(INDEX('Parametri Modello'!$C$39:$C$42,MATCH($B50,'Parametri Modello'!$A$39:$A$42,0))="",INDEX('Parametri Modello'!$C$39:$C$42,MATCH($B50,'Parametri Modello'!$A$39:$A$42,0))=0),0,($O50/INDEX('Parametri Modello'!$C$39:$C$42,MATCH($B50,'Parametri Modello'!$A$39:$A$42,0)))*(INDEX('Parametri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21</v>
      </c>
      <c r="H50" s="27" t="n">
        <f aca="false">IFERROR(ROUND((IF(OR(INDEX('Parametri Modello'!$C$39:$C$42,MATCH($B50,'Parametri Modello'!$A$39:$A$42,0))="",INDEX('Parametri Modello'!$C$39:$C$42,MATCH($B50,'Parametri Modello'!$A$39:$A$42,0))=0),0,($O50/INDEX('Parametri Modello'!$C$39:$C$42,MATCH($B50,'Parametri Modello'!$A$39:$A$42,0)))*(INDEX('Parametri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35</v>
      </c>
      <c r="I50" s="26" t="str">
        <f aca="false">IFERROR(INDEX('Input Statistiche 2025_26'!$F$3:$F$665,MATCH($A50,'Input Statistiche 2025_26'!$A$3:$A$665,0)),"")</f>
        <v/>
      </c>
      <c r="J50" s="26" t="str">
        <f aca="false">IFERROR(IF($I50="","",MAX(0,38-$I50)),"")</f>
        <v/>
      </c>
      <c r="K50" s="26" t="str">
        <f aca="false">IFERROR(INDEX('Input Statistiche 2025_26'!$I$3:$I$665,MATCH($A50,'Input Statistiche 2025_26'!$A$3:$A$665,0)),"")</f>
        <v/>
      </c>
      <c r="L50" s="26" t="str">
        <f aca="false">IFERROR(INDEX('Input Statistiche 2025_26'!$O$3:$O$665,MATCH($A50,'Input Statistiche 2025_26'!$A$3:$A$665,0)),"")</f>
        <v/>
      </c>
      <c r="M50" s="28"/>
      <c r="N50" s="27" t="n">
        <f aca="false">IFERROR(INDEX('Input Giocatori 2026_27'!$E$3:$E$493,MATCH($A50,'Input Giocatori 2026_27'!$A$3:$A$493,0)),"")</f>
        <v>12</v>
      </c>
      <c r="O50" s="27" t="n">
        <f aca="false">IFERROR(INDEX('Input Giocatori 2026_27'!$G$3:$G$493,MATCH($A50,'Input Giocatori 2026_27'!$A$3:$A$493,0)),"")</f>
        <v>57</v>
      </c>
      <c r="P50" s="26" t="str">
        <f aca="false">IFERROR(IF($O50="","",IF((1-(COUNTIFS($B$2:$B$492,$B50,$O$2:$O$492,"&gt;"&amp;$O50)+1-1)/COUNTIF($B$2:$B$492,$B50))&gt;=0.85,"Top",IF((1-(COUNTIFS($B$2:$B$492,$B50,$O$2:$O$492,"&gt;"&amp;$O50)+1-1)/COUNTIF($B$2:$B$492,$B50))&gt;=0.6,"Buono",IF((1-(COUNTIFS($B$2:$B$492,$B50,$O$2:$O$492,"&gt;"&amp;$O50)+1-1)/COUNTIF($B$2:$B$492,$B50))&gt;=0.3,"Nella Media","Scommessa/Riserva")))),"")</f>
        <v>Top</v>
      </c>
      <c r="Q50" s="29" t="n">
        <f aca="false">IF($D50="",COUNTIF($D$2:$D50,""),"")</f>
        <v>49</v>
      </c>
      <c r="R50" s="29" t="str">
        <f aca="false">IF($D50='Info Lega'!$B$28,COUNTIFS($D$2:$D50,'Info Lega'!$B$28),"")</f>
        <v/>
      </c>
      <c r="S50" s="30" t="str">
        <f aca="false">IFERROR(INDEX('Input Statistiche 2025_26'!$G$3:$G$665,MATCH($A50,'Input Statistiche 2025_26'!$A$3:$A$665,0)),"")</f>
        <v/>
      </c>
      <c r="T50" s="30" t="str">
        <f aca="false">IFERROR(INDEX('Input Statistiche 2025_26'!$H$3:$H$665,MATCH($A50,'Input Statistiche 2025_26'!$A$3:$A$665,0)),"")</f>
        <v/>
      </c>
      <c r="U50" s="26" t="str">
        <f aca="false">IF(OR('La Mia Rosa'!$O$12="",$D50&lt;&gt;""),"",IF($F50&lt;='La Mia Rosa'!$O$12*'Parametri Modello'!$B$24,"OK",IF($F50&lt;='La Mia Rosa'!$O$12*'Parametri Modello'!$B$25,"Attenzione","Rischio Alto")))</f>
        <v>OK</v>
      </c>
      <c r="V50" s="26" t="n">
        <f aca="false">IFERROR(COUNTIFS($B$2:$B$492,$B50,$O$2:$O$492,"&gt;"&amp;$O50)+1,"")</f>
        <v>19</v>
      </c>
      <c r="W50" s="21" t="n">
        <f aca="false">'Info Lega'!$B$4-SUMIFS($M$2:$M$492,$D$2:$D$492,'Info Lega'!$B$28)</f>
        <v>1000</v>
      </c>
      <c r="X50" s="21" t="n">
        <f aca="false">('Info Lega'!$B$5-COUNTIFS($D$2:$D$492,'Info Lega'!$B$28,$B$2:$B$492,"P"))+('Info Lega'!$B$6-COUNTIFS($D$2:$D$492,'Info Lega'!$B$28,$B$2:$B$492,"D"))+('Info Lega'!$B$7-COUNTIFS($D$2:$D$492,'Info Lega'!$B$28,$B$2:$B$492,"C"))+('Info Lega'!$B$8-COUNTIFS($D$2:$D$492,'Info Lega'!$B$28,$B$2:$B$492,"A"))</f>
        <v>25</v>
      </c>
      <c r="Y50" s="21" t="n">
        <f aca="false">X50*'Parametri Modello'!$B$30</f>
        <v>25</v>
      </c>
      <c r="Z50" s="21" t="n">
        <f aca="false">MAX(0,W50-Y50)</f>
        <v>975</v>
      </c>
      <c r="AA50" s="21" t="n">
        <f aca="false">MIN(F50,Z50)</f>
        <v>31</v>
      </c>
      <c r="AB50" s="21"/>
      <c r="AC50" s="21" t="str">
        <f aca="false">IF(AB50="","",IF(AB50&gt;AA50,"PASS",IF(AB50&lt;=AA50*0.85,"BID","ATTENZIONE")))</f>
        <v/>
      </c>
      <c r="AD50" s="31" t="str">
        <f aca="false">IF(I50="","",ROUND(100*(1-EXP(-I50/30)),0))</f>
        <v/>
      </c>
      <c r="AE50" s="7" t="str">
        <f aca="false">IFERROR(INDEX('Stato Asta'!$G$9:$G$12,MATCH($B50,'Stato Asta'!$A$9:$A$12,0)),"")</f>
        <v>🟡 Attesa rischiosa</v>
      </c>
    </row>
    <row r="51" customFormat="false" ht="14.25" hidden="false" customHeight="true" outlineLevel="0" collapsed="false">
      <c r="A51" s="21" t="n">
        <v>6966</v>
      </c>
      <c r="B51" s="21" t="s">
        <v>43</v>
      </c>
      <c r="C51" s="21" t="s">
        <v>118</v>
      </c>
      <c r="E51" s="26" t="str">
        <f aca="false">IF(COUNTIF('Info Strategia'!$D$2:$D$51,$C51)&gt;0,"SI","NO")</f>
        <v>NO</v>
      </c>
      <c r="F51" s="27" t="n">
        <f aca="false">IFERROR(ROUND(($G51+($H51-$G51)*'Info Strategia'!$B$6)*(1+IF($E51="SI",'Parametri Modello'!$B$7*'Info Strategia'!$B$6,0)),0),"")</f>
        <v>65</v>
      </c>
      <c r="G51" s="27" t="n">
        <f aca="false">IFERROR(ROUND((IF(OR(INDEX('Parametri Modello'!$C$39:$C$42,MATCH($B51,'Parametri Modello'!$A$39:$A$42,0))="",INDEX('Parametri Modello'!$C$39:$C$42,MATCH($B51,'Parametri Modello'!$A$39:$A$42,0))=0),0,($O51/INDEX('Parametri Modello'!$C$39:$C$42,MATCH($B51,'Parametri Modello'!$A$39:$A$42,0)))*(INDEX('Parametri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52</v>
      </c>
      <c r="H51" s="27" t="n">
        <f aca="false">IFERROR(ROUND((IF(OR(INDEX('Parametri Modello'!$C$39:$C$42,MATCH($B51,'Parametri Modello'!$A$39:$A$42,0))="",INDEX('Parametri Modello'!$C$39:$C$42,MATCH($B51,'Parametri Modello'!$A$39:$A$42,0))=0),0,($O51/INDEX('Parametri Modello'!$C$39:$C$42,MATCH($B51,'Parametri Modello'!$A$39:$A$42,0)))*(INDEX('Parametri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70</v>
      </c>
      <c r="I51" s="26" t="n">
        <f aca="false">IFERROR(INDEX('Input Statistiche 2025_26'!$F$3:$F$665,MATCH($A51,'Input Statistiche 2025_26'!$A$3:$A$665,0)),"")</f>
        <v>38</v>
      </c>
      <c r="J51" s="26" t="n">
        <f aca="false">IFERROR(IF($I51="","",MAX(0,38-$I51)),"")</f>
        <v>0</v>
      </c>
      <c r="K51" s="26" t="n">
        <f aca="false">IFERROR(INDEX('Input Statistiche 2025_26'!$I$3:$I$665,MATCH($A51,'Input Statistiche 2025_26'!$A$3:$A$665,0)),"")</f>
        <v>0</v>
      </c>
      <c r="L51" s="26" t="n">
        <f aca="false">IFERROR(INDEX('Input Statistiche 2025_26'!$O$3:$O$665,MATCH($A51,'Input Statistiche 2025_26'!$A$3:$A$665,0)),"")</f>
        <v>1</v>
      </c>
      <c r="M51" s="28"/>
      <c r="N51" s="27" t="n">
        <f aca="false">IFERROR(INDEX('Input Giocatori 2026_27'!$E$3:$E$493,MATCH($A51,'Input Giocatori 2026_27'!$A$3:$A$493,0)),"")</f>
        <v>16</v>
      </c>
      <c r="O51" s="27" t="n">
        <f aca="false">IFERROR(INDEX('Input Giocatori 2026_27'!$G$3:$G$493,MATCH($A51,'Input Giocatori 2026_27'!$A$3:$A$493,0)),"")</f>
        <v>56</v>
      </c>
      <c r="P51" s="26" t="str">
        <f aca="false">IFERROR(IF($O51="","",IF((1-(COUNTIFS($B$2:$B$492,$B51,$O$2:$O$492,"&gt;"&amp;$O51)+1-1)/COUNTIF($B$2:$B$492,$B51))&gt;=0.85,"Top",IF((1-(COUNTIFS($B$2:$B$492,$B51,$O$2:$O$492,"&gt;"&amp;$O51)+1-1)/COUNTIF($B$2:$B$492,$B51))&gt;=0.6,"Buono",IF((1-(COUNTIFS($B$2:$B$492,$B51,$O$2:$O$492,"&gt;"&amp;$O51)+1-1)/COUNTIF($B$2:$B$492,$B51))&gt;=0.3,"Nella Media","Scommessa/Riserva")))),"")</f>
        <v>Top</v>
      </c>
      <c r="Q51" s="29" t="n">
        <f aca="false">IF($D51="",COUNTIF($D$2:$D51,""),"")</f>
        <v>50</v>
      </c>
      <c r="R51" s="29" t="str">
        <f aca="false">IF($D51='Info Lega'!$B$28,COUNTIFS($D$2:$D51,'Info Lega'!$B$28),"")</f>
        <v/>
      </c>
      <c r="S51" s="30" t="n">
        <f aca="false">IFERROR(INDEX('Input Statistiche 2025_26'!$G$3:$G$665,MATCH($A51,'Input Statistiche 2025_26'!$A$3:$A$665,0)),"")</f>
        <v>6.07</v>
      </c>
      <c r="T51" s="30" t="n">
        <f aca="false">IFERROR(INDEX('Input Statistiche 2025_26'!$H$3:$H$665,MATCH($A51,'Input Statistiche 2025_26'!$A$3:$A$665,0)),"")</f>
        <v>5.37</v>
      </c>
      <c r="U51" s="26" t="str">
        <f aca="false">IF(OR('La Mia Rosa'!$O$12="",$D51&lt;&gt;""),"",IF($F51&lt;='La Mia Rosa'!$O$12*'Parametri Modello'!$B$24,"OK",IF($F51&lt;='La Mia Rosa'!$O$12*'Parametri Modello'!$B$25,"Attenzione","Rischio Alto")))</f>
        <v>Attenzione</v>
      </c>
      <c r="V51" s="26" t="n">
        <f aca="false">IFERROR(COUNTIFS($B$2:$B$492,$B51,$O$2:$O$492,"&gt;"&amp;$O51)+1,"")</f>
        <v>3</v>
      </c>
      <c r="W51" s="21" t="n">
        <f aca="false">'Info Lega'!$B$4-SUMIFS($M$2:$M$492,$D$2:$D$492,'Info Lega'!$B$28)</f>
        <v>1000</v>
      </c>
      <c r="X51" s="21" t="n">
        <f aca="false">('Info Lega'!$B$5-COUNTIFS($D$2:$D$492,'Info Lega'!$B$28,$B$2:$B$492,"P"))+('Info Lega'!$B$6-COUNTIFS($D$2:$D$492,'Info Lega'!$B$28,$B$2:$B$492,"D"))+('Info Lega'!$B$7-COUNTIFS($D$2:$D$492,'Info Lega'!$B$28,$B$2:$B$492,"C"))+('Info Lega'!$B$8-COUNTIFS($D$2:$D$492,'Info Lega'!$B$28,$B$2:$B$492,"A"))</f>
        <v>25</v>
      </c>
      <c r="Y51" s="21" t="n">
        <f aca="false">X51*'Parametri Modello'!$B$30</f>
        <v>25</v>
      </c>
      <c r="Z51" s="21" t="n">
        <f aca="false">MAX(0,W51-Y51)</f>
        <v>975</v>
      </c>
      <c r="AA51" s="21" t="n">
        <f aca="false">MIN(F51,Z51)</f>
        <v>65</v>
      </c>
      <c r="AB51" s="21"/>
      <c r="AC51" s="21" t="str">
        <f aca="false">IF(AB51="","",IF(AB51&gt;AA51,"PASS",IF(AB51&lt;=AA51*0.85,"BID","ATTENZIONE")))</f>
        <v/>
      </c>
      <c r="AD51" s="31" t="n">
        <f aca="false">IF(I51="","",ROUND(100*(1-EXP(-I51/30)),0))</f>
        <v>72</v>
      </c>
      <c r="AE51" s="7" t="str">
        <f aca="false">IFERROR(INDEX('Stato Asta'!$G$9:$G$12,MATCH($B51,'Stato Asta'!$A$9:$A$12,0)),"")</f>
        <v>🟡 Attesa rischiosa</v>
      </c>
    </row>
    <row r="52" customFormat="false" ht="14.25" hidden="false" customHeight="true" outlineLevel="0" collapsed="false">
      <c r="A52" s="21" t="n">
        <v>4159</v>
      </c>
      <c r="B52" s="21" t="s">
        <v>44</v>
      </c>
      <c r="C52" s="21" t="s">
        <v>193</v>
      </c>
      <c r="E52" s="26" t="str">
        <f aca="false">IF(COUNTIF('Info Strategia'!$D$2:$D$51,$C52)&gt;0,"SI","NO")</f>
        <v>NO</v>
      </c>
      <c r="F52" s="27" t="n">
        <f aca="false">IFERROR(ROUND(($G52+($H52-$G52)*'Info Strategia'!$B$6)*(1+IF($E52="SI",'Parametri Modello'!$B$7*'Info Strategia'!$B$6,0)),0),"")</f>
        <v>27</v>
      </c>
      <c r="G52" s="27" t="n">
        <f aca="false">IFERROR(ROUND((IF(OR(INDEX('Parametri Modello'!$C$39:$C$42,MATCH($B52,'Parametri Modello'!$A$39:$A$42,0))="",INDEX('Parametri Modello'!$C$39:$C$42,MATCH($B52,'Parametri Modello'!$A$39:$A$42,0))=0),0,($O52/INDEX('Parametri Modello'!$C$39:$C$42,MATCH($B52,'Parametri Modello'!$A$39:$A$42,0)))*(INDEX('Parametri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20</v>
      </c>
      <c r="H52" s="27" t="n">
        <f aca="false">IFERROR(ROUND((IF(OR(INDEX('Parametri Modello'!$C$39:$C$42,MATCH($B52,'Parametri Modello'!$A$39:$A$42,0))="",INDEX('Parametri Modello'!$C$39:$C$42,MATCH($B52,'Parametri Modello'!$A$39:$A$42,0))=0),0,($O52/INDEX('Parametri Modello'!$C$39:$C$42,MATCH($B52,'Parametri Modello'!$A$39:$A$42,0)))*(INDEX('Parametri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30</v>
      </c>
      <c r="I52" s="26" t="n">
        <f aca="false">IFERROR(INDEX('Input Statistiche 2025_26'!$F$3:$F$665,MATCH($A52,'Input Statistiche 2025_26'!$A$3:$A$665,0)),"")</f>
        <v>32</v>
      </c>
      <c r="J52" s="26" t="n">
        <f aca="false">IFERROR(IF($I52="","",MAX(0,38-$I52)),"")</f>
        <v>6</v>
      </c>
      <c r="K52" s="26" t="n">
        <f aca="false">IFERROR(INDEX('Input Statistiche 2025_26'!$I$3:$I$665,MATCH($A52,'Input Statistiche 2025_26'!$A$3:$A$665,0)),"")</f>
        <v>2</v>
      </c>
      <c r="L52" s="26" t="n">
        <f aca="false">IFERROR(INDEX('Input Statistiche 2025_26'!$O$3:$O$665,MATCH($A52,'Input Statistiche 2025_26'!$A$3:$A$665,0)),"")</f>
        <v>0</v>
      </c>
      <c r="M52" s="28"/>
      <c r="N52" s="27" t="n">
        <f aca="false">IFERROR(INDEX('Input Giocatori 2026_27'!$E$3:$E$493,MATCH($A52,'Input Giocatori 2026_27'!$A$3:$A$493,0)),"")</f>
        <v>16</v>
      </c>
      <c r="O52" s="27" t="n">
        <f aca="false">IFERROR(INDEX('Input Giocatori 2026_27'!$G$3:$G$493,MATCH($A52,'Input Giocatori 2026_27'!$A$3:$A$493,0)),"")</f>
        <v>55</v>
      </c>
      <c r="P52" s="26" t="str">
        <f aca="false">IFERROR(IF($O52="","",IF((1-(COUNTIFS($B$2:$B$492,$B52,$O$2:$O$492,"&gt;"&amp;$O52)+1-1)/COUNTIF($B$2:$B$492,$B52))&gt;=0.85,"Top",IF((1-(COUNTIFS($B$2:$B$492,$B52,$O$2:$O$492,"&gt;"&amp;$O52)+1-1)/COUNTIF($B$2:$B$492,$B52))&gt;=0.6,"Buono",IF((1-(COUNTIFS($B$2:$B$492,$B52,$O$2:$O$492,"&gt;"&amp;$O52)+1-1)/COUNTIF($B$2:$B$492,$B52))&gt;=0.3,"Nella Media","Scommessa/Riserva")))),"")</f>
        <v>Top</v>
      </c>
      <c r="Q52" s="29" t="n">
        <f aca="false">IF($D52="",COUNTIF($D$2:$D52,""),"")</f>
        <v>51</v>
      </c>
      <c r="R52" s="29" t="str">
        <f aca="false">IF($D52='Info Lega'!$B$28,COUNTIFS($D$2:$D52,'Info Lega'!$B$28),"")</f>
        <v/>
      </c>
      <c r="S52" s="30" t="n">
        <f aca="false">IFERROR(INDEX('Input Statistiche 2025_26'!$G$3:$G$665,MATCH($A52,'Input Statistiche 2025_26'!$A$3:$A$665,0)),"")</f>
        <v>6.28</v>
      </c>
      <c r="T52" s="30" t="n">
        <f aca="false">IFERROR(INDEX('Input Statistiche 2025_26'!$H$3:$H$665,MATCH($A52,'Input Statistiche 2025_26'!$A$3:$A$665,0)),"")</f>
        <v>6.41</v>
      </c>
      <c r="U52" s="26" t="str">
        <f aca="false">IF(OR('La Mia Rosa'!$O$12="",$D52&lt;&gt;""),"",IF($F52&lt;='La Mia Rosa'!$O$12*'Parametri Modello'!$B$24,"OK",IF($F52&lt;='La Mia Rosa'!$O$12*'Parametri Modello'!$B$25,"Attenzione","Rischio Alto")))</f>
        <v>OK</v>
      </c>
      <c r="V52" s="26" t="n">
        <f aca="false">IFERROR(COUNTIFS($B$2:$B$492,$B52,$O$2:$O$492,"&gt;"&amp;$O52)+1,"")</f>
        <v>3</v>
      </c>
      <c r="W52" s="21" t="n">
        <f aca="false">'Info Lega'!$B$4-SUMIFS($M$2:$M$492,$D$2:$D$492,'Info Lega'!$B$28)</f>
        <v>1000</v>
      </c>
      <c r="X52" s="21" t="n">
        <f aca="false">('Info Lega'!$B$5-COUNTIFS($D$2:$D$492,'Info Lega'!$B$28,$B$2:$B$492,"P"))+('Info Lega'!$B$6-COUNTIFS($D$2:$D$492,'Info Lega'!$B$28,$B$2:$B$492,"D"))+('Info Lega'!$B$7-COUNTIFS($D$2:$D$492,'Info Lega'!$B$28,$B$2:$B$492,"C"))+('Info Lega'!$B$8-COUNTIFS($D$2:$D$492,'Info Lega'!$B$28,$B$2:$B$492,"A"))</f>
        <v>25</v>
      </c>
      <c r="Y52" s="21" t="n">
        <f aca="false">X52*'Parametri Modello'!$B$30</f>
        <v>25</v>
      </c>
      <c r="Z52" s="21" t="n">
        <f aca="false">MAX(0,W52-Y52)</f>
        <v>975</v>
      </c>
      <c r="AA52" s="21" t="n">
        <f aca="false">MIN(F52,Z52)</f>
        <v>27</v>
      </c>
      <c r="AB52" s="21"/>
      <c r="AC52" s="21" t="str">
        <f aca="false">IF(AB52="","",IF(AB52&gt;AA52,"PASS",IF(AB52&lt;=AA52*0.85,"BID","ATTENZIONE")))</f>
        <v/>
      </c>
      <c r="AD52" s="31" t="n">
        <f aca="false">IF(I52="","",ROUND(100*(1-EXP(-I52/30)),0))</f>
        <v>66</v>
      </c>
      <c r="AE52" s="7" t="str">
        <f aca="false">IFERROR(INDEX('Stato Asta'!$G$9:$G$12,MATCH($B52,'Stato Asta'!$A$9:$A$12,0)),"")</f>
        <v>🟡 Attesa rischiosa</v>
      </c>
    </row>
    <row r="53" customFormat="false" ht="14.25" hidden="false" customHeight="true" outlineLevel="0" collapsed="false">
      <c r="A53" s="21" t="n">
        <v>4220</v>
      </c>
      <c r="B53" s="21" t="s">
        <v>45</v>
      </c>
      <c r="C53" s="21" t="s">
        <v>391</v>
      </c>
      <c r="E53" s="26" t="str">
        <f aca="false">IF(COUNTIF('Info Strategia'!$D$2:$D$51,$C53)&gt;0,"SI","NO")</f>
        <v>NO</v>
      </c>
      <c r="F53" s="27" t="n">
        <f aca="false">IFERROR(ROUND(($G53+($H53-$G53)*'Info Strategia'!$B$6)*(1+IF($E53="SI",'Parametri Modello'!$B$7*'Info Strategia'!$B$6,0)),0),"")</f>
        <v>31</v>
      </c>
      <c r="G53" s="27" t="n">
        <f aca="false">IFERROR(ROUND((IF(OR(INDEX('Parametri Modello'!$C$39:$C$42,MATCH($B53,'Parametri Modello'!$A$39:$A$42,0))="",INDEX('Parametri Modello'!$C$39:$C$42,MATCH($B53,'Parametri Modello'!$A$39:$A$42,0))=0),0,($O53/INDEX('Parametri Modello'!$C$39:$C$42,MATCH($B53,'Parametri Modello'!$A$39:$A$42,0)))*(INDEX('Parametri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21</v>
      </c>
      <c r="H53" s="27" t="n">
        <f aca="false">IFERROR(ROUND((IF(OR(INDEX('Parametri Modello'!$C$39:$C$42,MATCH($B53,'Parametri Modello'!$A$39:$A$42,0))="",INDEX('Parametri Modello'!$C$39:$C$42,MATCH($B53,'Parametri Modello'!$A$39:$A$42,0))=0),0,($O53/INDEX('Parametri Modello'!$C$39:$C$42,MATCH($B53,'Parametri Modello'!$A$39:$A$42,0)))*(INDEX('Parametri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35</v>
      </c>
      <c r="I53" s="26" t="n">
        <f aca="false">IFERROR(INDEX('Input Statistiche 2025_26'!$F$3:$F$665,MATCH($A53,'Input Statistiche 2025_26'!$A$3:$A$665,0)),"")</f>
        <v>18</v>
      </c>
      <c r="J53" s="26" t="n">
        <f aca="false">IFERROR(IF($I53="","",MAX(0,38-$I53)),"")</f>
        <v>20</v>
      </c>
      <c r="K53" s="26" t="n">
        <f aca="false">IFERROR(INDEX('Input Statistiche 2025_26'!$I$3:$I$665,MATCH($A53,'Input Statistiche 2025_26'!$A$3:$A$665,0)),"")</f>
        <v>4</v>
      </c>
      <c r="L53" s="26" t="n">
        <f aca="false">IFERROR(INDEX('Input Statistiche 2025_26'!$O$3:$O$665,MATCH($A53,'Input Statistiche 2025_26'!$A$3:$A$665,0)),"")</f>
        <v>1</v>
      </c>
      <c r="M53" s="28"/>
      <c r="N53" s="27" t="n">
        <f aca="false">IFERROR(INDEX('Input Giocatori 2026_27'!$E$3:$E$493,MATCH($A53,'Input Giocatori 2026_27'!$A$3:$A$493,0)),"")</f>
        <v>11</v>
      </c>
      <c r="O53" s="27" t="n">
        <f aca="false">IFERROR(INDEX('Input Giocatori 2026_27'!$G$3:$G$493,MATCH($A53,'Input Giocatori 2026_27'!$A$3:$A$493,0)),"")</f>
        <v>55</v>
      </c>
      <c r="P53" s="26" t="str">
        <f aca="false">IFERROR(IF($O53="","",IF((1-(COUNTIFS($B$2:$B$492,$B53,$O$2:$O$492,"&gt;"&amp;$O53)+1-1)/COUNTIF($B$2:$B$492,$B53))&gt;=0.85,"Top",IF((1-(COUNTIFS($B$2:$B$492,$B53,$O$2:$O$492,"&gt;"&amp;$O53)+1-1)/COUNTIF($B$2:$B$492,$B53))&gt;=0.6,"Buono",IF((1-(COUNTIFS($B$2:$B$492,$B53,$O$2:$O$492,"&gt;"&amp;$O53)+1-1)/COUNTIF($B$2:$B$492,$B53))&gt;=0.3,"Nella Media","Scommessa/Riserva")))),"")</f>
        <v>Top</v>
      </c>
      <c r="Q53" s="29" t="n">
        <f aca="false">IF($D53="",COUNTIF($D$2:$D53,""),"")</f>
        <v>52</v>
      </c>
      <c r="R53" s="29" t="str">
        <f aca="false">IF($D53='Info Lega'!$B$28,COUNTIFS($D$2:$D53,'Info Lega'!$B$28),"")</f>
        <v/>
      </c>
      <c r="S53" s="30" t="n">
        <f aca="false">IFERROR(INDEX('Input Statistiche 2025_26'!$G$3:$G$665,MATCH($A53,'Input Statistiche 2025_26'!$A$3:$A$665,0)),"")</f>
        <v>6.17</v>
      </c>
      <c r="T53" s="30" t="n">
        <f aca="false">IFERROR(INDEX('Input Statistiche 2025_26'!$H$3:$H$665,MATCH($A53,'Input Statistiche 2025_26'!$A$3:$A$665,0)),"")</f>
        <v>6.86</v>
      </c>
      <c r="U53" s="26" t="str">
        <f aca="false">IF(OR('La Mia Rosa'!$O$12="",$D53&lt;&gt;""),"",IF($F53&lt;='La Mia Rosa'!$O$12*'Parametri Modello'!$B$24,"OK",IF($F53&lt;='La Mia Rosa'!$O$12*'Parametri Modello'!$B$25,"Attenzione","Rischio Alto")))</f>
        <v>OK</v>
      </c>
      <c r="V53" s="26" t="n">
        <f aca="false">IFERROR(COUNTIFS($B$2:$B$492,$B53,$O$2:$O$492,"&gt;"&amp;$O53)+1,"")</f>
        <v>20</v>
      </c>
      <c r="W53" s="21" t="n">
        <f aca="false">'Info Lega'!$B$4-SUMIFS($M$2:$M$492,$D$2:$D$492,'Info Lega'!$B$28)</f>
        <v>1000</v>
      </c>
      <c r="X53" s="21" t="n">
        <f aca="false">('Info Lega'!$B$5-COUNTIFS($D$2:$D$492,'Info Lega'!$B$28,$B$2:$B$492,"P"))+('Info Lega'!$B$6-COUNTIFS($D$2:$D$492,'Info Lega'!$B$28,$B$2:$B$492,"D"))+('Info Lega'!$B$7-COUNTIFS($D$2:$D$492,'Info Lega'!$B$28,$B$2:$B$492,"C"))+('Info Lega'!$B$8-COUNTIFS($D$2:$D$492,'Info Lega'!$B$28,$B$2:$B$492,"A"))</f>
        <v>25</v>
      </c>
      <c r="Y53" s="21" t="n">
        <f aca="false">X53*'Parametri Modello'!$B$30</f>
        <v>25</v>
      </c>
      <c r="Z53" s="21" t="n">
        <f aca="false">MAX(0,W53-Y53)</f>
        <v>975</v>
      </c>
      <c r="AA53" s="21" t="n">
        <f aca="false">MIN(F53,Z53)</f>
        <v>31</v>
      </c>
      <c r="AB53" s="21"/>
      <c r="AC53" s="21" t="str">
        <f aca="false">IF(AB53="","",IF(AB53&gt;AA53,"PASS",IF(AB53&lt;=AA53*0.85,"BID","ATTENZIONE")))</f>
        <v/>
      </c>
      <c r="AD53" s="31" t="n">
        <f aca="false">IF(I53="","",ROUND(100*(1-EXP(-I53/30)),0))</f>
        <v>45</v>
      </c>
      <c r="AE53" s="7" t="str">
        <f aca="false">IFERROR(INDEX('Stato Asta'!$G$9:$G$12,MATCH($B53,'Stato Asta'!$A$9:$A$12,0)),"")</f>
        <v>🟡 Attesa rischiosa</v>
      </c>
    </row>
    <row r="54" customFormat="false" ht="14.25" hidden="false" customHeight="true" outlineLevel="0" collapsed="false">
      <c r="A54" s="21" t="n">
        <v>5734</v>
      </c>
      <c r="B54" s="21" t="s">
        <v>46</v>
      </c>
      <c r="C54" s="21" t="s">
        <v>565</v>
      </c>
      <c r="E54" s="26" t="str">
        <f aca="false">IF(COUNTIF('Info Strategia'!$D$2:$D$51,$C54)&gt;0,"SI","NO")</f>
        <v>NO</v>
      </c>
      <c r="F54" s="27" t="n">
        <f aca="false">IFERROR(ROUND(($G54+($H54-$G54)*'Info Strategia'!$B$6)*(1+IF($E54="SI",'Parametri Modello'!$B$7*'Info Strategia'!$B$6,0)),0),"")</f>
        <v>49</v>
      </c>
      <c r="G54" s="27" t="n">
        <f aca="false">IFERROR(ROUND((IF(OR(INDEX('Parametri Modello'!$C$39:$C$42,MATCH($B54,'Parametri Modello'!$A$39:$A$42,0))="",INDEX('Parametri Modello'!$C$39:$C$42,MATCH($B54,'Parametri Modello'!$A$39:$A$42,0))=0),0,($O54/INDEX('Parametri Modello'!$C$39:$C$42,MATCH($B54,'Parametri Modello'!$A$39:$A$42,0)))*(INDEX('Parametri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31</v>
      </c>
      <c r="H54" s="27" t="n">
        <f aca="false">IFERROR(ROUND((IF(OR(INDEX('Parametri Modello'!$C$39:$C$42,MATCH($B54,'Parametri Modello'!$A$39:$A$42,0))="",INDEX('Parametri Modello'!$C$39:$C$42,MATCH($B54,'Parametri Modello'!$A$39:$A$42,0))=0),0,($O54/INDEX('Parametri Modello'!$C$39:$C$42,MATCH($B54,'Parametri Modello'!$A$39:$A$42,0)))*(INDEX('Parametri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57</v>
      </c>
      <c r="I54" s="26" t="n">
        <f aca="false">IFERROR(INDEX('Input Statistiche 2025_26'!$F$3:$F$665,MATCH($A54,'Input Statistiche 2025_26'!$A$3:$A$665,0)),"")</f>
        <v>32</v>
      </c>
      <c r="J54" s="26" t="n">
        <f aca="false">IFERROR(IF($I54="","",MAX(0,38-$I54)),"")</f>
        <v>6</v>
      </c>
      <c r="K54" s="26" t="n">
        <f aca="false">IFERROR(INDEX('Input Statistiche 2025_26'!$I$3:$I$665,MATCH($A54,'Input Statistiche 2025_26'!$A$3:$A$665,0)),"")</f>
        <v>6</v>
      </c>
      <c r="L54" s="26" t="n">
        <f aca="false">IFERROR(INDEX('Input Statistiche 2025_26'!$O$3:$O$665,MATCH($A54,'Input Statistiche 2025_26'!$A$3:$A$665,0)),"")</f>
        <v>5</v>
      </c>
      <c r="M54" s="28"/>
      <c r="N54" s="27" t="n">
        <f aca="false">IFERROR(INDEX('Input Giocatori 2026_27'!$E$3:$E$493,MATCH($A54,'Input Giocatori 2026_27'!$A$3:$A$493,0)),"")</f>
        <v>12</v>
      </c>
      <c r="O54" s="27" t="n">
        <f aca="false">IFERROR(INDEX('Input Giocatori 2026_27'!$G$3:$G$493,MATCH($A54,'Input Giocatori 2026_27'!$A$3:$A$493,0)),"")</f>
        <v>55</v>
      </c>
      <c r="P54" s="26" t="str">
        <f aca="false">IFERROR(IF($O54="","",IF((1-(COUNTIFS($B$2:$B$492,$B54,$O$2:$O$492,"&gt;"&amp;$O54)+1-1)/COUNTIF($B$2:$B$492,$B54))&gt;=0.85,"Top",IF((1-(COUNTIFS($B$2:$B$492,$B54,$O$2:$O$492,"&gt;"&amp;$O54)+1-1)/COUNTIF($B$2:$B$492,$B54))&gt;=0.6,"Buono",IF((1-(COUNTIFS($B$2:$B$492,$B54,$O$2:$O$492,"&gt;"&amp;$O54)+1-1)/COUNTIF($B$2:$B$492,$B54))&gt;=0.3,"Nella Media","Scommessa/Riserva")))),"")</f>
        <v>Buono</v>
      </c>
      <c r="Q54" s="29" t="n">
        <f aca="false">IF($D54="",COUNTIF($D$2:$D54,""),"")</f>
        <v>53</v>
      </c>
      <c r="R54" s="29" t="str">
        <f aca="false">IF($D54='Info Lega'!$B$28,COUNTIFS($D$2:$D54,'Info Lega'!$B$28),"")</f>
        <v/>
      </c>
      <c r="S54" s="30" t="n">
        <f aca="false">IFERROR(INDEX('Input Statistiche 2025_26'!$G$3:$G$665,MATCH($A54,'Input Statistiche 2025_26'!$A$3:$A$665,0)),"")</f>
        <v>6.12</v>
      </c>
      <c r="T54" s="30" t="n">
        <f aca="false">IFERROR(INDEX('Input Statistiche 2025_26'!$H$3:$H$665,MATCH($A54,'Input Statistiche 2025_26'!$A$3:$A$665,0)),"")</f>
        <v>6.83</v>
      </c>
      <c r="U54" s="26" t="str">
        <f aca="false">IF(OR('La Mia Rosa'!$O$12="",$D54&lt;&gt;""),"",IF($F54&lt;='La Mia Rosa'!$O$12*'Parametri Modello'!$B$24,"OK",IF($F54&lt;='La Mia Rosa'!$O$12*'Parametri Modello'!$B$25,"Attenzione","Rischio Alto")))</f>
        <v>OK</v>
      </c>
      <c r="V54" s="26" t="n">
        <f aca="false">IFERROR(COUNTIFS($B$2:$B$492,$B54,$O$2:$O$492,"&gt;"&amp;$O54)+1,"")</f>
        <v>27</v>
      </c>
      <c r="W54" s="21" t="n">
        <f aca="false">'Info Lega'!$B$4-SUMIFS($M$2:$M$492,$D$2:$D$492,'Info Lega'!$B$28)</f>
        <v>1000</v>
      </c>
      <c r="X54" s="21" t="n">
        <f aca="false">('Info Lega'!$B$5-COUNTIFS($D$2:$D$492,'Info Lega'!$B$28,$B$2:$B$492,"P"))+('Info Lega'!$B$6-COUNTIFS($D$2:$D$492,'Info Lega'!$B$28,$B$2:$B$492,"D"))+('Info Lega'!$B$7-COUNTIFS($D$2:$D$492,'Info Lega'!$B$28,$B$2:$B$492,"C"))+('Info Lega'!$B$8-COUNTIFS($D$2:$D$492,'Info Lega'!$B$28,$B$2:$B$492,"A"))</f>
        <v>25</v>
      </c>
      <c r="Y54" s="21" t="n">
        <f aca="false">X54*'Parametri Modello'!$B$30</f>
        <v>25</v>
      </c>
      <c r="Z54" s="21" t="n">
        <f aca="false">MAX(0,W54-Y54)</f>
        <v>975</v>
      </c>
      <c r="AA54" s="21" t="n">
        <f aca="false">MIN(F54,Z54)</f>
        <v>49</v>
      </c>
      <c r="AB54" s="21"/>
      <c r="AC54" s="21" t="str">
        <f aca="false">IF(AB54="","",IF(AB54&gt;AA54,"PASS",IF(AB54&lt;=AA54*0.85,"BID","ATTENZIONE")))</f>
        <v/>
      </c>
      <c r="AD54" s="31" t="n">
        <f aca="false">IF(I54="","",ROUND(100*(1-EXP(-I54/30)),0))</f>
        <v>66</v>
      </c>
      <c r="AE54" s="7" t="str">
        <f aca="false">IFERROR(INDEX('Stato Asta'!$G$9:$G$12,MATCH($B54,'Stato Asta'!$A$9:$A$12,0)),"")</f>
        <v>🔴 Non aspettare</v>
      </c>
    </row>
    <row r="55" customFormat="false" ht="14.25" hidden="false" customHeight="true" outlineLevel="0" collapsed="false">
      <c r="A55" s="21" t="n">
        <v>4431</v>
      </c>
      <c r="B55" s="21" t="s">
        <v>43</v>
      </c>
      <c r="C55" s="21" t="s">
        <v>116</v>
      </c>
      <c r="E55" s="26" t="str">
        <f aca="false">IF(COUNTIF('Info Strategia'!$D$2:$D$51,$C55)&gt;0,"SI","NO")</f>
        <v>NO</v>
      </c>
      <c r="F55" s="27" t="n">
        <f aca="false">IFERROR(ROUND(($G55+($H55-$G55)*'Info Strategia'!$B$6)*(1+IF($E55="SI",'Parametri Modello'!$B$7*'Info Strategia'!$B$6,0)),0),"")</f>
        <v>61</v>
      </c>
      <c r="G55" s="27" t="n">
        <f aca="false">IFERROR(ROUND((IF(OR(INDEX('Parametri Modello'!$C$39:$C$42,MATCH($B55,'Parametri Modello'!$A$39:$A$42,0))="",INDEX('Parametri Modello'!$C$39:$C$42,MATCH($B55,'Parametri Modello'!$A$39:$A$42,0))=0),0,($O55/INDEX('Parametri Modello'!$C$39:$C$42,MATCH($B55,'Parametri Modello'!$A$39:$A$42,0)))*(INDEX('Parametri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49</v>
      </c>
      <c r="H55" s="27" t="n">
        <f aca="false">IFERROR(ROUND((IF(OR(INDEX('Parametri Modello'!$C$39:$C$42,MATCH($B55,'Parametri Modello'!$A$39:$A$42,0))="",INDEX('Parametri Modello'!$C$39:$C$42,MATCH($B55,'Parametri Modello'!$A$39:$A$42,0))=0),0,($O55/INDEX('Parametri Modello'!$C$39:$C$42,MATCH($B55,'Parametri Modello'!$A$39:$A$42,0)))*(INDEX('Parametri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66</v>
      </c>
      <c r="I55" s="26" t="n">
        <f aca="false">IFERROR(INDEX('Input Statistiche 2025_26'!$F$3:$F$665,MATCH($A55,'Input Statistiche 2025_26'!$A$3:$A$665,0)),"")</f>
        <v>37</v>
      </c>
      <c r="J55" s="26" t="n">
        <f aca="false">IFERROR(IF($I55="","",MAX(0,38-$I55)),"")</f>
        <v>1</v>
      </c>
      <c r="K55" s="26" t="n">
        <f aca="false">IFERROR(INDEX('Input Statistiche 2025_26'!$I$3:$I$665,MATCH($A55,'Input Statistiche 2025_26'!$A$3:$A$665,0)),"")</f>
        <v>0</v>
      </c>
      <c r="L55" s="26" t="n">
        <f aca="false">IFERROR(INDEX('Input Statistiche 2025_26'!$O$3:$O$665,MATCH($A55,'Input Statistiche 2025_26'!$A$3:$A$665,0)),"")</f>
        <v>0</v>
      </c>
      <c r="M55" s="28"/>
      <c r="N55" s="27" t="n">
        <f aca="false">IFERROR(INDEX('Input Giocatori 2026_27'!$E$3:$E$493,MATCH($A55,'Input Giocatori 2026_27'!$A$3:$A$493,0)),"")</f>
        <v>16</v>
      </c>
      <c r="O55" s="27" t="n">
        <f aca="false">IFERROR(INDEX('Input Giocatori 2026_27'!$G$3:$G$493,MATCH($A55,'Input Giocatori 2026_27'!$A$3:$A$493,0)),"")</f>
        <v>52</v>
      </c>
      <c r="P55" s="26" t="str">
        <f aca="false">IFERROR(IF($O55="","",IF((1-(COUNTIFS($B$2:$B$492,$B55,$O$2:$O$492,"&gt;"&amp;$O55)+1-1)/COUNTIF($B$2:$B$492,$B55))&gt;=0.85,"Top",IF((1-(COUNTIFS($B$2:$B$492,$B55,$O$2:$O$492,"&gt;"&amp;$O55)+1-1)/COUNTIF($B$2:$B$492,$B55))&gt;=0.6,"Buono",IF((1-(COUNTIFS($B$2:$B$492,$B55,$O$2:$O$492,"&gt;"&amp;$O55)+1-1)/COUNTIF($B$2:$B$492,$B55))&gt;=0.3,"Nella Media","Scommessa/Riserva")))),"")</f>
        <v>Top</v>
      </c>
      <c r="Q55" s="29" t="n">
        <f aca="false">IF($D55="",COUNTIF($D$2:$D55,""),"")</f>
        <v>54</v>
      </c>
      <c r="R55" s="29" t="str">
        <f aca="false">IF($D55='Info Lega'!$B$28,COUNTIFS($D$2:$D55,'Info Lega'!$B$28),"")</f>
        <v/>
      </c>
      <c r="S55" s="30" t="n">
        <f aca="false">IFERROR(INDEX('Input Statistiche 2025_26'!$G$3:$G$665,MATCH($A55,'Input Statistiche 2025_26'!$A$3:$A$665,0)),"")</f>
        <v>6.36</v>
      </c>
      <c r="T55" s="30" t="n">
        <f aca="false">IFERROR(INDEX('Input Statistiche 2025_26'!$H$3:$H$665,MATCH($A55,'Input Statistiche 2025_26'!$A$3:$A$665,0)),"")</f>
        <v>5.58</v>
      </c>
      <c r="U55" s="26" t="str">
        <f aca="false">IF(OR('La Mia Rosa'!$O$12="",$D55&lt;&gt;""),"",IF($F55&lt;='La Mia Rosa'!$O$12*'Parametri Modello'!$B$24,"OK",IF($F55&lt;='La Mia Rosa'!$O$12*'Parametri Modello'!$B$25,"Attenzione","Rischio Alto")))</f>
        <v>Attenzione</v>
      </c>
      <c r="V55" s="26" t="n">
        <f aca="false">IFERROR(COUNTIFS($B$2:$B$492,$B55,$O$2:$O$492,"&gt;"&amp;$O55)+1,"")</f>
        <v>4</v>
      </c>
      <c r="W55" s="21" t="n">
        <f aca="false">'Info Lega'!$B$4-SUMIFS($M$2:$M$492,$D$2:$D$492,'Info Lega'!$B$28)</f>
        <v>1000</v>
      </c>
      <c r="X55" s="21" t="n">
        <f aca="false">('Info Lega'!$B$5-COUNTIFS($D$2:$D$492,'Info Lega'!$B$28,$B$2:$B$492,"P"))+('Info Lega'!$B$6-COUNTIFS($D$2:$D$492,'Info Lega'!$B$28,$B$2:$B$492,"D"))+('Info Lega'!$B$7-COUNTIFS($D$2:$D$492,'Info Lega'!$B$28,$B$2:$B$492,"C"))+('Info Lega'!$B$8-COUNTIFS($D$2:$D$492,'Info Lega'!$B$28,$B$2:$B$492,"A"))</f>
        <v>25</v>
      </c>
      <c r="Y55" s="21" t="n">
        <f aca="false">X55*'Parametri Modello'!$B$30</f>
        <v>25</v>
      </c>
      <c r="Z55" s="21" t="n">
        <f aca="false">MAX(0,W55-Y55)</f>
        <v>975</v>
      </c>
      <c r="AA55" s="21" t="n">
        <f aca="false">MIN(F55,Z55)</f>
        <v>61</v>
      </c>
      <c r="AB55" s="21"/>
      <c r="AC55" s="21" t="str">
        <f aca="false">IF(AB55="","",IF(AB55&gt;AA55,"PASS",IF(AB55&lt;=AA55*0.85,"BID","ATTENZIONE")))</f>
        <v/>
      </c>
      <c r="AD55" s="31" t="n">
        <f aca="false">IF(I55="","",ROUND(100*(1-EXP(-I55/30)),0))</f>
        <v>71</v>
      </c>
      <c r="AE55" s="7" t="str">
        <f aca="false">IFERROR(INDEX('Stato Asta'!$G$9:$G$12,MATCH($B55,'Stato Asta'!$A$9:$A$12,0)),"")</f>
        <v>🟡 Attesa rischiosa</v>
      </c>
    </row>
    <row r="56" customFormat="false" ht="14.25" hidden="false" customHeight="true" outlineLevel="0" collapsed="false">
      <c r="A56" s="21" t="n">
        <v>4728</v>
      </c>
      <c r="B56" s="21" t="s">
        <v>46</v>
      </c>
      <c r="C56" s="21" t="s">
        <v>563</v>
      </c>
      <c r="E56" s="26" t="str">
        <f aca="false">IF(COUNTIF('Info Strategia'!$D$2:$D$51,$C56)&gt;0,"SI","NO")</f>
        <v>NO</v>
      </c>
      <c r="F56" s="27" t="n">
        <f aca="false">IFERROR(ROUND(($G56+($H56-$G56)*'Info Strategia'!$B$6)*(1+IF($E56="SI",'Parametri Modello'!$B$7*'Info Strategia'!$B$6,0)),0),"")</f>
        <v>47</v>
      </c>
      <c r="G56" s="27" t="n">
        <f aca="false">IFERROR(ROUND((IF(OR(INDEX('Parametri Modello'!$C$39:$C$42,MATCH($B56,'Parametri Modello'!$A$39:$A$42,0))="",INDEX('Parametri Modello'!$C$39:$C$42,MATCH($B56,'Parametri Modello'!$A$39:$A$42,0))=0),0,($O56/INDEX('Parametri Modello'!$C$39:$C$42,MATCH($B56,'Parametri Modello'!$A$39:$A$42,0)))*(INDEX('Parametri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29</v>
      </c>
      <c r="H56" s="27" t="n">
        <f aca="false">IFERROR(ROUND((IF(OR(INDEX('Parametri Modello'!$C$39:$C$42,MATCH($B56,'Parametri Modello'!$A$39:$A$42,0))="",INDEX('Parametri Modello'!$C$39:$C$42,MATCH($B56,'Parametri Modello'!$A$39:$A$42,0))=0),0,($O56/INDEX('Parametri Modello'!$C$39:$C$42,MATCH($B56,'Parametri Modello'!$A$39:$A$42,0)))*(INDEX('Parametri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54</v>
      </c>
      <c r="I56" s="26" t="n">
        <f aca="false">IFERROR(INDEX('Input Statistiche 2025_26'!$F$3:$F$665,MATCH($A56,'Input Statistiche 2025_26'!$A$3:$A$665,0)),"")</f>
        <v>26</v>
      </c>
      <c r="J56" s="26" t="n">
        <f aca="false">IFERROR(IF($I56="","",MAX(0,38-$I56)),"")</f>
        <v>12</v>
      </c>
      <c r="K56" s="26" t="n">
        <f aca="false">IFERROR(INDEX('Input Statistiche 2025_26'!$I$3:$I$665,MATCH($A56,'Input Statistiche 2025_26'!$A$3:$A$665,0)),"")</f>
        <v>7</v>
      </c>
      <c r="L56" s="26" t="n">
        <f aca="false">IFERROR(INDEX('Input Statistiche 2025_26'!$O$3:$O$665,MATCH($A56,'Input Statistiche 2025_26'!$A$3:$A$665,0)),"")</f>
        <v>3</v>
      </c>
      <c r="M56" s="28"/>
      <c r="N56" s="27" t="n">
        <f aca="false">IFERROR(INDEX('Input Giocatori 2026_27'!$E$3:$E$493,MATCH($A56,'Input Giocatori 2026_27'!$A$3:$A$493,0)),"")</f>
        <v>13</v>
      </c>
      <c r="O56" s="27" t="n">
        <f aca="false">IFERROR(INDEX('Input Giocatori 2026_27'!$G$3:$G$493,MATCH($A56,'Input Giocatori 2026_27'!$A$3:$A$493,0)),"")</f>
        <v>52</v>
      </c>
      <c r="P56" s="26" t="str">
        <f aca="false">IFERROR(IF($O56="","",IF((1-(COUNTIFS($B$2:$B$492,$B56,$O$2:$O$492,"&gt;"&amp;$O56)+1-1)/COUNTIF($B$2:$B$492,$B56))&gt;=0.85,"Top",IF((1-(COUNTIFS($B$2:$B$492,$B56,$O$2:$O$492,"&gt;"&amp;$O56)+1-1)/COUNTIF($B$2:$B$492,$B56))&gt;=0.6,"Buono",IF((1-(COUNTIFS($B$2:$B$492,$B56,$O$2:$O$492,"&gt;"&amp;$O56)+1-1)/COUNTIF($B$2:$B$492,$B56))&gt;=0.3,"Nella Media","Scommessa/Riserva")))),"")</f>
        <v>Buono</v>
      </c>
      <c r="Q56" s="29" t="n">
        <f aca="false">IF($D56="",COUNTIF($D$2:$D56,""),"")</f>
        <v>55</v>
      </c>
      <c r="R56" s="29" t="str">
        <f aca="false">IF($D56='Info Lega'!$B$28,COUNTIFS($D$2:$D56,'Info Lega'!$B$28),"")</f>
        <v/>
      </c>
      <c r="S56" s="30" t="n">
        <f aca="false">IFERROR(INDEX('Input Statistiche 2025_26'!$G$3:$G$665,MATCH($A56,'Input Statistiche 2025_26'!$A$3:$A$665,0)),"")</f>
        <v>5.94</v>
      </c>
      <c r="T56" s="30" t="n">
        <f aca="false">IFERROR(INDEX('Input Statistiche 2025_26'!$H$3:$H$665,MATCH($A56,'Input Statistiche 2025_26'!$A$3:$A$665,0)),"")</f>
        <v>6.87</v>
      </c>
      <c r="U56" s="26" t="str">
        <f aca="false">IF(OR('La Mia Rosa'!$O$12="",$D56&lt;&gt;""),"",IF($F56&lt;='La Mia Rosa'!$O$12*'Parametri Modello'!$B$24,"OK",IF($F56&lt;='La Mia Rosa'!$O$12*'Parametri Modello'!$B$25,"Attenzione","Rischio Alto")))</f>
        <v>OK</v>
      </c>
      <c r="V56" s="26" t="n">
        <f aca="false">IFERROR(COUNTIFS($B$2:$B$492,$B56,$O$2:$O$492,"&gt;"&amp;$O56)+1,"")</f>
        <v>28</v>
      </c>
      <c r="W56" s="21" t="n">
        <f aca="false">'Info Lega'!$B$4-SUMIFS($M$2:$M$492,$D$2:$D$492,'Info Lega'!$B$28)</f>
        <v>1000</v>
      </c>
      <c r="X56" s="21" t="n">
        <f aca="false">('Info Lega'!$B$5-COUNTIFS($D$2:$D$492,'Info Lega'!$B$28,$B$2:$B$492,"P"))+('Info Lega'!$B$6-COUNTIFS($D$2:$D$492,'Info Lega'!$B$28,$B$2:$B$492,"D"))+('Info Lega'!$B$7-COUNTIFS($D$2:$D$492,'Info Lega'!$B$28,$B$2:$B$492,"C"))+('Info Lega'!$B$8-COUNTIFS($D$2:$D$492,'Info Lega'!$B$28,$B$2:$B$492,"A"))</f>
        <v>25</v>
      </c>
      <c r="Y56" s="21" t="n">
        <f aca="false">X56*'Parametri Modello'!$B$30</f>
        <v>25</v>
      </c>
      <c r="Z56" s="21" t="n">
        <f aca="false">MAX(0,W56-Y56)</f>
        <v>975</v>
      </c>
      <c r="AA56" s="21" t="n">
        <f aca="false">MIN(F56,Z56)</f>
        <v>47</v>
      </c>
      <c r="AB56" s="21"/>
      <c r="AC56" s="21" t="str">
        <f aca="false">IF(AB56="","",IF(AB56&gt;AA56,"PASS",IF(AB56&lt;=AA56*0.85,"BID","ATTENZIONE")))</f>
        <v/>
      </c>
      <c r="AD56" s="31" t="n">
        <f aca="false">IF(I56="","",ROUND(100*(1-EXP(-I56/30)),0))</f>
        <v>58</v>
      </c>
      <c r="AE56" s="7" t="str">
        <f aca="false">IFERROR(INDEX('Stato Asta'!$G$9:$G$12,MATCH($B56,'Stato Asta'!$A$9:$A$12,0)),"")</f>
        <v>🔴 Non aspettare</v>
      </c>
    </row>
    <row r="57" customFormat="false" ht="14.25" hidden="false" customHeight="true" outlineLevel="0" collapsed="false">
      <c r="A57" s="21" t="n">
        <v>7484</v>
      </c>
      <c r="B57" s="21" t="s">
        <v>46</v>
      </c>
      <c r="C57" s="21" t="s">
        <v>566</v>
      </c>
      <c r="E57" s="26" t="str">
        <f aca="false">IF(COUNTIF('Info Strategia'!$D$2:$D$51,$C57)&gt;0,"SI","NO")</f>
        <v>NO</v>
      </c>
      <c r="F57" s="27" t="n">
        <f aca="false">IFERROR(ROUND(($G57+($H57-$G57)*'Info Strategia'!$B$6)*(1+IF($E57="SI",'Parametri Modello'!$B$7*'Info Strategia'!$B$6,0)),0),"")</f>
        <v>47</v>
      </c>
      <c r="G57" s="27" t="n">
        <f aca="false">IFERROR(ROUND((IF(OR(INDEX('Parametri Modello'!$C$39:$C$42,MATCH($B57,'Parametri Modello'!$A$39:$A$42,0))="",INDEX('Parametri Modello'!$C$39:$C$42,MATCH($B57,'Parametri Modello'!$A$39:$A$42,0))=0),0,($O57/INDEX('Parametri Modello'!$C$39:$C$42,MATCH($B57,'Parametri Modello'!$A$39:$A$42,0)))*(INDEX('Parametri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29</v>
      </c>
      <c r="H57" s="27" t="n">
        <f aca="false">IFERROR(ROUND((IF(OR(INDEX('Parametri Modello'!$C$39:$C$42,MATCH($B57,'Parametri Modello'!$A$39:$A$42,0))="",INDEX('Parametri Modello'!$C$39:$C$42,MATCH($B57,'Parametri Modello'!$A$39:$A$42,0))=0),0,($O57/INDEX('Parametri Modello'!$C$39:$C$42,MATCH($B57,'Parametri Modello'!$A$39:$A$42,0)))*(INDEX('Parametri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54</v>
      </c>
      <c r="I57" s="26" t="str">
        <f aca="false">IFERROR(INDEX('Input Statistiche 2025_26'!$F$3:$F$665,MATCH($A57,'Input Statistiche 2025_26'!$A$3:$A$665,0)),"")</f>
        <v/>
      </c>
      <c r="J57" s="26" t="str">
        <f aca="false">IFERROR(IF($I57="","",MAX(0,38-$I57)),"")</f>
        <v/>
      </c>
      <c r="K57" s="26" t="str">
        <f aca="false">IFERROR(INDEX('Input Statistiche 2025_26'!$I$3:$I$665,MATCH($A57,'Input Statistiche 2025_26'!$A$3:$A$665,0)),"")</f>
        <v/>
      </c>
      <c r="L57" s="26" t="str">
        <f aca="false">IFERROR(INDEX('Input Statistiche 2025_26'!$O$3:$O$665,MATCH($A57,'Input Statistiche 2025_26'!$A$3:$A$665,0)),"")</f>
        <v/>
      </c>
      <c r="M57" s="28"/>
      <c r="N57" s="27" t="n">
        <f aca="false">IFERROR(INDEX('Input Giocatori 2026_27'!$E$3:$E$493,MATCH($A57,'Input Giocatori 2026_27'!$A$3:$A$493,0)),"")</f>
        <v>12</v>
      </c>
      <c r="O57" s="27" t="n">
        <f aca="false">IFERROR(INDEX('Input Giocatori 2026_27'!$G$3:$G$493,MATCH($A57,'Input Giocatori 2026_27'!$A$3:$A$493,0)),"")</f>
        <v>52</v>
      </c>
      <c r="P57" s="26" t="str">
        <f aca="false">IFERROR(IF($O57="","",IF((1-(COUNTIFS($B$2:$B$492,$B57,$O$2:$O$492,"&gt;"&amp;$O57)+1-1)/COUNTIF($B$2:$B$492,$B57))&gt;=0.85,"Top",IF((1-(COUNTIFS($B$2:$B$492,$B57,$O$2:$O$492,"&gt;"&amp;$O57)+1-1)/COUNTIF($B$2:$B$492,$B57))&gt;=0.6,"Buono",IF((1-(COUNTIFS($B$2:$B$492,$B57,$O$2:$O$492,"&gt;"&amp;$O57)+1-1)/COUNTIF($B$2:$B$492,$B57))&gt;=0.3,"Nella Media","Scommessa/Riserva")))),"")</f>
        <v>Buono</v>
      </c>
      <c r="Q57" s="29" t="n">
        <f aca="false">IF($D57="",COUNTIF($D$2:$D57,""),"")</f>
        <v>56</v>
      </c>
      <c r="R57" s="29" t="str">
        <f aca="false">IF($D57='Info Lega'!$B$28,COUNTIFS($D$2:$D57,'Info Lega'!$B$28),"")</f>
        <v/>
      </c>
      <c r="S57" s="30" t="str">
        <f aca="false">IFERROR(INDEX('Input Statistiche 2025_26'!$G$3:$G$665,MATCH($A57,'Input Statistiche 2025_26'!$A$3:$A$665,0)),"")</f>
        <v/>
      </c>
      <c r="T57" s="30" t="str">
        <f aca="false">IFERROR(INDEX('Input Statistiche 2025_26'!$H$3:$H$665,MATCH($A57,'Input Statistiche 2025_26'!$A$3:$A$665,0)),"")</f>
        <v/>
      </c>
      <c r="U57" s="26" t="str">
        <f aca="false">IF(OR('La Mia Rosa'!$O$12="",$D57&lt;&gt;""),"",IF($F57&lt;='La Mia Rosa'!$O$12*'Parametri Modello'!$B$24,"OK",IF($F57&lt;='La Mia Rosa'!$O$12*'Parametri Modello'!$B$25,"Attenzione","Rischio Alto")))</f>
        <v>OK</v>
      </c>
      <c r="V57" s="26" t="n">
        <f aca="false">IFERROR(COUNTIFS($B$2:$B$492,$B57,$O$2:$O$492,"&gt;"&amp;$O57)+1,"")</f>
        <v>28</v>
      </c>
      <c r="W57" s="21" t="n">
        <f aca="false">'Info Lega'!$B$4-SUMIFS($M$2:$M$492,$D$2:$D$492,'Info Lega'!$B$28)</f>
        <v>1000</v>
      </c>
      <c r="X57" s="21" t="n">
        <f aca="false">('Info Lega'!$B$5-COUNTIFS($D$2:$D$492,'Info Lega'!$B$28,$B$2:$B$492,"P"))+('Info Lega'!$B$6-COUNTIFS($D$2:$D$492,'Info Lega'!$B$28,$B$2:$B$492,"D"))+('Info Lega'!$B$7-COUNTIFS($D$2:$D$492,'Info Lega'!$B$28,$B$2:$B$492,"C"))+('Info Lega'!$B$8-COUNTIFS($D$2:$D$492,'Info Lega'!$B$28,$B$2:$B$492,"A"))</f>
        <v>25</v>
      </c>
      <c r="Y57" s="21" t="n">
        <f aca="false">X57*'Parametri Modello'!$B$30</f>
        <v>25</v>
      </c>
      <c r="Z57" s="21" t="n">
        <f aca="false">MAX(0,W57-Y57)</f>
        <v>975</v>
      </c>
      <c r="AA57" s="21" t="n">
        <f aca="false">MIN(F57,Z57)</f>
        <v>47</v>
      </c>
      <c r="AB57" s="21"/>
      <c r="AC57" s="21" t="str">
        <f aca="false">IF(AB57="","",IF(AB57&gt;AA57,"PASS",IF(AB57&lt;=AA57*0.85,"BID","ATTENZIONE")))</f>
        <v/>
      </c>
      <c r="AD57" s="31" t="str">
        <f aca="false">IF(I57="","",ROUND(100*(1-EXP(-I57/30)),0))</f>
        <v/>
      </c>
      <c r="AE57" s="7" t="str">
        <f aca="false">IFERROR(INDEX('Stato Asta'!$G$9:$G$12,MATCH($B57,'Stato Asta'!$A$9:$A$12,0)),"")</f>
        <v>🔴 Non aspettare</v>
      </c>
    </row>
    <row r="58" customFormat="false" ht="14.25" hidden="false" customHeight="true" outlineLevel="0" collapsed="false">
      <c r="A58" s="21" t="n">
        <v>4312</v>
      </c>
      <c r="B58" s="21" t="s">
        <v>43</v>
      </c>
      <c r="C58" s="21" t="s">
        <v>120</v>
      </c>
      <c r="E58" s="26" t="str">
        <f aca="false">IF(COUNTIF('Info Strategia'!$D$2:$D$51,$C58)&gt;0,"SI","NO")</f>
        <v>NO</v>
      </c>
      <c r="F58" s="27" t="n">
        <f aca="false">IFERROR(ROUND(($G58+($H58-$G58)*'Info Strategia'!$B$6)*(1+IF($E58="SI",'Parametri Modello'!$B$7*'Info Strategia'!$B$6,0)),0),"")</f>
        <v>58</v>
      </c>
      <c r="G58" s="27" t="n">
        <f aca="false">IFERROR(ROUND((IF(OR(INDEX('Parametri Modello'!$C$39:$C$42,MATCH($B58,'Parametri Modello'!$A$39:$A$42,0))="",INDEX('Parametri Modello'!$C$39:$C$42,MATCH($B58,'Parametri Modello'!$A$39:$A$42,0))=0),0,($O58/INDEX('Parametri Modello'!$C$39:$C$42,MATCH($B58,'Parametri Modello'!$A$39:$A$42,0)))*(INDEX('Parametri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46</v>
      </c>
      <c r="H58" s="27" t="n">
        <f aca="false">IFERROR(ROUND((IF(OR(INDEX('Parametri Modello'!$C$39:$C$42,MATCH($B58,'Parametri Modello'!$A$39:$A$42,0))="",INDEX('Parametri Modello'!$C$39:$C$42,MATCH($B58,'Parametri Modello'!$A$39:$A$42,0))=0),0,($O58/INDEX('Parametri Modello'!$C$39:$C$42,MATCH($B58,'Parametri Modello'!$A$39:$A$42,0)))*(INDEX('Parametri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63</v>
      </c>
      <c r="I58" s="26" t="n">
        <f aca="false">IFERROR(INDEX('Input Statistiche 2025_26'!$F$3:$F$665,MATCH($A58,'Input Statistiche 2025_26'!$A$3:$A$665,0)),"")</f>
        <v>37</v>
      </c>
      <c r="J58" s="26" t="n">
        <f aca="false">IFERROR(IF($I58="","",MAX(0,38-$I58)),"")</f>
        <v>1</v>
      </c>
      <c r="K58" s="26" t="n">
        <f aca="false">IFERROR(INDEX('Input Statistiche 2025_26'!$I$3:$I$665,MATCH($A58,'Input Statistiche 2025_26'!$A$3:$A$665,0)),"")</f>
        <v>0</v>
      </c>
      <c r="L58" s="26" t="n">
        <f aca="false">IFERROR(INDEX('Input Statistiche 2025_26'!$O$3:$O$665,MATCH($A58,'Input Statistiche 2025_26'!$A$3:$A$665,0)),"")</f>
        <v>0</v>
      </c>
      <c r="M58" s="28"/>
      <c r="N58" s="27" t="n">
        <f aca="false">IFERROR(INDEX('Input Giocatori 2026_27'!$E$3:$E$493,MATCH($A58,'Input Giocatori 2026_27'!$A$3:$A$493,0)),"")</f>
        <v>15</v>
      </c>
      <c r="O58" s="27" t="n">
        <f aca="false">IFERROR(INDEX('Input Giocatori 2026_27'!$G$3:$G$493,MATCH($A58,'Input Giocatori 2026_27'!$A$3:$A$493,0)),"")</f>
        <v>50</v>
      </c>
      <c r="P58" s="26" t="str">
        <f aca="false">IFERROR(IF($O58="","",IF((1-(COUNTIFS($B$2:$B$492,$B58,$O$2:$O$492,"&gt;"&amp;$O58)+1-1)/COUNTIF($B$2:$B$492,$B58))&gt;=0.85,"Top",IF((1-(COUNTIFS($B$2:$B$492,$B58,$O$2:$O$492,"&gt;"&amp;$O58)+1-1)/COUNTIF($B$2:$B$492,$B58))&gt;=0.6,"Buono",IF((1-(COUNTIFS($B$2:$B$492,$B58,$O$2:$O$492,"&gt;"&amp;$O58)+1-1)/COUNTIF($B$2:$B$492,$B58))&gt;=0.3,"Nella Media","Scommessa/Riserva")))),"")</f>
        <v>Top</v>
      </c>
      <c r="Q58" s="29" t="n">
        <f aca="false">IF($D58="",COUNTIF($D$2:$D58,""),"")</f>
        <v>57</v>
      </c>
      <c r="R58" s="29" t="str">
        <f aca="false">IF($D58='Info Lega'!$B$28,COUNTIFS($D$2:$D58,'Info Lega'!$B$28),"")</f>
        <v/>
      </c>
      <c r="S58" s="30" t="n">
        <f aca="false">IFERROR(INDEX('Input Statistiche 2025_26'!$G$3:$G$665,MATCH($A58,'Input Statistiche 2025_26'!$A$3:$A$665,0)),"")</f>
        <v>6.26</v>
      </c>
      <c r="T58" s="30" t="n">
        <f aca="false">IFERROR(INDEX('Input Statistiche 2025_26'!$H$3:$H$665,MATCH($A58,'Input Statistiche 2025_26'!$A$3:$A$665,0)),"")</f>
        <v>5.42</v>
      </c>
      <c r="U58" s="26" t="str">
        <f aca="false">IF(OR('La Mia Rosa'!$O$12="",$D58&lt;&gt;""),"",IF($F58&lt;='La Mia Rosa'!$O$12*'Parametri Modello'!$B$24,"OK",IF($F58&lt;='La Mia Rosa'!$O$12*'Parametri Modello'!$B$25,"Attenzione","Rischio Alto")))</f>
        <v>OK</v>
      </c>
      <c r="V58" s="26" t="n">
        <f aca="false">IFERROR(COUNTIFS($B$2:$B$492,$B58,$O$2:$O$492,"&gt;"&amp;$O58)+1,"")</f>
        <v>5</v>
      </c>
      <c r="W58" s="21" t="n">
        <f aca="false">'Info Lega'!$B$4-SUMIFS($M$2:$M$492,$D$2:$D$492,'Info Lega'!$B$28)</f>
        <v>1000</v>
      </c>
      <c r="X58" s="21" t="n">
        <f aca="false">('Info Lega'!$B$5-COUNTIFS($D$2:$D$492,'Info Lega'!$B$28,$B$2:$B$492,"P"))+('Info Lega'!$B$6-COUNTIFS($D$2:$D$492,'Info Lega'!$B$28,$B$2:$B$492,"D"))+('Info Lega'!$B$7-COUNTIFS($D$2:$D$492,'Info Lega'!$B$28,$B$2:$B$492,"C"))+('Info Lega'!$B$8-COUNTIFS($D$2:$D$492,'Info Lega'!$B$28,$B$2:$B$492,"A"))</f>
        <v>25</v>
      </c>
      <c r="Y58" s="21" t="n">
        <f aca="false">X58*'Parametri Modello'!$B$30</f>
        <v>25</v>
      </c>
      <c r="Z58" s="21" t="n">
        <f aca="false">MAX(0,W58-Y58)</f>
        <v>975</v>
      </c>
      <c r="AA58" s="21" t="n">
        <f aca="false">MIN(F58,Z58)</f>
        <v>58</v>
      </c>
      <c r="AB58" s="21"/>
      <c r="AC58" s="21" t="str">
        <f aca="false">IF(AB58="","",IF(AB58&gt;AA58,"PASS",IF(AB58&lt;=AA58*0.85,"BID","ATTENZIONE")))</f>
        <v/>
      </c>
      <c r="AD58" s="31" t="n">
        <f aca="false">IF(I58="","",ROUND(100*(1-EXP(-I58/30)),0))</f>
        <v>71</v>
      </c>
      <c r="AE58" s="7" t="str">
        <f aca="false">IFERROR(INDEX('Stato Asta'!$G$9:$G$12,MATCH($B58,'Stato Asta'!$A$9:$A$12,0)),"")</f>
        <v>🟡 Attesa rischiosa</v>
      </c>
    </row>
    <row r="59" customFormat="false" ht="14.25" hidden="false" customHeight="true" outlineLevel="0" collapsed="false">
      <c r="A59" s="21" t="n">
        <v>2788</v>
      </c>
      <c r="B59" s="21" t="s">
        <v>44</v>
      </c>
      <c r="C59" s="21" t="s">
        <v>194</v>
      </c>
      <c r="E59" s="26" t="str">
        <f aca="false">IF(COUNTIF('Info Strategia'!$D$2:$D$51,$C59)&gt;0,"SI","NO")</f>
        <v>NO</v>
      </c>
      <c r="F59" s="27" t="n">
        <f aca="false">IFERROR(ROUND(($G59+($H59-$G59)*'Info Strategia'!$B$6)*(1+IF($E59="SI",'Parametri Modello'!$B$7*'Info Strategia'!$B$6,0)),0),"")</f>
        <v>24</v>
      </c>
      <c r="G59" s="27" t="n">
        <f aca="false">IFERROR(ROUND((IF(OR(INDEX('Parametri Modello'!$C$39:$C$42,MATCH($B59,'Parametri Modello'!$A$39:$A$42,0))="",INDEX('Parametri Modello'!$C$39:$C$42,MATCH($B59,'Parametri Modello'!$A$39:$A$42,0))=0),0,($O59/INDEX('Parametri Modello'!$C$39:$C$42,MATCH($B59,'Parametri Modello'!$A$39:$A$42,0)))*(INDEX('Parametri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18</v>
      </c>
      <c r="H59" s="27" t="n">
        <f aca="false">IFERROR(ROUND((IF(OR(INDEX('Parametri Modello'!$C$39:$C$42,MATCH($B59,'Parametri Modello'!$A$39:$A$42,0))="",INDEX('Parametri Modello'!$C$39:$C$42,MATCH($B59,'Parametri Modello'!$A$39:$A$42,0))=0),0,($O59/INDEX('Parametri Modello'!$C$39:$C$42,MATCH($B59,'Parametri Modello'!$A$39:$A$42,0)))*(INDEX('Parametri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27</v>
      </c>
      <c r="I59" s="26" t="n">
        <f aca="false">IFERROR(INDEX('Input Statistiche 2025_26'!$F$3:$F$665,MATCH($A59,'Input Statistiche 2025_26'!$A$3:$A$665,0)),"")</f>
        <v>26</v>
      </c>
      <c r="J59" s="26" t="n">
        <f aca="false">IFERROR(IF($I59="","",MAX(0,38-$I59)),"")</f>
        <v>12</v>
      </c>
      <c r="K59" s="26" t="n">
        <f aca="false">IFERROR(INDEX('Input Statistiche 2025_26'!$I$3:$I$665,MATCH($A59,'Input Statistiche 2025_26'!$A$3:$A$665,0)),"")</f>
        <v>4</v>
      </c>
      <c r="L59" s="26" t="n">
        <f aca="false">IFERROR(INDEX('Input Statistiche 2025_26'!$O$3:$O$665,MATCH($A59,'Input Statistiche 2025_26'!$A$3:$A$665,0)),"")</f>
        <v>3</v>
      </c>
      <c r="M59" s="28"/>
      <c r="N59" s="27" t="n">
        <f aca="false">IFERROR(INDEX('Input Giocatori 2026_27'!$E$3:$E$493,MATCH($A59,'Input Giocatori 2026_27'!$A$3:$A$493,0)),"")</f>
        <v>15</v>
      </c>
      <c r="O59" s="27" t="n">
        <f aca="false">IFERROR(INDEX('Input Giocatori 2026_27'!$G$3:$G$493,MATCH($A59,'Input Giocatori 2026_27'!$A$3:$A$493,0)),"")</f>
        <v>50</v>
      </c>
      <c r="P59" s="26" t="str">
        <f aca="false">IFERROR(IF($O59="","",IF((1-(COUNTIFS($B$2:$B$492,$B59,$O$2:$O$492,"&gt;"&amp;$O59)+1-1)/COUNTIF($B$2:$B$492,$B59))&gt;=0.85,"Top",IF((1-(COUNTIFS($B$2:$B$492,$B59,$O$2:$O$492,"&gt;"&amp;$O59)+1-1)/COUNTIF($B$2:$B$492,$B59))&gt;=0.6,"Buono",IF((1-(COUNTIFS($B$2:$B$492,$B59,$O$2:$O$492,"&gt;"&amp;$O59)+1-1)/COUNTIF($B$2:$B$492,$B59))&gt;=0.3,"Nella Media","Scommessa/Riserva")))),"")</f>
        <v>Top</v>
      </c>
      <c r="Q59" s="29" t="n">
        <f aca="false">IF($D59="",COUNTIF($D$2:$D59,""),"")</f>
        <v>58</v>
      </c>
      <c r="R59" s="29" t="str">
        <f aca="false">IF($D59='Info Lega'!$B$28,COUNTIFS($D$2:$D59,'Info Lega'!$B$28),"")</f>
        <v/>
      </c>
      <c r="S59" s="30" t="n">
        <f aca="false">IFERROR(INDEX('Input Statistiche 2025_26'!$G$3:$G$665,MATCH($A59,'Input Statistiche 2025_26'!$A$3:$A$665,0)),"")</f>
        <v>6.33</v>
      </c>
      <c r="T59" s="30" t="n">
        <f aca="false">IFERROR(INDEX('Input Statistiche 2025_26'!$H$3:$H$665,MATCH($A59,'Input Statistiche 2025_26'!$A$3:$A$665,0)),"")</f>
        <v>6.81</v>
      </c>
      <c r="U59" s="26" t="str">
        <f aca="false">IF(OR('La Mia Rosa'!$O$12="",$D59&lt;&gt;""),"",IF($F59&lt;='La Mia Rosa'!$O$12*'Parametri Modello'!$B$24,"OK",IF($F59&lt;='La Mia Rosa'!$O$12*'Parametri Modello'!$B$25,"Attenzione","Rischio Alto")))</f>
        <v>OK</v>
      </c>
      <c r="V59" s="26" t="n">
        <f aca="false">IFERROR(COUNTIFS($B$2:$B$492,$B59,$O$2:$O$492,"&gt;"&amp;$O59)+1,"")</f>
        <v>4</v>
      </c>
      <c r="W59" s="21" t="n">
        <f aca="false">'Info Lega'!$B$4-SUMIFS($M$2:$M$492,$D$2:$D$492,'Info Lega'!$B$28)</f>
        <v>1000</v>
      </c>
      <c r="X59" s="21" t="n">
        <f aca="false">('Info Lega'!$B$5-COUNTIFS($D$2:$D$492,'Info Lega'!$B$28,$B$2:$B$492,"P"))+('Info Lega'!$B$6-COUNTIFS($D$2:$D$492,'Info Lega'!$B$28,$B$2:$B$492,"D"))+('Info Lega'!$B$7-COUNTIFS($D$2:$D$492,'Info Lega'!$B$28,$B$2:$B$492,"C"))+('Info Lega'!$B$8-COUNTIFS($D$2:$D$492,'Info Lega'!$B$28,$B$2:$B$492,"A"))</f>
        <v>25</v>
      </c>
      <c r="Y59" s="21" t="n">
        <f aca="false">X59*'Parametri Modello'!$B$30</f>
        <v>25</v>
      </c>
      <c r="Z59" s="21" t="n">
        <f aca="false">MAX(0,W59-Y59)</f>
        <v>975</v>
      </c>
      <c r="AA59" s="21" t="n">
        <f aca="false">MIN(F59,Z59)</f>
        <v>24</v>
      </c>
      <c r="AB59" s="21"/>
      <c r="AC59" s="21" t="str">
        <f aca="false">IF(AB59="","",IF(AB59&gt;AA59,"PASS",IF(AB59&lt;=AA59*0.85,"BID","ATTENZIONE")))</f>
        <v/>
      </c>
      <c r="AD59" s="31" t="n">
        <f aca="false">IF(I59="","",ROUND(100*(1-EXP(-I59/30)),0))</f>
        <v>58</v>
      </c>
      <c r="AE59" s="7" t="str">
        <f aca="false">IFERROR(INDEX('Stato Asta'!$G$9:$G$12,MATCH($B59,'Stato Asta'!$A$9:$A$12,0)),"")</f>
        <v>🟡 Attesa rischiosa</v>
      </c>
    </row>
    <row r="60" customFormat="false" ht="14.25" hidden="false" customHeight="true" outlineLevel="0" collapsed="false">
      <c r="A60" s="21" t="n">
        <v>2606</v>
      </c>
      <c r="B60" s="21" t="s">
        <v>45</v>
      </c>
      <c r="C60" s="21" t="s">
        <v>388</v>
      </c>
      <c r="E60" s="26" t="str">
        <f aca="false">IF(COUNTIF('Info Strategia'!$D$2:$D$51,$C60)&gt;0,"SI","NO")</f>
        <v>NO</v>
      </c>
      <c r="F60" s="27" t="n">
        <f aca="false">IFERROR(ROUND(($G60+($H60-$G60)*'Info Strategia'!$B$6)*(1+IF($E60="SI",'Parametri Modello'!$B$7*'Info Strategia'!$B$6,0)),0),"")</f>
        <v>28</v>
      </c>
      <c r="G60" s="27" t="n">
        <f aca="false">IFERROR(ROUND((IF(OR(INDEX('Parametri Modello'!$C$39:$C$42,MATCH($B60,'Parametri Modello'!$A$39:$A$42,0))="",INDEX('Parametri Modello'!$C$39:$C$42,MATCH($B60,'Parametri Modello'!$A$39:$A$42,0))=0),0,($O60/INDEX('Parametri Modello'!$C$39:$C$42,MATCH($B60,'Parametri Modello'!$A$39:$A$42,0)))*(INDEX('Parametri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19</v>
      </c>
      <c r="H60" s="27" t="n">
        <f aca="false">IFERROR(ROUND((IF(OR(INDEX('Parametri Modello'!$C$39:$C$42,MATCH($B60,'Parametri Modello'!$A$39:$A$42,0))="",INDEX('Parametri Modello'!$C$39:$C$42,MATCH($B60,'Parametri Modello'!$A$39:$A$42,0))=0),0,($O60/INDEX('Parametri Modello'!$C$39:$C$42,MATCH($B60,'Parametri Modello'!$A$39:$A$42,0)))*(INDEX('Parametri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32</v>
      </c>
      <c r="I60" s="26" t="n">
        <f aca="false">IFERROR(INDEX('Input Statistiche 2025_26'!$F$3:$F$665,MATCH($A60,'Input Statistiche 2025_26'!$A$3:$A$665,0)),"")</f>
        <v>33</v>
      </c>
      <c r="J60" s="26" t="n">
        <f aca="false">IFERROR(IF($I60="","",MAX(0,38-$I60)),"")</f>
        <v>5</v>
      </c>
      <c r="K60" s="26" t="n">
        <f aca="false">IFERROR(INDEX('Input Statistiche 2025_26'!$I$3:$I$665,MATCH($A60,'Input Statistiche 2025_26'!$A$3:$A$665,0)),"")</f>
        <v>2</v>
      </c>
      <c r="L60" s="26" t="n">
        <f aca="false">IFERROR(INDEX('Input Statistiche 2025_26'!$O$3:$O$665,MATCH($A60,'Input Statistiche 2025_26'!$A$3:$A$665,0)),"")</f>
        <v>3</v>
      </c>
      <c r="M60" s="28"/>
      <c r="N60" s="27" t="n">
        <f aca="false">IFERROR(INDEX('Input Giocatori 2026_27'!$E$3:$E$493,MATCH($A60,'Input Giocatori 2026_27'!$A$3:$A$493,0)),"")</f>
        <v>12</v>
      </c>
      <c r="O60" s="27" t="n">
        <f aca="false">IFERROR(INDEX('Input Giocatori 2026_27'!$G$3:$G$493,MATCH($A60,'Input Giocatori 2026_27'!$A$3:$A$493,0)),"")</f>
        <v>50</v>
      </c>
      <c r="P60" s="26" t="str">
        <f aca="false">IFERROR(IF($O60="","",IF((1-(COUNTIFS($B$2:$B$492,$B60,$O$2:$O$492,"&gt;"&amp;$O60)+1-1)/COUNTIF($B$2:$B$492,$B60))&gt;=0.85,"Top",IF((1-(COUNTIFS($B$2:$B$492,$B60,$O$2:$O$492,"&gt;"&amp;$O60)+1-1)/COUNTIF($B$2:$B$492,$B60))&gt;=0.6,"Buono",IF((1-(COUNTIFS($B$2:$B$492,$B60,$O$2:$O$492,"&gt;"&amp;$O60)+1-1)/COUNTIF($B$2:$B$492,$B60))&gt;=0.3,"Nella Media","Scommessa/Riserva")))),"")</f>
        <v>Top</v>
      </c>
      <c r="Q60" s="29" t="n">
        <f aca="false">IF($D60="",COUNTIF($D$2:$D60,""),"")</f>
        <v>59</v>
      </c>
      <c r="R60" s="29" t="str">
        <f aca="false">IF($D60='Info Lega'!$B$28,COUNTIFS($D$2:$D60,'Info Lega'!$B$28),"")</f>
        <v/>
      </c>
      <c r="S60" s="30" t="n">
        <f aca="false">IFERROR(INDEX('Input Statistiche 2025_26'!$G$3:$G$665,MATCH($A60,'Input Statistiche 2025_26'!$A$3:$A$665,0)),"")</f>
        <v>6.45</v>
      </c>
      <c r="T60" s="30" t="n">
        <f aca="false">IFERROR(INDEX('Input Statistiche 2025_26'!$H$3:$H$665,MATCH($A60,'Input Statistiche 2025_26'!$A$3:$A$665,0)),"")</f>
        <v>6.67</v>
      </c>
      <c r="U60" s="26" t="str">
        <f aca="false">IF(OR('La Mia Rosa'!$O$12="",$D60&lt;&gt;""),"",IF($F60&lt;='La Mia Rosa'!$O$12*'Parametri Modello'!$B$24,"OK",IF($F60&lt;='La Mia Rosa'!$O$12*'Parametri Modello'!$B$25,"Attenzione","Rischio Alto")))</f>
        <v>OK</v>
      </c>
      <c r="V60" s="26" t="n">
        <f aca="false">IFERROR(COUNTIFS($B$2:$B$492,$B60,$O$2:$O$492,"&gt;"&amp;$O60)+1,"")</f>
        <v>21</v>
      </c>
      <c r="W60" s="21" t="n">
        <f aca="false">'Info Lega'!$B$4-SUMIFS($M$2:$M$492,$D$2:$D$492,'Info Lega'!$B$28)</f>
        <v>1000</v>
      </c>
      <c r="X60" s="21" t="n">
        <f aca="false">('Info Lega'!$B$5-COUNTIFS($D$2:$D$492,'Info Lega'!$B$28,$B$2:$B$492,"P"))+('Info Lega'!$B$6-COUNTIFS($D$2:$D$492,'Info Lega'!$B$28,$B$2:$B$492,"D"))+('Info Lega'!$B$7-COUNTIFS($D$2:$D$492,'Info Lega'!$B$28,$B$2:$B$492,"C"))+('Info Lega'!$B$8-COUNTIFS($D$2:$D$492,'Info Lega'!$B$28,$B$2:$B$492,"A"))</f>
        <v>25</v>
      </c>
      <c r="Y60" s="21" t="n">
        <f aca="false">X60*'Parametri Modello'!$B$30</f>
        <v>25</v>
      </c>
      <c r="Z60" s="21" t="n">
        <f aca="false">MAX(0,W60-Y60)</f>
        <v>975</v>
      </c>
      <c r="AA60" s="21" t="n">
        <f aca="false">MIN(F60,Z60)</f>
        <v>28</v>
      </c>
      <c r="AB60" s="21"/>
      <c r="AC60" s="21" t="str">
        <f aca="false">IF(AB60="","",IF(AB60&gt;AA60,"PASS",IF(AB60&lt;=AA60*0.85,"BID","ATTENZIONE")))</f>
        <v/>
      </c>
      <c r="AD60" s="31" t="n">
        <f aca="false">IF(I60="","",ROUND(100*(1-EXP(-I60/30)),0))</f>
        <v>67</v>
      </c>
      <c r="AE60" s="7" t="str">
        <f aca="false">IFERROR(INDEX('Stato Asta'!$G$9:$G$12,MATCH($B60,'Stato Asta'!$A$9:$A$12,0)),"")</f>
        <v>🟡 Attesa rischiosa</v>
      </c>
    </row>
    <row r="61" customFormat="false" ht="14.25" hidden="false" customHeight="true" outlineLevel="0" collapsed="false">
      <c r="A61" s="21" t="n">
        <v>4463</v>
      </c>
      <c r="B61" s="21" t="s">
        <v>46</v>
      </c>
      <c r="C61" s="21" t="s">
        <v>562</v>
      </c>
      <c r="E61" s="26" t="str">
        <f aca="false">IF(COUNTIF('Info Strategia'!$D$2:$D$51,$C61)&gt;0,"SI","NO")</f>
        <v>NO</v>
      </c>
      <c r="F61" s="27" t="n">
        <f aca="false">IFERROR(ROUND(($G61+($H61-$G61)*'Info Strategia'!$B$6)*(1+IF($E61="SI",'Parametri Modello'!$B$7*'Info Strategia'!$B$6,0)),0),"")</f>
        <v>45</v>
      </c>
      <c r="G61" s="27" t="n">
        <f aca="false">IFERROR(ROUND((IF(OR(INDEX('Parametri Modello'!$C$39:$C$42,MATCH($B61,'Parametri Modello'!$A$39:$A$42,0))="",INDEX('Parametri Modello'!$C$39:$C$42,MATCH($B61,'Parametri Modello'!$A$39:$A$42,0))=0),0,($O61/INDEX('Parametri Modello'!$C$39:$C$42,MATCH($B61,'Parametri Modello'!$A$39:$A$42,0)))*(INDEX('Parametri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28</v>
      </c>
      <c r="H61" s="27" t="n">
        <f aca="false">IFERROR(ROUND((IF(OR(INDEX('Parametri Modello'!$C$39:$C$42,MATCH($B61,'Parametri Modello'!$A$39:$A$42,0))="",INDEX('Parametri Modello'!$C$39:$C$42,MATCH($B61,'Parametri Modello'!$A$39:$A$42,0))=0),0,($O61/INDEX('Parametri Modello'!$C$39:$C$42,MATCH($B61,'Parametri Modello'!$A$39:$A$42,0)))*(INDEX('Parametri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52</v>
      </c>
      <c r="I61" s="26" t="n">
        <f aca="false">IFERROR(INDEX('Input Statistiche 2025_26'!$F$3:$F$665,MATCH($A61,'Input Statistiche 2025_26'!$A$3:$A$665,0)),"")</f>
        <v>36</v>
      </c>
      <c r="J61" s="26" t="n">
        <f aca="false">IFERROR(IF($I61="","",MAX(0,38-$I61)),"")</f>
        <v>2</v>
      </c>
      <c r="K61" s="26" t="n">
        <f aca="false">IFERROR(INDEX('Input Statistiche 2025_26'!$I$3:$I$665,MATCH($A61,'Input Statistiche 2025_26'!$A$3:$A$665,0)),"")</f>
        <v>7</v>
      </c>
      <c r="L61" s="26" t="n">
        <f aca="false">IFERROR(INDEX('Input Statistiche 2025_26'!$O$3:$O$665,MATCH($A61,'Input Statistiche 2025_26'!$A$3:$A$665,0)),"")</f>
        <v>4</v>
      </c>
      <c r="M61" s="28"/>
      <c r="N61" s="27" t="n">
        <f aca="false">IFERROR(INDEX('Input Giocatori 2026_27'!$E$3:$E$493,MATCH($A61,'Input Giocatori 2026_27'!$A$3:$A$493,0)),"")</f>
        <v>13</v>
      </c>
      <c r="O61" s="27" t="n">
        <f aca="false">IFERROR(INDEX('Input Giocatori 2026_27'!$G$3:$G$493,MATCH($A61,'Input Giocatori 2026_27'!$A$3:$A$493,0)),"")</f>
        <v>50</v>
      </c>
      <c r="P61" s="26" t="str">
        <f aca="false">IFERROR(IF($O61="","",IF((1-(COUNTIFS($B$2:$B$492,$B61,$O$2:$O$492,"&gt;"&amp;$O61)+1-1)/COUNTIF($B$2:$B$492,$B61))&gt;=0.85,"Top",IF((1-(COUNTIFS($B$2:$B$492,$B61,$O$2:$O$492,"&gt;"&amp;$O61)+1-1)/COUNTIF($B$2:$B$492,$B61))&gt;=0.6,"Buono",IF((1-(COUNTIFS($B$2:$B$492,$B61,$O$2:$O$492,"&gt;"&amp;$O61)+1-1)/COUNTIF($B$2:$B$492,$B61))&gt;=0.3,"Nella Media","Scommessa/Riserva")))),"")</f>
        <v>Buono</v>
      </c>
      <c r="Q61" s="29" t="n">
        <f aca="false">IF($D61="",COUNTIF($D$2:$D61,""),"")</f>
        <v>60</v>
      </c>
      <c r="R61" s="29" t="str">
        <f aca="false">IF($D61='Info Lega'!$B$28,COUNTIFS($D$2:$D61,'Info Lega'!$B$28),"")</f>
        <v/>
      </c>
      <c r="S61" s="30" t="n">
        <f aca="false">IFERROR(INDEX('Input Statistiche 2025_26'!$G$3:$G$665,MATCH($A61,'Input Statistiche 2025_26'!$A$3:$A$665,0)),"")</f>
        <v>6.26</v>
      </c>
      <c r="T61" s="30" t="n">
        <f aca="false">IFERROR(INDEX('Input Statistiche 2025_26'!$H$3:$H$665,MATCH($A61,'Input Statistiche 2025_26'!$A$3:$A$665,0)),"")</f>
        <v>6.88</v>
      </c>
      <c r="U61" s="26" t="str">
        <f aca="false">IF(OR('La Mia Rosa'!$O$12="",$D61&lt;&gt;""),"",IF($F61&lt;='La Mia Rosa'!$O$12*'Parametri Modello'!$B$24,"OK",IF($F61&lt;='La Mia Rosa'!$O$12*'Parametri Modello'!$B$25,"Attenzione","Rischio Alto")))</f>
        <v>OK</v>
      </c>
      <c r="V61" s="26" t="n">
        <f aca="false">IFERROR(COUNTIFS($B$2:$B$492,$B61,$O$2:$O$492,"&gt;"&amp;$O61)+1,"")</f>
        <v>30</v>
      </c>
      <c r="W61" s="21" t="n">
        <f aca="false">'Info Lega'!$B$4-SUMIFS($M$2:$M$492,$D$2:$D$492,'Info Lega'!$B$28)</f>
        <v>1000</v>
      </c>
      <c r="X61" s="21" t="n">
        <f aca="false">('Info Lega'!$B$5-COUNTIFS($D$2:$D$492,'Info Lega'!$B$28,$B$2:$B$492,"P"))+('Info Lega'!$B$6-COUNTIFS($D$2:$D$492,'Info Lega'!$B$28,$B$2:$B$492,"D"))+('Info Lega'!$B$7-COUNTIFS($D$2:$D$492,'Info Lega'!$B$28,$B$2:$B$492,"C"))+('Info Lega'!$B$8-COUNTIFS($D$2:$D$492,'Info Lega'!$B$28,$B$2:$B$492,"A"))</f>
        <v>25</v>
      </c>
      <c r="Y61" s="21" t="n">
        <f aca="false">X61*'Parametri Modello'!$B$30</f>
        <v>25</v>
      </c>
      <c r="Z61" s="21" t="n">
        <f aca="false">MAX(0,W61-Y61)</f>
        <v>975</v>
      </c>
      <c r="AA61" s="21" t="n">
        <f aca="false">MIN(F61,Z61)</f>
        <v>45</v>
      </c>
      <c r="AB61" s="21"/>
      <c r="AC61" s="21" t="str">
        <f aca="false">IF(AB61="","",IF(AB61&gt;AA61,"PASS",IF(AB61&lt;=AA61*0.85,"BID","ATTENZIONE")))</f>
        <v/>
      </c>
      <c r="AD61" s="31" t="n">
        <f aca="false">IF(I61="","",ROUND(100*(1-EXP(-I61/30)),0))</f>
        <v>70</v>
      </c>
      <c r="AE61" s="7" t="str">
        <f aca="false">IFERROR(INDEX('Stato Asta'!$G$9:$G$12,MATCH($B61,'Stato Asta'!$A$9:$A$12,0)),"")</f>
        <v>🔴 Non aspettare</v>
      </c>
    </row>
    <row r="62" customFormat="false" ht="14.25" hidden="false" customHeight="true" outlineLevel="0" collapsed="false">
      <c r="A62" s="21" t="n">
        <v>6967</v>
      </c>
      <c r="B62" s="21" t="s">
        <v>46</v>
      </c>
      <c r="C62" s="21" t="s">
        <v>567</v>
      </c>
      <c r="E62" s="26" t="str">
        <f aca="false">IF(COUNTIF('Info Strategia'!$D$2:$D$51,$C62)&gt;0,"SI","NO")</f>
        <v>NO</v>
      </c>
      <c r="F62" s="27" t="n">
        <f aca="false">IFERROR(ROUND(($G62+($H62-$G62)*'Info Strategia'!$B$6)*(1+IF($E62="SI",'Parametri Modello'!$B$7*'Info Strategia'!$B$6,0)),0),"")</f>
        <v>44</v>
      </c>
      <c r="G62" s="27" t="n">
        <f aca="false">IFERROR(ROUND((IF(OR(INDEX('Parametri Modello'!$C$39:$C$42,MATCH($B62,'Parametri Modello'!$A$39:$A$42,0))="",INDEX('Parametri Modello'!$C$39:$C$42,MATCH($B62,'Parametri Modello'!$A$39:$A$42,0))=0),0,($O62/INDEX('Parametri Modello'!$C$39:$C$42,MATCH($B62,'Parametri Modello'!$A$39:$A$42,0)))*(INDEX('Parametri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28</v>
      </c>
      <c r="H62" s="27" t="n">
        <f aca="false">IFERROR(ROUND((IF(OR(INDEX('Parametri Modello'!$C$39:$C$42,MATCH($B62,'Parametri Modello'!$A$39:$A$42,0))="",INDEX('Parametri Modello'!$C$39:$C$42,MATCH($B62,'Parametri Modello'!$A$39:$A$42,0))=0),0,($O62/INDEX('Parametri Modello'!$C$39:$C$42,MATCH($B62,'Parametri Modello'!$A$39:$A$42,0)))*(INDEX('Parametri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51</v>
      </c>
      <c r="I62" s="26" t="n">
        <f aca="false">IFERROR(INDEX('Input Statistiche 2025_26'!$F$3:$F$665,MATCH($A62,'Input Statistiche 2025_26'!$A$3:$A$665,0)),"")</f>
        <v>16</v>
      </c>
      <c r="J62" s="26" t="n">
        <f aca="false">IFERROR(IF($I62="","",MAX(0,38-$I62)),"")</f>
        <v>22</v>
      </c>
      <c r="K62" s="26" t="n">
        <f aca="false">IFERROR(INDEX('Input Statistiche 2025_26'!$I$3:$I$665,MATCH($A62,'Input Statistiche 2025_26'!$A$3:$A$665,0)),"")</f>
        <v>2</v>
      </c>
      <c r="L62" s="26" t="n">
        <f aca="false">IFERROR(INDEX('Input Statistiche 2025_26'!$O$3:$O$665,MATCH($A62,'Input Statistiche 2025_26'!$A$3:$A$665,0)),"")</f>
        <v>1</v>
      </c>
      <c r="M62" s="28"/>
      <c r="N62" s="27" t="n">
        <f aca="false">IFERROR(INDEX('Input Giocatori 2026_27'!$E$3:$E$493,MATCH($A62,'Input Giocatori 2026_27'!$A$3:$A$493,0)),"")</f>
        <v>11</v>
      </c>
      <c r="O62" s="27" t="n">
        <f aca="false">IFERROR(INDEX('Input Giocatori 2026_27'!$G$3:$G$493,MATCH($A62,'Input Giocatori 2026_27'!$A$3:$A$493,0)),"")</f>
        <v>50</v>
      </c>
      <c r="P62" s="26" t="str">
        <f aca="false">IFERROR(IF($O62="","",IF((1-(COUNTIFS($B$2:$B$492,$B62,$O$2:$O$492,"&gt;"&amp;$O62)+1-1)/COUNTIF($B$2:$B$492,$B62))&gt;=0.85,"Top",IF((1-(COUNTIFS($B$2:$B$492,$B62,$O$2:$O$492,"&gt;"&amp;$O62)+1-1)/COUNTIF($B$2:$B$492,$B62))&gt;=0.6,"Buono",IF((1-(COUNTIFS($B$2:$B$492,$B62,$O$2:$O$492,"&gt;"&amp;$O62)+1-1)/COUNTIF($B$2:$B$492,$B62))&gt;=0.3,"Nella Media","Scommessa/Riserva")))),"")</f>
        <v>Buono</v>
      </c>
      <c r="Q62" s="29" t="n">
        <f aca="false">IF($D62="",COUNTIF($D$2:$D62,""),"")</f>
        <v>61</v>
      </c>
      <c r="R62" s="29" t="str">
        <f aca="false">IF($D62='Info Lega'!$B$28,COUNTIFS($D$2:$D62,'Info Lega'!$B$28),"")</f>
        <v/>
      </c>
      <c r="S62" s="30" t="n">
        <f aca="false">IFERROR(INDEX('Input Statistiche 2025_26'!$G$3:$G$665,MATCH($A62,'Input Statistiche 2025_26'!$A$3:$A$665,0)),"")</f>
        <v>6</v>
      </c>
      <c r="T62" s="30" t="n">
        <f aca="false">IFERROR(INDEX('Input Statistiche 2025_26'!$H$3:$H$665,MATCH($A62,'Input Statistiche 2025_26'!$A$3:$A$665,0)),"")</f>
        <v>6.38</v>
      </c>
      <c r="U62" s="26" t="str">
        <f aca="false">IF(OR('La Mia Rosa'!$O$12="",$D62&lt;&gt;""),"",IF($F62&lt;='La Mia Rosa'!$O$12*'Parametri Modello'!$B$24,"OK",IF($F62&lt;='La Mia Rosa'!$O$12*'Parametri Modello'!$B$25,"Attenzione","Rischio Alto")))</f>
        <v>OK</v>
      </c>
      <c r="V62" s="26" t="n">
        <f aca="false">IFERROR(COUNTIFS($B$2:$B$492,$B62,$O$2:$O$492,"&gt;"&amp;$O62)+1,"")</f>
        <v>30</v>
      </c>
      <c r="W62" s="21" t="n">
        <f aca="false">'Info Lega'!$B$4-SUMIFS($M$2:$M$492,$D$2:$D$492,'Info Lega'!$B$28)</f>
        <v>1000</v>
      </c>
      <c r="X62" s="21" t="n">
        <f aca="false">('Info Lega'!$B$5-COUNTIFS($D$2:$D$492,'Info Lega'!$B$28,$B$2:$B$492,"P"))+('Info Lega'!$B$6-COUNTIFS($D$2:$D$492,'Info Lega'!$B$28,$B$2:$B$492,"D"))+('Info Lega'!$B$7-COUNTIFS($D$2:$D$492,'Info Lega'!$B$28,$B$2:$B$492,"C"))+('Info Lega'!$B$8-COUNTIFS($D$2:$D$492,'Info Lega'!$B$28,$B$2:$B$492,"A"))</f>
        <v>25</v>
      </c>
      <c r="Y62" s="21" t="n">
        <f aca="false">X62*'Parametri Modello'!$B$30</f>
        <v>25</v>
      </c>
      <c r="Z62" s="21" t="n">
        <f aca="false">MAX(0,W62-Y62)</f>
        <v>975</v>
      </c>
      <c r="AA62" s="21" t="n">
        <f aca="false">MIN(F62,Z62)</f>
        <v>44</v>
      </c>
      <c r="AB62" s="21"/>
      <c r="AC62" s="21" t="str">
        <f aca="false">IF(AB62="","",IF(AB62&gt;AA62,"PASS",IF(AB62&lt;=AA62*0.85,"BID","ATTENZIONE")))</f>
        <v/>
      </c>
      <c r="AD62" s="31" t="n">
        <f aca="false">IF(I62="","",ROUND(100*(1-EXP(-I62/30)),0))</f>
        <v>41</v>
      </c>
      <c r="AE62" s="7" t="str">
        <f aca="false">IFERROR(INDEX('Stato Asta'!$G$9:$G$12,MATCH($B62,'Stato Asta'!$A$9:$A$12,0)),"")</f>
        <v>🔴 Non aspettare</v>
      </c>
    </row>
    <row r="63" customFormat="false" ht="14.25" hidden="false" customHeight="true" outlineLevel="0" collapsed="false">
      <c r="A63" s="21" t="n">
        <v>2296</v>
      </c>
      <c r="B63" s="21" t="s">
        <v>44</v>
      </c>
      <c r="C63" s="21" t="s">
        <v>195</v>
      </c>
      <c r="E63" s="26" t="str">
        <f aca="false">IF(COUNTIF('Info Strategia'!$D$2:$D$51,$C63)&gt;0,"SI","NO")</f>
        <v>NO</v>
      </c>
      <c r="F63" s="27" t="n">
        <f aca="false">IFERROR(ROUND(($G63+($H63-$G63)*'Info Strategia'!$B$6)*(1+IF($E63="SI",'Parametri Modello'!$B$7*'Info Strategia'!$B$6,0)),0),"")</f>
        <v>24</v>
      </c>
      <c r="G63" s="27" t="n">
        <f aca="false">IFERROR(ROUND((IF(OR(INDEX('Parametri Modello'!$C$39:$C$42,MATCH($B63,'Parametri Modello'!$A$39:$A$42,0))="",INDEX('Parametri Modello'!$C$39:$C$42,MATCH($B63,'Parametri Modello'!$A$39:$A$42,0))=0),0,($O63/INDEX('Parametri Modello'!$C$39:$C$42,MATCH($B63,'Parametri Modello'!$A$39:$A$42,0)))*(INDEX('Parametri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18</v>
      </c>
      <c r="H63" s="27" t="n">
        <f aca="false">IFERROR(ROUND((IF(OR(INDEX('Parametri Modello'!$C$39:$C$42,MATCH($B63,'Parametri Modello'!$A$39:$A$42,0))="",INDEX('Parametri Modello'!$C$39:$C$42,MATCH($B63,'Parametri Modello'!$A$39:$A$42,0))=0),0,($O63/INDEX('Parametri Modello'!$C$39:$C$42,MATCH($B63,'Parametri Modello'!$A$39:$A$42,0)))*(INDEX('Parametri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26</v>
      </c>
      <c r="I63" s="26" t="n">
        <f aca="false">IFERROR(INDEX('Input Statistiche 2025_26'!$F$3:$F$665,MATCH($A63,'Input Statistiche 2025_26'!$A$3:$A$665,0)),"")</f>
        <v>36</v>
      </c>
      <c r="J63" s="26" t="n">
        <f aca="false">IFERROR(IF($I63="","",MAX(0,38-$I63)),"")</f>
        <v>2</v>
      </c>
      <c r="K63" s="26" t="n">
        <f aca="false">IFERROR(INDEX('Input Statistiche 2025_26'!$I$3:$I$665,MATCH($A63,'Input Statistiche 2025_26'!$A$3:$A$665,0)),"")</f>
        <v>4</v>
      </c>
      <c r="L63" s="26" t="n">
        <f aca="false">IFERROR(INDEX('Input Statistiche 2025_26'!$O$3:$O$665,MATCH($A63,'Input Statistiche 2025_26'!$A$3:$A$665,0)),"")</f>
        <v>2</v>
      </c>
      <c r="M63" s="28"/>
      <c r="N63" s="27" t="n">
        <f aca="false">IFERROR(INDEX('Input Giocatori 2026_27'!$E$3:$E$493,MATCH($A63,'Input Giocatori 2026_27'!$A$3:$A$493,0)),"")</f>
        <v>15</v>
      </c>
      <c r="O63" s="27" t="n">
        <f aca="false">IFERROR(INDEX('Input Giocatori 2026_27'!$G$3:$G$493,MATCH($A63,'Input Giocatori 2026_27'!$A$3:$A$493,0)),"")</f>
        <v>49</v>
      </c>
      <c r="P63" s="26" t="str">
        <f aca="false">IFERROR(IF($O63="","",IF((1-(COUNTIFS($B$2:$B$492,$B63,$O$2:$O$492,"&gt;"&amp;$O63)+1-1)/COUNTIF($B$2:$B$492,$B63))&gt;=0.85,"Top",IF((1-(COUNTIFS($B$2:$B$492,$B63,$O$2:$O$492,"&gt;"&amp;$O63)+1-1)/COUNTIF($B$2:$B$492,$B63))&gt;=0.6,"Buono",IF((1-(COUNTIFS($B$2:$B$492,$B63,$O$2:$O$492,"&gt;"&amp;$O63)+1-1)/COUNTIF($B$2:$B$492,$B63))&gt;=0.3,"Nella Media","Scommessa/Riserva")))),"")</f>
        <v>Top</v>
      </c>
      <c r="Q63" s="29" t="n">
        <f aca="false">IF($D63="",COUNTIF($D$2:$D63,""),"")</f>
        <v>62</v>
      </c>
      <c r="R63" s="29" t="str">
        <f aca="false">IF($D63='Info Lega'!$B$28,COUNTIFS($D$2:$D63,'Info Lega'!$B$28),"")</f>
        <v/>
      </c>
      <c r="S63" s="30" t="n">
        <f aca="false">IFERROR(INDEX('Input Statistiche 2025_26'!$G$3:$G$665,MATCH($A63,'Input Statistiche 2025_26'!$A$3:$A$665,0)),"")</f>
        <v>6.25</v>
      </c>
      <c r="T63" s="30" t="n">
        <f aca="false">IFERROR(INDEX('Input Statistiche 2025_26'!$H$3:$H$665,MATCH($A63,'Input Statistiche 2025_26'!$A$3:$A$665,0)),"")</f>
        <v>6.51</v>
      </c>
      <c r="U63" s="26" t="str">
        <f aca="false">IF(OR('La Mia Rosa'!$O$12="",$D63&lt;&gt;""),"",IF($F63&lt;='La Mia Rosa'!$O$12*'Parametri Modello'!$B$24,"OK",IF($F63&lt;='La Mia Rosa'!$O$12*'Parametri Modello'!$B$25,"Attenzione","Rischio Alto")))</f>
        <v>OK</v>
      </c>
      <c r="V63" s="26" t="n">
        <f aca="false">IFERROR(COUNTIFS($B$2:$B$492,$B63,$O$2:$O$492,"&gt;"&amp;$O63)+1,"")</f>
        <v>5</v>
      </c>
      <c r="W63" s="21" t="n">
        <f aca="false">'Info Lega'!$B$4-SUMIFS($M$2:$M$492,$D$2:$D$492,'Info Lega'!$B$28)</f>
        <v>1000</v>
      </c>
      <c r="X63" s="21" t="n">
        <f aca="false">('Info Lega'!$B$5-COUNTIFS($D$2:$D$492,'Info Lega'!$B$28,$B$2:$B$492,"P"))+('Info Lega'!$B$6-COUNTIFS($D$2:$D$492,'Info Lega'!$B$28,$B$2:$B$492,"D"))+('Info Lega'!$B$7-COUNTIFS($D$2:$D$492,'Info Lega'!$B$28,$B$2:$B$492,"C"))+('Info Lega'!$B$8-COUNTIFS($D$2:$D$492,'Info Lega'!$B$28,$B$2:$B$492,"A"))</f>
        <v>25</v>
      </c>
      <c r="Y63" s="21" t="n">
        <f aca="false">X63*'Parametri Modello'!$B$30</f>
        <v>25</v>
      </c>
      <c r="Z63" s="21" t="n">
        <f aca="false">MAX(0,W63-Y63)</f>
        <v>975</v>
      </c>
      <c r="AA63" s="21" t="n">
        <f aca="false">MIN(F63,Z63)</f>
        <v>24</v>
      </c>
      <c r="AB63" s="21"/>
      <c r="AC63" s="21" t="str">
        <f aca="false">IF(AB63="","",IF(AB63&gt;AA63,"PASS",IF(AB63&lt;=AA63*0.85,"BID","ATTENZIONE")))</f>
        <v/>
      </c>
      <c r="AD63" s="31" t="n">
        <f aca="false">IF(I63="","",ROUND(100*(1-EXP(-I63/30)),0))</f>
        <v>70</v>
      </c>
      <c r="AE63" s="7" t="str">
        <f aca="false">IFERROR(INDEX('Stato Asta'!$G$9:$G$12,MATCH($B63,'Stato Asta'!$A$9:$A$12,0)),"")</f>
        <v>🟡 Attesa rischiosa</v>
      </c>
    </row>
    <row r="64" customFormat="false" ht="14.25" hidden="false" customHeight="true" outlineLevel="0" collapsed="false">
      <c r="A64" s="21" t="n">
        <v>5022</v>
      </c>
      <c r="B64" s="21" t="s">
        <v>44</v>
      </c>
      <c r="C64" s="21" t="s">
        <v>197</v>
      </c>
      <c r="E64" s="26" t="str">
        <f aca="false">IF(COUNTIF('Info Strategia'!$D$2:$D$51,$C64)&gt;0,"SI","NO")</f>
        <v>NO</v>
      </c>
      <c r="F64" s="27" t="n">
        <f aca="false">IFERROR(ROUND(($G64+($H64-$G64)*'Info Strategia'!$B$6)*(1+IF($E64="SI",'Parametri Modello'!$B$7*'Info Strategia'!$B$6,0)),0),"")</f>
        <v>23</v>
      </c>
      <c r="G64" s="27" t="n">
        <f aca="false">IFERROR(ROUND((IF(OR(INDEX('Parametri Modello'!$C$39:$C$42,MATCH($B64,'Parametri Modello'!$A$39:$A$42,0))="",INDEX('Parametri Modello'!$C$39:$C$42,MATCH($B64,'Parametri Modello'!$A$39:$A$42,0))=0),0,($O64/INDEX('Parametri Modello'!$C$39:$C$42,MATCH($B64,'Parametri Modello'!$A$39:$A$42,0)))*(INDEX('Parametri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17</v>
      </c>
      <c r="H64" s="27" t="n">
        <f aca="false">IFERROR(ROUND((IF(OR(INDEX('Parametri Modello'!$C$39:$C$42,MATCH($B64,'Parametri Modello'!$A$39:$A$42,0))="",INDEX('Parametri Modello'!$C$39:$C$42,MATCH($B64,'Parametri Modello'!$A$39:$A$42,0))=0),0,($O64/INDEX('Parametri Modello'!$C$39:$C$42,MATCH($B64,'Parametri Modello'!$A$39:$A$42,0)))*(INDEX('Parametri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26</v>
      </c>
      <c r="I64" s="26" t="n">
        <f aca="false">IFERROR(INDEX('Input Statistiche 2025_26'!$F$3:$F$665,MATCH($A64,'Input Statistiche 2025_26'!$A$3:$A$665,0)),"")</f>
        <v>34</v>
      </c>
      <c r="J64" s="26" t="n">
        <f aca="false">IFERROR(IF($I64="","",MAX(0,38-$I64)),"")</f>
        <v>4</v>
      </c>
      <c r="K64" s="26" t="n">
        <f aca="false">IFERROR(INDEX('Input Statistiche 2025_26'!$I$3:$I$665,MATCH($A64,'Input Statistiche 2025_26'!$A$3:$A$665,0)),"")</f>
        <v>5</v>
      </c>
      <c r="L64" s="26" t="n">
        <f aca="false">IFERROR(INDEX('Input Statistiche 2025_26'!$O$3:$O$665,MATCH($A64,'Input Statistiche 2025_26'!$A$3:$A$665,0)),"")</f>
        <v>0</v>
      </c>
      <c r="M64" s="28"/>
      <c r="N64" s="27" t="n">
        <f aca="false">IFERROR(INDEX('Input Giocatori 2026_27'!$E$3:$E$493,MATCH($A64,'Input Giocatori 2026_27'!$A$3:$A$493,0)),"")</f>
        <v>14</v>
      </c>
      <c r="O64" s="27" t="n">
        <f aca="false">IFERROR(INDEX('Input Giocatori 2026_27'!$G$3:$G$493,MATCH($A64,'Input Giocatori 2026_27'!$A$3:$A$493,0)),"")</f>
        <v>48</v>
      </c>
      <c r="P64" s="26" t="str">
        <f aca="false">IFERROR(IF($O64="","",IF((1-(COUNTIFS($B$2:$B$492,$B64,$O$2:$O$492,"&gt;"&amp;$O64)+1-1)/COUNTIF($B$2:$B$492,$B64))&gt;=0.85,"Top",IF((1-(COUNTIFS($B$2:$B$492,$B64,$O$2:$O$492,"&gt;"&amp;$O64)+1-1)/COUNTIF($B$2:$B$492,$B64))&gt;=0.6,"Buono",IF((1-(COUNTIFS($B$2:$B$492,$B64,$O$2:$O$492,"&gt;"&amp;$O64)+1-1)/COUNTIF($B$2:$B$492,$B64))&gt;=0.3,"Nella Media","Scommessa/Riserva")))),"")</f>
        <v>Top</v>
      </c>
      <c r="Q64" s="29" t="n">
        <f aca="false">IF($D64="",COUNTIF($D$2:$D64,""),"")</f>
        <v>63</v>
      </c>
      <c r="R64" s="29" t="str">
        <f aca="false">IF($D64='Info Lega'!$B$28,COUNTIFS($D$2:$D64,'Info Lega'!$B$28),"")</f>
        <v/>
      </c>
      <c r="S64" s="30" t="n">
        <f aca="false">IFERROR(INDEX('Input Statistiche 2025_26'!$G$3:$G$665,MATCH($A64,'Input Statistiche 2025_26'!$A$3:$A$665,0)),"")</f>
        <v>6.24</v>
      </c>
      <c r="T64" s="30" t="n">
        <f aca="false">IFERROR(INDEX('Input Statistiche 2025_26'!$H$3:$H$665,MATCH($A64,'Input Statistiche 2025_26'!$A$3:$A$665,0)),"")</f>
        <v>6.62</v>
      </c>
      <c r="U64" s="26" t="str">
        <f aca="false">IF(OR('La Mia Rosa'!$O$12="",$D64&lt;&gt;""),"",IF($F64&lt;='La Mia Rosa'!$O$12*'Parametri Modello'!$B$24,"OK",IF($F64&lt;='La Mia Rosa'!$O$12*'Parametri Modello'!$B$25,"Attenzione","Rischio Alto")))</f>
        <v>OK</v>
      </c>
      <c r="V64" s="26" t="n">
        <f aca="false">IFERROR(COUNTIFS($B$2:$B$492,$B64,$O$2:$O$492,"&gt;"&amp;$O64)+1,"")</f>
        <v>6</v>
      </c>
      <c r="W64" s="21" t="n">
        <f aca="false">'Info Lega'!$B$4-SUMIFS($M$2:$M$492,$D$2:$D$492,'Info Lega'!$B$28)</f>
        <v>1000</v>
      </c>
      <c r="X64" s="21" t="n">
        <f aca="false">('Info Lega'!$B$5-COUNTIFS($D$2:$D$492,'Info Lega'!$B$28,$B$2:$B$492,"P"))+('Info Lega'!$B$6-COUNTIFS($D$2:$D$492,'Info Lega'!$B$28,$B$2:$B$492,"D"))+('Info Lega'!$B$7-COUNTIFS($D$2:$D$492,'Info Lega'!$B$28,$B$2:$B$492,"C"))+('Info Lega'!$B$8-COUNTIFS($D$2:$D$492,'Info Lega'!$B$28,$B$2:$B$492,"A"))</f>
        <v>25</v>
      </c>
      <c r="Y64" s="21" t="n">
        <f aca="false">X64*'Parametri Modello'!$B$30</f>
        <v>25</v>
      </c>
      <c r="Z64" s="21" t="n">
        <f aca="false">MAX(0,W64-Y64)</f>
        <v>975</v>
      </c>
      <c r="AA64" s="21" t="n">
        <f aca="false">MIN(F64,Z64)</f>
        <v>23</v>
      </c>
      <c r="AB64" s="21"/>
      <c r="AC64" s="21" t="str">
        <f aca="false">IF(AB64="","",IF(AB64&gt;AA64,"PASS",IF(AB64&lt;=AA64*0.85,"BID","ATTENZIONE")))</f>
        <v/>
      </c>
      <c r="AD64" s="31" t="n">
        <f aca="false">IF(I64="","",ROUND(100*(1-EXP(-I64/30)),0))</f>
        <v>68</v>
      </c>
      <c r="AE64" s="7" t="str">
        <f aca="false">IFERROR(INDEX('Stato Asta'!$G$9:$G$12,MATCH($B64,'Stato Asta'!$A$9:$A$12,0)),"")</f>
        <v>🟡 Attesa rischiosa</v>
      </c>
    </row>
    <row r="65" customFormat="false" ht="14.25" hidden="false" customHeight="true" outlineLevel="0" collapsed="false">
      <c r="A65" s="21" t="n">
        <v>4409</v>
      </c>
      <c r="B65" s="21" t="s">
        <v>44</v>
      </c>
      <c r="C65" s="21" t="s">
        <v>198</v>
      </c>
      <c r="E65" s="26" t="str">
        <f aca="false">IF(COUNTIF('Info Strategia'!$D$2:$D$51,$C65)&gt;0,"SI","NO")</f>
        <v>NO</v>
      </c>
      <c r="F65" s="27" t="n">
        <f aca="false">IFERROR(ROUND(($G65+($H65-$G65)*'Info Strategia'!$B$6)*(1+IF($E65="SI",'Parametri Modello'!$B$7*'Info Strategia'!$B$6,0)),0),"")</f>
        <v>23</v>
      </c>
      <c r="G65" s="27" t="n">
        <f aca="false">IFERROR(ROUND((IF(OR(INDEX('Parametri Modello'!$C$39:$C$42,MATCH($B65,'Parametri Modello'!$A$39:$A$42,0))="",INDEX('Parametri Modello'!$C$39:$C$42,MATCH($B65,'Parametri Modello'!$A$39:$A$42,0))=0),0,($O65/INDEX('Parametri Modello'!$C$39:$C$42,MATCH($B65,'Parametri Modello'!$A$39:$A$42,0)))*(INDEX('Parametri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17</v>
      </c>
      <c r="H65" s="27" t="n">
        <f aca="false">IFERROR(ROUND((IF(OR(INDEX('Parametri Modello'!$C$39:$C$42,MATCH($B65,'Parametri Modello'!$A$39:$A$42,0))="",INDEX('Parametri Modello'!$C$39:$C$42,MATCH($B65,'Parametri Modello'!$A$39:$A$42,0))=0),0,($O65/INDEX('Parametri Modello'!$C$39:$C$42,MATCH($B65,'Parametri Modello'!$A$39:$A$42,0)))*(INDEX('Parametri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25</v>
      </c>
      <c r="I65" s="26" t="n">
        <f aca="false">IFERROR(INDEX('Input Statistiche 2025_26'!$F$3:$F$665,MATCH($A65,'Input Statistiche 2025_26'!$A$3:$A$665,0)),"")</f>
        <v>21</v>
      </c>
      <c r="J65" s="26" t="n">
        <f aca="false">IFERROR(IF($I65="","",MAX(0,38-$I65)),"")</f>
        <v>17</v>
      </c>
      <c r="K65" s="26" t="n">
        <f aca="false">IFERROR(INDEX('Input Statistiche 2025_26'!$I$3:$I$665,MATCH($A65,'Input Statistiche 2025_26'!$A$3:$A$665,0)),"")</f>
        <v>2</v>
      </c>
      <c r="L65" s="26" t="n">
        <f aca="false">IFERROR(INDEX('Input Statistiche 2025_26'!$O$3:$O$665,MATCH($A65,'Input Statistiche 2025_26'!$A$3:$A$665,0)),"")</f>
        <v>0</v>
      </c>
      <c r="M65" s="28"/>
      <c r="N65" s="27" t="n">
        <f aca="false">IFERROR(INDEX('Input Giocatori 2026_27'!$E$3:$E$493,MATCH($A65,'Input Giocatori 2026_27'!$A$3:$A$493,0)),"")</f>
        <v>14</v>
      </c>
      <c r="O65" s="27" t="n">
        <f aca="false">IFERROR(INDEX('Input Giocatori 2026_27'!$G$3:$G$493,MATCH($A65,'Input Giocatori 2026_27'!$A$3:$A$493,0)),"")</f>
        <v>47</v>
      </c>
      <c r="P65" s="26" t="str">
        <f aca="false">IFERROR(IF($O65="","",IF((1-(COUNTIFS($B$2:$B$492,$B65,$O$2:$O$492,"&gt;"&amp;$O65)+1-1)/COUNTIF($B$2:$B$492,$B65))&gt;=0.85,"Top",IF((1-(COUNTIFS($B$2:$B$492,$B65,$O$2:$O$492,"&gt;"&amp;$O65)+1-1)/COUNTIF($B$2:$B$492,$B65))&gt;=0.6,"Buono",IF((1-(COUNTIFS($B$2:$B$492,$B65,$O$2:$O$492,"&gt;"&amp;$O65)+1-1)/COUNTIF($B$2:$B$492,$B65))&gt;=0.3,"Nella Media","Scommessa/Riserva")))),"")</f>
        <v>Top</v>
      </c>
      <c r="Q65" s="29" t="n">
        <f aca="false">IF($D65="",COUNTIF($D$2:$D65,""),"")</f>
        <v>64</v>
      </c>
      <c r="R65" s="29" t="str">
        <f aca="false">IF($D65='Info Lega'!$B$28,COUNTIFS($D$2:$D65,'Info Lega'!$B$28),"")</f>
        <v/>
      </c>
      <c r="S65" s="30" t="n">
        <f aca="false">IFERROR(INDEX('Input Statistiche 2025_26'!$G$3:$G$665,MATCH($A65,'Input Statistiche 2025_26'!$A$3:$A$665,0)),"")</f>
        <v>6.24</v>
      </c>
      <c r="T65" s="30" t="n">
        <f aca="false">IFERROR(INDEX('Input Statistiche 2025_26'!$H$3:$H$665,MATCH($A65,'Input Statistiche 2025_26'!$A$3:$A$665,0)),"")</f>
        <v>6.45</v>
      </c>
      <c r="U65" s="26" t="str">
        <f aca="false">IF(OR('La Mia Rosa'!$O$12="",$D65&lt;&gt;""),"",IF($F65&lt;='La Mia Rosa'!$O$12*'Parametri Modello'!$B$24,"OK",IF($F65&lt;='La Mia Rosa'!$O$12*'Parametri Modello'!$B$25,"Attenzione","Rischio Alto")))</f>
        <v>OK</v>
      </c>
      <c r="V65" s="26" t="n">
        <f aca="false">IFERROR(COUNTIFS($B$2:$B$492,$B65,$O$2:$O$492,"&gt;"&amp;$O65)+1,"")</f>
        <v>7</v>
      </c>
      <c r="W65" s="21" t="n">
        <f aca="false">'Info Lega'!$B$4-SUMIFS($M$2:$M$492,$D$2:$D$492,'Info Lega'!$B$28)</f>
        <v>1000</v>
      </c>
      <c r="X65" s="21" t="n">
        <f aca="false">('Info Lega'!$B$5-COUNTIFS($D$2:$D$492,'Info Lega'!$B$28,$B$2:$B$492,"P"))+('Info Lega'!$B$6-COUNTIFS($D$2:$D$492,'Info Lega'!$B$28,$B$2:$B$492,"D"))+('Info Lega'!$B$7-COUNTIFS($D$2:$D$492,'Info Lega'!$B$28,$B$2:$B$492,"C"))+('Info Lega'!$B$8-COUNTIFS($D$2:$D$492,'Info Lega'!$B$28,$B$2:$B$492,"A"))</f>
        <v>25</v>
      </c>
      <c r="Y65" s="21" t="n">
        <f aca="false">X65*'Parametri Modello'!$B$30</f>
        <v>25</v>
      </c>
      <c r="Z65" s="21" t="n">
        <f aca="false">MAX(0,W65-Y65)</f>
        <v>975</v>
      </c>
      <c r="AA65" s="21" t="n">
        <f aca="false">MIN(F65,Z65)</f>
        <v>23</v>
      </c>
      <c r="AB65" s="21"/>
      <c r="AC65" s="21" t="str">
        <f aca="false">IF(AB65="","",IF(AB65&gt;AA65,"PASS",IF(AB65&lt;=AA65*0.85,"BID","ATTENZIONE")))</f>
        <v/>
      </c>
      <c r="AD65" s="31" t="n">
        <f aca="false">IF(I65="","",ROUND(100*(1-EXP(-I65/30)),0))</f>
        <v>50</v>
      </c>
      <c r="AE65" s="7" t="str">
        <f aca="false">IFERROR(INDEX('Stato Asta'!$G$9:$G$12,MATCH($B65,'Stato Asta'!$A$9:$A$12,0)),"")</f>
        <v>🟡 Attesa rischiosa</v>
      </c>
    </row>
    <row r="66" customFormat="false" ht="14.25" hidden="false" customHeight="true" outlineLevel="0" collapsed="false">
      <c r="A66" s="21" t="n">
        <v>536</v>
      </c>
      <c r="B66" s="21" t="s">
        <v>45</v>
      </c>
      <c r="C66" s="21" t="s">
        <v>396</v>
      </c>
      <c r="E66" s="26" t="str">
        <f aca="false">IF(COUNTIF('Info Strategia'!$D$2:$D$51,$C66)&gt;0,"SI","NO")</f>
        <v>NO</v>
      </c>
      <c r="F66" s="27" t="n">
        <f aca="false">IFERROR(ROUND(($G66+($H66-$G66)*'Info Strategia'!$B$6)*(1+IF($E66="SI",'Parametri Modello'!$B$7*'Info Strategia'!$B$6,0)),0),"")</f>
        <v>26</v>
      </c>
      <c r="G66" s="27" t="n">
        <f aca="false">IFERROR(ROUND((IF(OR(INDEX('Parametri Modello'!$C$39:$C$42,MATCH($B66,'Parametri Modello'!$A$39:$A$42,0))="",INDEX('Parametri Modello'!$C$39:$C$42,MATCH($B66,'Parametri Modello'!$A$39:$A$42,0))=0),0,($O66/INDEX('Parametri Modello'!$C$39:$C$42,MATCH($B66,'Parametri Modello'!$A$39:$A$42,0)))*(INDEX('Parametri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18</v>
      </c>
      <c r="H66" s="27" t="n">
        <f aca="false">IFERROR(ROUND((IF(OR(INDEX('Parametri Modello'!$C$39:$C$42,MATCH($B66,'Parametri Modello'!$A$39:$A$42,0))="",INDEX('Parametri Modello'!$C$39:$C$42,MATCH($B66,'Parametri Modello'!$A$39:$A$42,0))=0),0,($O66/INDEX('Parametri Modello'!$C$39:$C$42,MATCH($B66,'Parametri Modello'!$A$39:$A$42,0)))*(INDEX('Parametri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29</v>
      </c>
      <c r="I66" s="26" t="n">
        <f aca="false">IFERROR(INDEX('Input Statistiche 2025_26'!$F$3:$F$665,MATCH($A66,'Input Statistiche 2025_26'!$A$3:$A$665,0)),"")</f>
        <v>33</v>
      </c>
      <c r="J66" s="26" t="n">
        <f aca="false">IFERROR(IF($I66="","",MAX(0,38-$I66)),"")</f>
        <v>5</v>
      </c>
      <c r="K66" s="26" t="n">
        <f aca="false">IFERROR(INDEX('Input Statistiche 2025_26'!$I$3:$I$665,MATCH($A66,'Input Statistiche 2025_26'!$A$3:$A$665,0)),"")</f>
        <v>2</v>
      </c>
      <c r="L66" s="26" t="n">
        <f aca="false">IFERROR(INDEX('Input Statistiche 2025_26'!$O$3:$O$665,MATCH($A66,'Input Statistiche 2025_26'!$A$3:$A$665,0)),"")</f>
        <v>5</v>
      </c>
      <c r="M66" s="28"/>
      <c r="N66" s="27" t="n">
        <f aca="false">IFERROR(INDEX('Input Giocatori 2026_27'!$E$3:$E$493,MATCH($A66,'Input Giocatori 2026_27'!$A$3:$A$493,0)),"")</f>
        <v>10</v>
      </c>
      <c r="O66" s="27" t="n">
        <f aca="false">IFERROR(INDEX('Input Giocatori 2026_27'!$G$3:$G$493,MATCH($A66,'Input Giocatori 2026_27'!$A$3:$A$493,0)),"")</f>
        <v>47</v>
      </c>
      <c r="P66" s="26" t="str">
        <f aca="false">IFERROR(IF($O66="","",IF((1-(COUNTIFS($B$2:$B$492,$B66,$O$2:$O$492,"&gt;"&amp;$O66)+1-1)/COUNTIF($B$2:$B$492,$B66))&gt;=0.85,"Top",IF((1-(COUNTIFS($B$2:$B$492,$B66,$O$2:$O$492,"&gt;"&amp;$O66)+1-1)/COUNTIF($B$2:$B$492,$B66))&gt;=0.6,"Buono",IF((1-(COUNTIFS($B$2:$B$492,$B66,$O$2:$O$492,"&gt;"&amp;$O66)+1-1)/COUNTIF($B$2:$B$492,$B66))&gt;=0.3,"Nella Media","Scommessa/Riserva")))),"")</f>
        <v>Top</v>
      </c>
      <c r="Q66" s="29" t="n">
        <f aca="false">IF($D66="",COUNTIF($D$2:$D66,""),"")</f>
        <v>65</v>
      </c>
      <c r="R66" s="29" t="str">
        <f aca="false">IF($D66='Info Lega'!$B$28,COUNTIFS($D$2:$D66,'Info Lega'!$B$28),"")</f>
        <v/>
      </c>
      <c r="S66" s="30" t="n">
        <f aca="false">IFERROR(INDEX('Input Statistiche 2025_26'!$G$3:$G$665,MATCH($A66,'Input Statistiche 2025_26'!$A$3:$A$665,0)),"")</f>
        <v>6.09</v>
      </c>
      <c r="T66" s="30" t="n">
        <f aca="false">IFERROR(INDEX('Input Statistiche 2025_26'!$H$3:$H$665,MATCH($A66,'Input Statistiche 2025_26'!$A$3:$A$665,0)),"")</f>
        <v>6.36</v>
      </c>
      <c r="U66" s="26" t="str">
        <f aca="false">IF(OR('La Mia Rosa'!$O$12="",$D66&lt;&gt;""),"",IF($F66&lt;='La Mia Rosa'!$O$12*'Parametri Modello'!$B$24,"OK",IF($F66&lt;='La Mia Rosa'!$O$12*'Parametri Modello'!$B$25,"Attenzione","Rischio Alto")))</f>
        <v>OK</v>
      </c>
      <c r="V66" s="26" t="n">
        <f aca="false">IFERROR(COUNTIFS($B$2:$B$492,$B66,$O$2:$O$492,"&gt;"&amp;$O66)+1,"")</f>
        <v>22</v>
      </c>
      <c r="W66" s="21" t="n">
        <f aca="false">'Info Lega'!$B$4-SUMIFS($M$2:$M$492,$D$2:$D$492,'Info Lega'!$B$28)</f>
        <v>1000</v>
      </c>
      <c r="X66" s="21" t="n">
        <f aca="false">('Info Lega'!$B$5-COUNTIFS($D$2:$D$492,'Info Lega'!$B$28,$B$2:$B$492,"P"))+('Info Lega'!$B$6-COUNTIFS($D$2:$D$492,'Info Lega'!$B$28,$B$2:$B$492,"D"))+('Info Lega'!$B$7-COUNTIFS($D$2:$D$492,'Info Lega'!$B$28,$B$2:$B$492,"C"))+('Info Lega'!$B$8-COUNTIFS($D$2:$D$492,'Info Lega'!$B$28,$B$2:$B$492,"A"))</f>
        <v>25</v>
      </c>
      <c r="Y66" s="21" t="n">
        <f aca="false">X66*'Parametri Modello'!$B$30</f>
        <v>25</v>
      </c>
      <c r="Z66" s="21" t="n">
        <f aca="false">MAX(0,W66-Y66)</f>
        <v>975</v>
      </c>
      <c r="AA66" s="21" t="n">
        <f aca="false">MIN(F66,Z66)</f>
        <v>26</v>
      </c>
      <c r="AB66" s="21"/>
      <c r="AC66" s="21" t="str">
        <f aca="false">IF(AB66="","",IF(AB66&gt;AA66,"PASS",IF(AB66&lt;=AA66*0.85,"BID","ATTENZIONE")))</f>
        <v/>
      </c>
      <c r="AD66" s="31" t="n">
        <f aca="false">IF(I66="","",ROUND(100*(1-EXP(-I66/30)),0))</f>
        <v>67</v>
      </c>
      <c r="AE66" s="7" t="str">
        <f aca="false">IFERROR(INDEX('Stato Asta'!$G$9:$G$12,MATCH($B66,'Stato Asta'!$A$9:$A$12,0)),"")</f>
        <v>🟡 Attesa rischiosa</v>
      </c>
    </row>
    <row r="67" customFormat="false" ht="14.25" hidden="false" customHeight="true" outlineLevel="0" collapsed="false">
      <c r="A67" s="21" t="n">
        <v>4976</v>
      </c>
      <c r="B67" s="21" t="s">
        <v>44</v>
      </c>
      <c r="C67" s="21" t="s">
        <v>199</v>
      </c>
      <c r="E67" s="26" t="str">
        <f aca="false">IF(COUNTIF('Info Strategia'!$D$2:$D$51,$C67)&gt;0,"SI","NO")</f>
        <v>NO</v>
      </c>
      <c r="F67" s="27" t="n">
        <f aca="false">IFERROR(ROUND(($G67+($H67-$G67)*'Info Strategia'!$B$6)*(1+IF($E67="SI",'Parametri Modello'!$B$7*'Info Strategia'!$B$6,0)),0),"")</f>
        <v>22</v>
      </c>
      <c r="G67" s="27" t="n">
        <f aca="false">IFERROR(ROUND((IF(OR(INDEX('Parametri Modello'!$C$39:$C$42,MATCH($B67,'Parametri Modello'!$A$39:$A$42,0))="",INDEX('Parametri Modello'!$C$39:$C$42,MATCH($B67,'Parametri Modello'!$A$39:$A$42,0))=0),0,($O67/INDEX('Parametri Modello'!$C$39:$C$42,MATCH($B67,'Parametri Modello'!$A$39:$A$42,0)))*(INDEX('Parametri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16</v>
      </c>
      <c r="H67" s="27" t="n">
        <f aca="false">IFERROR(ROUND((IF(OR(INDEX('Parametri Modello'!$C$39:$C$42,MATCH($B67,'Parametri Modello'!$A$39:$A$42,0))="",INDEX('Parametri Modello'!$C$39:$C$42,MATCH($B67,'Parametri Modello'!$A$39:$A$42,0))=0),0,($O67/INDEX('Parametri Modello'!$C$39:$C$42,MATCH($B67,'Parametri Modello'!$A$39:$A$42,0)))*(INDEX('Parametri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25</v>
      </c>
      <c r="I67" s="26" t="n">
        <f aca="false">IFERROR(INDEX('Input Statistiche 2025_26'!$F$3:$F$665,MATCH($A67,'Input Statistiche 2025_26'!$A$3:$A$665,0)),"")</f>
        <v>37</v>
      </c>
      <c r="J67" s="26" t="n">
        <f aca="false">IFERROR(IF($I67="","",MAX(0,38-$I67)),"")</f>
        <v>1</v>
      </c>
      <c r="K67" s="26" t="n">
        <f aca="false">IFERROR(INDEX('Input Statistiche 2025_26'!$I$3:$I$665,MATCH($A67,'Input Statistiche 2025_26'!$A$3:$A$665,0)),"")</f>
        <v>2</v>
      </c>
      <c r="L67" s="26" t="n">
        <f aca="false">IFERROR(INDEX('Input Statistiche 2025_26'!$O$3:$O$665,MATCH($A67,'Input Statistiche 2025_26'!$A$3:$A$665,0)),"")</f>
        <v>4</v>
      </c>
      <c r="M67" s="28"/>
      <c r="N67" s="27" t="n">
        <f aca="false">IFERROR(INDEX('Input Giocatori 2026_27'!$E$3:$E$493,MATCH($A67,'Input Giocatori 2026_27'!$A$3:$A$493,0)),"")</f>
        <v>13</v>
      </c>
      <c r="O67" s="27" t="n">
        <f aca="false">IFERROR(INDEX('Input Giocatori 2026_27'!$G$3:$G$493,MATCH($A67,'Input Giocatori 2026_27'!$A$3:$A$493,0)),"")</f>
        <v>46</v>
      </c>
      <c r="P67" s="26" t="str">
        <f aca="false">IFERROR(IF($O67="","",IF((1-(COUNTIFS($B$2:$B$492,$B67,$O$2:$O$492,"&gt;"&amp;$O67)+1-1)/COUNTIF($B$2:$B$492,$B67))&gt;=0.85,"Top",IF((1-(COUNTIFS($B$2:$B$492,$B67,$O$2:$O$492,"&gt;"&amp;$O67)+1-1)/COUNTIF($B$2:$B$492,$B67))&gt;=0.6,"Buono",IF((1-(COUNTIFS($B$2:$B$492,$B67,$O$2:$O$492,"&gt;"&amp;$O67)+1-1)/COUNTIF($B$2:$B$492,$B67))&gt;=0.3,"Nella Media","Scommessa/Riserva")))),"")</f>
        <v>Top</v>
      </c>
      <c r="Q67" s="29" t="n">
        <f aca="false">IF($D67="",COUNTIF($D$2:$D67,""),"")</f>
        <v>66</v>
      </c>
      <c r="R67" s="29" t="str">
        <f aca="false">IF($D67='Info Lega'!$B$28,COUNTIFS($D$2:$D67,'Info Lega'!$B$28),"")</f>
        <v/>
      </c>
      <c r="S67" s="30" t="n">
        <f aca="false">IFERROR(INDEX('Input Statistiche 2025_26'!$G$3:$G$665,MATCH($A67,'Input Statistiche 2025_26'!$A$3:$A$665,0)),"")</f>
        <v>6.14</v>
      </c>
      <c r="T67" s="30" t="n">
        <f aca="false">IFERROR(INDEX('Input Statistiche 2025_26'!$H$3:$H$665,MATCH($A67,'Input Statistiche 2025_26'!$A$3:$A$665,0)),"")</f>
        <v>6.35</v>
      </c>
      <c r="U67" s="26" t="str">
        <f aca="false">IF(OR('La Mia Rosa'!$O$12="",$D67&lt;&gt;""),"",IF($F67&lt;='La Mia Rosa'!$O$12*'Parametri Modello'!$B$24,"OK",IF($F67&lt;='La Mia Rosa'!$O$12*'Parametri Modello'!$B$25,"Attenzione","Rischio Alto")))</f>
        <v>OK</v>
      </c>
      <c r="V67" s="26" t="n">
        <f aca="false">IFERROR(COUNTIFS($B$2:$B$492,$B67,$O$2:$O$492,"&gt;"&amp;$O67)+1,"")</f>
        <v>8</v>
      </c>
      <c r="W67" s="21" t="n">
        <f aca="false">'Info Lega'!$B$4-SUMIFS($M$2:$M$492,$D$2:$D$492,'Info Lega'!$B$28)</f>
        <v>1000</v>
      </c>
      <c r="X67" s="21" t="n">
        <f aca="false">('Info Lega'!$B$5-COUNTIFS($D$2:$D$492,'Info Lega'!$B$28,$B$2:$B$492,"P"))+('Info Lega'!$B$6-COUNTIFS($D$2:$D$492,'Info Lega'!$B$28,$B$2:$B$492,"D"))+('Info Lega'!$B$7-COUNTIFS($D$2:$D$492,'Info Lega'!$B$28,$B$2:$B$492,"C"))+('Info Lega'!$B$8-COUNTIFS($D$2:$D$492,'Info Lega'!$B$28,$B$2:$B$492,"A"))</f>
        <v>25</v>
      </c>
      <c r="Y67" s="21" t="n">
        <f aca="false">X67*'Parametri Modello'!$B$30</f>
        <v>25</v>
      </c>
      <c r="Z67" s="21" t="n">
        <f aca="false">MAX(0,W67-Y67)</f>
        <v>975</v>
      </c>
      <c r="AA67" s="21" t="n">
        <f aca="false">MIN(F67,Z67)</f>
        <v>22</v>
      </c>
      <c r="AB67" s="21"/>
      <c r="AC67" s="21" t="str">
        <f aca="false">IF(AB67="","",IF(AB67&gt;AA67,"PASS",IF(AB67&lt;=AA67*0.85,"BID","ATTENZIONE")))</f>
        <v/>
      </c>
      <c r="AD67" s="31" t="n">
        <f aca="false">IF(I67="","",ROUND(100*(1-EXP(-I67/30)),0))</f>
        <v>71</v>
      </c>
      <c r="AE67" s="7" t="str">
        <f aca="false">IFERROR(INDEX('Stato Asta'!$G$9:$G$12,MATCH($B67,'Stato Asta'!$A$9:$A$12,0)),"")</f>
        <v>🟡 Attesa rischiosa</v>
      </c>
    </row>
    <row r="68" customFormat="false" ht="14.25" hidden="false" customHeight="true" outlineLevel="0" collapsed="false">
      <c r="A68" s="21" t="n">
        <v>6956</v>
      </c>
      <c r="B68" s="21" t="s">
        <v>44</v>
      </c>
      <c r="C68" s="21" t="s">
        <v>201</v>
      </c>
      <c r="E68" s="26" t="str">
        <f aca="false">IF(COUNTIF('Info Strategia'!$D$2:$D$51,$C68)&gt;0,"SI","NO")</f>
        <v>NO</v>
      </c>
      <c r="F68" s="27" t="n">
        <f aca="false">IFERROR(ROUND(($G68+($H68-$G68)*'Info Strategia'!$B$6)*(1+IF($E68="SI",'Parametri Modello'!$B$7*'Info Strategia'!$B$6,0)),0),"")</f>
        <v>23</v>
      </c>
      <c r="G68" s="27" t="n">
        <f aca="false">IFERROR(ROUND((IF(OR(INDEX('Parametri Modello'!$C$39:$C$42,MATCH($B68,'Parametri Modello'!$A$39:$A$42,0))="",INDEX('Parametri Modello'!$C$39:$C$42,MATCH($B68,'Parametri Modello'!$A$39:$A$42,0))=0),0,($O68/INDEX('Parametri Modello'!$C$39:$C$42,MATCH($B68,'Parametri Modello'!$A$39:$A$42,0)))*(INDEX('Parametri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17</v>
      </c>
      <c r="H68" s="27" t="n">
        <f aca="false">IFERROR(ROUND((IF(OR(INDEX('Parametri Modello'!$C$39:$C$42,MATCH($B68,'Parametri Modello'!$A$39:$A$42,0))="",INDEX('Parametri Modello'!$C$39:$C$42,MATCH($B68,'Parametri Modello'!$A$39:$A$42,0))=0),0,($O68/INDEX('Parametri Modello'!$C$39:$C$42,MATCH($B68,'Parametri Modello'!$A$39:$A$42,0)))*(INDEX('Parametri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25</v>
      </c>
      <c r="I68" s="26" t="n">
        <f aca="false">IFERROR(INDEX('Input Statistiche 2025_26'!$F$3:$F$665,MATCH($A68,'Input Statistiche 2025_26'!$A$3:$A$665,0)),"")</f>
        <v>34</v>
      </c>
      <c r="J68" s="26" t="n">
        <f aca="false">IFERROR(IF($I68="","",MAX(0,38-$I68)),"")</f>
        <v>4</v>
      </c>
      <c r="K68" s="26" t="n">
        <f aca="false">IFERROR(INDEX('Input Statistiche 2025_26'!$I$3:$I$665,MATCH($A68,'Input Statistiche 2025_26'!$A$3:$A$665,0)),"")</f>
        <v>3</v>
      </c>
      <c r="L68" s="26" t="n">
        <f aca="false">IFERROR(INDEX('Input Statistiche 2025_26'!$O$3:$O$665,MATCH($A68,'Input Statistiche 2025_26'!$A$3:$A$665,0)),"")</f>
        <v>1</v>
      </c>
      <c r="M68" s="28"/>
      <c r="N68" s="27" t="n">
        <f aca="false">IFERROR(INDEX('Input Giocatori 2026_27'!$E$3:$E$493,MATCH($A68,'Input Giocatori 2026_27'!$A$3:$A$493,0)),"")</f>
        <v>13</v>
      </c>
      <c r="O68" s="27" t="n">
        <f aca="false">IFERROR(INDEX('Input Giocatori 2026_27'!$G$3:$G$493,MATCH($A68,'Input Giocatori 2026_27'!$A$3:$A$493,0)),"")</f>
        <v>46</v>
      </c>
      <c r="P68" s="26" t="str">
        <f aca="false">IFERROR(IF($O68="","",IF((1-(COUNTIFS($B$2:$B$492,$B68,$O$2:$O$492,"&gt;"&amp;$O68)+1-1)/COUNTIF($B$2:$B$492,$B68))&gt;=0.85,"Top",IF((1-(COUNTIFS($B$2:$B$492,$B68,$O$2:$O$492,"&gt;"&amp;$O68)+1-1)/COUNTIF($B$2:$B$492,$B68))&gt;=0.6,"Buono",IF((1-(COUNTIFS($B$2:$B$492,$B68,$O$2:$O$492,"&gt;"&amp;$O68)+1-1)/COUNTIF($B$2:$B$492,$B68))&gt;=0.3,"Nella Media","Scommessa/Riserva")))),"")</f>
        <v>Top</v>
      </c>
      <c r="Q68" s="29" t="n">
        <f aca="false">IF($D68="",COUNTIF($D$2:$D68,""),"")</f>
        <v>67</v>
      </c>
      <c r="R68" s="29" t="str">
        <f aca="false">IF($D68='Info Lega'!$B$28,COUNTIFS($D$2:$D68,'Info Lega'!$B$28),"")</f>
        <v/>
      </c>
      <c r="S68" s="30" t="n">
        <f aca="false">IFERROR(INDEX('Input Statistiche 2025_26'!$G$3:$G$665,MATCH($A68,'Input Statistiche 2025_26'!$A$3:$A$665,0)),"")</f>
        <v>6.18</v>
      </c>
      <c r="T68" s="30" t="n">
        <f aca="false">IFERROR(INDEX('Input Statistiche 2025_26'!$H$3:$H$665,MATCH($A68,'Input Statistiche 2025_26'!$A$3:$A$665,0)),"")</f>
        <v>6.4</v>
      </c>
      <c r="U68" s="26" t="str">
        <f aca="false">IF(OR('La Mia Rosa'!$O$12="",$D68&lt;&gt;""),"",IF($F68&lt;='La Mia Rosa'!$O$12*'Parametri Modello'!$B$24,"OK",IF($F68&lt;='La Mia Rosa'!$O$12*'Parametri Modello'!$B$25,"Attenzione","Rischio Alto")))</f>
        <v>OK</v>
      </c>
      <c r="V68" s="26" t="n">
        <f aca="false">IFERROR(COUNTIFS($B$2:$B$492,$B68,$O$2:$O$492,"&gt;"&amp;$O68)+1,"")</f>
        <v>8</v>
      </c>
      <c r="W68" s="21" t="n">
        <f aca="false">'Info Lega'!$B$4-SUMIFS($M$2:$M$492,$D$2:$D$492,'Info Lega'!$B$28)</f>
        <v>1000</v>
      </c>
      <c r="X68" s="21" t="n">
        <f aca="false">('Info Lega'!$B$5-COUNTIFS($D$2:$D$492,'Info Lega'!$B$28,$B$2:$B$492,"P"))+('Info Lega'!$B$6-COUNTIFS($D$2:$D$492,'Info Lega'!$B$28,$B$2:$B$492,"D"))+('Info Lega'!$B$7-COUNTIFS($D$2:$D$492,'Info Lega'!$B$28,$B$2:$B$492,"C"))+('Info Lega'!$B$8-COUNTIFS($D$2:$D$492,'Info Lega'!$B$28,$B$2:$B$492,"A"))</f>
        <v>25</v>
      </c>
      <c r="Y68" s="21" t="n">
        <f aca="false">X68*'Parametri Modello'!$B$30</f>
        <v>25</v>
      </c>
      <c r="Z68" s="21" t="n">
        <f aca="false">MAX(0,W68-Y68)</f>
        <v>975</v>
      </c>
      <c r="AA68" s="21" t="n">
        <f aca="false">MIN(F68,Z68)</f>
        <v>23</v>
      </c>
      <c r="AB68" s="21"/>
      <c r="AC68" s="21" t="str">
        <f aca="false">IF(AB68="","",IF(AB68&gt;AA68,"PASS",IF(AB68&lt;=AA68*0.85,"BID","ATTENZIONE")))</f>
        <v/>
      </c>
      <c r="AD68" s="31" t="n">
        <f aca="false">IF(I68="","",ROUND(100*(1-EXP(-I68/30)),0))</f>
        <v>68</v>
      </c>
      <c r="AE68" s="7" t="str">
        <f aca="false">IFERROR(INDEX('Stato Asta'!$G$9:$G$12,MATCH($B68,'Stato Asta'!$A$9:$A$12,0)),"")</f>
        <v>🟡 Attesa rischiosa</v>
      </c>
    </row>
    <row r="69" customFormat="false" ht="14.25" hidden="false" customHeight="true" outlineLevel="0" collapsed="false">
      <c r="A69" s="21" t="n">
        <v>2521</v>
      </c>
      <c r="B69" s="21" t="s">
        <v>43</v>
      </c>
      <c r="C69" s="21" t="s">
        <v>122</v>
      </c>
      <c r="E69" s="26" t="str">
        <f aca="false">IF(COUNTIF('Info Strategia'!$D$2:$D$51,$C69)&gt;0,"SI","NO")</f>
        <v>NO</v>
      </c>
      <c r="F69" s="27" t="n">
        <f aca="false">IFERROR(ROUND(($G69+($H69-$G69)*'Info Strategia'!$B$6)*(1+IF($E69="SI",'Parametri Modello'!$B$7*'Info Strategia'!$B$6,0)),0),"")</f>
        <v>52</v>
      </c>
      <c r="G69" s="27" t="n">
        <f aca="false">IFERROR(ROUND((IF(OR(INDEX('Parametri Modello'!$C$39:$C$42,MATCH($B69,'Parametri Modello'!$A$39:$A$42,0))="",INDEX('Parametri Modello'!$C$39:$C$42,MATCH($B69,'Parametri Modello'!$A$39:$A$42,0))=0),0,($O69/INDEX('Parametri Modello'!$C$39:$C$42,MATCH($B69,'Parametri Modello'!$A$39:$A$42,0)))*(INDEX('Parametri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41</v>
      </c>
      <c r="H69" s="27" t="n">
        <f aca="false">IFERROR(ROUND((IF(OR(INDEX('Parametri Modello'!$C$39:$C$42,MATCH($B69,'Parametri Modello'!$A$39:$A$42,0))="",INDEX('Parametri Modello'!$C$39:$C$42,MATCH($B69,'Parametri Modello'!$A$39:$A$42,0))=0),0,($O69/INDEX('Parametri Modello'!$C$39:$C$42,MATCH($B69,'Parametri Modello'!$A$39:$A$42,0)))*(INDEX('Parametri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56</v>
      </c>
      <c r="I69" s="26" t="n">
        <f aca="false">IFERROR(INDEX('Input Statistiche 2025_26'!$F$3:$F$665,MATCH($A69,'Input Statistiche 2025_26'!$A$3:$A$665,0)),"")</f>
        <v>37</v>
      </c>
      <c r="J69" s="26" t="n">
        <f aca="false">IFERROR(IF($I69="","",MAX(0,38-$I69)),"")</f>
        <v>1</v>
      </c>
      <c r="K69" s="26" t="n">
        <f aca="false">IFERROR(INDEX('Input Statistiche 2025_26'!$I$3:$I$665,MATCH($A69,'Input Statistiche 2025_26'!$A$3:$A$665,0)),"")</f>
        <v>0</v>
      </c>
      <c r="L69" s="26" t="n">
        <f aca="false">IFERROR(INDEX('Input Statistiche 2025_26'!$O$3:$O$665,MATCH($A69,'Input Statistiche 2025_26'!$A$3:$A$665,0)),"")</f>
        <v>0</v>
      </c>
      <c r="M69" s="28"/>
      <c r="N69" s="27" t="n">
        <f aca="false">IFERROR(INDEX('Input Giocatori 2026_27'!$E$3:$E$493,MATCH($A69,'Input Giocatori 2026_27'!$A$3:$A$493,0)),"")</f>
        <v>13</v>
      </c>
      <c r="O69" s="27" t="n">
        <f aca="false">IFERROR(INDEX('Input Giocatori 2026_27'!$G$3:$G$493,MATCH($A69,'Input Giocatori 2026_27'!$A$3:$A$493,0)),"")</f>
        <v>45</v>
      </c>
      <c r="P69" s="26" t="str">
        <f aca="false">IFERROR(IF($O69="","",IF((1-(COUNTIFS($B$2:$B$492,$B69,$O$2:$O$492,"&gt;"&amp;$O69)+1-1)/COUNTIF($B$2:$B$492,$B69))&gt;=0.85,"Top",IF((1-(COUNTIFS($B$2:$B$492,$B69,$O$2:$O$492,"&gt;"&amp;$O69)+1-1)/COUNTIF($B$2:$B$492,$B69))&gt;=0.6,"Buono",IF((1-(COUNTIFS($B$2:$B$492,$B69,$O$2:$O$492,"&gt;"&amp;$O69)+1-1)/COUNTIF($B$2:$B$492,$B69))&gt;=0.3,"Nella Media","Scommessa/Riserva")))),"")</f>
        <v>Top</v>
      </c>
      <c r="Q69" s="29" t="n">
        <f aca="false">IF($D69="",COUNTIF($D$2:$D69,""),"")</f>
        <v>68</v>
      </c>
      <c r="R69" s="29" t="str">
        <f aca="false">IF($D69='Info Lega'!$B$28,COUNTIFS($D$2:$D69,'Info Lega'!$B$28),"")</f>
        <v/>
      </c>
      <c r="S69" s="30" t="n">
        <f aca="false">IFERROR(INDEX('Input Statistiche 2025_26'!$G$3:$G$665,MATCH($A69,'Input Statistiche 2025_26'!$A$3:$A$665,0)),"")</f>
        <v>6.24</v>
      </c>
      <c r="T69" s="30" t="n">
        <f aca="false">IFERROR(INDEX('Input Statistiche 2025_26'!$H$3:$H$665,MATCH($A69,'Input Statistiche 2025_26'!$A$3:$A$665,0)),"")</f>
        <v>5</v>
      </c>
      <c r="U69" s="26" t="str">
        <f aca="false">IF(OR('La Mia Rosa'!$O$12="",$D69&lt;&gt;""),"",IF($F69&lt;='La Mia Rosa'!$O$12*'Parametri Modello'!$B$24,"OK",IF($F69&lt;='La Mia Rosa'!$O$12*'Parametri Modello'!$B$25,"Attenzione","Rischio Alto")))</f>
        <v>OK</v>
      </c>
      <c r="V69" s="26" t="n">
        <f aca="false">IFERROR(COUNTIFS($B$2:$B$492,$B69,$O$2:$O$492,"&gt;"&amp;$O69)+1,"")</f>
        <v>6</v>
      </c>
      <c r="W69" s="21" t="n">
        <f aca="false">'Info Lega'!$B$4-SUMIFS($M$2:$M$492,$D$2:$D$492,'Info Lega'!$B$28)</f>
        <v>1000</v>
      </c>
      <c r="X69" s="21" t="n">
        <f aca="false">('Info Lega'!$B$5-COUNTIFS($D$2:$D$492,'Info Lega'!$B$28,$B$2:$B$492,"P"))+('Info Lega'!$B$6-COUNTIFS($D$2:$D$492,'Info Lega'!$B$28,$B$2:$B$492,"D"))+('Info Lega'!$B$7-COUNTIFS($D$2:$D$492,'Info Lega'!$B$28,$B$2:$B$492,"C"))+('Info Lega'!$B$8-COUNTIFS($D$2:$D$492,'Info Lega'!$B$28,$B$2:$B$492,"A"))</f>
        <v>25</v>
      </c>
      <c r="Y69" s="21" t="n">
        <f aca="false">X69*'Parametri Modello'!$B$30</f>
        <v>25</v>
      </c>
      <c r="Z69" s="21" t="n">
        <f aca="false">MAX(0,W69-Y69)</f>
        <v>975</v>
      </c>
      <c r="AA69" s="21" t="n">
        <f aca="false">MIN(F69,Z69)</f>
        <v>52</v>
      </c>
      <c r="AB69" s="21"/>
      <c r="AC69" s="21" t="str">
        <f aca="false">IF(AB69="","",IF(AB69&gt;AA69,"PASS",IF(AB69&lt;=AA69*0.85,"BID","ATTENZIONE")))</f>
        <v/>
      </c>
      <c r="AD69" s="31" t="n">
        <f aca="false">IF(I69="","",ROUND(100*(1-EXP(-I69/30)),0))</f>
        <v>71</v>
      </c>
      <c r="AE69" s="7" t="str">
        <f aca="false">IFERROR(INDEX('Stato Asta'!$G$9:$G$12,MATCH($B69,'Stato Asta'!$A$9:$A$12,0)),"")</f>
        <v>🟡 Attesa rischiosa</v>
      </c>
    </row>
    <row r="70" customFormat="false" ht="14.25" hidden="false" customHeight="true" outlineLevel="0" collapsed="false">
      <c r="A70" s="21" t="n">
        <v>572</v>
      </c>
      <c r="B70" s="21" t="s">
        <v>43</v>
      </c>
      <c r="C70" s="21" t="s">
        <v>124</v>
      </c>
      <c r="E70" s="26" t="str">
        <f aca="false">IF(COUNTIF('Info Strategia'!$D$2:$D$51,$C70)&gt;0,"SI","NO")</f>
        <v>NO</v>
      </c>
      <c r="F70" s="27" t="n">
        <f aca="false">IFERROR(ROUND(($G70+($H70-$G70)*'Info Strategia'!$B$6)*(1+IF($E70="SI",'Parametri Modello'!$B$7*'Info Strategia'!$B$6,0)),0),"")</f>
        <v>52</v>
      </c>
      <c r="G70" s="27" t="n">
        <f aca="false">IFERROR(ROUND((IF(OR(INDEX('Parametri Modello'!$C$39:$C$42,MATCH($B70,'Parametri Modello'!$A$39:$A$42,0))="",INDEX('Parametri Modello'!$C$39:$C$42,MATCH($B70,'Parametri Modello'!$A$39:$A$42,0))=0),0,($O70/INDEX('Parametri Modello'!$C$39:$C$42,MATCH($B70,'Parametri Modello'!$A$39:$A$42,0)))*(INDEX('Parametri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41</v>
      </c>
      <c r="H70" s="27" t="n">
        <f aca="false">IFERROR(ROUND((IF(OR(INDEX('Parametri Modello'!$C$39:$C$42,MATCH($B70,'Parametri Modello'!$A$39:$A$42,0))="",INDEX('Parametri Modello'!$C$39:$C$42,MATCH($B70,'Parametri Modello'!$A$39:$A$42,0))=0),0,($O70/INDEX('Parametri Modello'!$C$39:$C$42,MATCH($B70,'Parametri Modello'!$A$39:$A$42,0)))*(INDEX('Parametri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56</v>
      </c>
      <c r="I70" s="26" t="n">
        <f aca="false">IFERROR(INDEX('Input Statistiche 2025_26'!$F$3:$F$665,MATCH($A70,'Input Statistiche 2025_26'!$A$3:$A$665,0)),"")</f>
        <v>11</v>
      </c>
      <c r="J70" s="26" t="n">
        <f aca="false">IFERROR(IF($I70="","",MAX(0,38-$I70)),"")</f>
        <v>27</v>
      </c>
      <c r="K70" s="26" t="n">
        <f aca="false">IFERROR(INDEX('Input Statistiche 2025_26'!$I$3:$I$665,MATCH($A70,'Input Statistiche 2025_26'!$A$3:$A$665,0)),"")</f>
        <v>0</v>
      </c>
      <c r="L70" s="26" t="n">
        <f aca="false">IFERROR(INDEX('Input Statistiche 2025_26'!$O$3:$O$665,MATCH($A70,'Input Statistiche 2025_26'!$A$3:$A$665,0)),"")</f>
        <v>1</v>
      </c>
      <c r="M70" s="28"/>
      <c r="N70" s="27" t="n">
        <f aca="false">IFERROR(INDEX('Input Giocatori 2026_27'!$E$3:$E$493,MATCH($A70,'Input Giocatori 2026_27'!$A$3:$A$493,0)),"")</f>
        <v>11</v>
      </c>
      <c r="O70" s="27" t="n">
        <f aca="false">IFERROR(INDEX('Input Giocatori 2026_27'!$G$3:$G$493,MATCH($A70,'Input Giocatori 2026_27'!$A$3:$A$493,0)),"")</f>
        <v>45</v>
      </c>
      <c r="P70" s="26" t="str">
        <f aca="false">IFERROR(IF($O70="","",IF((1-(COUNTIFS($B$2:$B$492,$B70,$O$2:$O$492,"&gt;"&amp;$O70)+1-1)/COUNTIF($B$2:$B$492,$B70))&gt;=0.85,"Top",IF((1-(COUNTIFS($B$2:$B$492,$B70,$O$2:$O$492,"&gt;"&amp;$O70)+1-1)/COUNTIF($B$2:$B$492,$B70))&gt;=0.6,"Buono",IF((1-(COUNTIFS($B$2:$B$492,$B70,$O$2:$O$492,"&gt;"&amp;$O70)+1-1)/COUNTIF($B$2:$B$492,$B70))&gt;=0.3,"Nella Media","Scommessa/Riserva")))),"")</f>
        <v>Top</v>
      </c>
      <c r="Q70" s="29" t="n">
        <f aca="false">IF($D70="",COUNTIF($D$2:$D70,""),"")</f>
        <v>69</v>
      </c>
      <c r="R70" s="29" t="str">
        <f aca="false">IF($D70='Info Lega'!$B$28,COUNTIFS($D$2:$D70,'Info Lega'!$B$28),"")</f>
        <v/>
      </c>
      <c r="S70" s="30" t="n">
        <f aca="false">IFERROR(INDEX('Input Statistiche 2025_26'!$G$3:$G$665,MATCH($A70,'Input Statistiche 2025_26'!$A$3:$A$665,0)),"")</f>
        <v>6.23</v>
      </c>
      <c r="T70" s="30" t="n">
        <f aca="false">IFERROR(INDEX('Input Statistiche 2025_26'!$H$3:$H$665,MATCH($A70,'Input Statistiche 2025_26'!$A$3:$A$665,0)),"")</f>
        <v>5.18</v>
      </c>
      <c r="U70" s="26" t="str">
        <f aca="false">IF(OR('La Mia Rosa'!$O$12="",$D70&lt;&gt;""),"",IF($F70&lt;='La Mia Rosa'!$O$12*'Parametri Modello'!$B$24,"OK",IF($F70&lt;='La Mia Rosa'!$O$12*'Parametri Modello'!$B$25,"Attenzione","Rischio Alto")))</f>
        <v>OK</v>
      </c>
      <c r="V70" s="26" t="n">
        <f aca="false">IFERROR(COUNTIFS($B$2:$B$492,$B70,$O$2:$O$492,"&gt;"&amp;$O70)+1,"")</f>
        <v>6</v>
      </c>
      <c r="W70" s="21" t="n">
        <f aca="false">'Info Lega'!$B$4-SUMIFS($M$2:$M$492,$D$2:$D$492,'Info Lega'!$B$28)</f>
        <v>1000</v>
      </c>
      <c r="X70" s="21" t="n">
        <f aca="false">('Info Lega'!$B$5-COUNTIFS($D$2:$D$492,'Info Lega'!$B$28,$B$2:$B$492,"P"))+('Info Lega'!$B$6-COUNTIFS($D$2:$D$492,'Info Lega'!$B$28,$B$2:$B$492,"D"))+('Info Lega'!$B$7-COUNTIFS($D$2:$D$492,'Info Lega'!$B$28,$B$2:$B$492,"C"))+('Info Lega'!$B$8-COUNTIFS($D$2:$D$492,'Info Lega'!$B$28,$B$2:$B$492,"A"))</f>
        <v>25</v>
      </c>
      <c r="Y70" s="21" t="n">
        <f aca="false">X70*'Parametri Modello'!$B$30</f>
        <v>25</v>
      </c>
      <c r="Z70" s="21" t="n">
        <f aca="false">MAX(0,W70-Y70)</f>
        <v>975</v>
      </c>
      <c r="AA70" s="21" t="n">
        <f aca="false">MIN(F70,Z70)</f>
        <v>52</v>
      </c>
      <c r="AB70" s="21"/>
      <c r="AC70" s="21" t="str">
        <f aca="false">IF(AB70="","",IF(AB70&gt;AA70,"PASS",IF(AB70&lt;=AA70*0.85,"BID","ATTENZIONE")))</f>
        <v/>
      </c>
      <c r="AD70" s="31" t="n">
        <f aca="false">IF(I70="","",ROUND(100*(1-EXP(-I70/30)),0))</f>
        <v>31</v>
      </c>
      <c r="AE70" s="7" t="str">
        <f aca="false">IFERROR(INDEX('Stato Asta'!$G$9:$G$12,MATCH($B70,'Stato Asta'!$A$9:$A$12,0)),"")</f>
        <v>🟡 Attesa rischiosa</v>
      </c>
    </row>
    <row r="71" customFormat="false" ht="14.25" hidden="false" customHeight="true" outlineLevel="0" collapsed="false">
      <c r="A71" s="21" t="n">
        <v>5792</v>
      </c>
      <c r="B71" s="21" t="s">
        <v>45</v>
      </c>
      <c r="C71" s="21" t="s">
        <v>383</v>
      </c>
      <c r="E71" s="26" t="str">
        <f aca="false">IF(COUNTIF('Info Strategia'!$D$2:$D$51,$C71)&gt;0,"SI","NO")</f>
        <v>NO</v>
      </c>
      <c r="F71" s="27" t="n">
        <f aca="false">IFERROR(ROUND(($G71+($H71-$G71)*'Info Strategia'!$B$6)*(1+IF($E71="SI",'Parametri Modello'!$B$7*'Info Strategia'!$B$6,0)),0),"")</f>
        <v>25</v>
      </c>
      <c r="G71" s="27" t="n">
        <f aca="false">IFERROR(ROUND((IF(OR(INDEX('Parametri Modello'!$C$39:$C$42,MATCH($B71,'Parametri Modello'!$A$39:$A$42,0))="",INDEX('Parametri Modello'!$C$39:$C$42,MATCH($B71,'Parametri Modello'!$A$39:$A$42,0))=0),0,($O71/INDEX('Parametri Modello'!$C$39:$C$42,MATCH($B71,'Parametri Modello'!$A$39:$A$42,0)))*(INDEX('Parametri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17</v>
      </c>
      <c r="H71" s="27" t="n">
        <f aca="false">IFERROR(ROUND((IF(OR(INDEX('Parametri Modello'!$C$39:$C$42,MATCH($B71,'Parametri Modello'!$A$39:$A$42,0))="",INDEX('Parametri Modello'!$C$39:$C$42,MATCH($B71,'Parametri Modello'!$A$39:$A$42,0))=0),0,($O71/INDEX('Parametri Modello'!$C$39:$C$42,MATCH($B71,'Parametri Modello'!$A$39:$A$42,0)))*(INDEX('Parametri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28</v>
      </c>
      <c r="I71" s="26" t="n">
        <f aca="false">IFERROR(INDEX('Input Statistiche 2025_26'!$F$3:$F$665,MATCH($A71,'Input Statistiche 2025_26'!$A$3:$A$665,0)),"")</f>
        <v>30</v>
      </c>
      <c r="J71" s="26" t="n">
        <f aca="false">IFERROR(IF($I71="","",MAX(0,38-$I71)),"")</f>
        <v>8</v>
      </c>
      <c r="K71" s="26" t="n">
        <f aca="false">IFERROR(INDEX('Input Statistiche 2025_26'!$I$3:$I$665,MATCH($A71,'Input Statistiche 2025_26'!$A$3:$A$665,0)),"")</f>
        <v>2</v>
      </c>
      <c r="L71" s="26" t="n">
        <f aca="false">IFERROR(INDEX('Input Statistiche 2025_26'!$O$3:$O$665,MATCH($A71,'Input Statistiche 2025_26'!$A$3:$A$665,0)),"")</f>
        <v>1</v>
      </c>
      <c r="M71" s="28"/>
      <c r="N71" s="27" t="n">
        <f aca="false">IFERROR(INDEX('Input Giocatori 2026_27'!$E$3:$E$493,MATCH($A71,'Input Giocatori 2026_27'!$A$3:$A$493,0)),"")</f>
        <v>12</v>
      </c>
      <c r="O71" s="27" t="n">
        <f aca="false">IFERROR(INDEX('Input Giocatori 2026_27'!$G$3:$G$493,MATCH($A71,'Input Giocatori 2026_27'!$A$3:$A$493,0)),"")</f>
        <v>45</v>
      </c>
      <c r="P71" s="26" t="str">
        <f aca="false">IFERROR(IF($O71="","",IF((1-(COUNTIFS($B$2:$B$492,$B71,$O$2:$O$492,"&gt;"&amp;$O71)+1-1)/COUNTIF($B$2:$B$492,$B71))&gt;=0.85,"Top",IF((1-(COUNTIFS($B$2:$B$492,$B71,$O$2:$O$492,"&gt;"&amp;$O71)+1-1)/COUNTIF($B$2:$B$492,$B71))&gt;=0.6,"Buono",IF((1-(COUNTIFS($B$2:$B$492,$B71,$O$2:$O$492,"&gt;"&amp;$O71)+1-1)/COUNTIF($B$2:$B$492,$B71))&gt;=0.3,"Nella Media","Scommessa/Riserva")))),"")</f>
        <v>Top</v>
      </c>
      <c r="Q71" s="29" t="n">
        <f aca="false">IF($D71="",COUNTIF($D$2:$D71,""),"")</f>
        <v>70</v>
      </c>
      <c r="R71" s="29" t="str">
        <f aca="false">IF($D71='Info Lega'!$B$28,COUNTIFS($D$2:$D71,'Info Lega'!$B$28),"")</f>
        <v/>
      </c>
      <c r="S71" s="30" t="n">
        <f aca="false">IFERROR(INDEX('Input Statistiche 2025_26'!$G$3:$G$665,MATCH($A71,'Input Statistiche 2025_26'!$A$3:$A$665,0)),"")</f>
        <v>6.25</v>
      </c>
      <c r="T71" s="30" t="n">
        <f aca="false">IFERROR(INDEX('Input Statistiche 2025_26'!$H$3:$H$665,MATCH($A71,'Input Statistiche 2025_26'!$A$3:$A$665,0)),"")</f>
        <v>6.43</v>
      </c>
      <c r="U71" s="26" t="str">
        <f aca="false">IF(OR('La Mia Rosa'!$O$12="",$D71&lt;&gt;""),"",IF($F71&lt;='La Mia Rosa'!$O$12*'Parametri Modello'!$B$24,"OK",IF($F71&lt;='La Mia Rosa'!$O$12*'Parametri Modello'!$B$25,"Attenzione","Rischio Alto")))</f>
        <v>OK</v>
      </c>
      <c r="V71" s="26" t="n">
        <f aca="false">IFERROR(COUNTIFS($B$2:$B$492,$B71,$O$2:$O$492,"&gt;"&amp;$O71)+1,"")</f>
        <v>23</v>
      </c>
      <c r="W71" s="21" t="n">
        <f aca="false">'Info Lega'!$B$4-SUMIFS($M$2:$M$492,$D$2:$D$492,'Info Lega'!$B$28)</f>
        <v>1000</v>
      </c>
      <c r="X71" s="21" t="n">
        <f aca="false">('Info Lega'!$B$5-COUNTIFS($D$2:$D$492,'Info Lega'!$B$28,$B$2:$B$492,"P"))+('Info Lega'!$B$6-COUNTIFS($D$2:$D$492,'Info Lega'!$B$28,$B$2:$B$492,"D"))+('Info Lega'!$B$7-COUNTIFS($D$2:$D$492,'Info Lega'!$B$28,$B$2:$B$492,"C"))+('Info Lega'!$B$8-COUNTIFS($D$2:$D$492,'Info Lega'!$B$28,$B$2:$B$492,"A"))</f>
        <v>25</v>
      </c>
      <c r="Y71" s="21" t="n">
        <f aca="false">X71*'Parametri Modello'!$B$30</f>
        <v>25</v>
      </c>
      <c r="Z71" s="21" t="n">
        <f aca="false">MAX(0,W71-Y71)</f>
        <v>975</v>
      </c>
      <c r="AA71" s="21" t="n">
        <f aca="false">MIN(F71,Z71)</f>
        <v>25</v>
      </c>
      <c r="AB71" s="21"/>
      <c r="AC71" s="21" t="str">
        <f aca="false">IF(AB71="","",IF(AB71&gt;AA71,"PASS",IF(AB71&lt;=AA71*0.85,"BID","ATTENZIONE")))</f>
        <v/>
      </c>
      <c r="AD71" s="31" t="n">
        <f aca="false">IF(I71="","",ROUND(100*(1-EXP(-I71/30)),0))</f>
        <v>63</v>
      </c>
      <c r="AE71" s="7" t="str">
        <f aca="false">IFERROR(INDEX('Stato Asta'!$G$9:$G$12,MATCH($B71,'Stato Asta'!$A$9:$A$12,0)),"")</f>
        <v>🟡 Attesa rischiosa</v>
      </c>
    </row>
    <row r="72" customFormat="false" ht="14.25" hidden="false" customHeight="true" outlineLevel="0" collapsed="false">
      <c r="A72" s="21" t="n">
        <v>2531</v>
      </c>
      <c r="B72" s="21" t="s">
        <v>46</v>
      </c>
      <c r="C72" s="21" t="s">
        <v>571</v>
      </c>
      <c r="E72" s="26" t="str">
        <f aca="false">IF(COUNTIF('Info Strategia'!$D$2:$D$51,$C72)&gt;0,"SI","NO")</f>
        <v>NO</v>
      </c>
      <c r="F72" s="27" t="n">
        <f aca="false">IFERROR(ROUND(($G72+($H72-$G72)*'Info Strategia'!$B$6)*(1+IF($E72="SI",'Parametri Modello'!$B$7*'Info Strategia'!$B$6,0)),0),"")</f>
        <v>43</v>
      </c>
      <c r="G72" s="27" t="n">
        <f aca="false">IFERROR(ROUND((IF(OR(INDEX('Parametri Modello'!$C$39:$C$42,MATCH($B72,'Parametri Modello'!$A$39:$A$42,0))="",INDEX('Parametri Modello'!$C$39:$C$42,MATCH($B72,'Parametri Modello'!$A$39:$A$42,0))=0),0,($O72/INDEX('Parametri Modello'!$C$39:$C$42,MATCH($B72,'Parametri Modello'!$A$39:$A$42,0)))*(INDEX('Parametri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27</v>
      </c>
      <c r="H72" s="27" t="n">
        <f aca="false">IFERROR(ROUND((IF(OR(INDEX('Parametri Modello'!$C$39:$C$42,MATCH($B72,'Parametri Modello'!$A$39:$A$42,0))="",INDEX('Parametri Modello'!$C$39:$C$42,MATCH($B72,'Parametri Modello'!$A$39:$A$42,0))=0),0,($O72/INDEX('Parametri Modello'!$C$39:$C$42,MATCH($B72,'Parametri Modello'!$A$39:$A$42,0)))*(INDEX('Parametri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50</v>
      </c>
      <c r="I72" s="26" t="n">
        <f aca="false">IFERROR(INDEX('Input Statistiche 2025_26'!$F$3:$F$665,MATCH($A72,'Input Statistiche 2025_26'!$A$3:$A$665,0)),"")</f>
        <v>1</v>
      </c>
      <c r="J72" s="26" t="n">
        <f aca="false">IFERROR(IF($I72="","",MAX(0,38-$I72)),"")</f>
        <v>37</v>
      </c>
      <c r="K72" s="26" t="n">
        <f aca="false">IFERROR(INDEX('Input Statistiche 2025_26'!$I$3:$I$665,MATCH($A72,'Input Statistiche 2025_26'!$A$3:$A$665,0)),"")</f>
        <v>1</v>
      </c>
      <c r="L72" s="26" t="n">
        <f aca="false">IFERROR(INDEX('Input Statistiche 2025_26'!$O$3:$O$665,MATCH($A72,'Input Statistiche 2025_26'!$A$3:$A$665,0)),"")</f>
        <v>0</v>
      </c>
      <c r="M72" s="28"/>
      <c r="N72" s="27" t="n">
        <f aca="false">IFERROR(INDEX('Input Giocatori 2026_27'!$E$3:$E$493,MATCH($A72,'Input Giocatori 2026_27'!$A$3:$A$493,0)),"")</f>
        <v>10</v>
      </c>
      <c r="O72" s="27" t="n">
        <f aca="false">IFERROR(INDEX('Input Giocatori 2026_27'!$G$3:$G$493,MATCH($A72,'Input Giocatori 2026_27'!$A$3:$A$493,0)),"")</f>
        <v>45</v>
      </c>
      <c r="P72" s="26" t="str">
        <f aca="false">IFERROR(IF($O72="","",IF((1-(COUNTIFS($B$2:$B$492,$B72,$O$2:$O$492,"&gt;"&amp;$O72)+1-1)/COUNTIF($B$2:$B$492,$B72))&gt;=0.85,"Top",IF((1-(COUNTIFS($B$2:$B$492,$B72,$O$2:$O$492,"&gt;"&amp;$O72)+1-1)/COUNTIF($B$2:$B$492,$B72))&gt;=0.6,"Buono",IF((1-(COUNTIFS($B$2:$B$492,$B72,$O$2:$O$492,"&gt;"&amp;$O72)+1-1)/COUNTIF($B$2:$B$492,$B72))&gt;=0.3,"Nella Media","Scommessa/Riserva")))),"")</f>
        <v>Buono</v>
      </c>
      <c r="Q72" s="29" t="n">
        <f aca="false">IF($D72="",COUNTIF($D$2:$D72,""),"")</f>
        <v>71</v>
      </c>
      <c r="R72" s="29" t="str">
        <f aca="false">IF($D72='Info Lega'!$B$28,COUNTIFS($D$2:$D72,'Info Lega'!$B$28),"")</f>
        <v/>
      </c>
      <c r="S72" s="30" t="n">
        <f aca="false">IFERROR(INDEX('Input Statistiche 2025_26'!$G$3:$G$665,MATCH($A72,'Input Statistiche 2025_26'!$A$3:$A$665,0)),"")</f>
        <v>7</v>
      </c>
      <c r="T72" s="30" t="n">
        <f aca="false">IFERROR(INDEX('Input Statistiche 2025_26'!$H$3:$H$665,MATCH($A72,'Input Statistiche 2025_26'!$A$3:$A$665,0)),"")</f>
        <v>9.5</v>
      </c>
      <c r="U72" s="26" t="str">
        <f aca="false">IF(OR('La Mia Rosa'!$O$12="",$D72&lt;&gt;""),"",IF($F72&lt;='La Mia Rosa'!$O$12*'Parametri Modello'!$B$24,"OK",IF($F72&lt;='La Mia Rosa'!$O$12*'Parametri Modello'!$B$25,"Attenzione","Rischio Alto")))</f>
        <v>OK</v>
      </c>
      <c r="V72" s="26" t="n">
        <f aca="false">IFERROR(COUNTIFS($B$2:$B$492,$B72,$O$2:$O$492,"&gt;"&amp;$O72)+1,"")</f>
        <v>32</v>
      </c>
      <c r="W72" s="21" t="n">
        <f aca="false">'Info Lega'!$B$4-SUMIFS($M$2:$M$492,$D$2:$D$492,'Info Lega'!$B$28)</f>
        <v>1000</v>
      </c>
      <c r="X72" s="21" t="n">
        <f aca="false">('Info Lega'!$B$5-COUNTIFS($D$2:$D$492,'Info Lega'!$B$28,$B$2:$B$492,"P"))+('Info Lega'!$B$6-COUNTIFS($D$2:$D$492,'Info Lega'!$B$28,$B$2:$B$492,"D"))+('Info Lega'!$B$7-COUNTIFS($D$2:$D$492,'Info Lega'!$B$28,$B$2:$B$492,"C"))+('Info Lega'!$B$8-COUNTIFS($D$2:$D$492,'Info Lega'!$B$28,$B$2:$B$492,"A"))</f>
        <v>25</v>
      </c>
      <c r="Y72" s="21" t="n">
        <f aca="false">X72*'Parametri Modello'!$B$30</f>
        <v>25</v>
      </c>
      <c r="Z72" s="21" t="n">
        <f aca="false">MAX(0,W72-Y72)</f>
        <v>975</v>
      </c>
      <c r="AA72" s="21" t="n">
        <f aca="false">MIN(F72,Z72)</f>
        <v>43</v>
      </c>
      <c r="AB72" s="21"/>
      <c r="AC72" s="21" t="str">
        <f aca="false">IF(AB72="","",IF(AB72&gt;AA72,"PASS",IF(AB72&lt;=AA72*0.85,"BID","ATTENZIONE")))</f>
        <v/>
      </c>
      <c r="AD72" s="31" t="n">
        <f aca="false">IF(I72="","",ROUND(100*(1-EXP(-I72/30)),0))</f>
        <v>3</v>
      </c>
      <c r="AE72" s="7" t="str">
        <f aca="false">IFERROR(INDEX('Stato Asta'!$G$9:$G$12,MATCH($B72,'Stato Asta'!$A$9:$A$12,0)),"")</f>
        <v>🔴 Non aspettare</v>
      </c>
    </row>
    <row r="73" customFormat="false" ht="14.25" hidden="false" customHeight="true" outlineLevel="0" collapsed="false">
      <c r="A73" s="21" t="n">
        <v>2120</v>
      </c>
      <c r="B73" s="21" t="s">
        <v>44</v>
      </c>
      <c r="C73" s="21" t="s">
        <v>196</v>
      </c>
      <c r="E73" s="26" t="str">
        <f aca="false">IF(COUNTIF('Info Strategia'!$D$2:$D$51,$C73)&gt;0,"SI","NO")</f>
        <v>NO</v>
      </c>
      <c r="F73" s="27" t="n">
        <f aca="false">IFERROR(ROUND(($G73+($H73-$G73)*'Info Strategia'!$B$6)*(1+IF($E73="SI",'Parametri Modello'!$B$7*'Info Strategia'!$B$6,0)),0),"")</f>
        <v>22</v>
      </c>
      <c r="G73" s="27" t="n">
        <f aca="false">IFERROR(ROUND((IF(OR(INDEX('Parametri Modello'!$C$39:$C$42,MATCH($B73,'Parametri Modello'!$A$39:$A$42,0))="",INDEX('Parametri Modello'!$C$39:$C$42,MATCH($B73,'Parametri Modello'!$A$39:$A$42,0))=0),0,($O73/INDEX('Parametri Modello'!$C$39:$C$42,MATCH($B73,'Parametri Modello'!$A$39:$A$42,0)))*(INDEX('Parametri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16</v>
      </c>
      <c r="H73" s="27" t="n">
        <f aca="false">IFERROR(ROUND((IF(OR(INDEX('Parametri Modello'!$C$39:$C$42,MATCH($B73,'Parametri Modello'!$A$39:$A$42,0))="",INDEX('Parametri Modello'!$C$39:$C$42,MATCH($B73,'Parametri Modello'!$A$39:$A$42,0))=0),0,($O73/INDEX('Parametri Modello'!$C$39:$C$42,MATCH($B73,'Parametri Modello'!$A$39:$A$42,0)))*(INDEX('Parametri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24</v>
      </c>
      <c r="I73" s="26" t="n">
        <f aca="false">IFERROR(INDEX('Input Statistiche 2025_26'!$F$3:$F$665,MATCH($A73,'Input Statistiche 2025_26'!$A$3:$A$665,0)),"")</f>
        <v>28</v>
      </c>
      <c r="J73" s="26" t="n">
        <f aca="false">IFERROR(IF($I73="","",MAX(0,38-$I73)),"")</f>
        <v>10</v>
      </c>
      <c r="K73" s="26" t="n">
        <f aca="false">IFERROR(INDEX('Input Statistiche 2025_26'!$I$3:$I$665,MATCH($A73,'Input Statistiche 2025_26'!$A$3:$A$665,0)),"")</f>
        <v>1</v>
      </c>
      <c r="L73" s="26" t="n">
        <f aca="false">IFERROR(INDEX('Input Statistiche 2025_26'!$O$3:$O$665,MATCH($A73,'Input Statistiche 2025_26'!$A$3:$A$665,0)),"")</f>
        <v>4</v>
      </c>
      <c r="M73" s="28"/>
      <c r="N73" s="27" t="n">
        <f aca="false">IFERROR(INDEX('Input Giocatori 2026_27'!$E$3:$E$493,MATCH($A73,'Input Giocatori 2026_27'!$A$3:$A$493,0)),"")</f>
        <v>14</v>
      </c>
      <c r="O73" s="27" t="n">
        <f aca="false">IFERROR(INDEX('Input Giocatori 2026_27'!$G$3:$G$493,MATCH($A73,'Input Giocatori 2026_27'!$A$3:$A$493,0)),"")</f>
        <v>44</v>
      </c>
      <c r="P73" s="26" t="str">
        <f aca="false">IFERROR(IF($O73="","",IF((1-(COUNTIFS($B$2:$B$492,$B73,$O$2:$O$492,"&gt;"&amp;$O73)+1-1)/COUNTIF($B$2:$B$492,$B73))&gt;=0.85,"Top",IF((1-(COUNTIFS($B$2:$B$492,$B73,$O$2:$O$492,"&gt;"&amp;$O73)+1-1)/COUNTIF($B$2:$B$492,$B73))&gt;=0.6,"Buono",IF((1-(COUNTIFS($B$2:$B$492,$B73,$O$2:$O$492,"&gt;"&amp;$O73)+1-1)/COUNTIF($B$2:$B$492,$B73))&gt;=0.3,"Nella Media","Scommessa/Riserva")))),"")</f>
        <v>Top</v>
      </c>
      <c r="Q73" s="29" t="n">
        <f aca="false">IF($D73="",COUNTIF($D$2:$D73,""),"")</f>
        <v>72</v>
      </c>
      <c r="R73" s="29" t="str">
        <f aca="false">IF($D73='Info Lega'!$B$28,COUNTIFS($D$2:$D73,'Info Lega'!$B$28),"")</f>
        <v/>
      </c>
      <c r="S73" s="30" t="n">
        <f aca="false">IFERROR(INDEX('Input Statistiche 2025_26'!$G$3:$G$665,MATCH($A73,'Input Statistiche 2025_26'!$A$3:$A$665,0)),"")</f>
        <v>6.2</v>
      </c>
      <c r="T73" s="30" t="n">
        <f aca="false">IFERROR(INDEX('Input Statistiche 2025_26'!$H$3:$H$665,MATCH($A73,'Input Statistiche 2025_26'!$A$3:$A$665,0)),"")</f>
        <v>6.34</v>
      </c>
      <c r="U73" s="26" t="str">
        <f aca="false">IF(OR('La Mia Rosa'!$O$12="",$D73&lt;&gt;""),"",IF($F73&lt;='La Mia Rosa'!$O$12*'Parametri Modello'!$B$24,"OK",IF($F73&lt;='La Mia Rosa'!$O$12*'Parametri Modello'!$B$25,"Attenzione","Rischio Alto")))</f>
        <v>OK</v>
      </c>
      <c r="V73" s="26" t="n">
        <f aca="false">IFERROR(COUNTIFS($B$2:$B$492,$B73,$O$2:$O$492,"&gt;"&amp;$O73)+1,"")</f>
        <v>10</v>
      </c>
      <c r="W73" s="21" t="n">
        <f aca="false">'Info Lega'!$B$4-SUMIFS($M$2:$M$492,$D$2:$D$492,'Info Lega'!$B$28)</f>
        <v>1000</v>
      </c>
      <c r="X73" s="21" t="n">
        <f aca="false">('Info Lega'!$B$5-COUNTIFS($D$2:$D$492,'Info Lega'!$B$28,$B$2:$B$492,"P"))+('Info Lega'!$B$6-COUNTIFS($D$2:$D$492,'Info Lega'!$B$28,$B$2:$B$492,"D"))+('Info Lega'!$B$7-COUNTIFS($D$2:$D$492,'Info Lega'!$B$28,$B$2:$B$492,"C"))+('Info Lega'!$B$8-COUNTIFS($D$2:$D$492,'Info Lega'!$B$28,$B$2:$B$492,"A"))</f>
        <v>25</v>
      </c>
      <c r="Y73" s="21" t="n">
        <f aca="false">X73*'Parametri Modello'!$B$30</f>
        <v>25</v>
      </c>
      <c r="Z73" s="21" t="n">
        <f aca="false">MAX(0,W73-Y73)</f>
        <v>975</v>
      </c>
      <c r="AA73" s="21" t="n">
        <f aca="false">MIN(F73,Z73)</f>
        <v>22</v>
      </c>
      <c r="AB73" s="21"/>
      <c r="AC73" s="21" t="str">
        <f aca="false">IF(AB73="","",IF(AB73&gt;AA73,"PASS",IF(AB73&lt;=AA73*0.85,"BID","ATTENZIONE")))</f>
        <v/>
      </c>
      <c r="AD73" s="31" t="n">
        <f aca="false">IF(I73="","",ROUND(100*(1-EXP(-I73/30)),0))</f>
        <v>61</v>
      </c>
      <c r="AE73" s="7" t="str">
        <f aca="false">IFERROR(INDEX('Stato Asta'!$G$9:$G$12,MATCH($B73,'Stato Asta'!$A$9:$A$12,0)),"")</f>
        <v>🟡 Attesa rischiosa</v>
      </c>
    </row>
    <row r="74" customFormat="false" ht="14.25" hidden="false" customHeight="true" outlineLevel="0" collapsed="false">
      <c r="A74" s="21" t="n">
        <v>4317</v>
      </c>
      <c r="B74" s="21" t="s">
        <v>44</v>
      </c>
      <c r="C74" s="21" t="s">
        <v>200</v>
      </c>
      <c r="E74" s="26" t="str">
        <f aca="false">IF(COUNTIF('Info Strategia'!$D$2:$D$51,$C74)&gt;0,"SI","NO")</f>
        <v>NO</v>
      </c>
      <c r="F74" s="27" t="n">
        <f aca="false">IFERROR(ROUND(($G74+($H74-$G74)*'Info Strategia'!$B$6)*(1+IF($E74="SI",'Parametri Modello'!$B$7*'Info Strategia'!$B$6,0)),0),"")</f>
        <v>22</v>
      </c>
      <c r="G74" s="27" t="n">
        <f aca="false">IFERROR(ROUND((IF(OR(INDEX('Parametri Modello'!$C$39:$C$42,MATCH($B74,'Parametri Modello'!$A$39:$A$42,0))="",INDEX('Parametri Modello'!$C$39:$C$42,MATCH($B74,'Parametri Modello'!$A$39:$A$42,0))=0),0,($O74/INDEX('Parametri Modello'!$C$39:$C$42,MATCH($B74,'Parametri Modello'!$A$39:$A$42,0)))*(INDEX('Parametri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16</v>
      </c>
      <c r="H74" s="27" t="n">
        <f aca="false">IFERROR(ROUND((IF(OR(INDEX('Parametri Modello'!$C$39:$C$42,MATCH($B74,'Parametri Modello'!$A$39:$A$42,0))="",INDEX('Parametri Modello'!$C$39:$C$42,MATCH($B74,'Parametri Modello'!$A$39:$A$42,0))=0),0,($O74/INDEX('Parametri Modello'!$C$39:$C$42,MATCH($B74,'Parametri Modello'!$A$39:$A$42,0)))*(INDEX('Parametri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24</v>
      </c>
      <c r="I74" s="26" t="n">
        <f aca="false">IFERROR(INDEX('Input Statistiche 2025_26'!$F$3:$F$665,MATCH($A74,'Input Statistiche 2025_26'!$A$3:$A$665,0)),"")</f>
        <v>31</v>
      </c>
      <c r="J74" s="26" t="n">
        <f aca="false">IFERROR(IF($I74="","",MAX(0,38-$I74)),"")</f>
        <v>7</v>
      </c>
      <c r="K74" s="26" t="n">
        <f aca="false">IFERROR(INDEX('Input Statistiche 2025_26'!$I$3:$I$665,MATCH($A74,'Input Statistiche 2025_26'!$A$3:$A$665,0)),"")</f>
        <v>3</v>
      </c>
      <c r="L74" s="26" t="n">
        <f aca="false">IFERROR(INDEX('Input Statistiche 2025_26'!$O$3:$O$665,MATCH($A74,'Input Statistiche 2025_26'!$A$3:$A$665,0)),"")</f>
        <v>1</v>
      </c>
      <c r="M74" s="28"/>
      <c r="N74" s="27" t="n">
        <f aca="false">IFERROR(INDEX('Input Giocatori 2026_27'!$E$3:$E$493,MATCH($A74,'Input Giocatori 2026_27'!$A$3:$A$493,0)),"")</f>
        <v>13</v>
      </c>
      <c r="O74" s="27" t="n">
        <f aca="false">IFERROR(INDEX('Input Giocatori 2026_27'!$G$3:$G$493,MATCH($A74,'Input Giocatori 2026_27'!$A$3:$A$493,0)),"")</f>
        <v>44</v>
      </c>
      <c r="P74" s="26" t="str">
        <f aca="false">IFERROR(IF($O74="","",IF((1-(COUNTIFS($B$2:$B$492,$B74,$O$2:$O$492,"&gt;"&amp;$O74)+1-1)/COUNTIF($B$2:$B$492,$B74))&gt;=0.85,"Top",IF((1-(COUNTIFS($B$2:$B$492,$B74,$O$2:$O$492,"&gt;"&amp;$O74)+1-1)/COUNTIF($B$2:$B$492,$B74))&gt;=0.6,"Buono",IF((1-(COUNTIFS($B$2:$B$492,$B74,$O$2:$O$492,"&gt;"&amp;$O74)+1-1)/COUNTIF($B$2:$B$492,$B74))&gt;=0.3,"Nella Media","Scommessa/Riserva")))),"")</f>
        <v>Top</v>
      </c>
      <c r="Q74" s="29" t="n">
        <f aca="false">IF($D74="",COUNTIF($D$2:$D74,""),"")</f>
        <v>73</v>
      </c>
      <c r="R74" s="29" t="str">
        <f aca="false">IF($D74='Info Lega'!$B$28,COUNTIFS($D$2:$D74,'Info Lega'!$B$28),"")</f>
        <v/>
      </c>
      <c r="S74" s="30" t="n">
        <f aca="false">IFERROR(INDEX('Input Statistiche 2025_26'!$G$3:$G$665,MATCH($A74,'Input Statistiche 2025_26'!$A$3:$A$665,0)),"")</f>
        <v>6.08</v>
      </c>
      <c r="T74" s="30" t="n">
        <f aca="false">IFERROR(INDEX('Input Statistiche 2025_26'!$H$3:$H$665,MATCH($A74,'Input Statistiche 2025_26'!$A$3:$A$665,0)),"")</f>
        <v>6.32</v>
      </c>
      <c r="U74" s="26" t="str">
        <f aca="false">IF(OR('La Mia Rosa'!$O$12="",$D74&lt;&gt;""),"",IF($F74&lt;='La Mia Rosa'!$O$12*'Parametri Modello'!$B$24,"OK",IF($F74&lt;='La Mia Rosa'!$O$12*'Parametri Modello'!$B$25,"Attenzione","Rischio Alto")))</f>
        <v>OK</v>
      </c>
      <c r="V74" s="26" t="n">
        <f aca="false">IFERROR(COUNTIFS($B$2:$B$492,$B74,$O$2:$O$492,"&gt;"&amp;$O74)+1,"")</f>
        <v>10</v>
      </c>
      <c r="W74" s="21" t="n">
        <f aca="false">'Info Lega'!$B$4-SUMIFS($M$2:$M$492,$D$2:$D$492,'Info Lega'!$B$28)</f>
        <v>1000</v>
      </c>
      <c r="X74" s="21" t="n">
        <f aca="false">('Info Lega'!$B$5-COUNTIFS($D$2:$D$492,'Info Lega'!$B$28,$B$2:$B$492,"P"))+('Info Lega'!$B$6-COUNTIFS($D$2:$D$492,'Info Lega'!$B$28,$B$2:$B$492,"D"))+('Info Lega'!$B$7-COUNTIFS($D$2:$D$492,'Info Lega'!$B$28,$B$2:$B$492,"C"))+('Info Lega'!$B$8-COUNTIFS($D$2:$D$492,'Info Lega'!$B$28,$B$2:$B$492,"A"))</f>
        <v>25</v>
      </c>
      <c r="Y74" s="21" t="n">
        <f aca="false">X74*'Parametri Modello'!$B$30</f>
        <v>25</v>
      </c>
      <c r="Z74" s="21" t="n">
        <f aca="false">MAX(0,W74-Y74)</f>
        <v>975</v>
      </c>
      <c r="AA74" s="21" t="n">
        <f aca="false">MIN(F74,Z74)</f>
        <v>22</v>
      </c>
      <c r="AB74" s="21"/>
      <c r="AC74" s="21" t="str">
        <f aca="false">IF(AB74="","",IF(AB74&gt;AA74,"PASS",IF(AB74&lt;=AA74*0.85,"BID","ATTENZIONE")))</f>
        <v/>
      </c>
      <c r="AD74" s="31" t="n">
        <f aca="false">IF(I74="","",ROUND(100*(1-EXP(-I74/30)),0))</f>
        <v>64</v>
      </c>
      <c r="AE74" s="7" t="str">
        <f aca="false">IFERROR(INDEX('Stato Asta'!$G$9:$G$12,MATCH($B74,'Stato Asta'!$A$9:$A$12,0)),"")</f>
        <v>🟡 Attesa rischiosa</v>
      </c>
    </row>
    <row r="75" customFormat="false" ht="14.25" hidden="false" customHeight="true" outlineLevel="0" collapsed="false">
      <c r="A75" s="21" t="n">
        <v>4892</v>
      </c>
      <c r="B75" s="21" t="s">
        <v>45</v>
      </c>
      <c r="C75" s="21" t="s">
        <v>395</v>
      </c>
      <c r="E75" s="26" t="str">
        <f aca="false">IF(COUNTIF('Info Strategia'!$D$2:$D$51,$C75)&gt;0,"SI","NO")</f>
        <v>NO</v>
      </c>
      <c r="F75" s="27" t="n">
        <f aca="false">IFERROR(ROUND(($G75+($H75-$G75)*'Info Strategia'!$B$6)*(1+IF($E75="SI",'Parametri Modello'!$B$7*'Info Strategia'!$B$6,0)),0),"")</f>
        <v>24</v>
      </c>
      <c r="G75" s="27" t="n">
        <f aca="false">IFERROR(ROUND((IF(OR(INDEX('Parametri Modello'!$C$39:$C$42,MATCH($B75,'Parametri Modello'!$A$39:$A$42,0))="",INDEX('Parametri Modello'!$C$39:$C$42,MATCH($B75,'Parametri Modello'!$A$39:$A$42,0))=0),0,($O75/INDEX('Parametri Modello'!$C$39:$C$42,MATCH($B75,'Parametri Modello'!$A$39:$A$42,0)))*(INDEX('Parametri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16</v>
      </c>
      <c r="H75" s="27" t="n">
        <f aca="false">IFERROR(ROUND((IF(OR(INDEX('Parametri Modello'!$C$39:$C$42,MATCH($B75,'Parametri Modello'!$A$39:$A$42,0))="",INDEX('Parametri Modello'!$C$39:$C$42,MATCH($B75,'Parametri Modello'!$A$39:$A$42,0))=0),0,($O75/INDEX('Parametri Modello'!$C$39:$C$42,MATCH($B75,'Parametri Modello'!$A$39:$A$42,0)))*(INDEX('Parametri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27</v>
      </c>
      <c r="I75" s="26" t="n">
        <f aca="false">IFERROR(INDEX('Input Statistiche 2025_26'!$F$3:$F$665,MATCH($A75,'Input Statistiche 2025_26'!$A$3:$A$665,0)),"")</f>
        <v>35</v>
      </c>
      <c r="J75" s="26" t="n">
        <f aca="false">IFERROR(IF($I75="","",MAX(0,38-$I75)),"")</f>
        <v>3</v>
      </c>
      <c r="K75" s="26" t="n">
        <f aca="false">IFERROR(INDEX('Input Statistiche 2025_26'!$I$3:$I$665,MATCH($A75,'Input Statistiche 2025_26'!$A$3:$A$665,0)),"")</f>
        <v>3</v>
      </c>
      <c r="L75" s="26" t="n">
        <f aca="false">IFERROR(INDEX('Input Statistiche 2025_26'!$O$3:$O$665,MATCH($A75,'Input Statistiche 2025_26'!$A$3:$A$665,0)),"")</f>
        <v>3</v>
      </c>
      <c r="M75" s="28"/>
      <c r="N75" s="27" t="n">
        <f aca="false">IFERROR(INDEX('Input Giocatori 2026_27'!$E$3:$E$493,MATCH($A75,'Input Giocatori 2026_27'!$A$3:$A$493,0)),"")</f>
        <v>10</v>
      </c>
      <c r="O75" s="27" t="n">
        <f aca="false">IFERROR(INDEX('Input Giocatori 2026_27'!$G$3:$G$493,MATCH($A75,'Input Giocatori 2026_27'!$A$3:$A$493,0)),"")</f>
        <v>43</v>
      </c>
      <c r="P75" s="26" t="str">
        <f aca="false">IFERROR(IF($O75="","",IF((1-(COUNTIFS($B$2:$B$492,$B75,$O$2:$O$492,"&gt;"&amp;$O75)+1-1)/COUNTIF($B$2:$B$492,$B75))&gt;=0.85,"Top",IF((1-(COUNTIFS($B$2:$B$492,$B75,$O$2:$O$492,"&gt;"&amp;$O75)+1-1)/COUNTIF($B$2:$B$492,$B75))&gt;=0.6,"Buono",IF((1-(COUNTIFS($B$2:$B$492,$B75,$O$2:$O$492,"&gt;"&amp;$O75)+1-1)/COUNTIF($B$2:$B$492,$B75))&gt;=0.3,"Nella Media","Scommessa/Riserva")))),"")</f>
        <v>Top</v>
      </c>
      <c r="Q75" s="29" t="n">
        <f aca="false">IF($D75="",COUNTIF($D$2:$D75,""),"")</f>
        <v>74</v>
      </c>
      <c r="R75" s="29" t="str">
        <f aca="false">IF($D75='Info Lega'!$B$28,COUNTIFS($D$2:$D75,'Info Lega'!$B$28),"")</f>
        <v/>
      </c>
      <c r="S75" s="30" t="n">
        <f aca="false">IFERROR(INDEX('Input Statistiche 2025_26'!$G$3:$G$665,MATCH($A75,'Input Statistiche 2025_26'!$A$3:$A$665,0)),"")</f>
        <v>6.14</v>
      </c>
      <c r="T75" s="30" t="n">
        <f aca="false">IFERROR(INDEX('Input Statistiche 2025_26'!$H$3:$H$665,MATCH($A75,'Input Statistiche 2025_26'!$A$3:$A$665,0)),"")</f>
        <v>6.41</v>
      </c>
      <c r="U75" s="26" t="str">
        <f aca="false">IF(OR('La Mia Rosa'!$O$12="",$D75&lt;&gt;""),"",IF($F75&lt;='La Mia Rosa'!$O$12*'Parametri Modello'!$B$24,"OK",IF($F75&lt;='La Mia Rosa'!$O$12*'Parametri Modello'!$B$25,"Attenzione","Rischio Alto")))</f>
        <v>OK</v>
      </c>
      <c r="V75" s="26" t="n">
        <f aca="false">IFERROR(COUNTIFS($B$2:$B$492,$B75,$O$2:$O$492,"&gt;"&amp;$O75)+1,"")</f>
        <v>24</v>
      </c>
      <c r="W75" s="21" t="n">
        <f aca="false">'Info Lega'!$B$4-SUMIFS($M$2:$M$492,$D$2:$D$492,'Info Lega'!$B$28)</f>
        <v>1000</v>
      </c>
      <c r="X75" s="21" t="n">
        <f aca="false">('Info Lega'!$B$5-COUNTIFS($D$2:$D$492,'Info Lega'!$B$28,$B$2:$B$492,"P"))+('Info Lega'!$B$6-COUNTIFS($D$2:$D$492,'Info Lega'!$B$28,$B$2:$B$492,"D"))+('Info Lega'!$B$7-COUNTIFS($D$2:$D$492,'Info Lega'!$B$28,$B$2:$B$492,"C"))+('Info Lega'!$B$8-COUNTIFS($D$2:$D$492,'Info Lega'!$B$28,$B$2:$B$492,"A"))</f>
        <v>25</v>
      </c>
      <c r="Y75" s="21" t="n">
        <f aca="false">X75*'Parametri Modello'!$B$30</f>
        <v>25</v>
      </c>
      <c r="Z75" s="21" t="n">
        <f aca="false">MAX(0,W75-Y75)</f>
        <v>975</v>
      </c>
      <c r="AA75" s="21" t="n">
        <f aca="false">MIN(F75,Z75)</f>
        <v>24</v>
      </c>
      <c r="AB75" s="21"/>
      <c r="AC75" s="21" t="str">
        <f aca="false">IF(AB75="","",IF(AB75&gt;AA75,"PASS",IF(AB75&lt;=AA75*0.85,"BID","ATTENZIONE")))</f>
        <v/>
      </c>
      <c r="AD75" s="31" t="n">
        <f aca="false">IF(I75="","",ROUND(100*(1-EXP(-I75/30)),0))</f>
        <v>69</v>
      </c>
      <c r="AE75" s="7" t="str">
        <f aca="false">IFERROR(INDEX('Stato Asta'!$G$9:$G$12,MATCH($B75,'Stato Asta'!$A$9:$A$12,0)),"")</f>
        <v>🟡 Attesa rischiosa</v>
      </c>
    </row>
    <row r="76" customFormat="false" ht="14.25" hidden="false" customHeight="true" outlineLevel="0" collapsed="false">
      <c r="A76" s="21" t="n">
        <v>5119</v>
      </c>
      <c r="B76" s="21" t="s">
        <v>45</v>
      </c>
      <c r="C76" s="21" t="s">
        <v>384</v>
      </c>
      <c r="E76" s="26" t="str">
        <f aca="false">IF(COUNTIF('Info Strategia'!$D$2:$D$51,$C76)&gt;0,"SI","NO")</f>
        <v>NO</v>
      </c>
      <c r="F76" s="27" t="n">
        <f aca="false">IFERROR(ROUND(($G76+($H76-$G76)*'Info Strategia'!$B$6)*(1+IF($E76="SI",'Parametri Modello'!$B$7*'Info Strategia'!$B$6,0)),0),"")</f>
        <v>23</v>
      </c>
      <c r="G76" s="27" t="n">
        <f aca="false">IFERROR(ROUND((IF(OR(INDEX('Parametri Modello'!$C$39:$C$42,MATCH($B76,'Parametri Modello'!$A$39:$A$42,0))="",INDEX('Parametri Modello'!$C$39:$C$42,MATCH($B76,'Parametri Modello'!$A$39:$A$42,0))=0),0,($O76/INDEX('Parametri Modello'!$C$39:$C$42,MATCH($B76,'Parametri Modello'!$A$39:$A$42,0)))*(INDEX('Parametri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16</v>
      </c>
      <c r="H76" s="27" t="n">
        <f aca="false">IFERROR(ROUND((IF(OR(INDEX('Parametri Modello'!$C$39:$C$42,MATCH($B76,'Parametri Modello'!$A$39:$A$42,0))="",INDEX('Parametri Modello'!$C$39:$C$42,MATCH($B76,'Parametri Modello'!$A$39:$A$42,0))=0),0,($O76/INDEX('Parametri Modello'!$C$39:$C$42,MATCH($B76,'Parametri Modello'!$A$39:$A$42,0)))*(INDEX('Parametri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26</v>
      </c>
      <c r="I76" s="26" t="n">
        <f aca="false">IFERROR(INDEX('Input Statistiche 2025_26'!$F$3:$F$665,MATCH($A76,'Input Statistiche 2025_26'!$A$3:$A$665,0)),"")</f>
        <v>21</v>
      </c>
      <c r="J76" s="26" t="n">
        <f aca="false">IFERROR(IF($I76="","",MAX(0,38-$I76)),"")</f>
        <v>17</v>
      </c>
      <c r="K76" s="26" t="n">
        <f aca="false">IFERROR(INDEX('Input Statistiche 2025_26'!$I$3:$I$665,MATCH($A76,'Input Statistiche 2025_26'!$A$3:$A$665,0)),"")</f>
        <v>2</v>
      </c>
      <c r="L76" s="26" t="n">
        <f aca="false">IFERROR(INDEX('Input Statistiche 2025_26'!$O$3:$O$665,MATCH($A76,'Input Statistiche 2025_26'!$A$3:$A$665,0)),"")</f>
        <v>2</v>
      </c>
      <c r="M76" s="28"/>
      <c r="N76" s="27" t="n">
        <f aca="false">IFERROR(INDEX('Input Giocatori 2026_27'!$E$3:$E$493,MATCH($A76,'Input Giocatori 2026_27'!$A$3:$A$493,0)),"")</f>
        <v>12</v>
      </c>
      <c r="O76" s="27" t="n">
        <f aca="false">IFERROR(INDEX('Input Giocatori 2026_27'!$G$3:$G$493,MATCH($A76,'Input Giocatori 2026_27'!$A$3:$A$493,0)),"")</f>
        <v>42</v>
      </c>
      <c r="P76" s="26" t="str">
        <f aca="false">IFERROR(IF($O76="","",IF((1-(COUNTIFS($B$2:$B$492,$B76,$O$2:$O$492,"&gt;"&amp;$O76)+1-1)/COUNTIF($B$2:$B$492,$B76))&gt;=0.85,"Top",IF((1-(COUNTIFS($B$2:$B$492,$B76,$O$2:$O$492,"&gt;"&amp;$O76)+1-1)/COUNTIF($B$2:$B$492,$B76))&gt;=0.6,"Buono",IF((1-(COUNTIFS($B$2:$B$492,$B76,$O$2:$O$492,"&gt;"&amp;$O76)+1-1)/COUNTIF($B$2:$B$492,$B76))&gt;=0.3,"Nella Media","Scommessa/Riserva")))),"")</f>
        <v>Top</v>
      </c>
      <c r="Q76" s="29" t="n">
        <f aca="false">IF($D76="",COUNTIF($D$2:$D76,""),"")</f>
        <v>75</v>
      </c>
      <c r="R76" s="29" t="str">
        <f aca="false">IF($D76='Info Lega'!$B$28,COUNTIFS($D$2:$D76,'Info Lega'!$B$28),"")</f>
        <v/>
      </c>
      <c r="S76" s="30" t="n">
        <f aca="false">IFERROR(INDEX('Input Statistiche 2025_26'!$G$3:$G$665,MATCH($A76,'Input Statistiche 2025_26'!$A$3:$A$665,0)),"")</f>
        <v>5.93</v>
      </c>
      <c r="T76" s="30" t="n">
        <f aca="false">IFERROR(INDEX('Input Statistiche 2025_26'!$H$3:$H$665,MATCH($A76,'Input Statistiche 2025_26'!$A$3:$A$665,0)),"")</f>
        <v>6.29</v>
      </c>
      <c r="U76" s="26" t="str">
        <f aca="false">IF(OR('La Mia Rosa'!$O$12="",$D76&lt;&gt;""),"",IF($F76&lt;='La Mia Rosa'!$O$12*'Parametri Modello'!$B$24,"OK",IF($F76&lt;='La Mia Rosa'!$O$12*'Parametri Modello'!$B$25,"Attenzione","Rischio Alto")))</f>
        <v>OK</v>
      </c>
      <c r="V76" s="26" t="n">
        <f aca="false">IFERROR(COUNTIFS($B$2:$B$492,$B76,$O$2:$O$492,"&gt;"&amp;$O76)+1,"")</f>
        <v>25</v>
      </c>
      <c r="W76" s="21" t="n">
        <f aca="false">'Info Lega'!$B$4-SUMIFS($M$2:$M$492,$D$2:$D$492,'Info Lega'!$B$28)</f>
        <v>1000</v>
      </c>
      <c r="X76" s="21" t="n">
        <f aca="false">('Info Lega'!$B$5-COUNTIFS($D$2:$D$492,'Info Lega'!$B$28,$B$2:$B$492,"P"))+('Info Lega'!$B$6-COUNTIFS($D$2:$D$492,'Info Lega'!$B$28,$B$2:$B$492,"D"))+('Info Lega'!$B$7-COUNTIFS($D$2:$D$492,'Info Lega'!$B$28,$B$2:$B$492,"C"))+('Info Lega'!$B$8-COUNTIFS($D$2:$D$492,'Info Lega'!$B$28,$B$2:$B$492,"A"))</f>
        <v>25</v>
      </c>
      <c r="Y76" s="21" t="n">
        <f aca="false">X76*'Parametri Modello'!$B$30</f>
        <v>25</v>
      </c>
      <c r="Z76" s="21" t="n">
        <f aca="false">MAX(0,W76-Y76)</f>
        <v>975</v>
      </c>
      <c r="AA76" s="21" t="n">
        <f aca="false">MIN(F76,Z76)</f>
        <v>23</v>
      </c>
      <c r="AB76" s="21"/>
      <c r="AC76" s="21" t="str">
        <f aca="false">IF(AB76="","",IF(AB76&gt;AA76,"PASS",IF(AB76&lt;=AA76*0.85,"BID","ATTENZIONE")))</f>
        <v/>
      </c>
      <c r="AD76" s="31" t="n">
        <f aca="false">IF(I76="","",ROUND(100*(1-EXP(-I76/30)),0))</f>
        <v>50</v>
      </c>
      <c r="AE76" s="7" t="str">
        <f aca="false">IFERROR(INDEX('Stato Asta'!$G$9:$G$12,MATCH($B76,'Stato Asta'!$A$9:$A$12,0)),"")</f>
        <v>🟡 Attesa rischiosa</v>
      </c>
    </row>
    <row r="77" customFormat="false" ht="14.25" hidden="false" customHeight="true" outlineLevel="0" collapsed="false">
      <c r="A77" s="21" t="n">
        <v>5589</v>
      </c>
      <c r="B77" s="21" t="s">
        <v>45</v>
      </c>
      <c r="C77" s="21" t="s">
        <v>397</v>
      </c>
      <c r="E77" s="26" t="str">
        <f aca="false">IF(COUNTIF('Info Strategia'!$D$2:$D$51,$C77)&gt;0,"SI","NO")</f>
        <v>NO</v>
      </c>
      <c r="F77" s="27" t="n">
        <f aca="false">IFERROR(ROUND(($G77+($H77-$G77)*'Info Strategia'!$B$6)*(1+IF($E77="SI",'Parametri Modello'!$B$7*'Info Strategia'!$B$6,0)),0),"")</f>
        <v>23</v>
      </c>
      <c r="G77" s="27" t="n">
        <f aca="false">IFERROR(ROUND((IF(OR(INDEX('Parametri Modello'!$C$39:$C$42,MATCH($B77,'Parametri Modello'!$A$39:$A$42,0))="",INDEX('Parametri Modello'!$C$39:$C$42,MATCH($B77,'Parametri Modello'!$A$39:$A$42,0))=0),0,($O77/INDEX('Parametri Modello'!$C$39:$C$42,MATCH($B77,'Parametri Modello'!$A$39:$A$42,0)))*(INDEX('Parametri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16</v>
      </c>
      <c r="H77" s="27" t="n">
        <f aca="false">IFERROR(ROUND((IF(OR(INDEX('Parametri Modello'!$C$39:$C$42,MATCH($B77,'Parametri Modello'!$A$39:$A$42,0))="",INDEX('Parametri Modello'!$C$39:$C$42,MATCH($B77,'Parametri Modello'!$A$39:$A$42,0))=0),0,($O77/INDEX('Parametri Modello'!$C$39:$C$42,MATCH($B77,'Parametri Modello'!$A$39:$A$42,0)))*(INDEX('Parametri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26</v>
      </c>
      <c r="I77" s="26" t="n">
        <f aca="false">IFERROR(INDEX('Input Statistiche 2025_26'!$F$3:$F$665,MATCH($A77,'Input Statistiche 2025_26'!$A$3:$A$665,0)),"")</f>
        <v>29</v>
      </c>
      <c r="J77" s="26" t="n">
        <f aca="false">IFERROR(IF($I77="","",MAX(0,38-$I77)),"")</f>
        <v>9</v>
      </c>
      <c r="K77" s="26" t="n">
        <f aca="false">IFERROR(INDEX('Input Statistiche 2025_26'!$I$3:$I$665,MATCH($A77,'Input Statistiche 2025_26'!$A$3:$A$665,0)),"")</f>
        <v>2</v>
      </c>
      <c r="L77" s="26" t="n">
        <f aca="false">IFERROR(INDEX('Input Statistiche 2025_26'!$O$3:$O$665,MATCH($A77,'Input Statistiche 2025_26'!$A$3:$A$665,0)),"")</f>
        <v>3</v>
      </c>
      <c r="M77" s="28"/>
      <c r="N77" s="27" t="n">
        <f aca="false">IFERROR(INDEX('Input Giocatori 2026_27'!$E$3:$E$493,MATCH($A77,'Input Giocatori 2026_27'!$A$3:$A$493,0)),"")</f>
        <v>10</v>
      </c>
      <c r="O77" s="27" t="n">
        <f aca="false">IFERROR(INDEX('Input Giocatori 2026_27'!$G$3:$G$493,MATCH($A77,'Input Giocatori 2026_27'!$A$3:$A$493,0)),"")</f>
        <v>42</v>
      </c>
      <c r="P77" s="26" t="str">
        <f aca="false">IFERROR(IF($O77="","",IF((1-(COUNTIFS($B$2:$B$492,$B77,$O$2:$O$492,"&gt;"&amp;$O77)+1-1)/COUNTIF($B$2:$B$492,$B77))&gt;=0.85,"Top",IF((1-(COUNTIFS($B$2:$B$492,$B77,$O$2:$O$492,"&gt;"&amp;$O77)+1-1)/COUNTIF($B$2:$B$492,$B77))&gt;=0.6,"Buono",IF((1-(COUNTIFS($B$2:$B$492,$B77,$O$2:$O$492,"&gt;"&amp;$O77)+1-1)/COUNTIF($B$2:$B$492,$B77))&gt;=0.3,"Nella Media","Scommessa/Riserva")))),"")</f>
        <v>Top</v>
      </c>
      <c r="Q77" s="29" t="n">
        <f aca="false">IF($D77="",COUNTIF($D$2:$D77,""),"")</f>
        <v>76</v>
      </c>
      <c r="R77" s="29" t="str">
        <f aca="false">IF($D77='Info Lega'!$B$28,COUNTIFS($D$2:$D77,'Info Lega'!$B$28),"")</f>
        <v/>
      </c>
      <c r="S77" s="30" t="n">
        <f aca="false">IFERROR(INDEX('Input Statistiche 2025_26'!$G$3:$G$665,MATCH($A77,'Input Statistiche 2025_26'!$A$3:$A$665,0)),"")</f>
        <v>6.26</v>
      </c>
      <c r="T77" s="30" t="n">
        <f aca="false">IFERROR(INDEX('Input Statistiche 2025_26'!$H$3:$H$665,MATCH($A77,'Input Statistiche 2025_26'!$A$3:$A$665,0)),"")</f>
        <v>6.53</v>
      </c>
      <c r="U77" s="26" t="str">
        <f aca="false">IF(OR('La Mia Rosa'!$O$12="",$D77&lt;&gt;""),"",IF($F77&lt;='La Mia Rosa'!$O$12*'Parametri Modello'!$B$24,"OK",IF($F77&lt;='La Mia Rosa'!$O$12*'Parametri Modello'!$B$25,"Attenzione","Rischio Alto")))</f>
        <v>OK</v>
      </c>
      <c r="V77" s="26" t="n">
        <f aca="false">IFERROR(COUNTIFS($B$2:$B$492,$B77,$O$2:$O$492,"&gt;"&amp;$O77)+1,"")</f>
        <v>25</v>
      </c>
      <c r="W77" s="21" t="n">
        <f aca="false">'Info Lega'!$B$4-SUMIFS($M$2:$M$492,$D$2:$D$492,'Info Lega'!$B$28)</f>
        <v>1000</v>
      </c>
      <c r="X77" s="21" t="n">
        <f aca="false">('Info Lega'!$B$5-COUNTIFS($D$2:$D$492,'Info Lega'!$B$28,$B$2:$B$492,"P"))+('Info Lega'!$B$6-COUNTIFS($D$2:$D$492,'Info Lega'!$B$28,$B$2:$B$492,"D"))+('Info Lega'!$B$7-COUNTIFS($D$2:$D$492,'Info Lega'!$B$28,$B$2:$B$492,"C"))+('Info Lega'!$B$8-COUNTIFS($D$2:$D$492,'Info Lega'!$B$28,$B$2:$B$492,"A"))</f>
        <v>25</v>
      </c>
      <c r="Y77" s="21" t="n">
        <f aca="false">X77*'Parametri Modello'!$B$30</f>
        <v>25</v>
      </c>
      <c r="Z77" s="21" t="n">
        <f aca="false">MAX(0,W77-Y77)</f>
        <v>975</v>
      </c>
      <c r="AA77" s="21" t="n">
        <f aca="false">MIN(F77,Z77)</f>
        <v>23</v>
      </c>
      <c r="AB77" s="21"/>
      <c r="AC77" s="21" t="str">
        <f aca="false">IF(AB77="","",IF(AB77&gt;AA77,"PASS",IF(AB77&lt;=AA77*0.85,"BID","ATTENZIONE")))</f>
        <v/>
      </c>
      <c r="AD77" s="31" t="n">
        <f aca="false">IF(I77="","",ROUND(100*(1-EXP(-I77/30)),0))</f>
        <v>62</v>
      </c>
      <c r="AE77" s="7" t="str">
        <f aca="false">IFERROR(INDEX('Stato Asta'!$G$9:$G$12,MATCH($B77,'Stato Asta'!$A$9:$A$12,0)),"")</f>
        <v>🟡 Attesa rischiosa</v>
      </c>
    </row>
    <row r="78" customFormat="false" ht="14.25" hidden="false" customHeight="true" outlineLevel="0" collapsed="false">
      <c r="A78" s="21" t="n">
        <v>152</v>
      </c>
      <c r="B78" s="21" t="s">
        <v>45</v>
      </c>
      <c r="C78" s="21" t="s">
        <v>393</v>
      </c>
      <c r="E78" s="26" t="str">
        <f aca="false">IF(COUNTIF('Info Strategia'!$D$2:$D$51,$C78)&gt;0,"SI","NO")</f>
        <v>NO</v>
      </c>
      <c r="F78" s="27" t="n">
        <f aca="false">IFERROR(ROUND(($G78+($H78-$G78)*'Info Strategia'!$B$6)*(1+IF($E78="SI",'Parametri Modello'!$B$7*'Info Strategia'!$B$6,0)),0),"")</f>
        <v>23</v>
      </c>
      <c r="G78" s="27" t="n">
        <f aca="false">IFERROR(ROUND((IF(OR(INDEX('Parametri Modello'!$C$39:$C$42,MATCH($B78,'Parametri Modello'!$A$39:$A$42,0))="",INDEX('Parametri Modello'!$C$39:$C$42,MATCH($B78,'Parametri Modello'!$A$39:$A$42,0))=0),0,($O78/INDEX('Parametri Modello'!$C$39:$C$42,MATCH($B78,'Parametri Modello'!$A$39:$A$42,0)))*(INDEX('Parametri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16</v>
      </c>
      <c r="H78" s="27" t="n">
        <f aca="false">IFERROR(ROUND((IF(OR(INDEX('Parametri Modello'!$C$39:$C$42,MATCH($B78,'Parametri Modello'!$A$39:$A$42,0))="",INDEX('Parametri Modello'!$C$39:$C$42,MATCH($B78,'Parametri Modello'!$A$39:$A$42,0))=0),0,($O78/INDEX('Parametri Modello'!$C$39:$C$42,MATCH($B78,'Parametri Modello'!$A$39:$A$42,0)))*(INDEX('Parametri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26</v>
      </c>
      <c r="I78" s="26" t="n">
        <f aca="false">IFERROR(INDEX('Input Statistiche 2025_26'!$F$3:$F$665,MATCH($A78,'Input Statistiche 2025_26'!$A$3:$A$665,0)),"")</f>
        <v>30</v>
      </c>
      <c r="J78" s="26" t="n">
        <f aca="false">IFERROR(IF($I78="","",MAX(0,38-$I78)),"")</f>
        <v>8</v>
      </c>
      <c r="K78" s="26" t="n">
        <f aca="false">IFERROR(INDEX('Input Statistiche 2025_26'!$I$3:$I$665,MATCH($A78,'Input Statistiche 2025_26'!$A$3:$A$665,0)),"")</f>
        <v>6</v>
      </c>
      <c r="L78" s="26" t="n">
        <f aca="false">IFERROR(INDEX('Input Statistiche 2025_26'!$O$3:$O$665,MATCH($A78,'Input Statistiche 2025_26'!$A$3:$A$665,0)),"")</f>
        <v>2</v>
      </c>
      <c r="M78" s="28"/>
      <c r="N78" s="27" t="n">
        <f aca="false">IFERROR(INDEX('Input Giocatori 2026_27'!$E$3:$E$493,MATCH($A78,'Input Giocatori 2026_27'!$A$3:$A$493,0)),"")</f>
        <v>10</v>
      </c>
      <c r="O78" s="27" t="n">
        <f aca="false">IFERROR(INDEX('Input Giocatori 2026_27'!$G$3:$G$493,MATCH($A78,'Input Giocatori 2026_27'!$A$3:$A$493,0)),"")</f>
        <v>41</v>
      </c>
      <c r="P78" s="26" t="str">
        <f aca="false">IFERROR(IF($O78="","",IF((1-(COUNTIFS($B$2:$B$492,$B78,$O$2:$O$492,"&gt;"&amp;$O78)+1-1)/COUNTIF($B$2:$B$492,$B78))&gt;=0.85,"Top",IF((1-(COUNTIFS($B$2:$B$492,$B78,$O$2:$O$492,"&gt;"&amp;$O78)+1-1)/COUNTIF($B$2:$B$492,$B78))&gt;=0.6,"Buono",IF((1-(COUNTIFS($B$2:$B$492,$B78,$O$2:$O$492,"&gt;"&amp;$O78)+1-1)/COUNTIF($B$2:$B$492,$B78))&gt;=0.3,"Nella Media","Scommessa/Riserva")))),"")</f>
        <v>Buono</v>
      </c>
      <c r="Q78" s="29" t="n">
        <f aca="false">IF($D78="",COUNTIF($D$2:$D78,""),"")</f>
        <v>77</v>
      </c>
      <c r="R78" s="29" t="str">
        <f aca="false">IF($D78='Info Lega'!$B$28,COUNTIFS($D$2:$D78,'Info Lega'!$B$28),"")</f>
        <v/>
      </c>
      <c r="S78" s="30" t="n">
        <f aca="false">IFERROR(INDEX('Input Statistiche 2025_26'!$G$3:$G$665,MATCH($A78,'Input Statistiche 2025_26'!$A$3:$A$665,0)),"")</f>
        <v>6.25</v>
      </c>
      <c r="T78" s="30" t="n">
        <f aca="false">IFERROR(INDEX('Input Statistiche 2025_26'!$H$3:$H$665,MATCH($A78,'Input Statistiche 2025_26'!$A$3:$A$665,0)),"")</f>
        <v>6.8</v>
      </c>
      <c r="U78" s="26" t="str">
        <f aca="false">IF(OR('La Mia Rosa'!$O$12="",$D78&lt;&gt;""),"",IF($F78&lt;='La Mia Rosa'!$O$12*'Parametri Modello'!$B$24,"OK",IF($F78&lt;='La Mia Rosa'!$O$12*'Parametri Modello'!$B$25,"Attenzione","Rischio Alto")))</f>
        <v>OK</v>
      </c>
      <c r="V78" s="26" t="n">
        <f aca="false">IFERROR(COUNTIFS($B$2:$B$492,$B78,$O$2:$O$492,"&gt;"&amp;$O78)+1,"")</f>
        <v>27</v>
      </c>
      <c r="W78" s="21" t="n">
        <f aca="false">'Info Lega'!$B$4-SUMIFS($M$2:$M$492,$D$2:$D$492,'Info Lega'!$B$28)</f>
        <v>1000</v>
      </c>
      <c r="X78" s="21" t="n">
        <f aca="false">('Info Lega'!$B$5-COUNTIFS($D$2:$D$492,'Info Lega'!$B$28,$B$2:$B$492,"P"))+('Info Lega'!$B$6-COUNTIFS($D$2:$D$492,'Info Lega'!$B$28,$B$2:$B$492,"D"))+('Info Lega'!$B$7-COUNTIFS($D$2:$D$492,'Info Lega'!$B$28,$B$2:$B$492,"C"))+('Info Lega'!$B$8-COUNTIFS($D$2:$D$492,'Info Lega'!$B$28,$B$2:$B$492,"A"))</f>
        <v>25</v>
      </c>
      <c r="Y78" s="21" t="n">
        <f aca="false">X78*'Parametri Modello'!$B$30</f>
        <v>25</v>
      </c>
      <c r="Z78" s="21" t="n">
        <f aca="false">MAX(0,W78-Y78)</f>
        <v>975</v>
      </c>
      <c r="AA78" s="21" t="n">
        <f aca="false">MIN(F78,Z78)</f>
        <v>23</v>
      </c>
      <c r="AB78" s="21"/>
      <c r="AC78" s="21" t="str">
        <f aca="false">IF(AB78="","",IF(AB78&gt;AA78,"PASS",IF(AB78&lt;=AA78*0.85,"BID","ATTENZIONE")))</f>
        <v/>
      </c>
      <c r="AD78" s="31" t="n">
        <f aca="false">IF(I78="","",ROUND(100*(1-EXP(-I78/30)),0))</f>
        <v>63</v>
      </c>
      <c r="AE78" s="7" t="str">
        <f aca="false">IFERROR(INDEX('Stato Asta'!$G$9:$G$12,MATCH($B78,'Stato Asta'!$A$9:$A$12,0)),"")</f>
        <v>🟡 Attesa rischiosa</v>
      </c>
    </row>
    <row r="79" customFormat="false" ht="14.25" hidden="false" customHeight="true" outlineLevel="0" collapsed="false">
      <c r="A79" s="21" t="n">
        <v>5562</v>
      </c>
      <c r="B79" s="21" t="s">
        <v>45</v>
      </c>
      <c r="C79" s="21" t="s">
        <v>394</v>
      </c>
      <c r="E79" s="26" t="str">
        <f aca="false">IF(COUNTIF('Info Strategia'!$D$2:$D$51,$C79)&gt;0,"SI","NO")</f>
        <v>NO</v>
      </c>
      <c r="F79" s="27" t="n">
        <f aca="false">IFERROR(ROUND(($G79+($H79-$G79)*'Info Strategia'!$B$6)*(1+IF($E79="SI",'Parametri Modello'!$B$7*'Info Strategia'!$B$6,0)),0),"")</f>
        <v>23</v>
      </c>
      <c r="G79" s="27" t="n">
        <f aca="false">IFERROR(ROUND((IF(OR(INDEX('Parametri Modello'!$C$39:$C$42,MATCH($B79,'Parametri Modello'!$A$39:$A$42,0))="",INDEX('Parametri Modello'!$C$39:$C$42,MATCH($B79,'Parametri Modello'!$A$39:$A$42,0))=0),0,($O79/INDEX('Parametri Modello'!$C$39:$C$42,MATCH($B79,'Parametri Modello'!$A$39:$A$42,0)))*(INDEX('Parametri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15</v>
      </c>
      <c r="H79" s="27" t="n">
        <f aca="false">IFERROR(ROUND((IF(OR(INDEX('Parametri Modello'!$C$39:$C$42,MATCH($B79,'Parametri Modello'!$A$39:$A$42,0))="",INDEX('Parametri Modello'!$C$39:$C$42,MATCH($B79,'Parametri Modello'!$A$39:$A$42,0))=0),0,($O79/INDEX('Parametri Modello'!$C$39:$C$42,MATCH($B79,'Parametri Modello'!$A$39:$A$42,0)))*(INDEX('Parametri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26</v>
      </c>
      <c r="I79" s="26" t="n">
        <f aca="false">IFERROR(INDEX('Input Statistiche 2025_26'!$F$3:$F$665,MATCH($A79,'Input Statistiche 2025_26'!$A$3:$A$665,0)),"")</f>
        <v>34</v>
      </c>
      <c r="J79" s="26" t="n">
        <f aca="false">IFERROR(IF($I79="","",MAX(0,38-$I79)),"")</f>
        <v>4</v>
      </c>
      <c r="K79" s="26" t="n">
        <f aca="false">IFERROR(INDEX('Input Statistiche 2025_26'!$I$3:$I$665,MATCH($A79,'Input Statistiche 2025_26'!$A$3:$A$665,0)),"")</f>
        <v>3</v>
      </c>
      <c r="L79" s="26" t="n">
        <f aca="false">IFERROR(INDEX('Input Statistiche 2025_26'!$O$3:$O$665,MATCH($A79,'Input Statistiche 2025_26'!$A$3:$A$665,0)),"")</f>
        <v>2</v>
      </c>
      <c r="M79" s="28"/>
      <c r="N79" s="27" t="n">
        <f aca="false">IFERROR(INDEX('Input Giocatori 2026_27'!$E$3:$E$493,MATCH($A79,'Input Giocatori 2026_27'!$A$3:$A$493,0)),"")</f>
        <v>10</v>
      </c>
      <c r="O79" s="27" t="n">
        <f aca="false">IFERROR(INDEX('Input Giocatori 2026_27'!$G$3:$G$493,MATCH($A79,'Input Giocatori 2026_27'!$A$3:$A$493,0)),"")</f>
        <v>41</v>
      </c>
      <c r="P79" s="26" t="str">
        <f aca="false">IFERROR(IF($O79="","",IF((1-(COUNTIFS($B$2:$B$492,$B79,$O$2:$O$492,"&gt;"&amp;$O79)+1-1)/COUNTIF($B$2:$B$492,$B79))&gt;=0.85,"Top",IF((1-(COUNTIFS($B$2:$B$492,$B79,$O$2:$O$492,"&gt;"&amp;$O79)+1-1)/COUNTIF($B$2:$B$492,$B79))&gt;=0.6,"Buono",IF((1-(COUNTIFS($B$2:$B$492,$B79,$O$2:$O$492,"&gt;"&amp;$O79)+1-1)/COUNTIF($B$2:$B$492,$B79))&gt;=0.3,"Nella Media","Scommessa/Riserva")))),"")</f>
        <v>Buono</v>
      </c>
      <c r="Q79" s="29" t="n">
        <f aca="false">IF($D79="",COUNTIF($D$2:$D79,""),"")</f>
        <v>78</v>
      </c>
      <c r="R79" s="29" t="str">
        <f aca="false">IF($D79='Info Lega'!$B$28,COUNTIFS($D$2:$D79,'Info Lega'!$B$28),"")</f>
        <v/>
      </c>
      <c r="S79" s="30" t="n">
        <f aca="false">IFERROR(INDEX('Input Statistiche 2025_26'!$G$3:$G$665,MATCH($A79,'Input Statistiche 2025_26'!$A$3:$A$665,0)),"")</f>
        <v>6.1</v>
      </c>
      <c r="T79" s="30" t="n">
        <f aca="false">IFERROR(INDEX('Input Statistiche 2025_26'!$H$3:$H$665,MATCH($A79,'Input Statistiche 2025_26'!$A$3:$A$665,0)),"")</f>
        <v>6.4</v>
      </c>
      <c r="U79" s="26" t="str">
        <f aca="false">IF(OR('La Mia Rosa'!$O$12="",$D79&lt;&gt;""),"",IF($F79&lt;='La Mia Rosa'!$O$12*'Parametri Modello'!$B$24,"OK",IF($F79&lt;='La Mia Rosa'!$O$12*'Parametri Modello'!$B$25,"Attenzione","Rischio Alto")))</f>
        <v>OK</v>
      </c>
      <c r="V79" s="26" t="n">
        <f aca="false">IFERROR(COUNTIFS($B$2:$B$492,$B79,$O$2:$O$492,"&gt;"&amp;$O79)+1,"")</f>
        <v>27</v>
      </c>
      <c r="W79" s="21" t="n">
        <f aca="false">'Info Lega'!$B$4-SUMIFS($M$2:$M$492,$D$2:$D$492,'Info Lega'!$B$28)</f>
        <v>1000</v>
      </c>
      <c r="X79" s="21" t="n">
        <f aca="false">('Info Lega'!$B$5-COUNTIFS($D$2:$D$492,'Info Lega'!$B$28,$B$2:$B$492,"P"))+('Info Lega'!$B$6-COUNTIFS($D$2:$D$492,'Info Lega'!$B$28,$B$2:$B$492,"D"))+('Info Lega'!$B$7-COUNTIFS($D$2:$D$492,'Info Lega'!$B$28,$B$2:$B$492,"C"))+('Info Lega'!$B$8-COUNTIFS($D$2:$D$492,'Info Lega'!$B$28,$B$2:$B$492,"A"))</f>
        <v>25</v>
      </c>
      <c r="Y79" s="21" t="n">
        <f aca="false">X79*'Parametri Modello'!$B$30</f>
        <v>25</v>
      </c>
      <c r="Z79" s="21" t="n">
        <f aca="false">MAX(0,W79-Y79)</f>
        <v>975</v>
      </c>
      <c r="AA79" s="21" t="n">
        <f aca="false">MIN(F79,Z79)</f>
        <v>23</v>
      </c>
      <c r="AB79" s="21"/>
      <c r="AC79" s="21" t="str">
        <f aca="false">IF(AB79="","",IF(AB79&gt;AA79,"PASS",IF(AB79&lt;=AA79*0.85,"BID","ATTENZIONE")))</f>
        <v/>
      </c>
      <c r="AD79" s="31" t="n">
        <f aca="false">IF(I79="","",ROUND(100*(1-EXP(-I79/30)),0))</f>
        <v>68</v>
      </c>
      <c r="AE79" s="7" t="str">
        <f aca="false">IFERROR(INDEX('Stato Asta'!$G$9:$G$12,MATCH($B79,'Stato Asta'!$A$9:$A$12,0)),"")</f>
        <v>🟡 Attesa rischiosa</v>
      </c>
    </row>
    <row r="80" customFormat="false" ht="14.25" hidden="false" customHeight="true" outlineLevel="0" collapsed="false">
      <c r="A80" s="21" t="n">
        <v>5844</v>
      </c>
      <c r="B80" s="21" t="s">
        <v>45</v>
      </c>
      <c r="C80" s="21" t="s">
        <v>398</v>
      </c>
      <c r="E80" s="26" t="str">
        <f aca="false">IF(COUNTIF('Info Strategia'!$D$2:$D$51,$C80)&gt;0,"SI","NO")</f>
        <v>NO</v>
      </c>
      <c r="F80" s="27" t="n">
        <f aca="false">IFERROR(ROUND(($G80+($H80-$G80)*'Info Strategia'!$B$6)*(1+IF($E80="SI",'Parametri Modello'!$B$7*'Info Strategia'!$B$6,0)),0),"")</f>
        <v>23</v>
      </c>
      <c r="G80" s="27" t="n">
        <f aca="false">IFERROR(ROUND((IF(OR(INDEX('Parametri Modello'!$C$39:$C$42,MATCH($B80,'Parametri Modello'!$A$39:$A$42,0))="",INDEX('Parametri Modello'!$C$39:$C$42,MATCH($B80,'Parametri Modello'!$A$39:$A$42,0))=0),0,($O80/INDEX('Parametri Modello'!$C$39:$C$42,MATCH($B80,'Parametri Modello'!$A$39:$A$42,0)))*(INDEX('Parametri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15</v>
      </c>
      <c r="H80" s="27" t="n">
        <f aca="false">IFERROR(ROUND((IF(OR(INDEX('Parametri Modello'!$C$39:$C$42,MATCH($B80,'Parametri Modello'!$A$39:$A$42,0))="",INDEX('Parametri Modello'!$C$39:$C$42,MATCH($B80,'Parametri Modello'!$A$39:$A$42,0))=0),0,($O80/INDEX('Parametri Modello'!$C$39:$C$42,MATCH($B80,'Parametri Modello'!$A$39:$A$42,0)))*(INDEX('Parametri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26</v>
      </c>
      <c r="I80" s="26" t="n">
        <f aca="false">IFERROR(INDEX('Input Statistiche 2025_26'!$F$3:$F$665,MATCH($A80,'Input Statistiche 2025_26'!$A$3:$A$665,0)),"")</f>
        <v>31</v>
      </c>
      <c r="J80" s="26" t="n">
        <f aca="false">IFERROR(IF($I80="","",MAX(0,38-$I80)),"")</f>
        <v>7</v>
      </c>
      <c r="K80" s="26" t="n">
        <f aca="false">IFERROR(INDEX('Input Statistiche 2025_26'!$I$3:$I$665,MATCH($A80,'Input Statistiche 2025_26'!$A$3:$A$665,0)),"")</f>
        <v>4</v>
      </c>
      <c r="L80" s="26" t="n">
        <f aca="false">IFERROR(INDEX('Input Statistiche 2025_26'!$O$3:$O$665,MATCH($A80,'Input Statistiche 2025_26'!$A$3:$A$665,0)),"")</f>
        <v>3</v>
      </c>
      <c r="M80" s="28"/>
      <c r="N80" s="27" t="n">
        <f aca="false">IFERROR(INDEX('Input Giocatori 2026_27'!$E$3:$E$493,MATCH($A80,'Input Giocatori 2026_27'!$A$3:$A$493,0)),"")</f>
        <v>10</v>
      </c>
      <c r="O80" s="27" t="n">
        <f aca="false">IFERROR(INDEX('Input Giocatori 2026_27'!$G$3:$G$493,MATCH($A80,'Input Giocatori 2026_27'!$A$3:$A$493,0)),"")</f>
        <v>41</v>
      </c>
      <c r="P80" s="26" t="str">
        <f aca="false">IFERROR(IF($O80="","",IF((1-(COUNTIFS($B$2:$B$492,$B80,$O$2:$O$492,"&gt;"&amp;$O80)+1-1)/COUNTIF($B$2:$B$492,$B80))&gt;=0.85,"Top",IF((1-(COUNTIFS($B$2:$B$492,$B80,$O$2:$O$492,"&gt;"&amp;$O80)+1-1)/COUNTIF($B$2:$B$492,$B80))&gt;=0.6,"Buono",IF((1-(COUNTIFS($B$2:$B$492,$B80,$O$2:$O$492,"&gt;"&amp;$O80)+1-1)/COUNTIF($B$2:$B$492,$B80))&gt;=0.3,"Nella Media","Scommessa/Riserva")))),"")</f>
        <v>Buono</v>
      </c>
      <c r="Q80" s="29" t="n">
        <f aca="false">IF($D80="",COUNTIF($D$2:$D80,""),"")</f>
        <v>79</v>
      </c>
      <c r="R80" s="29" t="str">
        <f aca="false">IF($D80='Info Lega'!$B$28,COUNTIFS($D$2:$D80,'Info Lega'!$B$28),"")</f>
        <v/>
      </c>
      <c r="S80" s="30" t="n">
        <f aca="false">IFERROR(INDEX('Input Statistiche 2025_26'!$G$3:$G$665,MATCH($A80,'Input Statistiche 2025_26'!$A$3:$A$665,0)),"")</f>
        <v>6.15</v>
      </c>
      <c r="T80" s="30" t="n">
        <f aca="false">IFERROR(INDEX('Input Statistiche 2025_26'!$H$3:$H$665,MATCH($A80,'Input Statistiche 2025_26'!$A$3:$A$665,0)),"")</f>
        <v>6.48</v>
      </c>
      <c r="U80" s="26" t="str">
        <f aca="false">IF(OR('La Mia Rosa'!$O$12="",$D80&lt;&gt;""),"",IF($F80&lt;='La Mia Rosa'!$O$12*'Parametri Modello'!$B$24,"OK",IF($F80&lt;='La Mia Rosa'!$O$12*'Parametri Modello'!$B$25,"Attenzione","Rischio Alto")))</f>
        <v>OK</v>
      </c>
      <c r="V80" s="26" t="n">
        <f aca="false">IFERROR(COUNTIFS($B$2:$B$492,$B80,$O$2:$O$492,"&gt;"&amp;$O80)+1,"")</f>
        <v>27</v>
      </c>
      <c r="W80" s="21" t="n">
        <f aca="false">'Info Lega'!$B$4-SUMIFS($M$2:$M$492,$D$2:$D$492,'Info Lega'!$B$28)</f>
        <v>1000</v>
      </c>
      <c r="X80" s="21" t="n">
        <f aca="false">('Info Lega'!$B$5-COUNTIFS($D$2:$D$492,'Info Lega'!$B$28,$B$2:$B$492,"P"))+('Info Lega'!$B$6-COUNTIFS($D$2:$D$492,'Info Lega'!$B$28,$B$2:$B$492,"D"))+('Info Lega'!$B$7-COUNTIFS($D$2:$D$492,'Info Lega'!$B$28,$B$2:$B$492,"C"))+('Info Lega'!$B$8-COUNTIFS($D$2:$D$492,'Info Lega'!$B$28,$B$2:$B$492,"A"))</f>
        <v>25</v>
      </c>
      <c r="Y80" s="21" t="n">
        <f aca="false">X80*'Parametri Modello'!$B$30</f>
        <v>25</v>
      </c>
      <c r="Z80" s="21" t="n">
        <f aca="false">MAX(0,W80-Y80)</f>
        <v>975</v>
      </c>
      <c r="AA80" s="21" t="n">
        <f aca="false">MIN(F80,Z80)</f>
        <v>23</v>
      </c>
      <c r="AB80" s="21"/>
      <c r="AC80" s="21" t="str">
        <f aca="false">IF(AB80="","",IF(AB80&gt;AA80,"PASS",IF(AB80&lt;=AA80*0.85,"BID","ATTENZIONE")))</f>
        <v/>
      </c>
      <c r="AD80" s="31" t="n">
        <f aca="false">IF(I80="","",ROUND(100*(1-EXP(-I80/30)),0))</f>
        <v>64</v>
      </c>
      <c r="AE80" s="7" t="str">
        <f aca="false">IFERROR(INDEX('Stato Asta'!$G$9:$G$12,MATCH($B80,'Stato Asta'!$A$9:$A$12,0)),"")</f>
        <v>🟡 Attesa rischiosa</v>
      </c>
    </row>
    <row r="81" customFormat="false" ht="14.25" hidden="false" customHeight="true" outlineLevel="0" collapsed="false">
      <c r="A81" s="21" t="n">
        <v>6684</v>
      </c>
      <c r="B81" s="21" t="s">
        <v>45</v>
      </c>
      <c r="C81" s="21" t="s">
        <v>400</v>
      </c>
      <c r="E81" s="26" t="str">
        <f aca="false">IF(COUNTIF('Info Strategia'!$D$2:$D$51,$C81)&gt;0,"SI","NO")</f>
        <v>NO</v>
      </c>
      <c r="F81" s="27" t="n">
        <f aca="false">IFERROR(ROUND(($G81+($H81-$G81)*'Info Strategia'!$B$6)*(1+IF($E81="SI",'Parametri Modello'!$B$7*'Info Strategia'!$B$6,0)),0),"")</f>
        <v>23</v>
      </c>
      <c r="G81" s="27" t="n">
        <f aca="false">IFERROR(ROUND((IF(OR(INDEX('Parametri Modello'!$C$39:$C$42,MATCH($B81,'Parametri Modello'!$A$39:$A$42,0))="",INDEX('Parametri Modello'!$C$39:$C$42,MATCH($B81,'Parametri Modello'!$A$39:$A$42,0))=0),0,($O81/INDEX('Parametri Modello'!$C$39:$C$42,MATCH($B81,'Parametri Modello'!$A$39:$A$42,0)))*(INDEX('Parametri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15</v>
      </c>
      <c r="H81" s="27" t="n">
        <f aca="false">IFERROR(ROUND((IF(OR(INDEX('Parametri Modello'!$C$39:$C$42,MATCH($B81,'Parametri Modello'!$A$39:$A$42,0))="",INDEX('Parametri Modello'!$C$39:$C$42,MATCH($B81,'Parametri Modello'!$A$39:$A$42,0))=0),0,($O81/INDEX('Parametri Modello'!$C$39:$C$42,MATCH($B81,'Parametri Modello'!$A$39:$A$42,0)))*(INDEX('Parametri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26</v>
      </c>
      <c r="I81" s="26" t="n">
        <f aca="false">IFERROR(INDEX('Input Statistiche 2025_26'!$F$3:$F$665,MATCH($A81,'Input Statistiche 2025_26'!$A$3:$A$665,0)),"")</f>
        <v>31</v>
      </c>
      <c r="J81" s="26" t="n">
        <f aca="false">IFERROR(IF($I81="","",MAX(0,38-$I81)),"")</f>
        <v>7</v>
      </c>
      <c r="K81" s="26" t="n">
        <f aca="false">IFERROR(INDEX('Input Statistiche 2025_26'!$I$3:$I$665,MATCH($A81,'Input Statistiche 2025_26'!$A$3:$A$665,0)),"")</f>
        <v>5</v>
      </c>
      <c r="L81" s="26" t="n">
        <f aca="false">IFERROR(INDEX('Input Statistiche 2025_26'!$O$3:$O$665,MATCH($A81,'Input Statistiche 2025_26'!$A$3:$A$665,0)),"")</f>
        <v>3</v>
      </c>
      <c r="M81" s="28"/>
      <c r="N81" s="27" t="n">
        <f aca="false">IFERROR(INDEX('Input Giocatori 2026_27'!$E$3:$E$493,MATCH($A81,'Input Giocatori 2026_27'!$A$3:$A$493,0)),"")</f>
        <v>10</v>
      </c>
      <c r="O81" s="27" t="n">
        <f aca="false">IFERROR(INDEX('Input Giocatori 2026_27'!$G$3:$G$493,MATCH($A81,'Input Giocatori 2026_27'!$A$3:$A$493,0)),"")</f>
        <v>41</v>
      </c>
      <c r="P81" s="26" t="str">
        <f aca="false">IFERROR(IF($O81="","",IF((1-(COUNTIFS($B$2:$B$492,$B81,$O$2:$O$492,"&gt;"&amp;$O81)+1-1)/COUNTIF($B$2:$B$492,$B81))&gt;=0.85,"Top",IF((1-(COUNTIFS($B$2:$B$492,$B81,$O$2:$O$492,"&gt;"&amp;$O81)+1-1)/COUNTIF($B$2:$B$492,$B81))&gt;=0.6,"Buono",IF((1-(COUNTIFS($B$2:$B$492,$B81,$O$2:$O$492,"&gt;"&amp;$O81)+1-1)/COUNTIF($B$2:$B$492,$B81))&gt;=0.3,"Nella Media","Scommessa/Riserva")))),"")</f>
        <v>Buono</v>
      </c>
      <c r="Q81" s="29" t="n">
        <f aca="false">IF($D81="",COUNTIF($D$2:$D81,""),"")</f>
        <v>80</v>
      </c>
      <c r="R81" s="29" t="str">
        <f aca="false">IF($D81='Info Lega'!$B$28,COUNTIFS($D$2:$D81,'Info Lega'!$B$28),"")</f>
        <v/>
      </c>
      <c r="S81" s="30" t="n">
        <f aca="false">IFERROR(INDEX('Input Statistiche 2025_26'!$G$3:$G$665,MATCH($A81,'Input Statistiche 2025_26'!$A$3:$A$665,0)),"")</f>
        <v>6.05</v>
      </c>
      <c r="T81" s="30" t="n">
        <f aca="false">IFERROR(INDEX('Input Statistiche 2025_26'!$H$3:$H$665,MATCH($A81,'Input Statistiche 2025_26'!$A$3:$A$665,0)),"")</f>
        <v>6.61</v>
      </c>
      <c r="U81" s="26" t="str">
        <f aca="false">IF(OR('La Mia Rosa'!$O$12="",$D81&lt;&gt;""),"",IF($F81&lt;='La Mia Rosa'!$O$12*'Parametri Modello'!$B$24,"OK",IF($F81&lt;='La Mia Rosa'!$O$12*'Parametri Modello'!$B$25,"Attenzione","Rischio Alto")))</f>
        <v>OK</v>
      </c>
      <c r="V81" s="26" t="n">
        <f aca="false">IFERROR(COUNTIFS($B$2:$B$492,$B81,$O$2:$O$492,"&gt;"&amp;$O81)+1,"")</f>
        <v>27</v>
      </c>
      <c r="W81" s="21" t="n">
        <f aca="false">'Info Lega'!$B$4-SUMIFS($M$2:$M$492,$D$2:$D$492,'Info Lega'!$B$28)</f>
        <v>1000</v>
      </c>
      <c r="X81" s="21" t="n">
        <f aca="false">('Info Lega'!$B$5-COUNTIFS($D$2:$D$492,'Info Lega'!$B$28,$B$2:$B$492,"P"))+('Info Lega'!$B$6-COUNTIFS($D$2:$D$492,'Info Lega'!$B$28,$B$2:$B$492,"D"))+('Info Lega'!$B$7-COUNTIFS($D$2:$D$492,'Info Lega'!$B$28,$B$2:$B$492,"C"))+('Info Lega'!$B$8-COUNTIFS($D$2:$D$492,'Info Lega'!$B$28,$B$2:$B$492,"A"))</f>
        <v>25</v>
      </c>
      <c r="Y81" s="21" t="n">
        <f aca="false">X81*'Parametri Modello'!$B$30</f>
        <v>25</v>
      </c>
      <c r="Z81" s="21" t="n">
        <f aca="false">MAX(0,W81-Y81)</f>
        <v>975</v>
      </c>
      <c r="AA81" s="21" t="n">
        <f aca="false">MIN(F81,Z81)</f>
        <v>23</v>
      </c>
      <c r="AB81" s="21"/>
      <c r="AC81" s="21" t="str">
        <f aca="false">IF(AB81="","",IF(AB81&gt;AA81,"PASS",IF(AB81&lt;=AA81*0.85,"BID","ATTENZIONE")))</f>
        <v/>
      </c>
      <c r="AD81" s="31" t="n">
        <f aca="false">IF(I81="","",ROUND(100*(1-EXP(-I81/30)),0))</f>
        <v>64</v>
      </c>
      <c r="AE81" s="7" t="str">
        <f aca="false">IFERROR(INDEX('Stato Asta'!$G$9:$G$12,MATCH($B81,'Stato Asta'!$A$9:$A$12,0)),"")</f>
        <v>🟡 Attesa rischiosa</v>
      </c>
    </row>
    <row r="82" customFormat="false" ht="14.25" hidden="false" customHeight="true" outlineLevel="0" collapsed="false">
      <c r="A82" s="21" t="n">
        <v>5876</v>
      </c>
      <c r="B82" s="21" t="s">
        <v>43</v>
      </c>
      <c r="C82" s="21" t="s">
        <v>130</v>
      </c>
      <c r="E82" s="26" t="str">
        <f aca="false">IF(COUNTIF('Info Strategia'!$D$2:$D$51,$C82)&gt;0,"SI","NO")</f>
        <v>NO</v>
      </c>
      <c r="F82" s="27" t="n">
        <f aca="false">IFERROR(ROUND(($G82+($H82-$G82)*'Info Strategia'!$B$6)*(1+IF($E82="SI",'Parametri Modello'!$B$7*'Info Strategia'!$B$6,0)),0),"")</f>
        <v>46</v>
      </c>
      <c r="G82" s="27" t="n">
        <f aca="false">IFERROR(ROUND((IF(OR(INDEX('Parametri Modello'!$C$39:$C$42,MATCH($B82,'Parametri Modello'!$A$39:$A$42,0))="",INDEX('Parametri Modello'!$C$39:$C$42,MATCH($B82,'Parametri Modello'!$A$39:$A$42,0))=0),0,($O82/INDEX('Parametri Modello'!$C$39:$C$42,MATCH($B82,'Parametri Modello'!$A$39:$A$42,0)))*(INDEX('Parametri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37</v>
      </c>
      <c r="H82" s="27" t="n">
        <f aca="false">IFERROR(ROUND((IF(OR(INDEX('Parametri Modello'!$C$39:$C$42,MATCH($B82,'Parametri Modello'!$A$39:$A$42,0))="",INDEX('Parametri Modello'!$C$39:$C$42,MATCH($B82,'Parametri Modello'!$A$39:$A$42,0))=0),0,($O82/INDEX('Parametri Modello'!$C$39:$C$42,MATCH($B82,'Parametri Modello'!$A$39:$A$42,0)))*(INDEX('Parametri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50</v>
      </c>
      <c r="I82" s="26" t="n">
        <f aca="false">IFERROR(INDEX('Input Statistiche 2025_26'!$F$3:$F$665,MATCH($A82,'Input Statistiche 2025_26'!$A$3:$A$665,0)),"")</f>
        <v>30</v>
      </c>
      <c r="J82" s="26" t="n">
        <f aca="false">IFERROR(IF($I82="","",MAX(0,38-$I82)),"")</f>
        <v>8</v>
      </c>
      <c r="K82" s="26" t="n">
        <f aca="false">IFERROR(INDEX('Input Statistiche 2025_26'!$I$3:$I$665,MATCH($A82,'Input Statistiche 2025_26'!$A$3:$A$665,0)),"")</f>
        <v>0</v>
      </c>
      <c r="L82" s="26" t="n">
        <f aca="false">IFERROR(INDEX('Input Statistiche 2025_26'!$O$3:$O$665,MATCH($A82,'Input Statistiche 2025_26'!$A$3:$A$665,0)),"")</f>
        <v>0</v>
      </c>
      <c r="M82" s="28"/>
      <c r="N82" s="27" t="n">
        <f aca="false">IFERROR(INDEX('Input Giocatori 2026_27'!$E$3:$E$493,MATCH($A82,'Input Giocatori 2026_27'!$A$3:$A$493,0)),"")</f>
        <v>9</v>
      </c>
      <c r="O82" s="27" t="n">
        <f aca="false">IFERROR(INDEX('Input Giocatori 2026_27'!$G$3:$G$493,MATCH($A82,'Input Giocatori 2026_27'!$A$3:$A$493,0)),"")</f>
        <v>40</v>
      </c>
      <c r="P82" s="26" t="str">
        <f aca="false">IFERROR(IF($O82="","",IF((1-(COUNTIFS($B$2:$B$492,$B82,$O$2:$O$492,"&gt;"&amp;$O82)+1-1)/COUNTIF($B$2:$B$492,$B82))&gt;=0.85,"Top",IF((1-(COUNTIFS($B$2:$B$492,$B82,$O$2:$O$492,"&gt;"&amp;$O82)+1-1)/COUNTIF($B$2:$B$492,$B82))&gt;=0.6,"Buono",IF((1-(COUNTIFS($B$2:$B$492,$B82,$O$2:$O$492,"&gt;"&amp;$O82)+1-1)/COUNTIF($B$2:$B$492,$B82))&gt;=0.3,"Nella Media","Scommessa/Riserva")))),"")</f>
        <v>Top</v>
      </c>
      <c r="Q82" s="29" t="n">
        <f aca="false">IF($D82="",COUNTIF($D$2:$D82,""),"")</f>
        <v>81</v>
      </c>
      <c r="R82" s="29" t="str">
        <f aca="false">IF($D82='Info Lega'!$B$28,COUNTIFS($D$2:$D82,'Info Lega'!$B$28),"")</f>
        <v/>
      </c>
      <c r="S82" s="30" t="n">
        <f aca="false">IFERROR(INDEX('Input Statistiche 2025_26'!$G$3:$G$665,MATCH($A82,'Input Statistiche 2025_26'!$A$3:$A$665,0)),"")</f>
        <v>6.08</v>
      </c>
      <c r="T82" s="30" t="n">
        <f aca="false">IFERROR(INDEX('Input Statistiche 2025_26'!$H$3:$H$665,MATCH($A82,'Input Statistiche 2025_26'!$A$3:$A$665,0)),"")</f>
        <v>5.33</v>
      </c>
      <c r="U82" s="26" t="str">
        <f aca="false">IF(OR('La Mia Rosa'!$O$12="",$D82&lt;&gt;""),"",IF($F82&lt;='La Mia Rosa'!$O$12*'Parametri Modello'!$B$24,"OK",IF($F82&lt;='La Mia Rosa'!$O$12*'Parametri Modello'!$B$25,"Attenzione","Rischio Alto")))</f>
        <v>OK</v>
      </c>
      <c r="V82" s="26" t="n">
        <f aca="false">IFERROR(COUNTIFS($B$2:$B$492,$B82,$O$2:$O$492,"&gt;"&amp;$O82)+1,"")</f>
        <v>8</v>
      </c>
      <c r="W82" s="21" t="n">
        <f aca="false">'Info Lega'!$B$4-SUMIFS($M$2:$M$492,$D$2:$D$492,'Info Lega'!$B$28)</f>
        <v>1000</v>
      </c>
      <c r="X82" s="21" t="n">
        <f aca="false">('Info Lega'!$B$5-COUNTIFS($D$2:$D$492,'Info Lega'!$B$28,$B$2:$B$492,"P"))+('Info Lega'!$B$6-COUNTIFS($D$2:$D$492,'Info Lega'!$B$28,$B$2:$B$492,"D"))+('Info Lega'!$B$7-COUNTIFS($D$2:$D$492,'Info Lega'!$B$28,$B$2:$B$492,"C"))+('Info Lega'!$B$8-COUNTIFS($D$2:$D$492,'Info Lega'!$B$28,$B$2:$B$492,"A"))</f>
        <v>25</v>
      </c>
      <c r="Y82" s="21" t="n">
        <f aca="false">X82*'Parametri Modello'!$B$30</f>
        <v>25</v>
      </c>
      <c r="Z82" s="21" t="n">
        <f aca="false">MAX(0,W82-Y82)</f>
        <v>975</v>
      </c>
      <c r="AA82" s="21" t="n">
        <f aca="false">MIN(F82,Z82)</f>
        <v>46</v>
      </c>
      <c r="AB82" s="21"/>
      <c r="AC82" s="21" t="str">
        <f aca="false">IF(AB82="","",IF(AB82&gt;AA82,"PASS",IF(AB82&lt;=AA82*0.85,"BID","ATTENZIONE")))</f>
        <v/>
      </c>
      <c r="AD82" s="31" t="n">
        <f aca="false">IF(I82="","",ROUND(100*(1-EXP(-I82/30)),0))</f>
        <v>63</v>
      </c>
      <c r="AE82" s="7" t="str">
        <f aca="false">IFERROR(INDEX('Stato Asta'!$G$9:$G$12,MATCH($B82,'Stato Asta'!$A$9:$A$12,0)),"")</f>
        <v>🟡 Attesa rischiosa</v>
      </c>
    </row>
    <row r="83" customFormat="false" ht="14.25" hidden="false" customHeight="true" outlineLevel="0" collapsed="false">
      <c r="A83" s="21" t="n">
        <v>2816</v>
      </c>
      <c r="B83" s="21" t="s">
        <v>44</v>
      </c>
      <c r="C83" s="21" t="s">
        <v>204</v>
      </c>
      <c r="E83" s="26" t="str">
        <f aca="false">IF(COUNTIF('Info Strategia'!$D$2:$D$51,$C83)&gt;0,"SI","NO")</f>
        <v>NO</v>
      </c>
      <c r="F83" s="27" t="n">
        <f aca="false">IFERROR(ROUND(($G83+($H83-$G83)*'Info Strategia'!$B$6)*(1+IF($E83="SI",'Parametri Modello'!$B$7*'Info Strategia'!$B$6,0)),0),"")</f>
        <v>19</v>
      </c>
      <c r="G83" s="27" t="n">
        <f aca="false">IFERROR(ROUND((IF(OR(INDEX('Parametri Modello'!$C$39:$C$42,MATCH($B83,'Parametri Modello'!$A$39:$A$42,0))="",INDEX('Parametri Modello'!$C$39:$C$42,MATCH($B83,'Parametri Modello'!$A$39:$A$42,0))=0),0,($O83/INDEX('Parametri Modello'!$C$39:$C$42,MATCH($B83,'Parametri Modello'!$A$39:$A$42,0)))*(INDEX('Parametri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14</v>
      </c>
      <c r="H83" s="27" t="n">
        <f aca="false">IFERROR(ROUND((IF(OR(INDEX('Parametri Modello'!$C$39:$C$42,MATCH($B83,'Parametri Modello'!$A$39:$A$42,0))="",INDEX('Parametri Modello'!$C$39:$C$42,MATCH($B83,'Parametri Modello'!$A$39:$A$42,0))=0),0,($O83/INDEX('Parametri Modello'!$C$39:$C$42,MATCH($B83,'Parametri Modello'!$A$39:$A$42,0)))*(INDEX('Parametri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21</v>
      </c>
      <c r="I83" s="26" t="n">
        <f aca="false">IFERROR(INDEX('Input Statistiche 2025_26'!$F$3:$F$665,MATCH($A83,'Input Statistiche 2025_26'!$A$3:$A$665,0)),"")</f>
        <v>26</v>
      </c>
      <c r="J83" s="26" t="n">
        <f aca="false">IFERROR(IF($I83="","",MAX(0,38-$I83)),"")</f>
        <v>12</v>
      </c>
      <c r="K83" s="26" t="n">
        <f aca="false">IFERROR(INDEX('Input Statistiche 2025_26'!$I$3:$I$665,MATCH($A83,'Input Statistiche 2025_26'!$A$3:$A$665,0)),"")</f>
        <v>2</v>
      </c>
      <c r="L83" s="26" t="n">
        <f aca="false">IFERROR(INDEX('Input Statistiche 2025_26'!$O$3:$O$665,MATCH($A83,'Input Statistiche 2025_26'!$A$3:$A$665,0)),"")</f>
        <v>1</v>
      </c>
      <c r="M83" s="28"/>
      <c r="N83" s="27" t="n">
        <f aca="false">IFERROR(INDEX('Input Giocatori 2026_27'!$E$3:$E$493,MATCH($A83,'Input Giocatori 2026_27'!$A$3:$A$493,0)),"")</f>
        <v>12</v>
      </c>
      <c r="O83" s="27" t="n">
        <f aca="false">IFERROR(INDEX('Input Giocatori 2026_27'!$G$3:$G$493,MATCH($A83,'Input Giocatori 2026_27'!$A$3:$A$493,0)),"")</f>
        <v>40</v>
      </c>
      <c r="P83" s="26" t="str">
        <f aca="false">IFERROR(IF($O83="","",IF((1-(COUNTIFS($B$2:$B$492,$B83,$O$2:$O$492,"&gt;"&amp;$O83)+1-1)/COUNTIF($B$2:$B$492,$B83))&gt;=0.85,"Top",IF((1-(COUNTIFS($B$2:$B$492,$B83,$O$2:$O$492,"&gt;"&amp;$O83)+1-1)/COUNTIF($B$2:$B$492,$B83))&gt;=0.6,"Buono",IF((1-(COUNTIFS($B$2:$B$492,$B83,$O$2:$O$492,"&gt;"&amp;$O83)+1-1)/COUNTIF($B$2:$B$492,$B83))&gt;=0.3,"Nella Media","Scommessa/Riserva")))),"")</f>
        <v>Top</v>
      </c>
      <c r="Q83" s="29" t="n">
        <f aca="false">IF($D83="",COUNTIF($D$2:$D83,""),"")</f>
        <v>82</v>
      </c>
      <c r="R83" s="29" t="str">
        <f aca="false">IF($D83='Info Lega'!$B$28,COUNTIFS($D$2:$D83,'Info Lega'!$B$28),"")</f>
        <v/>
      </c>
      <c r="S83" s="30" t="n">
        <f aca="false">IFERROR(INDEX('Input Statistiche 2025_26'!$G$3:$G$665,MATCH($A83,'Input Statistiche 2025_26'!$A$3:$A$665,0)),"")</f>
        <v>6.08</v>
      </c>
      <c r="T83" s="30" t="n">
        <f aca="false">IFERROR(INDEX('Input Statistiche 2025_26'!$H$3:$H$665,MATCH($A83,'Input Statistiche 2025_26'!$A$3:$A$665,0)),"")</f>
        <v>6.33</v>
      </c>
      <c r="U83" s="26" t="str">
        <f aca="false">IF(OR('La Mia Rosa'!$O$12="",$D83&lt;&gt;""),"",IF($F83&lt;='La Mia Rosa'!$O$12*'Parametri Modello'!$B$24,"OK",IF($F83&lt;='La Mia Rosa'!$O$12*'Parametri Modello'!$B$25,"Attenzione","Rischio Alto")))</f>
        <v>OK</v>
      </c>
      <c r="V83" s="26" t="n">
        <f aca="false">IFERROR(COUNTIFS($B$2:$B$492,$B83,$O$2:$O$492,"&gt;"&amp;$O83)+1,"")</f>
        <v>12</v>
      </c>
      <c r="W83" s="21" t="n">
        <f aca="false">'Info Lega'!$B$4-SUMIFS($M$2:$M$492,$D$2:$D$492,'Info Lega'!$B$28)</f>
        <v>1000</v>
      </c>
      <c r="X83" s="21" t="n">
        <f aca="false">('Info Lega'!$B$5-COUNTIFS($D$2:$D$492,'Info Lega'!$B$28,$B$2:$B$492,"P"))+('Info Lega'!$B$6-COUNTIFS($D$2:$D$492,'Info Lega'!$B$28,$B$2:$B$492,"D"))+('Info Lega'!$B$7-COUNTIFS($D$2:$D$492,'Info Lega'!$B$28,$B$2:$B$492,"C"))+('Info Lega'!$B$8-COUNTIFS($D$2:$D$492,'Info Lega'!$B$28,$B$2:$B$492,"A"))</f>
        <v>25</v>
      </c>
      <c r="Y83" s="21" t="n">
        <f aca="false">X83*'Parametri Modello'!$B$30</f>
        <v>25</v>
      </c>
      <c r="Z83" s="21" t="n">
        <f aca="false">MAX(0,W83-Y83)</f>
        <v>975</v>
      </c>
      <c r="AA83" s="21" t="n">
        <f aca="false">MIN(F83,Z83)</f>
        <v>19</v>
      </c>
      <c r="AB83" s="21"/>
      <c r="AC83" s="21" t="str">
        <f aca="false">IF(AB83="","",IF(AB83&gt;AA83,"PASS",IF(AB83&lt;=AA83*0.85,"BID","ATTENZIONE")))</f>
        <v/>
      </c>
      <c r="AD83" s="31" t="n">
        <f aca="false">IF(I83="","",ROUND(100*(1-EXP(-I83/30)),0))</f>
        <v>58</v>
      </c>
      <c r="AE83" s="7" t="str">
        <f aca="false">IFERROR(INDEX('Stato Asta'!$G$9:$G$12,MATCH($B83,'Stato Asta'!$A$9:$A$12,0)),"")</f>
        <v>🟡 Attesa rischiosa</v>
      </c>
    </row>
    <row r="84" customFormat="false" ht="14.25" hidden="false" customHeight="true" outlineLevel="0" collapsed="false">
      <c r="A84" s="21" t="n">
        <v>5750</v>
      </c>
      <c r="B84" s="21" t="s">
        <v>44</v>
      </c>
      <c r="C84" s="21" t="s">
        <v>205</v>
      </c>
      <c r="E84" s="26" t="str">
        <f aca="false">IF(COUNTIF('Info Strategia'!$D$2:$D$51,$C84)&gt;0,"SI","NO")</f>
        <v>NO</v>
      </c>
      <c r="F84" s="27" t="n">
        <f aca="false">IFERROR(ROUND(($G84+($H84-$G84)*'Info Strategia'!$B$6)*(1+IF($E84="SI",'Parametri Modello'!$B$7*'Info Strategia'!$B$6,0)),0),"")</f>
        <v>20</v>
      </c>
      <c r="G84" s="27" t="n">
        <f aca="false">IFERROR(ROUND((IF(OR(INDEX('Parametri Modello'!$C$39:$C$42,MATCH($B84,'Parametri Modello'!$A$39:$A$42,0))="",INDEX('Parametri Modello'!$C$39:$C$42,MATCH($B84,'Parametri Modello'!$A$39:$A$42,0))=0),0,($O84/INDEX('Parametri Modello'!$C$39:$C$42,MATCH($B84,'Parametri Modello'!$A$39:$A$42,0)))*(INDEX('Parametri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14</v>
      </c>
      <c r="H84" s="27" t="n">
        <f aca="false">IFERROR(ROUND((IF(OR(INDEX('Parametri Modello'!$C$39:$C$42,MATCH($B84,'Parametri Modello'!$A$39:$A$42,0))="",INDEX('Parametri Modello'!$C$39:$C$42,MATCH($B84,'Parametri Modello'!$A$39:$A$42,0))=0),0,($O84/INDEX('Parametri Modello'!$C$39:$C$42,MATCH($B84,'Parametri Modello'!$A$39:$A$42,0)))*(INDEX('Parametri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22</v>
      </c>
      <c r="I84" s="26" t="n">
        <f aca="false">IFERROR(INDEX('Input Statistiche 2025_26'!$F$3:$F$665,MATCH($A84,'Input Statistiche 2025_26'!$A$3:$A$665,0)),"")</f>
        <v>30</v>
      </c>
      <c r="J84" s="26" t="n">
        <f aca="false">IFERROR(IF($I84="","",MAX(0,38-$I84)),"")</f>
        <v>8</v>
      </c>
      <c r="K84" s="26" t="n">
        <f aca="false">IFERROR(INDEX('Input Statistiche 2025_26'!$I$3:$I$665,MATCH($A84,'Input Statistiche 2025_26'!$A$3:$A$665,0)),"")</f>
        <v>5</v>
      </c>
      <c r="L84" s="26" t="n">
        <f aca="false">IFERROR(INDEX('Input Statistiche 2025_26'!$O$3:$O$665,MATCH($A84,'Input Statistiche 2025_26'!$A$3:$A$665,0)),"")</f>
        <v>0</v>
      </c>
      <c r="M84" s="28"/>
      <c r="N84" s="27" t="n">
        <f aca="false">IFERROR(INDEX('Input Giocatori 2026_27'!$E$3:$E$493,MATCH($A84,'Input Giocatori 2026_27'!$A$3:$A$493,0)),"")</f>
        <v>11</v>
      </c>
      <c r="O84" s="27" t="n">
        <f aca="false">IFERROR(INDEX('Input Giocatori 2026_27'!$G$3:$G$493,MATCH($A84,'Input Giocatori 2026_27'!$A$3:$A$493,0)),"")</f>
        <v>40</v>
      </c>
      <c r="P84" s="26" t="str">
        <f aca="false">IFERROR(IF($O84="","",IF((1-(COUNTIFS($B$2:$B$492,$B84,$O$2:$O$492,"&gt;"&amp;$O84)+1-1)/COUNTIF($B$2:$B$492,$B84))&gt;=0.85,"Top",IF((1-(COUNTIFS($B$2:$B$492,$B84,$O$2:$O$492,"&gt;"&amp;$O84)+1-1)/COUNTIF($B$2:$B$492,$B84))&gt;=0.6,"Buono",IF((1-(COUNTIFS($B$2:$B$492,$B84,$O$2:$O$492,"&gt;"&amp;$O84)+1-1)/COUNTIF($B$2:$B$492,$B84))&gt;=0.3,"Nella Media","Scommessa/Riserva")))),"")</f>
        <v>Top</v>
      </c>
      <c r="Q84" s="29" t="n">
        <f aca="false">IF($D84="",COUNTIF($D$2:$D84,""),"")</f>
        <v>83</v>
      </c>
      <c r="R84" s="29" t="str">
        <f aca="false">IF($D84='Info Lega'!$B$28,COUNTIFS($D$2:$D84,'Info Lega'!$B$28),"")</f>
        <v/>
      </c>
      <c r="S84" s="30" t="n">
        <f aca="false">IFERROR(INDEX('Input Statistiche 2025_26'!$G$3:$G$665,MATCH($A84,'Input Statistiche 2025_26'!$A$3:$A$665,0)),"")</f>
        <v>6.13</v>
      </c>
      <c r="T84" s="30" t="n">
        <f aca="false">IFERROR(INDEX('Input Statistiche 2025_26'!$H$3:$H$665,MATCH($A84,'Input Statistiche 2025_26'!$A$3:$A$665,0)),"")</f>
        <v>6.52</v>
      </c>
      <c r="U84" s="26" t="str">
        <f aca="false">IF(OR('La Mia Rosa'!$O$12="",$D84&lt;&gt;""),"",IF($F84&lt;='La Mia Rosa'!$O$12*'Parametri Modello'!$B$24,"OK",IF($F84&lt;='La Mia Rosa'!$O$12*'Parametri Modello'!$B$25,"Attenzione","Rischio Alto")))</f>
        <v>OK</v>
      </c>
      <c r="V84" s="26" t="n">
        <f aca="false">IFERROR(COUNTIFS($B$2:$B$492,$B84,$O$2:$O$492,"&gt;"&amp;$O84)+1,"")</f>
        <v>12</v>
      </c>
      <c r="W84" s="21" t="n">
        <f aca="false">'Info Lega'!$B$4-SUMIFS($M$2:$M$492,$D$2:$D$492,'Info Lega'!$B$28)</f>
        <v>1000</v>
      </c>
      <c r="X84" s="21" t="n">
        <f aca="false">('Info Lega'!$B$5-COUNTIFS($D$2:$D$492,'Info Lega'!$B$28,$B$2:$B$492,"P"))+('Info Lega'!$B$6-COUNTIFS($D$2:$D$492,'Info Lega'!$B$28,$B$2:$B$492,"D"))+('Info Lega'!$B$7-COUNTIFS($D$2:$D$492,'Info Lega'!$B$28,$B$2:$B$492,"C"))+('Info Lega'!$B$8-COUNTIFS($D$2:$D$492,'Info Lega'!$B$28,$B$2:$B$492,"A"))</f>
        <v>25</v>
      </c>
      <c r="Y84" s="21" t="n">
        <f aca="false">X84*'Parametri Modello'!$B$30</f>
        <v>25</v>
      </c>
      <c r="Z84" s="21" t="n">
        <f aca="false">MAX(0,W84-Y84)</f>
        <v>975</v>
      </c>
      <c r="AA84" s="21" t="n">
        <f aca="false">MIN(F84,Z84)</f>
        <v>20</v>
      </c>
      <c r="AB84" s="21"/>
      <c r="AC84" s="21" t="str">
        <f aca="false">IF(AB84="","",IF(AB84&gt;AA84,"PASS",IF(AB84&lt;=AA84*0.85,"BID","ATTENZIONE")))</f>
        <v/>
      </c>
      <c r="AD84" s="31" t="n">
        <f aca="false">IF(I84="","",ROUND(100*(1-EXP(-I84/30)),0))</f>
        <v>63</v>
      </c>
      <c r="AE84" s="7" t="str">
        <f aca="false">IFERROR(INDEX('Stato Asta'!$G$9:$G$12,MATCH($B84,'Stato Asta'!$A$9:$A$12,0)),"")</f>
        <v>🟡 Attesa rischiosa</v>
      </c>
    </row>
    <row r="85" customFormat="false" ht="14.25" hidden="false" customHeight="true" outlineLevel="0" collapsed="false">
      <c r="A85" s="21" t="n">
        <v>5544</v>
      </c>
      <c r="B85" s="21" t="s">
        <v>46</v>
      </c>
      <c r="C85" s="21" t="s">
        <v>574</v>
      </c>
      <c r="E85" s="26" t="str">
        <f aca="false">IF(COUNTIF('Info Strategia'!$D$2:$D$51,$C85)&gt;0,"SI","NO")</f>
        <v>NO</v>
      </c>
      <c r="F85" s="27" t="n">
        <f aca="false">IFERROR(ROUND(($G85+($H85-$G85)*'Info Strategia'!$B$6)*(1+IF($E85="SI",'Parametri Modello'!$B$7*'Info Strategia'!$B$6,0)),0),"")</f>
        <v>35</v>
      </c>
      <c r="G85" s="27" t="n">
        <f aca="false">IFERROR(ROUND((IF(OR(INDEX('Parametri Modello'!$C$39:$C$42,MATCH($B85,'Parametri Modello'!$A$39:$A$42,0))="",INDEX('Parametri Modello'!$C$39:$C$42,MATCH($B85,'Parametri Modello'!$A$39:$A$42,0))=0),0,($O85/INDEX('Parametri Modello'!$C$39:$C$42,MATCH($B85,'Parametri Modello'!$A$39:$A$42,0)))*(INDEX('Parametri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22</v>
      </c>
      <c r="H85" s="27" t="n">
        <f aca="false">IFERROR(ROUND((IF(OR(INDEX('Parametri Modello'!$C$39:$C$42,MATCH($B85,'Parametri Modello'!$A$39:$A$42,0))="",INDEX('Parametri Modello'!$C$39:$C$42,MATCH($B85,'Parametri Modello'!$A$39:$A$42,0))=0),0,($O85/INDEX('Parametri Modello'!$C$39:$C$42,MATCH($B85,'Parametri Modello'!$A$39:$A$42,0)))*(INDEX('Parametri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41</v>
      </c>
      <c r="I85" s="26" t="n">
        <f aca="false">IFERROR(INDEX('Input Statistiche 2025_26'!$F$3:$F$665,MATCH($A85,'Input Statistiche 2025_26'!$A$3:$A$665,0)),"")</f>
        <v>30</v>
      </c>
      <c r="J85" s="26" t="n">
        <f aca="false">IFERROR(IF($I85="","",MAX(0,38-$I85)),"")</f>
        <v>8</v>
      </c>
      <c r="K85" s="26" t="n">
        <f aca="false">IFERROR(INDEX('Input Statistiche 2025_26'!$I$3:$I$665,MATCH($A85,'Input Statistiche 2025_26'!$A$3:$A$665,0)),"")</f>
        <v>6</v>
      </c>
      <c r="L85" s="26" t="n">
        <f aca="false">IFERROR(INDEX('Input Statistiche 2025_26'!$O$3:$O$665,MATCH($A85,'Input Statistiche 2025_26'!$A$3:$A$665,0)),"")</f>
        <v>2</v>
      </c>
      <c r="M85" s="28"/>
      <c r="N85" s="27" t="n">
        <f aca="false">IFERROR(INDEX('Input Giocatori 2026_27'!$E$3:$E$493,MATCH($A85,'Input Giocatori 2026_27'!$A$3:$A$493,0)),"")</f>
        <v>9</v>
      </c>
      <c r="O85" s="27" t="n">
        <f aca="false">IFERROR(INDEX('Input Giocatori 2026_27'!$G$3:$G$493,MATCH($A85,'Input Giocatori 2026_27'!$A$3:$A$493,0)),"")</f>
        <v>40</v>
      </c>
      <c r="P85" s="26" t="str">
        <f aca="false">IFERROR(IF($O85="","",IF((1-(COUNTIFS($B$2:$B$492,$B85,$O$2:$O$492,"&gt;"&amp;$O85)+1-1)/COUNTIF($B$2:$B$492,$B85))&gt;=0.85,"Top",IF((1-(COUNTIFS($B$2:$B$492,$B85,$O$2:$O$492,"&gt;"&amp;$O85)+1-1)/COUNTIF($B$2:$B$492,$B85))&gt;=0.6,"Buono",IF((1-(COUNTIFS($B$2:$B$492,$B85,$O$2:$O$492,"&gt;"&amp;$O85)+1-1)/COUNTIF($B$2:$B$492,$B85))&gt;=0.3,"Nella Media","Scommessa/Riserva")))),"")</f>
        <v>Buono</v>
      </c>
      <c r="Q85" s="29" t="n">
        <f aca="false">IF($D85="",COUNTIF($D$2:$D85,""),"")</f>
        <v>84</v>
      </c>
      <c r="R85" s="29" t="str">
        <f aca="false">IF($D85='Info Lega'!$B$28,COUNTIFS($D$2:$D85,'Info Lega'!$B$28),"")</f>
        <v/>
      </c>
      <c r="S85" s="30" t="n">
        <f aca="false">IFERROR(INDEX('Input Statistiche 2025_26'!$G$3:$G$665,MATCH($A85,'Input Statistiche 2025_26'!$A$3:$A$665,0)),"")</f>
        <v>5.77</v>
      </c>
      <c r="T85" s="30" t="n">
        <f aca="false">IFERROR(INDEX('Input Statistiche 2025_26'!$H$3:$H$665,MATCH($A85,'Input Statistiche 2025_26'!$A$3:$A$665,0)),"")</f>
        <v>6.33</v>
      </c>
      <c r="U85" s="26" t="str">
        <f aca="false">IF(OR('La Mia Rosa'!$O$12="",$D85&lt;&gt;""),"",IF($F85&lt;='La Mia Rosa'!$O$12*'Parametri Modello'!$B$24,"OK",IF($F85&lt;='La Mia Rosa'!$O$12*'Parametri Modello'!$B$25,"Attenzione","Rischio Alto")))</f>
        <v>OK</v>
      </c>
      <c r="V85" s="26" t="n">
        <f aca="false">IFERROR(COUNTIFS($B$2:$B$492,$B85,$O$2:$O$492,"&gt;"&amp;$O85)+1,"")</f>
        <v>33</v>
      </c>
      <c r="W85" s="21" t="n">
        <f aca="false">'Info Lega'!$B$4-SUMIFS($M$2:$M$492,$D$2:$D$492,'Info Lega'!$B$28)</f>
        <v>1000</v>
      </c>
      <c r="X85" s="21" t="n">
        <f aca="false">('Info Lega'!$B$5-COUNTIFS($D$2:$D$492,'Info Lega'!$B$28,$B$2:$B$492,"P"))+('Info Lega'!$B$6-COUNTIFS($D$2:$D$492,'Info Lega'!$B$28,$B$2:$B$492,"D"))+('Info Lega'!$B$7-COUNTIFS($D$2:$D$492,'Info Lega'!$B$28,$B$2:$B$492,"C"))+('Info Lega'!$B$8-COUNTIFS($D$2:$D$492,'Info Lega'!$B$28,$B$2:$B$492,"A"))</f>
        <v>25</v>
      </c>
      <c r="Y85" s="21" t="n">
        <f aca="false">X85*'Parametri Modello'!$B$30</f>
        <v>25</v>
      </c>
      <c r="Z85" s="21" t="n">
        <f aca="false">MAX(0,W85-Y85)</f>
        <v>975</v>
      </c>
      <c r="AA85" s="21" t="n">
        <f aca="false">MIN(F85,Z85)</f>
        <v>35</v>
      </c>
      <c r="AB85" s="21"/>
      <c r="AC85" s="21" t="str">
        <f aca="false">IF(AB85="","",IF(AB85&gt;AA85,"PASS",IF(AB85&lt;=AA85*0.85,"BID","ATTENZIONE")))</f>
        <v/>
      </c>
      <c r="AD85" s="31" t="n">
        <f aca="false">IF(I85="","",ROUND(100*(1-EXP(-I85/30)),0))</f>
        <v>63</v>
      </c>
      <c r="AE85" s="7" t="str">
        <f aca="false">IFERROR(INDEX('Stato Asta'!$G$9:$G$12,MATCH($B85,'Stato Asta'!$A$9:$A$12,0)),"")</f>
        <v>🔴 Non aspettare</v>
      </c>
    </row>
    <row r="86" customFormat="false" ht="14.25" hidden="false" customHeight="true" outlineLevel="0" collapsed="false">
      <c r="A86" s="21" t="n">
        <v>7347</v>
      </c>
      <c r="B86" s="21" t="s">
        <v>46</v>
      </c>
      <c r="C86" s="21" t="s">
        <v>572</v>
      </c>
      <c r="E86" s="26" t="str">
        <f aca="false">IF(COUNTIF('Info Strategia'!$D$2:$D$51,$C86)&gt;0,"SI","NO")</f>
        <v>NO</v>
      </c>
      <c r="F86" s="27" t="n">
        <f aca="false">IFERROR(ROUND(($G86+($H86-$G86)*'Info Strategia'!$B$6)*(1+IF($E86="SI",'Parametri Modello'!$B$7*'Info Strategia'!$B$6,0)),0),"")</f>
        <v>35</v>
      </c>
      <c r="G86" s="27" t="n">
        <f aca="false">IFERROR(ROUND((IF(OR(INDEX('Parametri Modello'!$C$39:$C$42,MATCH($B86,'Parametri Modello'!$A$39:$A$42,0))="",INDEX('Parametri Modello'!$C$39:$C$42,MATCH($B86,'Parametri Modello'!$A$39:$A$42,0))=0),0,($O86/INDEX('Parametri Modello'!$C$39:$C$42,MATCH($B86,'Parametri Modello'!$A$39:$A$42,0)))*(INDEX('Parametri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22</v>
      </c>
      <c r="H86" s="27" t="n">
        <f aca="false">IFERROR(ROUND((IF(OR(INDEX('Parametri Modello'!$C$39:$C$42,MATCH($B86,'Parametri Modello'!$A$39:$A$42,0))="",INDEX('Parametri Modello'!$C$39:$C$42,MATCH($B86,'Parametri Modello'!$A$39:$A$42,0))=0),0,($O86/INDEX('Parametri Modello'!$C$39:$C$42,MATCH($B86,'Parametri Modello'!$A$39:$A$42,0)))*(INDEX('Parametri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40</v>
      </c>
      <c r="I86" s="26" t="n">
        <f aca="false">IFERROR(INDEX('Input Statistiche 2025_26'!$F$3:$F$665,MATCH($A86,'Input Statistiche 2025_26'!$A$3:$A$665,0)),"")</f>
        <v>14</v>
      </c>
      <c r="J86" s="26" t="n">
        <f aca="false">IFERROR(IF($I86="","",MAX(0,38-$I86)),"")</f>
        <v>24</v>
      </c>
      <c r="K86" s="26" t="n">
        <f aca="false">IFERROR(INDEX('Input Statistiche 2025_26'!$I$3:$I$665,MATCH($A86,'Input Statistiche 2025_26'!$A$3:$A$665,0)),"")</f>
        <v>4</v>
      </c>
      <c r="L86" s="26" t="n">
        <f aca="false">IFERROR(INDEX('Input Statistiche 2025_26'!$O$3:$O$665,MATCH($A86,'Input Statistiche 2025_26'!$A$3:$A$665,0)),"")</f>
        <v>0</v>
      </c>
      <c r="M86" s="28"/>
      <c r="N86" s="27" t="n">
        <f aca="false">IFERROR(INDEX('Input Giocatori 2026_27'!$E$3:$E$493,MATCH($A86,'Input Giocatori 2026_27'!$A$3:$A$493,0)),"")</f>
        <v>10</v>
      </c>
      <c r="O86" s="27" t="n">
        <f aca="false">IFERROR(INDEX('Input Giocatori 2026_27'!$G$3:$G$493,MATCH($A86,'Input Giocatori 2026_27'!$A$3:$A$493,0)),"")</f>
        <v>39</v>
      </c>
      <c r="P86" s="26" t="str">
        <f aca="false">IFERROR(IF($O86="","",IF((1-(COUNTIFS($B$2:$B$492,$B86,$O$2:$O$492,"&gt;"&amp;$O86)+1-1)/COUNTIF($B$2:$B$492,$B86))&gt;=0.85,"Top",IF((1-(COUNTIFS($B$2:$B$492,$B86,$O$2:$O$492,"&gt;"&amp;$O86)+1-1)/COUNTIF($B$2:$B$492,$B86))&gt;=0.6,"Buono",IF((1-(COUNTIFS($B$2:$B$492,$B86,$O$2:$O$492,"&gt;"&amp;$O86)+1-1)/COUNTIF($B$2:$B$492,$B86))&gt;=0.3,"Nella Media","Scommessa/Riserva")))),"")</f>
        <v>Buono</v>
      </c>
      <c r="Q86" s="29" t="n">
        <f aca="false">IF($D86="",COUNTIF($D$2:$D86,""),"")</f>
        <v>85</v>
      </c>
      <c r="R86" s="29" t="str">
        <f aca="false">IF($D86='Info Lega'!$B$28,COUNTIFS($D$2:$D86,'Info Lega'!$B$28),"")</f>
        <v/>
      </c>
      <c r="S86" s="30" t="n">
        <f aca="false">IFERROR(INDEX('Input Statistiche 2025_26'!$G$3:$G$665,MATCH($A86,'Input Statistiche 2025_26'!$A$3:$A$665,0)),"")</f>
        <v>5.96</v>
      </c>
      <c r="T86" s="30" t="n">
        <f aca="false">IFERROR(INDEX('Input Statistiche 2025_26'!$H$3:$H$665,MATCH($A86,'Input Statistiche 2025_26'!$A$3:$A$665,0)),"")</f>
        <v>6.79</v>
      </c>
      <c r="U86" s="26" t="str">
        <f aca="false">IF(OR('La Mia Rosa'!$O$12="",$D86&lt;&gt;""),"",IF($F86&lt;='La Mia Rosa'!$O$12*'Parametri Modello'!$B$24,"OK",IF($F86&lt;='La Mia Rosa'!$O$12*'Parametri Modello'!$B$25,"Attenzione","Rischio Alto")))</f>
        <v>OK</v>
      </c>
      <c r="V86" s="26" t="n">
        <f aca="false">IFERROR(COUNTIFS($B$2:$B$492,$B86,$O$2:$O$492,"&gt;"&amp;$O86)+1,"")</f>
        <v>34</v>
      </c>
      <c r="W86" s="21" t="n">
        <f aca="false">'Info Lega'!$B$4-SUMIFS($M$2:$M$492,$D$2:$D$492,'Info Lega'!$B$28)</f>
        <v>1000</v>
      </c>
      <c r="X86" s="21" t="n">
        <f aca="false">('Info Lega'!$B$5-COUNTIFS($D$2:$D$492,'Info Lega'!$B$28,$B$2:$B$492,"P"))+('Info Lega'!$B$6-COUNTIFS($D$2:$D$492,'Info Lega'!$B$28,$B$2:$B$492,"D"))+('Info Lega'!$B$7-COUNTIFS($D$2:$D$492,'Info Lega'!$B$28,$B$2:$B$492,"C"))+('Info Lega'!$B$8-COUNTIFS($D$2:$D$492,'Info Lega'!$B$28,$B$2:$B$492,"A"))</f>
        <v>25</v>
      </c>
      <c r="Y86" s="21" t="n">
        <f aca="false">X86*'Parametri Modello'!$B$30</f>
        <v>25</v>
      </c>
      <c r="Z86" s="21" t="n">
        <f aca="false">MAX(0,W86-Y86)</f>
        <v>975</v>
      </c>
      <c r="AA86" s="21" t="n">
        <f aca="false">MIN(F86,Z86)</f>
        <v>35</v>
      </c>
      <c r="AB86" s="21"/>
      <c r="AC86" s="21" t="str">
        <f aca="false">IF(AB86="","",IF(AB86&gt;AA86,"PASS",IF(AB86&lt;=AA86*0.85,"BID","ATTENZIONE")))</f>
        <v/>
      </c>
      <c r="AD86" s="31" t="n">
        <f aca="false">IF(I86="","",ROUND(100*(1-EXP(-I86/30)),0))</f>
        <v>37</v>
      </c>
      <c r="AE86" s="7" t="str">
        <f aca="false">IFERROR(INDEX('Stato Asta'!$G$9:$G$12,MATCH($B86,'Stato Asta'!$A$9:$A$12,0)),"")</f>
        <v>🔴 Non aspettare</v>
      </c>
    </row>
    <row r="87" customFormat="false" ht="14.25" hidden="false" customHeight="true" outlineLevel="0" collapsed="false">
      <c r="A87" s="21" t="n">
        <v>2514</v>
      </c>
      <c r="B87" s="21" t="s">
        <v>44</v>
      </c>
      <c r="C87" s="21" t="s">
        <v>202</v>
      </c>
      <c r="E87" s="26" t="str">
        <f aca="false">IF(COUNTIF('Info Strategia'!$D$2:$D$51,$C87)&gt;0,"SI","NO")</f>
        <v>NO</v>
      </c>
      <c r="F87" s="27" t="n">
        <f aca="false">IFERROR(ROUND(($G87+($H87-$G87)*'Info Strategia'!$B$6)*(1+IF($E87="SI",'Parametri Modello'!$B$7*'Info Strategia'!$B$6,0)),0),"")</f>
        <v>18</v>
      </c>
      <c r="G87" s="27" t="n">
        <f aca="false">IFERROR(ROUND((IF(OR(INDEX('Parametri Modello'!$C$39:$C$42,MATCH($B87,'Parametri Modello'!$A$39:$A$42,0))="",INDEX('Parametri Modello'!$C$39:$C$42,MATCH($B87,'Parametri Modello'!$A$39:$A$42,0))=0),0,($O87/INDEX('Parametri Modello'!$C$39:$C$42,MATCH($B87,'Parametri Modello'!$A$39:$A$42,0)))*(INDEX('Parametri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13</v>
      </c>
      <c r="H87" s="27" t="n">
        <f aca="false">IFERROR(ROUND((IF(OR(INDEX('Parametri Modello'!$C$39:$C$42,MATCH($B87,'Parametri Modello'!$A$39:$A$42,0))="",INDEX('Parametri Modello'!$C$39:$C$42,MATCH($B87,'Parametri Modello'!$A$39:$A$42,0))=0),0,($O87/INDEX('Parametri Modello'!$C$39:$C$42,MATCH($B87,'Parametri Modello'!$A$39:$A$42,0)))*(INDEX('Parametri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20</v>
      </c>
      <c r="I87" s="26" t="str">
        <f aca="false">IFERROR(INDEX('Input Statistiche 2025_26'!$F$3:$F$665,MATCH($A87,'Input Statistiche 2025_26'!$A$3:$A$665,0)),"")</f>
        <v/>
      </c>
      <c r="J87" s="26" t="str">
        <f aca="false">IFERROR(IF($I87="","",MAX(0,38-$I87)),"")</f>
        <v/>
      </c>
      <c r="K87" s="26" t="str">
        <f aca="false">IFERROR(INDEX('Input Statistiche 2025_26'!$I$3:$I$665,MATCH($A87,'Input Statistiche 2025_26'!$A$3:$A$665,0)),"")</f>
        <v/>
      </c>
      <c r="L87" s="26" t="str">
        <f aca="false">IFERROR(INDEX('Input Statistiche 2025_26'!$O$3:$O$665,MATCH($A87,'Input Statistiche 2025_26'!$A$3:$A$665,0)),"")</f>
        <v/>
      </c>
      <c r="M87" s="28"/>
      <c r="N87" s="27" t="n">
        <f aca="false">IFERROR(INDEX('Input Giocatori 2026_27'!$E$3:$E$493,MATCH($A87,'Input Giocatori 2026_27'!$A$3:$A$493,0)),"")</f>
        <v>12</v>
      </c>
      <c r="O87" s="27" t="n">
        <f aca="false">IFERROR(INDEX('Input Giocatori 2026_27'!$G$3:$G$493,MATCH($A87,'Input Giocatori 2026_27'!$A$3:$A$493,0)),"")</f>
        <v>38</v>
      </c>
      <c r="P87" s="26" t="str">
        <f aca="false">IFERROR(IF($O87="","",IF((1-(COUNTIFS($B$2:$B$492,$B87,$O$2:$O$492,"&gt;"&amp;$O87)+1-1)/COUNTIF($B$2:$B$492,$B87))&gt;=0.85,"Top",IF((1-(COUNTIFS($B$2:$B$492,$B87,$O$2:$O$492,"&gt;"&amp;$O87)+1-1)/COUNTIF($B$2:$B$492,$B87))&gt;=0.6,"Buono",IF((1-(COUNTIFS($B$2:$B$492,$B87,$O$2:$O$492,"&gt;"&amp;$O87)+1-1)/COUNTIF($B$2:$B$492,$B87))&gt;=0.3,"Nella Media","Scommessa/Riserva")))),"")</f>
        <v>Top</v>
      </c>
      <c r="Q87" s="29" t="n">
        <f aca="false">IF($D87="",COUNTIF($D$2:$D87,""),"")</f>
        <v>86</v>
      </c>
      <c r="R87" s="29" t="str">
        <f aca="false">IF($D87='Info Lega'!$B$28,COUNTIFS($D$2:$D87,'Info Lega'!$B$28),"")</f>
        <v/>
      </c>
      <c r="S87" s="30" t="str">
        <f aca="false">IFERROR(INDEX('Input Statistiche 2025_26'!$G$3:$G$665,MATCH($A87,'Input Statistiche 2025_26'!$A$3:$A$665,0)),"")</f>
        <v/>
      </c>
      <c r="T87" s="30" t="str">
        <f aca="false">IFERROR(INDEX('Input Statistiche 2025_26'!$H$3:$H$665,MATCH($A87,'Input Statistiche 2025_26'!$A$3:$A$665,0)),"")</f>
        <v/>
      </c>
      <c r="U87" s="26" t="str">
        <f aca="false">IF(OR('La Mia Rosa'!$O$12="",$D87&lt;&gt;""),"",IF($F87&lt;='La Mia Rosa'!$O$12*'Parametri Modello'!$B$24,"OK",IF($F87&lt;='La Mia Rosa'!$O$12*'Parametri Modello'!$B$25,"Attenzione","Rischio Alto")))</f>
        <v>OK</v>
      </c>
      <c r="V87" s="26" t="n">
        <f aca="false">IFERROR(COUNTIFS($B$2:$B$492,$B87,$O$2:$O$492,"&gt;"&amp;$O87)+1,"")</f>
        <v>14</v>
      </c>
      <c r="W87" s="21" t="n">
        <f aca="false">'Info Lega'!$B$4-SUMIFS($M$2:$M$492,$D$2:$D$492,'Info Lega'!$B$28)</f>
        <v>1000</v>
      </c>
      <c r="X87" s="21" t="n">
        <f aca="false">('Info Lega'!$B$5-COUNTIFS($D$2:$D$492,'Info Lega'!$B$28,$B$2:$B$492,"P"))+('Info Lega'!$B$6-COUNTIFS($D$2:$D$492,'Info Lega'!$B$28,$B$2:$B$492,"D"))+('Info Lega'!$B$7-COUNTIFS($D$2:$D$492,'Info Lega'!$B$28,$B$2:$B$492,"C"))+('Info Lega'!$B$8-COUNTIFS($D$2:$D$492,'Info Lega'!$B$28,$B$2:$B$492,"A"))</f>
        <v>25</v>
      </c>
      <c r="Y87" s="21" t="n">
        <f aca="false">X87*'Parametri Modello'!$B$30</f>
        <v>25</v>
      </c>
      <c r="Z87" s="21" t="n">
        <f aca="false">MAX(0,W87-Y87)</f>
        <v>975</v>
      </c>
      <c r="AA87" s="21" t="n">
        <f aca="false">MIN(F87,Z87)</f>
        <v>18</v>
      </c>
      <c r="AB87" s="21"/>
      <c r="AC87" s="21" t="str">
        <f aca="false">IF(AB87="","",IF(AB87&gt;AA87,"PASS",IF(AB87&lt;=AA87*0.85,"BID","ATTENZIONE")))</f>
        <v/>
      </c>
      <c r="AD87" s="31" t="str">
        <f aca="false">IF(I87="","",ROUND(100*(1-EXP(-I87/30)),0))</f>
        <v/>
      </c>
      <c r="AE87" s="7" t="str">
        <f aca="false">IFERROR(INDEX('Stato Asta'!$G$9:$G$12,MATCH($B87,'Stato Asta'!$A$9:$A$12,0)),"")</f>
        <v>🟡 Attesa rischiosa</v>
      </c>
    </row>
    <row r="88" customFormat="false" ht="14.25" hidden="false" customHeight="true" outlineLevel="0" collapsed="false">
      <c r="A88" s="21" t="n">
        <v>6151</v>
      </c>
      <c r="B88" s="21" t="s">
        <v>45</v>
      </c>
      <c r="C88" s="21" t="s">
        <v>392</v>
      </c>
      <c r="E88" s="26" t="str">
        <f aca="false">IF(COUNTIF('Info Strategia'!$D$2:$D$51,$C88)&gt;0,"SI","NO")</f>
        <v>NO</v>
      </c>
      <c r="F88" s="27" t="n">
        <f aca="false">IFERROR(ROUND(($G88+($H88-$G88)*'Info Strategia'!$B$6)*(1+IF($E88="SI",'Parametri Modello'!$B$7*'Info Strategia'!$B$6,0)),0),"")</f>
        <v>21</v>
      </c>
      <c r="G88" s="27" t="n">
        <f aca="false">IFERROR(ROUND((IF(OR(INDEX('Parametri Modello'!$C$39:$C$42,MATCH($B88,'Parametri Modello'!$A$39:$A$42,0))="",INDEX('Parametri Modello'!$C$39:$C$42,MATCH($B88,'Parametri Modello'!$A$39:$A$42,0))=0),0,($O88/INDEX('Parametri Modello'!$C$39:$C$42,MATCH($B88,'Parametri Modello'!$A$39:$A$42,0)))*(INDEX('Parametri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14</v>
      </c>
      <c r="H88" s="27" t="n">
        <f aca="false">IFERROR(ROUND((IF(OR(INDEX('Parametri Modello'!$C$39:$C$42,MATCH($B88,'Parametri Modello'!$A$39:$A$42,0))="",INDEX('Parametri Modello'!$C$39:$C$42,MATCH($B88,'Parametri Modello'!$A$39:$A$42,0))=0),0,($O88/INDEX('Parametri Modello'!$C$39:$C$42,MATCH($B88,'Parametri Modello'!$A$39:$A$42,0)))*(INDEX('Parametri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24</v>
      </c>
      <c r="I88" s="26" t="n">
        <f aca="false">IFERROR(INDEX('Input Statistiche 2025_26'!$F$3:$F$665,MATCH($A88,'Input Statistiche 2025_26'!$A$3:$A$665,0)),"")</f>
        <v>36</v>
      </c>
      <c r="J88" s="26" t="n">
        <f aca="false">IFERROR(IF($I88="","",MAX(0,38-$I88)),"")</f>
        <v>2</v>
      </c>
      <c r="K88" s="26" t="n">
        <f aca="false">IFERROR(INDEX('Input Statistiche 2025_26'!$I$3:$I$665,MATCH($A88,'Input Statistiche 2025_26'!$A$3:$A$665,0)),"")</f>
        <v>3</v>
      </c>
      <c r="L88" s="26" t="n">
        <f aca="false">IFERROR(INDEX('Input Statistiche 2025_26'!$O$3:$O$665,MATCH($A88,'Input Statistiche 2025_26'!$A$3:$A$665,0)),"")</f>
        <v>4</v>
      </c>
      <c r="M88" s="28"/>
      <c r="N88" s="27" t="n">
        <f aca="false">IFERROR(INDEX('Input Giocatori 2026_27'!$E$3:$E$493,MATCH($A88,'Input Giocatori 2026_27'!$A$3:$A$493,0)),"")</f>
        <v>10</v>
      </c>
      <c r="O88" s="27" t="n">
        <f aca="false">IFERROR(INDEX('Input Giocatori 2026_27'!$G$3:$G$493,MATCH($A88,'Input Giocatori 2026_27'!$A$3:$A$493,0)),"")</f>
        <v>38</v>
      </c>
      <c r="P88" s="26" t="str">
        <f aca="false">IFERROR(IF($O88="","",IF((1-(COUNTIFS($B$2:$B$492,$B88,$O$2:$O$492,"&gt;"&amp;$O88)+1-1)/COUNTIF($B$2:$B$492,$B88))&gt;=0.85,"Top",IF((1-(COUNTIFS($B$2:$B$492,$B88,$O$2:$O$492,"&gt;"&amp;$O88)+1-1)/COUNTIF($B$2:$B$492,$B88))&gt;=0.6,"Buono",IF((1-(COUNTIFS($B$2:$B$492,$B88,$O$2:$O$492,"&gt;"&amp;$O88)+1-1)/COUNTIF($B$2:$B$492,$B88))&gt;=0.3,"Nella Media","Scommessa/Riserva")))),"")</f>
        <v>Buono</v>
      </c>
      <c r="Q88" s="29" t="n">
        <f aca="false">IF($D88="",COUNTIF($D$2:$D88,""),"")</f>
        <v>87</v>
      </c>
      <c r="R88" s="29" t="str">
        <f aca="false">IF($D88='Info Lega'!$B$28,COUNTIFS($D$2:$D88,'Info Lega'!$B$28),"")</f>
        <v/>
      </c>
      <c r="S88" s="30" t="n">
        <f aca="false">IFERROR(INDEX('Input Statistiche 2025_26'!$G$3:$G$665,MATCH($A88,'Input Statistiche 2025_26'!$A$3:$A$665,0)),"")</f>
        <v>6.22</v>
      </c>
      <c r="T88" s="30" t="n">
        <f aca="false">IFERROR(INDEX('Input Statistiche 2025_26'!$H$3:$H$665,MATCH($A88,'Input Statistiche 2025_26'!$A$3:$A$665,0)),"")</f>
        <v>6.47</v>
      </c>
      <c r="U88" s="26" t="str">
        <f aca="false">IF(OR('La Mia Rosa'!$O$12="",$D88&lt;&gt;""),"",IF($F88&lt;='La Mia Rosa'!$O$12*'Parametri Modello'!$B$24,"OK",IF($F88&lt;='La Mia Rosa'!$O$12*'Parametri Modello'!$B$25,"Attenzione","Rischio Alto")))</f>
        <v>OK</v>
      </c>
      <c r="V88" s="26" t="n">
        <f aca="false">IFERROR(COUNTIFS($B$2:$B$492,$B88,$O$2:$O$492,"&gt;"&amp;$O88)+1,"")</f>
        <v>31</v>
      </c>
      <c r="W88" s="21" t="n">
        <f aca="false">'Info Lega'!$B$4-SUMIFS($M$2:$M$492,$D$2:$D$492,'Info Lega'!$B$28)</f>
        <v>1000</v>
      </c>
      <c r="X88" s="21" t="n">
        <f aca="false">('Info Lega'!$B$5-COUNTIFS($D$2:$D$492,'Info Lega'!$B$28,$B$2:$B$492,"P"))+('Info Lega'!$B$6-COUNTIFS($D$2:$D$492,'Info Lega'!$B$28,$B$2:$B$492,"D"))+('Info Lega'!$B$7-COUNTIFS($D$2:$D$492,'Info Lega'!$B$28,$B$2:$B$492,"C"))+('Info Lega'!$B$8-COUNTIFS($D$2:$D$492,'Info Lega'!$B$28,$B$2:$B$492,"A"))</f>
        <v>25</v>
      </c>
      <c r="Y88" s="21" t="n">
        <f aca="false">X88*'Parametri Modello'!$B$30</f>
        <v>25</v>
      </c>
      <c r="Z88" s="21" t="n">
        <f aca="false">MAX(0,W88-Y88)</f>
        <v>975</v>
      </c>
      <c r="AA88" s="21" t="n">
        <f aca="false">MIN(F88,Z88)</f>
        <v>21</v>
      </c>
      <c r="AB88" s="21"/>
      <c r="AC88" s="21" t="str">
        <f aca="false">IF(AB88="","",IF(AB88&gt;AA88,"PASS",IF(AB88&lt;=AA88*0.85,"BID","ATTENZIONE")))</f>
        <v/>
      </c>
      <c r="AD88" s="31" t="n">
        <f aca="false">IF(I88="","",ROUND(100*(1-EXP(-I88/30)),0))</f>
        <v>70</v>
      </c>
      <c r="AE88" s="7" t="str">
        <f aca="false">IFERROR(INDEX('Stato Asta'!$G$9:$G$12,MATCH($B88,'Stato Asta'!$A$9:$A$12,0)),"")</f>
        <v>🟡 Attesa rischiosa</v>
      </c>
    </row>
    <row r="89" customFormat="false" ht="14.25" hidden="false" customHeight="true" outlineLevel="0" collapsed="false">
      <c r="A89" s="21" t="n">
        <v>133</v>
      </c>
      <c r="B89" s="21" t="s">
        <v>43</v>
      </c>
      <c r="C89" s="21" t="s">
        <v>126</v>
      </c>
      <c r="E89" s="26" t="str">
        <f aca="false">IF(COUNTIF('Info Strategia'!$D$2:$D$51,$C89)&gt;0,"SI","NO")</f>
        <v>NO</v>
      </c>
      <c r="F89" s="27" t="n">
        <f aca="false">IFERROR(ROUND(($G89+($H89-$G89)*'Info Strategia'!$B$6)*(1+IF($E89="SI",'Parametri Modello'!$B$7*'Info Strategia'!$B$6,0)),0),"")</f>
        <v>42</v>
      </c>
      <c r="G89" s="27" t="n">
        <f aca="false">IFERROR(ROUND((IF(OR(INDEX('Parametri Modello'!$C$39:$C$42,MATCH($B89,'Parametri Modello'!$A$39:$A$42,0))="",INDEX('Parametri Modello'!$C$39:$C$42,MATCH($B89,'Parametri Modello'!$A$39:$A$42,0))=0),0,($O89/INDEX('Parametri Modello'!$C$39:$C$42,MATCH($B89,'Parametri Modello'!$A$39:$A$42,0)))*(INDEX('Parametri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34</v>
      </c>
      <c r="H89" s="27" t="n">
        <f aca="false">IFERROR(ROUND((IF(OR(INDEX('Parametri Modello'!$C$39:$C$42,MATCH($B89,'Parametri Modello'!$A$39:$A$42,0))="",INDEX('Parametri Modello'!$C$39:$C$42,MATCH($B89,'Parametri Modello'!$A$39:$A$42,0))=0),0,($O89/INDEX('Parametri Modello'!$C$39:$C$42,MATCH($B89,'Parametri Modello'!$A$39:$A$42,0)))*(INDEX('Parametri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46</v>
      </c>
      <c r="I89" s="26" t="n">
        <f aca="false">IFERROR(INDEX('Input Statistiche 2025_26'!$F$3:$F$665,MATCH($A89,'Input Statistiche 2025_26'!$A$3:$A$665,0)),"")</f>
        <v>18</v>
      </c>
      <c r="J89" s="26" t="n">
        <f aca="false">IFERROR(IF($I89="","",MAX(0,38-$I89)),"")</f>
        <v>20</v>
      </c>
      <c r="K89" s="26" t="n">
        <f aca="false">IFERROR(INDEX('Input Statistiche 2025_26'!$I$3:$I$665,MATCH($A89,'Input Statistiche 2025_26'!$A$3:$A$665,0)),"")</f>
        <v>0</v>
      </c>
      <c r="L89" s="26" t="n">
        <f aca="false">IFERROR(INDEX('Input Statistiche 2025_26'!$O$3:$O$665,MATCH($A89,'Input Statistiche 2025_26'!$A$3:$A$665,0)),"")</f>
        <v>0</v>
      </c>
      <c r="M89" s="28"/>
      <c r="N89" s="27" t="n">
        <f aca="false">IFERROR(INDEX('Input Giocatori 2026_27'!$E$3:$E$493,MATCH($A89,'Input Giocatori 2026_27'!$A$3:$A$493,0)),"")</f>
        <v>10</v>
      </c>
      <c r="O89" s="27" t="n">
        <f aca="false">IFERROR(INDEX('Input Giocatori 2026_27'!$G$3:$G$493,MATCH($A89,'Input Giocatori 2026_27'!$A$3:$A$493,0)),"")</f>
        <v>37</v>
      </c>
      <c r="P89" s="26" t="str">
        <f aca="false">IFERROR(IF($O89="","",IF((1-(COUNTIFS($B$2:$B$492,$B89,$O$2:$O$492,"&gt;"&amp;$O89)+1-1)/COUNTIF($B$2:$B$492,$B89))&gt;=0.85,"Top",IF((1-(COUNTIFS($B$2:$B$492,$B89,$O$2:$O$492,"&gt;"&amp;$O89)+1-1)/COUNTIF($B$2:$B$492,$B89))&gt;=0.6,"Buono",IF((1-(COUNTIFS($B$2:$B$492,$B89,$O$2:$O$492,"&gt;"&amp;$O89)+1-1)/COUNTIF($B$2:$B$492,$B89))&gt;=0.3,"Nella Media","Scommessa/Riserva")))),"")</f>
        <v>Top</v>
      </c>
      <c r="Q89" s="29" t="n">
        <f aca="false">IF($D89="",COUNTIF($D$2:$D89,""),"")</f>
        <v>88</v>
      </c>
      <c r="R89" s="29" t="str">
        <f aca="false">IF($D89='Info Lega'!$B$28,COUNTIFS($D$2:$D89,'Info Lega'!$B$28),"")</f>
        <v/>
      </c>
      <c r="S89" s="30" t="n">
        <f aca="false">IFERROR(INDEX('Input Statistiche 2025_26'!$G$3:$G$665,MATCH($A89,'Input Statistiche 2025_26'!$A$3:$A$665,0)),"")</f>
        <v>6.19</v>
      </c>
      <c r="T89" s="30" t="n">
        <f aca="false">IFERROR(INDEX('Input Statistiche 2025_26'!$H$3:$H$665,MATCH($A89,'Input Statistiche 2025_26'!$A$3:$A$665,0)),"")</f>
        <v>5.28</v>
      </c>
      <c r="U89" s="26" t="str">
        <f aca="false">IF(OR('La Mia Rosa'!$O$12="",$D89&lt;&gt;""),"",IF($F89&lt;='La Mia Rosa'!$O$12*'Parametri Modello'!$B$24,"OK",IF($F89&lt;='La Mia Rosa'!$O$12*'Parametri Modello'!$B$25,"Attenzione","Rischio Alto")))</f>
        <v>OK</v>
      </c>
      <c r="V89" s="26" t="n">
        <f aca="false">IFERROR(COUNTIFS($B$2:$B$492,$B89,$O$2:$O$492,"&gt;"&amp;$O89)+1,"")</f>
        <v>9</v>
      </c>
      <c r="W89" s="21" t="n">
        <f aca="false">'Info Lega'!$B$4-SUMIFS($M$2:$M$492,$D$2:$D$492,'Info Lega'!$B$28)</f>
        <v>1000</v>
      </c>
      <c r="X89" s="21" t="n">
        <f aca="false">('Info Lega'!$B$5-COUNTIFS($D$2:$D$492,'Info Lega'!$B$28,$B$2:$B$492,"P"))+('Info Lega'!$B$6-COUNTIFS($D$2:$D$492,'Info Lega'!$B$28,$B$2:$B$492,"D"))+('Info Lega'!$B$7-COUNTIFS($D$2:$D$492,'Info Lega'!$B$28,$B$2:$B$492,"C"))+('Info Lega'!$B$8-COUNTIFS($D$2:$D$492,'Info Lega'!$B$28,$B$2:$B$492,"A"))</f>
        <v>25</v>
      </c>
      <c r="Y89" s="21" t="n">
        <f aca="false">X89*'Parametri Modello'!$B$30</f>
        <v>25</v>
      </c>
      <c r="Z89" s="21" t="n">
        <f aca="false">MAX(0,W89-Y89)</f>
        <v>975</v>
      </c>
      <c r="AA89" s="21" t="n">
        <f aca="false">MIN(F89,Z89)</f>
        <v>42</v>
      </c>
      <c r="AB89" s="21"/>
      <c r="AC89" s="21" t="str">
        <f aca="false">IF(AB89="","",IF(AB89&gt;AA89,"PASS",IF(AB89&lt;=AA89*0.85,"BID","ATTENZIONE")))</f>
        <v/>
      </c>
      <c r="AD89" s="31" t="n">
        <f aca="false">IF(I89="","",ROUND(100*(1-EXP(-I89/30)),0))</f>
        <v>45</v>
      </c>
      <c r="AE89" s="7" t="str">
        <f aca="false">IFERROR(INDEX('Stato Asta'!$G$9:$G$12,MATCH($B89,'Stato Asta'!$A$9:$A$12,0)),"")</f>
        <v>🟡 Attesa rischiosa</v>
      </c>
    </row>
    <row r="90" customFormat="false" ht="14.25" hidden="false" customHeight="true" outlineLevel="0" collapsed="false">
      <c r="A90" s="21" t="n">
        <v>6844</v>
      </c>
      <c r="B90" s="21" t="s">
        <v>45</v>
      </c>
      <c r="C90" s="21" t="s">
        <v>389</v>
      </c>
      <c r="E90" s="26" t="str">
        <f aca="false">IF(COUNTIF('Info Strategia'!$D$2:$D$51,$C90)&gt;0,"SI","NO")</f>
        <v>NO</v>
      </c>
      <c r="F90" s="27" t="n">
        <f aca="false">IFERROR(ROUND(($G90+($H90-$G90)*'Info Strategia'!$B$6)*(1+IF($E90="SI",'Parametri Modello'!$B$7*'Info Strategia'!$B$6,0)),0),"")</f>
        <v>20</v>
      </c>
      <c r="G90" s="27" t="n">
        <f aca="false">IFERROR(ROUND((IF(OR(INDEX('Parametri Modello'!$C$39:$C$42,MATCH($B90,'Parametri Modello'!$A$39:$A$42,0))="",INDEX('Parametri Modello'!$C$39:$C$42,MATCH($B90,'Parametri Modello'!$A$39:$A$42,0))=0),0,($O90/INDEX('Parametri Modello'!$C$39:$C$42,MATCH($B90,'Parametri Modello'!$A$39:$A$42,0)))*(INDEX('Parametri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14</v>
      </c>
      <c r="H90" s="27" t="n">
        <f aca="false">IFERROR(ROUND((IF(OR(INDEX('Parametri Modello'!$C$39:$C$42,MATCH($B90,'Parametri Modello'!$A$39:$A$42,0))="",INDEX('Parametri Modello'!$C$39:$C$42,MATCH($B90,'Parametri Modello'!$A$39:$A$42,0))=0),0,($O90/INDEX('Parametri Modello'!$C$39:$C$42,MATCH($B90,'Parametri Modello'!$A$39:$A$42,0)))*(INDEX('Parametri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23</v>
      </c>
      <c r="I90" s="26" t="n">
        <f aca="false">IFERROR(INDEX('Input Statistiche 2025_26'!$F$3:$F$665,MATCH($A90,'Input Statistiche 2025_26'!$A$3:$A$665,0)),"")</f>
        <v>28</v>
      </c>
      <c r="J90" s="26" t="n">
        <f aca="false">IFERROR(IF($I90="","",MAX(0,38-$I90)),"")</f>
        <v>10</v>
      </c>
      <c r="K90" s="26" t="n">
        <f aca="false">IFERROR(INDEX('Input Statistiche 2025_26'!$I$3:$I$665,MATCH($A90,'Input Statistiche 2025_26'!$A$3:$A$665,0)),"")</f>
        <v>3</v>
      </c>
      <c r="L90" s="26" t="n">
        <f aca="false">IFERROR(INDEX('Input Statistiche 2025_26'!$O$3:$O$665,MATCH($A90,'Input Statistiche 2025_26'!$A$3:$A$665,0)),"")</f>
        <v>3</v>
      </c>
      <c r="M90" s="28"/>
      <c r="N90" s="27" t="n">
        <f aca="false">IFERROR(INDEX('Input Giocatori 2026_27'!$E$3:$E$493,MATCH($A90,'Input Giocatori 2026_27'!$A$3:$A$493,0)),"")</f>
        <v>11</v>
      </c>
      <c r="O90" s="27" t="n">
        <f aca="false">IFERROR(INDEX('Input Giocatori 2026_27'!$G$3:$G$493,MATCH($A90,'Input Giocatori 2026_27'!$A$3:$A$493,0)),"")</f>
        <v>37</v>
      </c>
      <c r="P90" s="26" t="str">
        <f aca="false">IFERROR(IF($O90="","",IF((1-(COUNTIFS($B$2:$B$492,$B90,$O$2:$O$492,"&gt;"&amp;$O90)+1-1)/COUNTIF($B$2:$B$492,$B90))&gt;=0.85,"Top",IF((1-(COUNTIFS($B$2:$B$492,$B90,$O$2:$O$492,"&gt;"&amp;$O90)+1-1)/COUNTIF($B$2:$B$492,$B90))&gt;=0.6,"Buono",IF((1-(COUNTIFS($B$2:$B$492,$B90,$O$2:$O$492,"&gt;"&amp;$O90)+1-1)/COUNTIF($B$2:$B$492,$B90))&gt;=0.3,"Nella Media","Scommessa/Riserva")))),"")</f>
        <v>Buono</v>
      </c>
      <c r="Q90" s="29" t="n">
        <f aca="false">IF($D90="",COUNTIF($D$2:$D90,""),"")</f>
        <v>89</v>
      </c>
      <c r="R90" s="29" t="str">
        <f aca="false">IF($D90='Info Lega'!$B$28,COUNTIFS($D$2:$D90,'Info Lega'!$B$28),"")</f>
        <v/>
      </c>
      <c r="S90" s="30" t="n">
        <f aca="false">IFERROR(INDEX('Input Statistiche 2025_26'!$G$3:$G$665,MATCH($A90,'Input Statistiche 2025_26'!$A$3:$A$665,0)),"")</f>
        <v>6.2</v>
      </c>
      <c r="T90" s="30" t="n">
        <f aca="false">IFERROR(INDEX('Input Statistiche 2025_26'!$H$3:$H$665,MATCH($A90,'Input Statistiche 2025_26'!$A$3:$A$665,0)),"")</f>
        <v>6.59</v>
      </c>
      <c r="U90" s="26" t="str">
        <f aca="false">IF(OR('La Mia Rosa'!$O$12="",$D90&lt;&gt;""),"",IF($F90&lt;='La Mia Rosa'!$O$12*'Parametri Modello'!$B$24,"OK",IF($F90&lt;='La Mia Rosa'!$O$12*'Parametri Modello'!$B$25,"Attenzione","Rischio Alto")))</f>
        <v>OK</v>
      </c>
      <c r="V90" s="26" t="n">
        <f aca="false">IFERROR(COUNTIFS($B$2:$B$492,$B90,$O$2:$O$492,"&gt;"&amp;$O90)+1,"")</f>
        <v>32</v>
      </c>
      <c r="W90" s="21" t="n">
        <f aca="false">'Info Lega'!$B$4-SUMIFS($M$2:$M$492,$D$2:$D$492,'Info Lega'!$B$28)</f>
        <v>1000</v>
      </c>
      <c r="X90" s="21" t="n">
        <f aca="false">('Info Lega'!$B$5-COUNTIFS($D$2:$D$492,'Info Lega'!$B$28,$B$2:$B$492,"P"))+('Info Lega'!$B$6-COUNTIFS($D$2:$D$492,'Info Lega'!$B$28,$B$2:$B$492,"D"))+('Info Lega'!$B$7-COUNTIFS($D$2:$D$492,'Info Lega'!$B$28,$B$2:$B$492,"C"))+('Info Lega'!$B$8-COUNTIFS($D$2:$D$492,'Info Lega'!$B$28,$B$2:$B$492,"A"))</f>
        <v>25</v>
      </c>
      <c r="Y90" s="21" t="n">
        <f aca="false">X90*'Parametri Modello'!$B$30</f>
        <v>25</v>
      </c>
      <c r="Z90" s="21" t="n">
        <f aca="false">MAX(0,W90-Y90)</f>
        <v>975</v>
      </c>
      <c r="AA90" s="21" t="n">
        <f aca="false">MIN(F90,Z90)</f>
        <v>20</v>
      </c>
      <c r="AB90" s="21"/>
      <c r="AC90" s="21" t="str">
        <f aca="false">IF(AB90="","",IF(AB90&gt;AA90,"PASS",IF(AB90&lt;=AA90*0.85,"BID","ATTENZIONE")))</f>
        <v/>
      </c>
      <c r="AD90" s="31" t="n">
        <f aca="false">IF(I90="","",ROUND(100*(1-EXP(-I90/30)),0))</f>
        <v>61</v>
      </c>
      <c r="AE90" s="7" t="str">
        <f aca="false">IFERROR(INDEX('Stato Asta'!$G$9:$G$12,MATCH($B90,'Stato Asta'!$A$9:$A$12,0)),"")</f>
        <v>🟡 Attesa rischiosa</v>
      </c>
    </row>
    <row r="91" customFormat="false" ht="14.25" hidden="false" customHeight="true" outlineLevel="0" collapsed="false">
      <c r="A91" s="21" t="n">
        <v>5888</v>
      </c>
      <c r="B91" s="21" t="s">
        <v>45</v>
      </c>
      <c r="C91" s="21" t="s">
        <v>399</v>
      </c>
      <c r="E91" s="26" t="str">
        <f aca="false">IF(COUNTIF('Info Strategia'!$D$2:$D$51,$C91)&gt;0,"SI","NO")</f>
        <v>NO</v>
      </c>
      <c r="F91" s="27" t="n">
        <f aca="false">IFERROR(ROUND(($G91+($H91-$G91)*'Info Strategia'!$B$6)*(1+IF($E91="SI",'Parametri Modello'!$B$7*'Info Strategia'!$B$6,0)),0),"")</f>
        <v>20</v>
      </c>
      <c r="G91" s="27" t="n">
        <f aca="false">IFERROR(ROUND((IF(OR(INDEX('Parametri Modello'!$C$39:$C$42,MATCH($B91,'Parametri Modello'!$A$39:$A$42,0))="",INDEX('Parametri Modello'!$C$39:$C$42,MATCH($B91,'Parametri Modello'!$A$39:$A$42,0))=0),0,($O91/INDEX('Parametri Modello'!$C$39:$C$42,MATCH($B91,'Parametri Modello'!$A$39:$A$42,0)))*(INDEX('Parametri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14</v>
      </c>
      <c r="H91" s="27" t="n">
        <f aca="false">IFERROR(ROUND((IF(OR(INDEX('Parametri Modello'!$C$39:$C$42,MATCH($B91,'Parametri Modello'!$A$39:$A$42,0))="",INDEX('Parametri Modello'!$C$39:$C$42,MATCH($B91,'Parametri Modello'!$A$39:$A$42,0))=0),0,($O91/INDEX('Parametri Modello'!$C$39:$C$42,MATCH($B91,'Parametri Modello'!$A$39:$A$42,0)))*(INDEX('Parametri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23</v>
      </c>
      <c r="I91" s="26" t="n">
        <f aca="false">IFERROR(INDEX('Input Statistiche 2025_26'!$F$3:$F$665,MATCH($A91,'Input Statistiche 2025_26'!$A$3:$A$665,0)),"")</f>
        <v>32</v>
      </c>
      <c r="J91" s="26" t="n">
        <f aca="false">IFERROR(IF($I91="","",MAX(0,38-$I91)),"")</f>
        <v>6</v>
      </c>
      <c r="K91" s="26" t="n">
        <f aca="false">IFERROR(INDEX('Input Statistiche 2025_26'!$I$3:$I$665,MATCH($A91,'Input Statistiche 2025_26'!$A$3:$A$665,0)),"")</f>
        <v>6</v>
      </c>
      <c r="L91" s="26" t="n">
        <f aca="false">IFERROR(INDEX('Input Statistiche 2025_26'!$O$3:$O$665,MATCH($A91,'Input Statistiche 2025_26'!$A$3:$A$665,0)),"")</f>
        <v>0</v>
      </c>
      <c r="M91" s="28"/>
      <c r="N91" s="27" t="n">
        <f aca="false">IFERROR(INDEX('Input Giocatori 2026_27'!$E$3:$E$493,MATCH($A91,'Input Giocatori 2026_27'!$A$3:$A$493,0)),"")</f>
        <v>10</v>
      </c>
      <c r="O91" s="27" t="n">
        <f aca="false">IFERROR(INDEX('Input Giocatori 2026_27'!$G$3:$G$493,MATCH($A91,'Input Giocatori 2026_27'!$A$3:$A$493,0)),"")</f>
        <v>37</v>
      </c>
      <c r="P91" s="26" t="str">
        <f aca="false">IFERROR(IF($O91="","",IF((1-(COUNTIFS($B$2:$B$492,$B91,$O$2:$O$492,"&gt;"&amp;$O91)+1-1)/COUNTIF($B$2:$B$492,$B91))&gt;=0.85,"Top",IF((1-(COUNTIFS($B$2:$B$492,$B91,$O$2:$O$492,"&gt;"&amp;$O91)+1-1)/COUNTIF($B$2:$B$492,$B91))&gt;=0.6,"Buono",IF((1-(COUNTIFS($B$2:$B$492,$B91,$O$2:$O$492,"&gt;"&amp;$O91)+1-1)/COUNTIF($B$2:$B$492,$B91))&gt;=0.3,"Nella Media","Scommessa/Riserva")))),"")</f>
        <v>Buono</v>
      </c>
      <c r="Q91" s="29" t="n">
        <f aca="false">IF($D91="",COUNTIF($D$2:$D91,""),"")</f>
        <v>90</v>
      </c>
      <c r="R91" s="29" t="str">
        <f aca="false">IF($D91='Info Lega'!$B$28,COUNTIFS($D$2:$D91,'Info Lega'!$B$28),"")</f>
        <v/>
      </c>
      <c r="S91" s="30" t="n">
        <f aca="false">IFERROR(INDEX('Input Statistiche 2025_26'!$G$3:$G$665,MATCH($A91,'Input Statistiche 2025_26'!$A$3:$A$665,0)),"")</f>
        <v>5.97</v>
      </c>
      <c r="T91" s="30" t="n">
        <f aca="false">IFERROR(INDEX('Input Statistiche 2025_26'!$H$3:$H$665,MATCH($A91,'Input Statistiche 2025_26'!$A$3:$A$665,0)),"")</f>
        <v>6.45</v>
      </c>
      <c r="U91" s="26" t="str">
        <f aca="false">IF(OR('La Mia Rosa'!$O$12="",$D91&lt;&gt;""),"",IF($F91&lt;='La Mia Rosa'!$O$12*'Parametri Modello'!$B$24,"OK",IF($F91&lt;='La Mia Rosa'!$O$12*'Parametri Modello'!$B$25,"Attenzione","Rischio Alto")))</f>
        <v>OK</v>
      </c>
      <c r="V91" s="26" t="n">
        <f aca="false">IFERROR(COUNTIFS($B$2:$B$492,$B91,$O$2:$O$492,"&gt;"&amp;$O91)+1,"")</f>
        <v>32</v>
      </c>
      <c r="W91" s="21" t="n">
        <f aca="false">'Info Lega'!$B$4-SUMIFS($M$2:$M$492,$D$2:$D$492,'Info Lega'!$B$28)</f>
        <v>1000</v>
      </c>
      <c r="X91" s="21" t="n">
        <f aca="false">('Info Lega'!$B$5-COUNTIFS($D$2:$D$492,'Info Lega'!$B$28,$B$2:$B$492,"P"))+('Info Lega'!$B$6-COUNTIFS($D$2:$D$492,'Info Lega'!$B$28,$B$2:$B$492,"D"))+('Info Lega'!$B$7-COUNTIFS($D$2:$D$492,'Info Lega'!$B$28,$B$2:$B$492,"C"))+('Info Lega'!$B$8-COUNTIFS($D$2:$D$492,'Info Lega'!$B$28,$B$2:$B$492,"A"))</f>
        <v>25</v>
      </c>
      <c r="Y91" s="21" t="n">
        <f aca="false">X91*'Parametri Modello'!$B$30</f>
        <v>25</v>
      </c>
      <c r="Z91" s="21" t="n">
        <f aca="false">MAX(0,W91-Y91)</f>
        <v>975</v>
      </c>
      <c r="AA91" s="21" t="n">
        <f aca="false">MIN(F91,Z91)</f>
        <v>20</v>
      </c>
      <c r="AB91" s="21"/>
      <c r="AC91" s="21" t="str">
        <f aca="false">IF(AB91="","",IF(AB91&gt;AA91,"PASS",IF(AB91&lt;=AA91*0.85,"BID","ATTENZIONE")))</f>
        <v/>
      </c>
      <c r="AD91" s="31" t="n">
        <f aca="false">IF(I91="","",ROUND(100*(1-EXP(-I91/30)),0))</f>
        <v>66</v>
      </c>
      <c r="AE91" s="7" t="str">
        <f aca="false">IFERROR(INDEX('Stato Asta'!$G$9:$G$12,MATCH($B91,'Stato Asta'!$A$9:$A$12,0)),"")</f>
        <v>🟡 Attesa rischiosa</v>
      </c>
    </row>
    <row r="92" customFormat="false" ht="14.25" hidden="false" customHeight="true" outlineLevel="0" collapsed="false">
      <c r="A92" s="21" t="n">
        <v>6274</v>
      </c>
      <c r="B92" s="21" t="s">
        <v>45</v>
      </c>
      <c r="C92" s="21" t="s">
        <v>411</v>
      </c>
      <c r="E92" s="26" t="str">
        <f aca="false">IF(COUNTIF('Info Strategia'!$D$2:$D$51,$C92)&gt;0,"SI","NO")</f>
        <v>NO</v>
      </c>
      <c r="F92" s="27" t="n">
        <f aca="false">IFERROR(ROUND(($G92+($H92-$G92)*'Info Strategia'!$B$6)*(1+IF($E92="SI",'Parametri Modello'!$B$7*'Info Strategia'!$B$6,0)),0),"")</f>
        <v>20</v>
      </c>
      <c r="G92" s="27" t="n">
        <f aca="false">IFERROR(ROUND((IF(OR(INDEX('Parametri Modello'!$C$39:$C$42,MATCH($B92,'Parametri Modello'!$A$39:$A$42,0))="",INDEX('Parametri Modello'!$C$39:$C$42,MATCH($B92,'Parametri Modello'!$A$39:$A$42,0))=0),0,($O92/INDEX('Parametri Modello'!$C$39:$C$42,MATCH($B92,'Parametri Modello'!$A$39:$A$42,0)))*(INDEX('Parametri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14</v>
      </c>
      <c r="H92" s="27" t="n">
        <f aca="false">IFERROR(ROUND((IF(OR(INDEX('Parametri Modello'!$C$39:$C$42,MATCH($B92,'Parametri Modello'!$A$39:$A$42,0))="",INDEX('Parametri Modello'!$C$39:$C$42,MATCH($B92,'Parametri Modello'!$A$39:$A$42,0))=0),0,($O92/INDEX('Parametri Modello'!$C$39:$C$42,MATCH($B92,'Parametri Modello'!$A$39:$A$42,0)))*(INDEX('Parametri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23</v>
      </c>
      <c r="I92" s="26" t="n">
        <f aca="false">IFERROR(INDEX('Input Statistiche 2025_26'!$F$3:$F$665,MATCH($A92,'Input Statistiche 2025_26'!$A$3:$A$665,0)),"")</f>
        <v>10</v>
      </c>
      <c r="J92" s="26" t="n">
        <f aca="false">IFERROR(IF($I92="","",MAX(0,38-$I92)),"")</f>
        <v>28</v>
      </c>
      <c r="K92" s="26" t="n">
        <f aca="false">IFERROR(INDEX('Input Statistiche 2025_26'!$I$3:$I$665,MATCH($A92,'Input Statistiche 2025_26'!$A$3:$A$665,0)),"")</f>
        <v>1</v>
      </c>
      <c r="L92" s="26" t="n">
        <f aca="false">IFERROR(INDEX('Input Statistiche 2025_26'!$O$3:$O$665,MATCH($A92,'Input Statistiche 2025_26'!$A$3:$A$665,0)),"")</f>
        <v>0</v>
      </c>
      <c r="M92" s="28"/>
      <c r="N92" s="27" t="n">
        <f aca="false">IFERROR(INDEX('Input Giocatori 2026_27'!$E$3:$E$493,MATCH($A92,'Input Giocatori 2026_27'!$A$3:$A$493,0)),"")</f>
        <v>8</v>
      </c>
      <c r="O92" s="27" t="n">
        <f aca="false">IFERROR(INDEX('Input Giocatori 2026_27'!$G$3:$G$493,MATCH($A92,'Input Giocatori 2026_27'!$A$3:$A$493,0)),"")</f>
        <v>37</v>
      </c>
      <c r="P92" s="26" t="str">
        <f aca="false">IFERROR(IF($O92="","",IF((1-(COUNTIFS($B$2:$B$492,$B92,$O$2:$O$492,"&gt;"&amp;$O92)+1-1)/COUNTIF($B$2:$B$492,$B92))&gt;=0.85,"Top",IF((1-(COUNTIFS($B$2:$B$492,$B92,$O$2:$O$492,"&gt;"&amp;$O92)+1-1)/COUNTIF($B$2:$B$492,$B92))&gt;=0.6,"Buono",IF((1-(COUNTIFS($B$2:$B$492,$B92,$O$2:$O$492,"&gt;"&amp;$O92)+1-1)/COUNTIF($B$2:$B$492,$B92))&gt;=0.3,"Nella Media","Scommessa/Riserva")))),"")</f>
        <v>Buono</v>
      </c>
      <c r="Q92" s="29" t="n">
        <f aca="false">IF($D92="",COUNTIF($D$2:$D92,""),"")</f>
        <v>91</v>
      </c>
      <c r="R92" s="29" t="str">
        <f aca="false">IF($D92='Info Lega'!$B$28,COUNTIFS($D$2:$D92,'Info Lega'!$B$28),"")</f>
        <v/>
      </c>
      <c r="S92" s="30" t="n">
        <f aca="false">IFERROR(INDEX('Input Statistiche 2025_26'!$G$3:$G$665,MATCH($A92,'Input Statistiche 2025_26'!$A$3:$A$665,0)),"")</f>
        <v>6.15</v>
      </c>
      <c r="T92" s="30" t="n">
        <f aca="false">IFERROR(INDEX('Input Statistiche 2025_26'!$H$3:$H$665,MATCH($A92,'Input Statistiche 2025_26'!$A$3:$A$665,0)),"")</f>
        <v>6.45</v>
      </c>
      <c r="U92" s="26" t="str">
        <f aca="false">IF(OR('La Mia Rosa'!$O$12="",$D92&lt;&gt;""),"",IF($F92&lt;='La Mia Rosa'!$O$12*'Parametri Modello'!$B$24,"OK",IF($F92&lt;='La Mia Rosa'!$O$12*'Parametri Modello'!$B$25,"Attenzione","Rischio Alto")))</f>
        <v>OK</v>
      </c>
      <c r="V92" s="26" t="n">
        <f aca="false">IFERROR(COUNTIFS($B$2:$B$492,$B92,$O$2:$O$492,"&gt;"&amp;$O92)+1,"")</f>
        <v>32</v>
      </c>
      <c r="W92" s="21" t="n">
        <f aca="false">'Info Lega'!$B$4-SUMIFS($M$2:$M$492,$D$2:$D$492,'Info Lega'!$B$28)</f>
        <v>1000</v>
      </c>
      <c r="X92" s="21" t="n">
        <f aca="false">('Info Lega'!$B$5-COUNTIFS($D$2:$D$492,'Info Lega'!$B$28,$B$2:$B$492,"P"))+('Info Lega'!$B$6-COUNTIFS($D$2:$D$492,'Info Lega'!$B$28,$B$2:$B$492,"D"))+('Info Lega'!$B$7-COUNTIFS($D$2:$D$492,'Info Lega'!$B$28,$B$2:$B$492,"C"))+('Info Lega'!$B$8-COUNTIFS($D$2:$D$492,'Info Lega'!$B$28,$B$2:$B$492,"A"))</f>
        <v>25</v>
      </c>
      <c r="Y92" s="21" t="n">
        <f aca="false">X92*'Parametri Modello'!$B$30</f>
        <v>25</v>
      </c>
      <c r="Z92" s="21" t="n">
        <f aca="false">MAX(0,W92-Y92)</f>
        <v>975</v>
      </c>
      <c r="AA92" s="21" t="n">
        <f aca="false">MIN(F92,Z92)</f>
        <v>20</v>
      </c>
      <c r="AB92" s="21"/>
      <c r="AC92" s="21" t="str">
        <f aca="false">IF(AB92="","",IF(AB92&gt;AA92,"PASS",IF(AB92&lt;=AA92*0.85,"BID","ATTENZIONE")))</f>
        <v/>
      </c>
      <c r="AD92" s="31" t="n">
        <f aca="false">IF(I92="","",ROUND(100*(1-EXP(-I92/30)),0))</f>
        <v>28</v>
      </c>
      <c r="AE92" s="7" t="str">
        <f aca="false">IFERROR(INDEX('Stato Asta'!$G$9:$G$12,MATCH($B92,'Stato Asta'!$A$9:$A$12,0)),"")</f>
        <v>🟡 Attesa rischiosa</v>
      </c>
    </row>
    <row r="93" customFormat="false" ht="14.25" hidden="false" customHeight="true" outlineLevel="0" collapsed="false">
      <c r="A93" s="21" t="n">
        <v>6666</v>
      </c>
      <c r="B93" s="21" t="s">
        <v>45</v>
      </c>
      <c r="C93" s="21" t="s">
        <v>425</v>
      </c>
      <c r="E93" s="26" t="str">
        <f aca="false">IF(COUNTIF('Info Strategia'!$D$2:$D$51,$C93)&gt;0,"SI","NO")</f>
        <v>NO</v>
      </c>
      <c r="F93" s="27" t="n">
        <f aca="false">IFERROR(ROUND(($G93+($H93-$G93)*'Info Strategia'!$B$6)*(1+IF($E93="SI",'Parametri Modello'!$B$7*'Info Strategia'!$B$6,0)),0),"")</f>
        <v>20</v>
      </c>
      <c r="G93" s="27" t="n">
        <f aca="false">IFERROR(ROUND((IF(OR(INDEX('Parametri Modello'!$C$39:$C$42,MATCH($B93,'Parametri Modello'!$A$39:$A$42,0))="",INDEX('Parametri Modello'!$C$39:$C$42,MATCH($B93,'Parametri Modello'!$A$39:$A$42,0))=0),0,($O93/INDEX('Parametri Modello'!$C$39:$C$42,MATCH($B93,'Parametri Modello'!$A$39:$A$42,0)))*(INDEX('Parametri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14</v>
      </c>
      <c r="H93" s="27" t="n">
        <f aca="false">IFERROR(ROUND((IF(OR(INDEX('Parametri Modello'!$C$39:$C$42,MATCH($B93,'Parametri Modello'!$A$39:$A$42,0))="",INDEX('Parametri Modello'!$C$39:$C$42,MATCH($B93,'Parametri Modello'!$A$39:$A$42,0))=0),0,($O93/INDEX('Parametri Modello'!$C$39:$C$42,MATCH($B93,'Parametri Modello'!$A$39:$A$42,0)))*(INDEX('Parametri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23</v>
      </c>
      <c r="I93" s="26" t="n">
        <f aca="false">IFERROR(INDEX('Input Statistiche 2025_26'!$F$3:$F$665,MATCH($A93,'Input Statistiche 2025_26'!$A$3:$A$665,0)),"")</f>
        <v>32</v>
      </c>
      <c r="J93" s="26" t="n">
        <f aca="false">IFERROR(IF($I93="","",MAX(0,38-$I93)),"")</f>
        <v>6</v>
      </c>
      <c r="K93" s="26" t="n">
        <f aca="false">IFERROR(INDEX('Input Statistiche 2025_26'!$I$3:$I$665,MATCH($A93,'Input Statistiche 2025_26'!$A$3:$A$665,0)),"")</f>
        <v>3</v>
      </c>
      <c r="L93" s="26" t="n">
        <f aca="false">IFERROR(INDEX('Input Statistiche 2025_26'!$O$3:$O$665,MATCH($A93,'Input Statistiche 2025_26'!$A$3:$A$665,0)),"")</f>
        <v>1</v>
      </c>
      <c r="M93" s="28"/>
      <c r="N93" s="27" t="n">
        <f aca="false">IFERROR(INDEX('Input Giocatori 2026_27'!$E$3:$E$493,MATCH($A93,'Input Giocatori 2026_27'!$A$3:$A$493,0)),"")</f>
        <v>7</v>
      </c>
      <c r="O93" s="27" t="n">
        <f aca="false">IFERROR(INDEX('Input Giocatori 2026_27'!$G$3:$G$493,MATCH($A93,'Input Giocatori 2026_27'!$A$3:$A$493,0)),"")</f>
        <v>36</v>
      </c>
      <c r="P93" s="26" t="str">
        <f aca="false">IFERROR(IF($O93="","",IF((1-(COUNTIFS($B$2:$B$492,$B93,$O$2:$O$492,"&gt;"&amp;$O93)+1-1)/COUNTIF($B$2:$B$492,$B93))&gt;=0.85,"Top",IF((1-(COUNTIFS($B$2:$B$492,$B93,$O$2:$O$492,"&gt;"&amp;$O93)+1-1)/COUNTIF($B$2:$B$492,$B93))&gt;=0.6,"Buono",IF((1-(COUNTIFS($B$2:$B$492,$B93,$O$2:$O$492,"&gt;"&amp;$O93)+1-1)/COUNTIF($B$2:$B$492,$B93))&gt;=0.3,"Nella Media","Scommessa/Riserva")))),"")</f>
        <v>Buono</v>
      </c>
      <c r="Q93" s="29" t="n">
        <f aca="false">IF($D93="",COUNTIF($D$2:$D93,""),"")</f>
        <v>92</v>
      </c>
      <c r="R93" s="29" t="str">
        <f aca="false">IF($D93='Info Lega'!$B$28,COUNTIFS($D$2:$D93,'Info Lega'!$B$28),"")</f>
        <v/>
      </c>
      <c r="S93" s="30" t="n">
        <f aca="false">IFERROR(INDEX('Input Statistiche 2025_26'!$G$3:$G$665,MATCH($A93,'Input Statistiche 2025_26'!$A$3:$A$665,0)),"")</f>
        <v>6.17</v>
      </c>
      <c r="T93" s="30" t="n">
        <f aca="false">IFERROR(INDEX('Input Statistiche 2025_26'!$H$3:$H$665,MATCH($A93,'Input Statistiche 2025_26'!$A$3:$A$665,0)),"")</f>
        <v>6.48</v>
      </c>
      <c r="U93" s="26" t="str">
        <f aca="false">IF(OR('La Mia Rosa'!$O$12="",$D93&lt;&gt;""),"",IF($F93&lt;='La Mia Rosa'!$O$12*'Parametri Modello'!$B$24,"OK",IF($F93&lt;='La Mia Rosa'!$O$12*'Parametri Modello'!$B$25,"Attenzione","Rischio Alto")))</f>
        <v>OK</v>
      </c>
      <c r="V93" s="26" t="n">
        <f aca="false">IFERROR(COUNTIFS($B$2:$B$492,$B93,$O$2:$O$492,"&gt;"&amp;$O93)+1,"")</f>
        <v>35</v>
      </c>
      <c r="W93" s="21" t="n">
        <f aca="false">'Info Lega'!$B$4-SUMIFS($M$2:$M$492,$D$2:$D$492,'Info Lega'!$B$28)</f>
        <v>1000</v>
      </c>
      <c r="X93" s="21" t="n">
        <f aca="false">('Info Lega'!$B$5-COUNTIFS($D$2:$D$492,'Info Lega'!$B$28,$B$2:$B$492,"P"))+('Info Lega'!$B$6-COUNTIFS($D$2:$D$492,'Info Lega'!$B$28,$B$2:$B$492,"D"))+('Info Lega'!$B$7-COUNTIFS($D$2:$D$492,'Info Lega'!$B$28,$B$2:$B$492,"C"))+('Info Lega'!$B$8-COUNTIFS($D$2:$D$492,'Info Lega'!$B$28,$B$2:$B$492,"A"))</f>
        <v>25</v>
      </c>
      <c r="Y93" s="21" t="n">
        <f aca="false">X93*'Parametri Modello'!$B$30</f>
        <v>25</v>
      </c>
      <c r="Z93" s="21" t="n">
        <f aca="false">MAX(0,W93-Y93)</f>
        <v>975</v>
      </c>
      <c r="AA93" s="21" t="n">
        <f aca="false">MIN(F93,Z93)</f>
        <v>20</v>
      </c>
      <c r="AB93" s="21"/>
      <c r="AC93" s="21" t="str">
        <f aca="false">IF(AB93="","",IF(AB93&gt;AA93,"PASS",IF(AB93&lt;=AA93*0.85,"BID","ATTENZIONE")))</f>
        <v/>
      </c>
      <c r="AD93" s="31" t="n">
        <f aca="false">IF(I93="","",ROUND(100*(1-EXP(-I93/30)),0))</f>
        <v>66</v>
      </c>
      <c r="AE93" s="7" t="str">
        <f aca="false">IFERROR(INDEX('Stato Asta'!$G$9:$G$12,MATCH($B93,'Stato Asta'!$A$9:$A$12,0)),"")</f>
        <v>🟡 Attesa rischiosa</v>
      </c>
    </row>
    <row r="94" customFormat="false" ht="14.25" hidden="false" customHeight="true" outlineLevel="0" collapsed="false">
      <c r="A94" s="21" t="n">
        <v>7223</v>
      </c>
      <c r="B94" s="21" t="s">
        <v>45</v>
      </c>
      <c r="C94" s="21" t="s">
        <v>415</v>
      </c>
      <c r="E94" s="26" t="str">
        <f aca="false">IF(COUNTIF('Info Strategia'!$D$2:$D$51,$C94)&gt;0,"SI","NO")</f>
        <v>NO</v>
      </c>
      <c r="F94" s="27" t="n">
        <f aca="false">IFERROR(ROUND(($G94+($H94-$G94)*'Info Strategia'!$B$6)*(1+IF($E94="SI",'Parametri Modello'!$B$7*'Info Strategia'!$B$6,0)),0),"")</f>
        <v>19</v>
      </c>
      <c r="G94" s="27" t="n">
        <f aca="false">IFERROR(ROUND((IF(OR(INDEX('Parametri Modello'!$C$39:$C$42,MATCH($B94,'Parametri Modello'!$A$39:$A$42,0))="",INDEX('Parametri Modello'!$C$39:$C$42,MATCH($B94,'Parametri Modello'!$A$39:$A$42,0))=0),0,($O94/INDEX('Parametri Modello'!$C$39:$C$42,MATCH($B94,'Parametri Modello'!$A$39:$A$42,0)))*(INDEX('Parametri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13</v>
      </c>
      <c r="H94" s="27" t="n">
        <f aca="false">IFERROR(ROUND((IF(OR(INDEX('Parametri Modello'!$C$39:$C$42,MATCH($B94,'Parametri Modello'!$A$39:$A$42,0))="",INDEX('Parametri Modello'!$C$39:$C$42,MATCH($B94,'Parametri Modello'!$A$39:$A$42,0))=0),0,($O94/INDEX('Parametri Modello'!$C$39:$C$42,MATCH($B94,'Parametri Modello'!$A$39:$A$42,0)))*(INDEX('Parametri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21</v>
      </c>
      <c r="I94" s="26" t="n">
        <f aca="false">IFERROR(INDEX('Input Statistiche 2025_26'!$F$3:$F$665,MATCH($A94,'Input Statistiche 2025_26'!$A$3:$A$665,0)),"")</f>
        <v>8</v>
      </c>
      <c r="J94" s="26" t="n">
        <f aca="false">IFERROR(IF($I94="","",MAX(0,38-$I94)),"")</f>
        <v>30</v>
      </c>
      <c r="K94" s="26" t="n">
        <f aca="false">IFERROR(INDEX('Input Statistiche 2025_26'!$I$3:$I$665,MATCH($A94,'Input Statistiche 2025_26'!$A$3:$A$665,0)),"")</f>
        <v>1</v>
      </c>
      <c r="L94" s="26" t="n">
        <f aca="false">IFERROR(INDEX('Input Statistiche 2025_26'!$O$3:$O$665,MATCH($A94,'Input Statistiche 2025_26'!$A$3:$A$665,0)),"")</f>
        <v>0</v>
      </c>
      <c r="M94" s="28"/>
      <c r="N94" s="27" t="n">
        <f aca="false">IFERROR(INDEX('Input Giocatori 2026_27'!$E$3:$E$493,MATCH($A94,'Input Giocatori 2026_27'!$A$3:$A$493,0)),"")</f>
        <v>8</v>
      </c>
      <c r="O94" s="27" t="n">
        <f aca="false">IFERROR(INDEX('Input Giocatori 2026_27'!$G$3:$G$493,MATCH($A94,'Input Giocatori 2026_27'!$A$3:$A$493,0)),"")</f>
        <v>34</v>
      </c>
      <c r="P94" s="26" t="str">
        <f aca="false">IFERROR(IF($O94="","",IF((1-(COUNTIFS($B$2:$B$492,$B94,$O$2:$O$492,"&gt;"&amp;$O94)+1-1)/COUNTIF($B$2:$B$492,$B94))&gt;=0.85,"Top",IF((1-(COUNTIFS($B$2:$B$492,$B94,$O$2:$O$492,"&gt;"&amp;$O94)+1-1)/COUNTIF($B$2:$B$492,$B94))&gt;=0.6,"Buono",IF((1-(COUNTIFS($B$2:$B$492,$B94,$O$2:$O$492,"&gt;"&amp;$O94)+1-1)/COUNTIF($B$2:$B$492,$B94))&gt;=0.3,"Nella Media","Scommessa/Riserva")))),"")</f>
        <v>Buono</v>
      </c>
      <c r="Q94" s="29" t="n">
        <f aca="false">IF($D94="",COUNTIF($D$2:$D94,""),"")</f>
        <v>93</v>
      </c>
      <c r="R94" s="29" t="str">
        <f aca="false">IF($D94='Info Lega'!$B$28,COUNTIFS($D$2:$D94,'Info Lega'!$B$28),"")</f>
        <v/>
      </c>
      <c r="S94" s="30" t="n">
        <f aca="false">IFERROR(INDEX('Input Statistiche 2025_26'!$G$3:$G$665,MATCH($A94,'Input Statistiche 2025_26'!$A$3:$A$665,0)),"")</f>
        <v>6.25</v>
      </c>
      <c r="T94" s="30" t="n">
        <f aca="false">IFERROR(INDEX('Input Statistiche 2025_26'!$H$3:$H$665,MATCH($A94,'Input Statistiche 2025_26'!$A$3:$A$665,0)),"")</f>
        <v>6.5</v>
      </c>
      <c r="U94" s="26" t="str">
        <f aca="false">IF(OR('La Mia Rosa'!$O$12="",$D94&lt;&gt;""),"",IF($F94&lt;='La Mia Rosa'!$O$12*'Parametri Modello'!$B$24,"OK",IF($F94&lt;='La Mia Rosa'!$O$12*'Parametri Modello'!$B$25,"Attenzione","Rischio Alto")))</f>
        <v>OK</v>
      </c>
      <c r="V94" s="26" t="n">
        <f aca="false">IFERROR(COUNTIFS($B$2:$B$492,$B94,$O$2:$O$492,"&gt;"&amp;$O94)+1,"")</f>
        <v>36</v>
      </c>
      <c r="W94" s="21" t="n">
        <f aca="false">'Info Lega'!$B$4-SUMIFS($M$2:$M$492,$D$2:$D$492,'Info Lega'!$B$28)</f>
        <v>1000</v>
      </c>
      <c r="X94" s="21" t="n">
        <f aca="false">('Info Lega'!$B$5-COUNTIFS($D$2:$D$492,'Info Lega'!$B$28,$B$2:$B$492,"P"))+('Info Lega'!$B$6-COUNTIFS($D$2:$D$492,'Info Lega'!$B$28,$B$2:$B$492,"D"))+('Info Lega'!$B$7-COUNTIFS($D$2:$D$492,'Info Lega'!$B$28,$B$2:$B$492,"C"))+('Info Lega'!$B$8-COUNTIFS($D$2:$D$492,'Info Lega'!$B$28,$B$2:$B$492,"A"))</f>
        <v>25</v>
      </c>
      <c r="Y94" s="21" t="n">
        <f aca="false">X94*'Parametri Modello'!$B$30</f>
        <v>25</v>
      </c>
      <c r="Z94" s="21" t="n">
        <f aca="false">MAX(0,W94-Y94)</f>
        <v>975</v>
      </c>
      <c r="AA94" s="21" t="n">
        <f aca="false">MIN(F94,Z94)</f>
        <v>19</v>
      </c>
      <c r="AB94" s="21"/>
      <c r="AC94" s="21" t="str">
        <f aca="false">IF(AB94="","",IF(AB94&gt;AA94,"PASS",IF(AB94&lt;=AA94*0.85,"BID","ATTENZIONE")))</f>
        <v/>
      </c>
      <c r="AD94" s="31" t="n">
        <f aca="false">IF(I94="","",ROUND(100*(1-EXP(-I94/30)),0))</f>
        <v>23</v>
      </c>
      <c r="AE94" s="7" t="str">
        <f aca="false">IFERROR(INDEX('Stato Asta'!$G$9:$G$12,MATCH($B94,'Stato Asta'!$A$9:$A$12,0)),"")</f>
        <v>🟡 Attesa rischiosa</v>
      </c>
    </row>
    <row r="95" customFormat="false" ht="14.25" hidden="false" customHeight="true" outlineLevel="0" collapsed="false">
      <c r="A95" s="21" t="n">
        <v>6217</v>
      </c>
      <c r="B95" s="21" t="s">
        <v>44</v>
      </c>
      <c r="C95" s="21" t="s">
        <v>206</v>
      </c>
      <c r="E95" s="26" t="str">
        <f aca="false">IF(COUNTIF('Info Strategia'!$D$2:$D$51,$C95)&gt;0,"SI","NO")</f>
        <v>NO</v>
      </c>
      <c r="F95" s="27" t="n">
        <f aca="false">IFERROR(ROUND(($G95+($H95-$G95)*'Info Strategia'!$B$6)*(1+IF($E95="SI",'Parametri Modello'!$B$7*'Info Strategia'!$B$6,0)),0),"")</f>
        <v>16</v>
      </c>
      <c r="G95" s="27" t="n">
        <f aca="false">IFERROR(ROUND((IF(OR(INDEX('Parametri Modello'!$C$39:$C$42,MATCH($B95,'Parametri Modello'!$A$39:$A$42,0))="",INDEX('Parametri Modello'!$C$39:$C$42,MATCH($B95,'Parametri Modello'!$A$39:$A$42,0))=0),0,($O95/INDEX('Parametri Modello'!$C$39:$C$42,MATCH($B95,'Parametri Modello'!$A$39:$A$42,0)))*(INDEX('Parametri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12</v>
      </c>
      <c r="H95" s="27" t="n">
        <f aca="false">IFERROR(ROUND((IF(OR(INDEX('Parametri Modello'!$C$39:$C$42,MATCH($B95,'Parametri Modello'!$A$39:$A$42,0))="",INDEX('Parametri Modello'!$C$39:$C$42,MATCH($B95,'Parametri Modello'!$A$39:$A$42,0))=0),0,($O95/INDEX('Parametri Modello'!$C$39:$C$42,MATCH($B95,'Parametri Modello'!$A$39:$A$42,0)))*(INDEX('Parametri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18</v>
      </c>
      <c r="I95" s="26" t="n">
        <f aca="false">IFERROR(INDEX('Input Statistiche 2025_26'!$F$3:$F$665,MATCH($A95,'Input Statistiche 2025_26'!$A$3:$A$665,0)),"")</f>
        <v>23</v>
      </c>
      <c r="J95" s="26" t="n">
        <f aca="false">IFERROR(IF($I95="","",MAX(0,38-$I95)),"")</f>
        <v>15</v>
      </c>
      <c r="K95" s="26" t="n">
        <f aca="false">IFERROR(INDEX('Input Statistiche 2025_26'!$I$3:$I$665,MATCH($A95,'Input Statistiche 2025_26'!$A$3:$A$665,0)),"")</f>
        <v>3</v>
      </c>
      <c r="L95" s="26" t="n">
        <f aca="false">IFERROR(INDEX('Input Statistiche 2025_26'!$O$3:$O$665,MATCH($A95,'Input Statistiche 2025_26'!$A$3:$A$665,0)),"")</f>
        <v>2</v>
      </c>
      <c r="M95" s="28"/>
      <c r="N95" s="27" t="n">
        <f aca="false">IFERROR(INDEX('Input Giocatori 2026_27'!$E$3:$E$493,MATCH($A95,'Input Giocatori 2026_27'!$A$3:$A$493,0)),"")</f>
        <v>11</v>
      </c>
      <c r="O95" s="27" t="n">
        <f aca="false">IFERROR(INDEX('Input Giocatori 2026_27'!$G$3:$G$493,MATCH($A95,'Input Giocatori 2026_27'!$A$3:$A$493,0)),"")</f>
        <v>33</v>
      </c>
      <c r="P95" s="26" t="str">
        <f aca="false">IFERROR(IF($O95="","",IF((1-(COUNTIFS($B$2:$B$492,$B95,$O$2:$O$492,"&gt;"&amp;$O95)+1-1)/COUNTIF($B$2:$B$492,$B95))&gt;=0.85,"Top",IF((1-(COUNTIFS($B$2:$B$492,$B95,$O$2:$O$492,"&gt;"&amp;$O95)+1-1)/COUNTIF($B$2:$B$492,$B95))&gt;=0.6,"Buono",IF((1-(COUNTIFS($B$2:$B$492,$B95,$O$2:$O$492,"&gt;"&amp;$O95)+1-1)/COUNTIF($B$2:$B$492,$B95))&gt;=0.3,"Nella Media","Scommessa/Riserva")))),"")</f>
        <v>Top</v>
      </c>
      <c r="Q95" s="29" t="n">
        <f aca="false">IF($D95="",COUNTIF($D$2:$D95,""),"")</f>
        <v>94</v>
      </c>
      <c r="R95" s="29" t="str">
        <f aca="false">IF($D95='Info Lega'!$B$28,COUNTIFS($D$2:$D95,'Info Lega'!$B$28),"")</f>
        <v/>
      </c>
      <c r="S95" s="30" t="n">
        <f aca="false">IFERROR(INDEX('Input Statistiche 2025_26'!$G$3:$G$665,MATCH($A95,'Input Statistiche 2025_26'!$A$3:$A$665,0)),"")</f>
        <v>6.22</v>
      </c>
      <c r="T95" s="30" t="n">
        <f aca="false">IFERROR(INDEX('Input Statistiche 2025_26'!$H$3:$H$665,MATCH($A95,'Input Statistiche 2025_26'!$A$3:$A$665,0)),"")</f>
        <v>6.65</v>
      </c>
      <c r="U95" s="26" t="str">
        <f aca="false">IF(OR('La Mia Rosa'!$O$12="",$D95&lt;&gt;""),"",IF($F95&lt;='La Mia Rosa'!$O$12*'Parametri Modello'!$B$24,"OK",IF($F95&lt;='La Mia Rosa'!$O$12*'Parametri Modello'!$B$25,"Attenzione","Rischio Alto")))</f>
        <v>OK</v>
      </c>
      <c r="V95" s="26" t="n">
        <f aca="false">IFERROR(COUNTIFS($B$2:$B$492,$B95,$O$2:$O$492,"&gt;"&amp;$O95)+1,"")</f>
        <v>15</v>
      </c>
      <c r="W95" s="21" t="n">
        <f aca="false">'Info Lega'!$B$4-SUMIFS($M$2:$M$492,$D$2:$D$492,'Info Lega'!$B$28)</f>
        <v>1000</v>
      </c>
      <c r="X95" s="21" t="n">
        <f aca="false">('Info Lega'!$B$5-COUNTIFS($D$2:$D$492,'Info Lega'!$B$28,$B$2:$B$492,"P"))+('Info Lega'!$B$6-COUNTIFS($D$2:$D$492,'Info Lega'!$B$28,$B$2:$B$492,"D"))+('Info Lega'!$B$7-COUNTIFS($D$2:$D$492,'Info Lega'!$B$28,$B$2:$B$492,"C"))+('Info Lega'!$B$8-COUNTIFS($D$2:$D$492,'Info Lega'!$B$28,$B$2:$B$492,"A"))</f>
        <v>25</v>
      </c>
      <c r="Y95" s="21" t="n">
        <f aca="false">X95*'Parametri Modello'!$B$30</f>
        <v>25</v>
      </c>
      <c r="Z95" s="21" t="n">
        <f aca="false">MAX(0,W95-Y95)</f>
        <v>975</v>
      </c>
      <c r="AA95" s="21" t="n">
        <f aca="false">MIN(F95,Z95)</f>
        <v>16</v>
      </c>
      <c r="AB95" s="21"/>
      <c r="AC95" s="21" t="str">
        <f aca="false">IF(AB95="","",IF(AB95&gt;AA95,"PASS",IF(AB95&lt;=AA95*0.85,"BID","ATTENZIONE")))</f>
        <v/>
      </c>
      <c r="AD95" s="31" t="n">
        <f aca="false">IF(I95="","",ROUND(100*(1-EXP(-I95/30)),0))</f>
        <v>54</v>
      </c>
      <c r="AE95" s="7" t="str">
        <f aca="false">IFERROR(INDEX('Stato Asta'!$G$9:$G$12,MATCH($B95,'Stato Asta'!$A$9:$A$12,0)),"")</f>
        <v>🟡 Attesa rischiosa</v>
      </c>
    </row>
    <row r="96" customFormat="false" ht="14.25" hidden="false" customHeight="true" outlineLevel="0" collapsed="false">
      <c r="A96" s="21" t="n">
        <v>5514</v>
      </c>
      <c r="B96" s="21" t="s">
        <v>44</v>
      </c>
      <c r="C96" s="21" t="s">
        <v>211</v>
      </c>
      <c r="E96" s="26" t="str">
        <f aca="false">IF(COUNTIF('Info Strategia'!$D$2:$D$51,$C96)&gt;0,"SI","NO")</f>
        <v>NO</v>
      </c>
      <c r="F96" s="27" t="n">
        <f aca="false">IFERROR(ROUND(($G96+($H96-$G96)*'Info Strategia'!$B$6)*(1+IF($E96="SI",'Parametri Modello'!$B$7*'Info Strategia'!$B$6,0)),0),"")</f>
        <v>16</v>
      </c>
      <c r="G96" s="27" t="n">
        <f aca="false">IFERROR(ROUND((IF(OR(INDEX('Parametri Modello'!$C$39:$C$42,MATCH($B96,'Parametri Modello'!$A$39:$A$42,0))="",INDEX('Parametri Modello'!$C$39:$C$42,MATCH($B96,'Parametri Modello'!$A$39:$A$42,0))=0),0,($O96/INDEX('Parametri Modello'!$C$39:$C$42,MATCH($B96,'Parametri Modello'!$A$39:$A$42,0)))*(INDEX('Parametri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12</v>
      </c>
      <c r="H96" s="27" t="n">
        <f aca="false">IFERROR(ROUND((IF(OR(INDEX('Parametri Modello'!$C$39:$C$42,MATCH($B96,'Parametri Modello'!$A$39:$A$42,0))="",INDEX('Parametri Modello'!$C$39:$C$42,MATCH($B96,'Parametri Modello'!$A$39:$A$42,0))=0),0,($O96/INDEX('Parametri Modello'!$C$39:$C$42,MATCH($B96,'Parametri Modello'!$A$39:$A$42,0)))*(INDEX('Parametri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18</v>
      </c>
      <c r="I96" s="26" t="n">
        <f aca="false">IFERROR(INDEX('Input Statistiche 2025_26'!$F$3:$F$665,MATCH($A96,'Input Statistiche 2025_26'!$A$3:$A$665,0)),"")</f>
        <v>36</v>
      </c>
      <c r="J96" s="26" t="n">
        <f aca="false">IFERROR(IF($I96="","",MAX(0,38-$I96)),"")</f>
        <v>2</v>
      </c>
      <c r="K96" s="26" t="n">
        <f aca="false">IFERROR(INDEX('Input Statistiche 2025_26'!$I$3:$I$665,MATCH($A96,'Input Statistiche 2025_26'!$A$3:$A$665,0)),"")</f>
        <v>1</v>
      </c>
      <c r="L96" s="26" t="n">
        <f aca="false">IFERROR(INDEX('Input Statistiche 2025_26'!$O$3:$O$665,MATCH($A96,'Input Statistiche 2025_26'!$A$3:$A$665,0)),"")</f>
        <v>0</v>
      </c>
      <c r="M96" s="28"/>
      <c r="N96" s="27" t="n">
        <f aca="false">IFERROR(INDEX('Input Giocatori 2026_27'!$E$3:$E$493,MATCH($A96,'Input Giocatori 2026_27'!$A$3:$A$493,0)),"")</f>
        <v>9</v>
      </c>
      <c r="O96" s="27" t="n">
        <f aca="false">IFERROR(INDEX('Input Giocatori 2026_27'!$G$3:$G$493,MATCH($A96,'Input Giocatori 2026_27'!$A$3:$A$493,0)),"")</f>
        <v>33</v>
      </c>
      <c r="P96" s="26" t="str">
        <f aca="false">IFERROR(IF($O96="","",IF((1-(COUNTIFS($B$2:$B$492,$B96,$O$2:$O$492,"&gt;"&amp;$O96)+1-1)/COUNTIF($B$2:$B$492,$B96))&gt;=0.85,"Top",IF((1-(COUNTIFS($B$2:$B$492,$B96,$O$2:$O$492,"&gt;"&amp;$O96)+1-1)/COUNTIF($B$2:$B$492,$B96))&gt;=0.6,"Buono",IF((1-(COUNTIFS($B$2:$B$492,$B96,$O$2:$O$492,"&gt;"&amp;$O96)+1-1)/COUNTIF($B$2:$B$492,$B96))&gt;=0.3,"Nella Media","Scommessa/Riserva")))),"")</f>
        <v>Top</v>
      </c>
      <c r="Q96" s="29" t="n">
        <f aca="false">IF($D96="",COUNTIF($D$2:$D96,""),"")</f>
        <v>95</v>
      </c>
      <c r="R96" s="29" t="str">
        <f aca="false">IF($D96='Info Lega'!$B$28,COUNTIFS($D$2:$D96,'Info Lega'!$B$28),"")</f>
        <v/>
      </c>
      <c r="S96" s="30" t="n">
        <f aca="false">IFERROR(INDEX('Input Statistiche 2025_26'!$G$3:$G$665,MATCH($A96,'Input Statistiche 2025_26'!$A$3:$A$665,0)),"")</f>
        <v>6.08</v>
      </c>
      <c r="T96" s="30" t="n">
        <f aca="false">IFERROR(INDEX('Input Statistiche 2025_26'!$H$3:$H$665,MATCH($A96,'Input Statistiche 2025_26'!$A$3:$A$665,0)),"")</f>
        <v>6.14</v>
      </c>
      <c r="U96" s="26" t="str">
        <f aca="false">IF(OR('La Mia Rosa'!$O$12="",$D96&lt;&gt;""),"",IF($F96&lt;='La Mia Rosa'!$O$12*'Parametri Modello'!$B$24,"OK",IF($F96&lt;='La Mia Rosa'!$O$12*'Parametri Modello'!$B$25,"Attenzione","Rischio Alto")))</f>
        <v>OK</v>
      </c>
      <c r="V96" s="26" t="n">
        <f aca="false">IFERROR(COUNTIFS($B$2:$B$492,$B96,$O$2:$O$492,"&gt;"&amp;$O96)+1,"")</f>
        <v>15</v>
      </c>
      <c r="W96" s="21" t="n">
        <f aca="false">'Info Lega'!$B$4-SUMIFS($M$2:$M$492,$D$2:$D$492,'Info Lega'!$B$28)</f>
        <v>1000</v>
      </c>
      <c r="X96" s="21" t="n">
        <f aca="false">('Info Lega'!$B$5-COUNTIFS($D$2:$D$492,'Info Lega'!$B$28,$B$2:$B$492,"P"))+('Info Lega'!$B$6-COUNTIFS($D$2:$D$492,'Info Lega'!$B$28,$B$2:$B$492,"D"))+('Info Lega'!$B$7-COUNTIFS($D$2:$D$492,'Info Lega'!$B$28,$B$2:$B$492,"C"))+('Info Lega'!$B$8-COUNTIFS($D$2:$D$492,'Info Lega'!$B$28,$B$2:$B$492,"A"))</f>
        <v>25</v>
      </c>
      <c r="Y96" s="21" t="n">
        <f aca="false">X96*'Parametri Modello'!$B$30</f>
        <v>25</v>
      </c>
      <c r="Z96" s="21" t="n">
        <f aca="false">MAX(0,W96-Y96)</f>
        <v>975</v>
      </c>
      <c r="AA96" s="21" t="n">
        <f aca="false">MIN(F96,Z96)</f>
        <v>16</v>
      </c>
      <c r="AB96" s="21"/>
      <c r="AC96" s="21" t="str">
        <f aca="false">IF(AB96="","",IF(AB96&gt;AA96,"PASS",IF(AB96&lt;=AA96*0.85,"BID","ATTENZIONE")))</f>
        <v/>
      </c>
      <c r="AD96" s="31" t="n">
        <f aca="false">IF(I96="","",ROUND(100*(1-EXP(-I96/30)),0))</f>
        <v>70</v>
      </c>
      <c r="AE96" s="7" t="str">
        <f aca="false">IFERROR(INDEX('Stato Asta'!$G$9:$G$12,MATCH($B96,'Stato Asta'!$A$9:$A$12,0)),"")</f>
        <v>🟡 Attesa rischiosa</v>
      </c>
    </row>
    <row r="97" customFormat="false" ht="14.25" hidden="false" customHeight="true" outlineLevel="0" collapsed="false">
      <c r="A97" s="21" t="n">
        <v>2155</v>
      </c>
      <c r="B97" s="21" t="s">
        <v>46</v>
      </c>
      <c r="C97" s="21" t="s">
        <v>576</v>
      </c>
      <c r="E97" s="26" t="str">
        <f aca="false">IF(COUNTIF('Info Strategia'!$D$2:$D$51,$C97)&gt;0,"SI","NO")</f>
        <v>NO</v>
      </c>
      <c r="F97" s="27" t="n">
        <f aca="false">IFERROR(ROUND(($G97+($H97-$G97)*'Info Strategia'!$B$6)*(1+IF($E97="SI",'Parametri Modello'!$B$7*'Info Strategia'!$B$6,0)),0),"")</f>
        <v>29</v>
      </c>
      <c r="G97" s="27" t="n">
        <f aca="false">IFERROR(ROUND((IF(OR(INDEX('Parametri Modello'!$C$39:$C$42,MATCH($B97,'Parametri Modello'!$A$39:$A$42,0))="",INDEX('Parametri Modello'!$C$39:$C$42,MATCH($B97,'Parametri Modello'!$A$39:$A$42,0))=0),0,($O97/INDEX('Parametri Modello'!$C$39:$C$42,MATCH($B97,'Parametri Modello'!$A$39:$A$42,0)))*(INDEX('Parametri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18</v>
      </c>
      <c r="H97" s="27" t="n">
        <f aca="false">IFERROR(ROUND((IF(OR(INDEX('Parametri Modello'!$C$39:$C$42,MATCH($B97,'Parametri Modello'!$A$39:$A$42,0))="",INDEX('Parametri Modello'!$C$39:$C$42,MATCH($B97,'Parametri Modello'!$A$39:$A$42,0))=0),0,($O97/INDEX('Parametri Modello'!$C$39:$C$42,MATCH($B97,'Parametri Modello'!$A$39:$A$42,0)))*(INDEX('Parametri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33</v>
      </c>
      <c r="I97" s="26" t="n">
        <f aca="false">IFERROR(INDEX('Input Statistiche 2025_26'!$F$3:$F$665,MATCH($A97,'Input Statistiche 2025_26'!$A$3:$A$665,0)),"")</f>
        <v>14</v>
      </c>
      <c r="J97" s="26" t="n">
        <f aca="false">IFERROR(IF($I97="","",MAX(0,38-$I97)),"")</f>
        <v>24</v>
      </c>
      <c r="K97" s="26" t="n">
        <f aca="false">IFERROR(INDEX('Input Statistiche 2025_26'!$I$3:$I$665,MATCH($A97,'Input Statistiche 2025_26'!$A$3:$A$665,0)),"")</f>
        <v>1</v>
      </c>
      <c r="L97" s="26" t="n">
        <f aca="false">IFERROR(INDEX('Input Statistiche 2025_26'!$O$3:$O$665,MATCH($A97,'Input Statistiche 2025_26'!$A$3:$A$665,0)),"")</f>
        <v>0</v>
      </c>
      <c r="M97" s="28"/>
      <c r="N97" s="27" t="n">
        <f aca="false">IFERROR(INDEX('Input Giocatori 2026_27'!$E$3:$E$493,MATCH($A97,'Input Giocatori 2026_27'!$A$3:$A$493,0)),"")</f>
        <v>9</v>
      </c>
      <c r="O97" s="27" t="n">
        <f aca="false">IFERROR(INDEX('Input Giocatori 2026_27'!$G$3:$G$493,MATCH($A97,'Input Giocatori 2026_27'!$A$3:$A$493,0)),"")</f>
        <v>33</v>
      </c>
      <c r="P97" s="26" t="str">
        <f aca="false">IFERROR(IF($O97="","",IF((1-(COUNTIFS($B$2:$B$492,$B97,$O$2:$O$492,"&gt;"&amp;$O97)+1-1)/COUNTIF($B$2:$B$492,$B97))&gt;=0.85,"Top",IF((1-(COUNTIFS($B$2:$B$492,$B97,$O$2:$O$492,"&gt;"&amp;$O97)+1-1)/COUNTIF($B$2:$B$492,$B97))&gt;=0.6,"Buono",IF((1-(COUNTIFS($B$2:$B$492,$B97,$O$2:$O$492,"&gt;"&amp;$O97)+1-1)/COUNTIF($B$2:$B$492,$B97))&gt;=0.3,"Nella Media","Scommessa/Riserva")))),"")</f>
        <v>Buono</v>
      </c>
      <c r="Q97" s="29" t="n">
        <f aca="false">IF($D97="",COUNTIF($D$2:$D97,""),"")</f>
        <v>96</v>
      </c>
      <c r="R97" s="29" t="str">
        <f aca="false">IF($D97='Info Lega'!$B$28,COUNTIFS($D$2:$D97,'Info Lega'!$B$28),"")</f>
        <v/>
      </c>
      <c r="S97" s="30" t="n">
        <f aca="false">IFERROR(INDEX('Input Statistiche 2025_26'!$G$3:$G$665,MATCH($A97,'Input Statistiche 2025_26'!$A$3:$A$665,0)),"")</f>
        <v>5.71</v>
      </c>
      <c r="T97" s="30" t="n">
        <f aca="false">IFERROR(INDEX('Input Statistiche 2025_26'!$H$3:$H$665,MATCH($A97,'Input Statistiche 2025_26'!$A$3:$A$665,0)),"")</f>
        <v>5.93</v>
      </c>
      <c r="U97" s="26" t="str">
        <f aca="false">IF(OR('La Mia Rosa'!$O$12="",$D97&lt;&gt;""),"",IF($F97&lt;='La Mia Rosa'!$O$12*'Parametri Modello'!$B$24,"OK",IF($F97&lt;='La Mia Rosa'!$O$12*'Parametri Modello'!$B$25,"Attenzione","Rischio Alto")))</f>
        <v>OK</v>
      </c>
      <c r="V97" s="26" t="n">
        <f aca="false">IFERROR(COUNTIFS($B$2:$B$492,$B97,$O$2:$O$492,"&gt;"&amp;$O97)+1,"")</f>
        <v>35</v>
      </c>
      <c r="W97" s="21" t="n">
        <f aca="false">'Info Lega'!$B$4-SUMIFS($M$2:$M$492,$D$2:$D$492,'Info Lega'!$B$28)</f>
        <v>1000</v>
      </c>
      <c r="X97" s="21" t="n">
        <f aca="false">('Info Lega'!$B$5-COUNTIFS($D$2:$D$492,'Info Lega'!$B$28,$B$2:$B$492,"P"))+('Info Lega'!$B$6-COUNTIFS($D$2:$D$492,'Info Lega'!$B$28,$B$2:$B$492,"D"))+('Info Lega'!$B$7-COUNTIFS($D$2:$D$492,'Info Lega'!$B$28,$B$2:$B$492,"C"))+('Info Lega'!$B$8-COUNTIFS($D$2:$D$492,'Info Lega'!$B$28,$B$2:$B$492,"A"))</f>
        <v>25</v>
      </c>
      <c r="Y97" s="21" t="n">
        <f aca="false">X97*'Parametri Modello'!$B$30</f>
        <v>25</v>
      </c>
      <c r="Z97" s="21" t="n">
        <f aca="false">MAX(0,W97-Y97)</f>
        <v>975</v>
      </c>
      <c r="AA97" s="21" t="n">
        <f aca="false">MIN(F97,Z97)</f>
        <v>29</v>
      </c>
      <c r="AB97" s="21"/>
      <c r="AC97" s="21" t="str">
        <f aca="false">IF(AB97="","",IF(AB97&gt;AA97,"PASS",IF(AB97&lt;=AA97*0.85,"BID","ATTENZIONE")))</f>
        <v/>
      </c>
      <c r="AD97" s="31" t="n">
        <f aca="false">IF(I97="","",ROUND(100*(1-EXP(-I97/30)),0))</f>
        <v>37</v>
      </c>
      <c r="AE97" s="7" t="str">
        <f aca="false">IFERROR(INDEX('Stato Asta'!$G$9:$G$12,MATCH($B97,'Stato Asta'!$A$9:$A$12,0)),"")</f>
        <v>🔴 Non aspettare</v>
      </c>
    </row>
    <row r="98" customFormat="false" ht="14.25" hidden="false" customHeight="true" outlineLevel="0" collapsed="false">
      <c r="A98" s="21" t="n">
        <v>6869</v>
      </c>
      <c r="B98" s="21" t="s">
        <v>44</v>
      </c>
      <c r="C98" s="21" t="s">
        <v>208</v>
      </c>
      <c r="E98" s="26" t="str">
        <f aca="false">IF(COUNTIF('Info Strategia'!$D$2:$D$51,$C98)&gt;0,"SI","NO")</f>
        <v>NO</v>
      </c>
      <c r="F98" s="27" t="n">
        <f aca="false">IFERROR(ROUND(($G98+($H98-$G98)*'Info Strategia'!$B$6)*(1+IF($E98="SI",'Parametri Modello'!$B$7*'Info Strategia'!$B$6,0)),0),"")</f>
        <v>15</v>
      </c>
      <c r="G98" s="27" t="n">
        <f aca="false">IFERROR(ROUND((IF(OR(INDEX('Parametri Modello'!$C$39:$C$42,MATCH($B98,'Parametri Modello'!$A$39:$A$42,0))="",INDEX('Parametri Modello'!$C$39:$C$42,MATCH($B98,'Parametri Modello'!$A$39:$A$42,0))=0),0,($O98/INDEX('Parametri Modello'!$C$39:$C$42,MATCH($B98,'Parametri Modello'!$A$39:$A$42,0)))*(INDEX('Parametri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11</v>
      </c>
      <c r="H98" s="27" t="n">
        <f aca="false">IFERROR(ROUND((IF(OR(INDEX('Parametri Modello'!$C$39:$C$42,MATCH($B98,'Parametri Modello'!$A$39:$A$42,0))="",INDEX('Parametri Modello'!$C$39:$C$42,MATCH($B98,'Parametri Modello'!$A$39:$A$42,0))=0),0,($O98/INDEX('Parametri Modello'!$C$39:$C$42,MATCH($B98,'Parametri Modello'!$A$39:$A$42,0)))*(INDEX('Parametri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17</v>
      </c>
      <c r="I98" s="26" t="n">
        <f aca="false">IFERROR(INDEX('Input Statistiche 2025_26'!$F$3:$F$665,MATCH($A98,'Input Statistiche 2025_26'!$A$3:$A$665,0)),"")</f>
        <v>32</v>
      </c>
      <c r="J98" s="26" t="n">
        <f aca="false">IFERROR(IF($I98="","",MAX(0,38-$I98)),"")</f>
        <v>6</v>
      </c>
      <c r="K98" s="26" t="n">
        <f aca="false">IFERROR(INDEX('Input Statistiche 2025_26'!$I$3:$I$665,MATCH($A98,'Input Statistiche 2025_26'!$A$3:$A$665,0)),"")</f>
        <v>2</v>
      </c>
      <c r="L98" s="26" t="n">
        <f aca="false">IFERROR(INDEX('Input Statistiche 2025_26'!$O$3:$O$665,MATCH($A98,'Input Statistiche 2025_26'!$A$3:$A$665,0)),"")</f>
        <v>0</v>
      </c>
      <c r="M98" s="28"/>
      <c r="N98" s="27" t="n">
        <f aca="false">IFERROR(INDEX('Input Giocatori 2026_27'!$E$3:$E$493,MATCH($A98,'Input Giocatori 2026_27'!$A$3:$A$493,0)),"")</f>
        <v>10</v>
      </c>
      <c r="O98" s="27" t="n">
        <f aca="false">IFERROR(INDEX('Input Giocatori 2026_27'!$G$3:$G$493,MATCH($A98,'Input Giocatori 2026_27'!$A$3:$A$493,0)),"")</f>
        <v>32</v>
      </c>
      <c r="P98" s="26" t="str">
        <f aca="false">IFERROR(IF($O98="","",IF((1-(COUNTIFS($B$2:$B$492,$B98,$O$2:$O$492,"&gt;"&amp;$O98)+1-1)/COUNTIF($B$2:$B$492,$B98))&gt;=0.85,"Top",IF((1-(COUNTIFS($B$2:$B$492,$B98,$O$2:$O$492,"&gt;"&amp;$O98)+1-1)/COUNTIF($B$2:$B$492,$B98))&gt;=0.6,"Buono",IF((1-(COUNTIFS($B$2:$B$492,$B98,$O$2:$O$492,"&gt;"&amp;$O98)+1-1)/COUNTIF($B$2:$B$492,$B98))&gt;=0.3,"Nella Media","Scommessa/Riserva")))),"")</f>
        <v>Top</v>
      </c>
      <c r="Q98" s="29" t="n">
        <f aca="false">IF($D98="",COUNTIF($D$2:$D98,""),"")</f>
        <v>97</v>
      </c>
      <c r="R98" s="29" t="str">
        <f aca="false">IF($D98='Info Lega'!$B$28,COUNTIFS($D$2:$D98,'Info Lega'!$B$28),"")</f>
        <v/>
      </c>
      <c r="S98" s="30" t="n">
        <f aca="false">IFERROR(INDEX('Input Statistiche 2025_26'!$G$3:$G$665,MATCH($A98,'Input Statistiche 2025_26'!$A$3:$A$665,0)),"")</f>
        <v>6.16</v>
      </c>
      <c r="T98" s="30" t="n">
        <f aca="false">IFERROR(INDEX('Input Statistiche 2025_26'!$H$3:$H$665,MATCH($A98,'Input Statistiche 2025_26'!$A$3:$A$665,0)),"")</f>
        <v>6.14</v>
      </c>
      <c r="U98" s="26" t="str">
        <f aca="false">IF(OR('La Mia Rosa'!$O$12="",$D98&lt;&gt;""),"",IF($F98&lt;='La Mia Rosa'!$O$12*'Parametri Modello'!$B$24,"OK",IF($F98&lt;='La Mia Rosa'!$O$12*'Parametri Modello'!$B$25,"Attenzione","Rischio Alto")))</f>
        <v>OK</v>
      </c>
      <c r="V98" s="26" t="n">
        <f aca="false">IFERROR(COUNTIFS($B$2:$B$492,$B98,$O$2:$O$492,"&gt;"&amp;$O98)+1,"")</f>
        <v>17</v>
      </c>
      <c r="W98" s="21" t="n">
        <f aca="false">'Info Lega'!$B$4-SUMIFS($M$2:$M$492,$D$2:$D$492,'Info Lega'!$B$28)</f>
        <v>1000</v>
      </c>
      <c r="X98" s="21" t="n">
        <f aca="false">('Info Lega'!$B$5-COUNTIFS($D$2:$D$492,'Info Lega'!$B$28,$B$2:$B$492,"P"))+('Info Lega'!$B$6-COUNTIFS($D$2:$D$492,'Info Lega'!$B$28,$B$2:$B$492,"D"))+('Info Lega'!$B$7-COUNTIFS($D$2:$D$492,'Info Lega'!$B$28,$B$2:$B$492,"C"))+('Info Lega'!$B$8-COUNTIFS($D$2:$D$492,'Info Lega'!$B$28,$B$2:$B$492,"A"))</f>
        <v>25</v>
      </c>
      <c r="Y98" s="21" t="n">
        <f aca="false">X98*'Parametri Modello'!$B$30</f>
        <v>25</v>
      </c>
      <c r="Z98" s="21" t="n">
        <f aca="false">MAX(0,W98-Y98)</f>
        <v>975</v>
      </c>
      <c r="AA98" s="21" t="n">
        <f aca="false">MIN(F98,Z98)</f>
        <v>15</v>
      </c>
      <c r="AB98" s="21"/>
      <c r="AC98" s="21" t="str">
        <f aca="false">IF(AB98="","",IF(AB98&gt;AA98,"PASS",IF(AB98&lt;=AA98*0.85,"BID","ATTENZIONE")))</f>
        <v/>
      </c>
      <c r="AD98" s="31" t="n">
        <f aca="false">IF(I98="","",ROUND(100*(1-EXP(-I98/30)),0))</f>
        <v>66</v>
      </c>
      <c r="AE98" s="7" t="str">
        <f aca="false">IFERROR(INDEX('Stato Asta'!$G$9:$G$12,MATCH($B98,'Stato Asta'!$A$9:$A$12,0)),"")</f>
        <v>🟡 Attesa rischiosa</v>
      </c>
    </row>
    <row r="99" customFormat="false" ht="14.25" hidden="false" customHeight="true" outlineLevel="0" collapsed="false">
      <c r="A99" s="21" t="n">
        <v>7129</v>
      </c>
      <c r="B99" s="21" t="s">
        <v>45</v>
      </c>
      <c r="C99" s="21" t="s">
        <v>385</v>
      </c>
      <c r="E99" s="26" t="str">
        <f aca="false">IF(COUNTIF('Info Strategia'!$D$2:$D$51,$C99)&gt;0,"SI","NO")</f>
        <v>NO</v>
      </c>
      <c r="F99" s="27" t="n">
        <f aca="false">IFERROR(ROUND(($G99+($H99-$G99)*'Info Strategia'!$B$6)*(1+IF($E99="SI",'Parametri Modello'!$B$7*'Info Strategia'!$B$6,0)),0),"")</f>
        <v>18</v>
      </c>
      <c r="G99" s="27" t="n">
        <f aca="false">IFERROR(ROUND((IF(OR(INDEX('Parametri Modello'!$C$39:$C$42,MATCH($B99,'Parametri Modello'!$A$39:$A$42,0))="",INDEX('Parametri Modello'!$C$39:$C$42,MATCH($B99,'Parametri Modello'!$A$39:$A$42,0))=0),0,($O99/INDEX('Parametri Modello'!$C$39:$C$42,MATCH($B99,'Parametri Modello'!$A$39:$A$42,0)))*(INDEX('Parametri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12</v>
      </c>
      <c r="H99" s="27" t="n">
        <f aca="false">IFERROR(ROUND((IF(OR(INDEX('Parametri Modello'!$C$39:$C$42,MATCH($B99,'Parametri Modello'!$A$39:$A$42,0))="",INDEX('Parametri Modello'!$C$39:$C$42,MATCH($B99,'Parametri Modello'!$A$39:$A$42,0))=0),0,($O99/INDEX('Parametri Modello'!$C$39:$C$42,MATCH($B99,'Parametri Modello'!$A$39:$A$42,0)))*(INDEX('Parametri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20</v>
      </c>
      <c r="I99" s="26" t="n">
        <f aca="false">IFERROR(INDEX('Input Statistiche 2025_26'!$F$3:$F$665,MATCH($A99,'Input Statistiche 2025_26'!$A$3:$A$665,0)),"")</f>
        <v>28</v>
      </c>
      <c r="J99" s="26" t="n">
        <f aca="false">IFERROR(IF($I99="","",MAX(0,38-$I99)),"")</f>
        <v>10</v>
      </c>
      <c r="K99" s="26" t="n">
        <f aca="false">IFERROR(INDEX('Input Statistiche 2025_26'!$I$3:$I$665,MATCH($A99,'Input Statistiche 2025_26'!$A$3:$A$665,0)),"")</f>
        <v>2</v>
      </c>
      <c r="L99" s="26" t="n">
        <f aca="false">IFERROR(INDEX('Input Statistiche 2025_26'!$O$3:$O$665,MATCH($A99,'Input Statistiche 2025_26'!$A$3:$A$665,0)),"")</f>
        <v>8</v>
      </c>
      <c r="M99" s="28"/>
      <c r="N99" s="27" t="n">
        <f aca="false">IFERROR(INDEX('Input Giocatori 2026_27'!$E$3:$E$493,MATCH($A99,'Input Giocatori 2026_27'!$A$3:$A$493,0)),"")</f>
        <v>12</v>
      </c>
      <c r="O99" s="27" t="n">
        <f aca="false">IFERROR(INDEX('Input Giocatori 2026_27'!$G$3:$G$493,MATCH($A99,'Input Giocatori 2026_27'!$A$3:$A$493,0)),"")</f>
        <v>32</v>
      </c>
      <c r="P99" s="26" t="str">
        <f aca="false">IFERROR(IF($O99="","",IF((1-(COUNTIFS($B$2:$B$492,$B99,$O$2:$O$492,"&gt;"&amp;$O99)+1-1)/COUNTIF($B$2:$B$492,$B99))&gt;=0.85,"Top",IF((1-(COUNTIFS($B$2:$B$492,$B99,$O$2:$O$492,"&gt;"&amp;$O99)+1-1)/COUNTIF($B$2:$B$492,$B99))&gt;=0.6,"Buono",IF((1-(COUNTIFS($B$2:$B$492,$B99,$O$2:$O$492,"&gt;"&amp;$O99)+1-1)/COUNTIF($B$2:$B$492,$B99))&gt;=0.3,"Nella Media","Scommessa/Riserva")))),"")</f>
        <v>Buono</v>
      </c>
      <c r="Q99" s="29" t="n">
        <f aca="false">IF($D99="",COUNTIF($D$2:$D99,""),"")</f>
        <v>98</v>
      </c>
      <c r="R99" s="29" t="str">
        <f aca="false">IF($D99='Info Lega'!$B$28,COUNTIFS($D$2:$D99,'Info Lega'!$B$28),"")</f>
        <v/>
      </c>
      <c r="S99" s="30" t="n">
        <f aca="false">IFERROR(INDEX('Input Statistiche 2025_26'!$G$3:$G$665,MATCH($A99,'Input Statistiche 2025_26'!$A$3:$A$665,0)),"")</f>
        <v>6.25</v>
      </c>
      <c r="T99" s="30" t="n">
        <f aca="false">IFERROR(INDEX('Input Statistiche 2025_26'!$H$3:$H$665,MATCH($A99,'Input Statistiche 2025_26'!$A$3:$A$665,0)),"")</f>
        <v>6.66</v>
      </c>
      <c r="U99" s="26" t="str">
        <f aca="false">IF(OR('La Mia Rosa'!$O$12="",$D99&lt;&gt;""),"",IF($F99&lt;='La Mia Rosa'!$O$12*'Parametri Modello'!$B$24,"OK",IF($F99&lt;='La Mia Rosa'!$O$12*'Parametri Modello'!$B$25,"Attenzione","Rischio Alto")))</f>
        <v>OK</v>
      </c>
      <c r="V99" s="26" t="n">
        <f aca="false">IFERROR(COUNTIFS($B$2:$B$492,$B99,$O$2:$O$492,"&gt;"&amp;$O99)+1,"")</f>
        <v>37</v>
      </c>
      <c r="W99" s="21" t="n">
        <f aca="false">'Info Lega'!$B$4-SUMIFS($M$2:$M$492,$D$2:$D$492,'Info Lega'!$B$28)</f>
        <v>1000</v>
      </c>
      <c r="X99" s="21" t="n">
        <f aca="false">('Info Lega'!$B$5-COUNTIFS($D$2:$D$492,'Info Lega'!$B$28,$B$2:$B$492,"P"))+('Info Lega'!$B$6-COUNTIFS($D$2:$D$492,'Info Lega'!$B$28,$B$2:$B$492,"D"))+('Info Lega'!$B$7-COUNTIFS($D$2:$D$492,'Info Lega'!$B$28,$B$2:$B$492,"C"))+('Info Lega'!$B$8-COUNTIFS($D$2:$D$492,'Info Lega'!$B$28,$B$2:$B$492,"A"))</f>
        <v>25</v>
      </c>
      <c r="Y99" s="21" t="n">
        <f aca="false">X99*'Parametri Modello'!$B$30</f>
        <v>25</v>
      </c>
      <c r="Z99" s="21" t="n">
        <f aca="false">MAX(0,W99-Y99)</f>
        <v>975</v>
      </c>
      <c r="AA99" s="21" t="n">
        <f aca="false">MIN(F99,Z99)</f>
        <v>18</v>
      </c>
      <c r="AB99" s="21"/>
      <c r="AC99" s="21" t="str">
        <f aca="false">IF(AB99="","",IF(AB99&gt;AA99,"PASS",IF(AB99&lt;=AA99*0.85,"BID","ATTENZIONE")))</f>
        <v/>
      </c>
      <c r="AD99" s="31" t="n">
        <f aca="false">IF(I99="","",ROUND(100*(1-EXP(-I99/30)),0))</f>
        <v>61</v>
      </c>
      <c r="AE99" s="7" t="str">
        <f aca="false">IFERROR(INDEX('Stato Asta'!$G$9:$G$12,MATCH($B99,'Stato Asta'!$A$9:$A$12,0)),"")</f>
        <v>🟡 Attesa rischiosa</v>
      </c>
    </row>
    <row r="100" customFormat="false" ht="14.25" hidden="false" customHeight="true" outlineLevel="0" collapsed="false">
      <c r="A100" s="21" t="n">
        <v>2077</v>
      </c>
      <c r="B100" s="21" t="s">
        <v>45</v>
      </c>
      <c r="C100" s="21" t="s">
        <v>401</v>
      </c>
      <c r="E100" s="26" t="str">
        <f aca="false">IF(COUNTIF('Info Strategia'!$D$2:$D$51,$C100)&gt;0,"SI","NO")</f>
        <v>NO</v>
      </c>
      <c r="F100" s="27" t="n">
        <f aca="false">IFERROR(ROUND(($G100+($H100-$G100)*'Info Strategia'!$B$6)*(1+IF($E100="SI",'Parametri Modello'!$B$7*'Info Strategia'!$B$6,0)),0),"")</f>
        <v>18</v>
      </c>
      <c r="G100" s="27" t="n">
        <f aca="false">IFERROR(ROUND((IF(OR(INDEX('Parametri Modello'!$C$39:$C$42,MATCH($B100,'Parametri Modello'!$A$39:$A$42,0))="",INDEX('Parametri Modello'!$C$39:$C$42,MATCH($B100,'Parametri Modello'!$A$39:$A$42,0))=0),0,($O100/INDEX('Parametri Modello'!$C$39:$C$42,MATCH($B100,'Parametri Modello'!$A$39:$A$42,0)))*(INDEX('Parametri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12</v>
      </c>
      <c r="H100" s="27" t="n">
        <f aca="false">IFERROR(ROUND((IF(OR(INDEX('Parametri Modello'!$C$39:$C$42,MATCH($B100,'Parametri Modello'!$A$39:$A$42,0))="",INDEX('Parametri Modello'!$C$39:$C$42,MATCH($B100,'Parametri Modello'!$A$39:$A$42,0))=0),0,($O100/INDEX('Parametri Modello'!$C$39:$C$42,MATCH($B100,'Parametri Modello'!$A$39:$A$42,0)))*(INDEX('Parametri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20</v>
      </c>
      <c r="I100" s="26" t="n">
        <f aca="false">IFERROR(INDEX('Input Statistiche 2025_26'!$F$3:$F$665,MATCH($A100,'Input Statistiche 2025_26'!$A$3:$A$665,0)),"")</f>
        <v>31</v>
      </c>
      <c r="J100" s="26" t="n">
        <f aca="false">IFERROR(IF($I100="","",MAX(0,38-$I100)),"")</f>
        <v>7</v>
      </c>
      <c r="K100" s="26" t="n">
        <f aca="false">IFERROR(INDEX('Input Statistiche 2025_26'!$I$3:$I$665,MATCH($A100,'Input Statistiche 2025_26'!$A$3:$A$665,0)),"")</f>
        <v>3</v>
      </c>
      <c r="L100" s="26" t="n">
        <f aca="false">IFERROR(INDEX('Input Statistiche 2025_26'!$O$3:$O$665,MATCH($A100,'Input Statistiche 2025_26'!$A$3:$A$665,0)),"")</f>
        <v>3</v>
      </c>
      <c r="M100" s="28"/>
      <c r="N100" s="27" t="n">
        <f aca="false">IFERROR(INDEX('Input Giocatori 2026_27'!$E$3:$E$493,MATCH($A100,'Input Giocatori 2026_27'!$A$3:$A$493,0)),"")</f>
        <v>9</v>
      </c>
      <c r="O100" s="27" t="n">
        <f aca="false">IFERROR(INDEX('Input Giocatori 2026_27'!$G$3:$G$493,MATCH($A100,'Input Giocatori 2026_27'!$A$3:$A$493,0)),"")</f>
        <v>32</v>
      </c>
      <c r="P100" s="26" t="str">
        <f aca="false">IFERROR(IF($O100="","",IF((1-(COUNTIFS($B$2:$B$492,$B100,$O$2:$O$492,"&gt;"&amp;$O100)+1-1)/COUNTIF($B$2:$B$492,$B100))&gt;=0.85,"Top",IF((1-(COUNTIFS($B$2:$B$492,$B100,$O$2:$O$492,"&gt;"&amp;$O100)+1-1)/COUNTIF($B$2:$B$492,$B100))&gt;=0.6,"Buono",IF((1-(COUNTIFS($B$2:$B$492,$B100,$O$2:$O$492,"&gt;"&amp;$O100)+1-1)/COUNTIF($B$2:$B$492,$B100))&gt;=0.3,"Nella Media","Scommessa/Riserva")))),"")</f>
        <v>Buono</v>
      </c>
      <c r="Q100" s="29" t="n">
        <f aca="false">IF($D100="",COUNTIF($D$2:$D100,""),"")</f>
        <v>99</v>
      </c>
      <c r="R100" s="29" t="str">
        <f aca="false">IF($D100='Info Lega'!$B$28,COUNTIFS($D$2:$D100,'Info Lega'!$B$28),"")</f>
        <v/>
      </c>
      <c r="S100" s="30" t="n">
        <f aca="false">IFERROR(INDEX('Input Statistiche 2025_26'!$G$3:$G$665,MATCH($A100,'Input Statistiche 2025_26'!$A$3:$A$665,0)),"")</f>
        <v>5.94</v>
      </c>
      <c r="T100" s="30" t="n">
        <f aca="false">IFERROR(INDEX('Input Statistiche 2025_26'!$H$3:$H$665,MATCH($A100,'Input Statistiche 2025_26'!$A$3:$A$665,0)),"")</f>
        <v>6.27</v>
      </c>
      <c r="U100" s="26" t="str">
        <f aca="false">IF(OR('La Mia Rosa'!$O$12="",$D100&lt;&gt;""),"",IF($F100&lt;='La Mia Rosa'!$O$12*'Parametri Modello'!$B$24,"OK",IF($F100&lt;='La Mia Rosa'!$O$12*'Parametri Modello'!$B$25,"Attenzione","Rischio Alto")))</f>
        <v>OK</v>
      </c>
      <c r="V100" s="26" t="n">
        <f aca="false">IFERROR(COUNTIFS($B$2:$B$492,$B100,$O$2:$O$492,"&gt;"&amp;$O100)+1,"")</f>
        <v>37</v>
      </c>
      <c r="W100" s="21" t="n">
        <f aca="false">'Info Lega'!$B$4-SUMIFS($M$2:$M$492,$D$2:$D$492,'Info Lega'!$B$28)</f>
        <v>1000</v>
      </c>
      <c r="X100" s="21" t="n">
        <f aca="false">('Info Lega'!$B$5-COUNTIFS($D$2:$D$492,'Info Lega'!$B$28,$B$2:$B$492,"P"))+('Info Lega'!$B$6-COUNTIFS($D$2:$D$492,'Info Lega'!$B$28,$B$2:$B$492,"D"))+('Info Lega'!$B$7-COUNTIFS($D$2:$D$492,'Info Lega'!$B$28,$B$2:$B$492,"C"))+('Info Lega'!$B$8-COUNTIFS($D$2:$D$492,'Info Lega'!$B$28,$B$2:$B$492,"A"))</f>
        <v>25</v>
      </c>
      <c r="Y100" s="21" t="n">
        <f aca="false">X100*'Parametri Modello'!$B$30</f>
        <v>25</v>
      </c>
      <c r="Z100" s="21" t="n">
        <f aca="false">MAX(0,W100-Y100)</f>
        <v>975</v>
      </c>
      <c r="AA100" s="21" t="n">
        <f aca="false">MIN(F100,Z100)</f>
        <v>18</v>
      </c>
      <c r="AB100" s="21"/>
      <c r="AC100" s="21" t="str">
        <f aca="false">IF(AB100="","",IF(AB100&gt;AA100,"PASS",IF(AB100&lt;=AA100*0.85,"BID","ATTENZIONE")))</f>
        <v/>
      </c>
      <c r="AD100" s="31" t="n">
        <f aca="false">IF(I100="","",ROUND(100*(1-EXP(-I100/30)),0))</f>
        <v>64</v>
      </c>
      <c r="AE100" s="7" t="str">
        <f aca="false">IFERROR(INDEX('Stato Asta'!$G$9:$G$12,MATCH($B100,'Stato Asta'!$A$9:$A$12,0)),"")</f>
        <v>🟡 Attesa rischiosa</v>
      </c>
    </row>
    <row r="101" customFormat="false" ht="14.25" hidden="false" customHeight="true" outlineLevel="0" collapsed="false">
      <c r="A101" s="21" t="n">
        <v>827</v>
      </c>
      <c r="B101" s="21" t="s">
        <v>45</v>
      </c>
      <c r="C101" s="21" t="s">
        <v>413</v>
      </c>
      <c r="E101" s="26" t="str">
        <f aca="false">IF(COUNTIF('Info Strategia'!$D$2:$D$51,$C101)&gt;0,"SI","NO")</f>
        <v>NO</v>
      </c>
      <c r="F101" s="27" t="n">
        <f aca="false">IFERROR(ROUND(($G101+($H101-$G101)*'Info Strategia'!$B$6)*(1+IF($E101="SI",'Parametri Modello'!$B$7*'Info Strategia'!$B$6,0)),0),"")</f>
        <v>18</v>
      </c>
      <c r="G101" s="27" t="n">
        <f aca="false">IFERROR(ROUND((IF(OR(INDEX('Parametri Modello'!$C$39:$C$42,MATCH($B101,'Parametri Modello'!$A$39:$A$42,0))="",INDEX('Parametri Modello'!$C$39:$C$42,MATCH($B101,'Parametri Modello'!$A$39:$A$42,0))=0),0,($O101/INDEX('Parametri Modello'!$C$39:$C$42,MATCH($B101,'Parametri Modello'!$A$39:$A$42,0)))*(INDEX('Parametri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12</v>
      </c>
      <c r="H101" s="27" t="n">
        <f aca="false">IFERROR(ROUND((IF(OR(INDEX('Parametri Modello'!$C$39:$C$42,MATCH($B101,'Parametri Modello'!$A$39:$A$42,0))="",INDEX('Parametri Modello'!$C$39:$C$42,MATCH($B101,'Parametri Modello'!$A$39:$A$42,0))=0),0,($O101/INDEX('Parametri Modello'!$C$39:$C$42,MATCH($B101,'Parametri Modello'!$A$39:$A$42,0)))*(INDEX('Parametri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20</v>
      </c>
      <c r="I101" s="26" t="n">
        <f aca="false">IFERROR(INDEX('Input Statistiche 2025_26'!$F$3:$F$665,MATCH($A101,'Input Statistiche 2025_26'!$A$3:$A$665,0)),"")</f>
        <v>36</v>
      </c>
      <c r="J101" s="26" t="n">
        <f aca="false">IFERROR(IF($I101="","",MAX(0,38-$I101)),"")</f>
        <v>2</v>
      </c>
      <c r="K101" s="26" t="n">
        <f aca="false">IFERROR(INDEX('Input Statistiche 2025_26'!$I$3:$I$665,MATCH($A101,'Input Statistiche 2025_26'!$A$3:$A$665,0)),"")</f>
        <v>1</v>
      </c>
      <c r="L101" s="26" t="n">
        <f aca="false">IFERROR(INDEX('Input Statistiche 2025_26'!$O$3:$O$665,MATCH($A101,'Input Statistiche 2025_26'!$A$3:$A$665,0)),"")</f>
        <v>2</v>
      </c>
      <c r="M101" s="28"/>
      <c r="N101" s="27" t="n">
        <f aca="false">IFERROR(INDEX('Input Giocatori 2026_27'!$E$3:$E$493,MATCH($A101,'Input Giocatori 2026_27'!$A$3:$A$493,0)),"")</f>
        <v>8</v>
      </c>
      <c r="O101" s="27" t="n">
        <f aca="false">IFERROR(INDEX('Input Giocatori 2026_27'!$G$3:$G$493,MATCH($A101,'Input Giocatori 2026_27'!$A$3:$A$493,0)),"")</f>
        <v>32</v>
      </c>
      <c r="P101" s="26" t="str">
        <f aca="false">IFERROR(IF($O101="","",IF((1-(COUNTIFS($B$2:$B$492,$B101,$O$2:$O$492,"&gt;"&amp;$O101)+1-1)/COUNTIF($B$2:$B$492,$B101))&gt;=0.85,"Top",IF((1-(COUNTIFS($B$2:$B$492,$B101,$O$2:$O$492,"&gt;"&amp;$O101)+1-1)/COUNTIF($B$2:$B$492,$B101))&gt;=0.6,"Buono",IF((1-(COUNTIFS($B$2:$B$492,$B101,$O$2:$O$492,"&gt;"&amp;$O101)+1-1)/COUNTIF($B$2:$B$492,$B101))&gt;=0.3,"Nella Media","Scommessa/Riserva")))),"")</f>
        <v>Buono</v>
      </c>
      <c r="Q101" s="29" t="n">
        <f aca="false">IF($D101="",COUNTIF($D$2:$D101,""),"")</f>
        <v>100</v>
      </c>
      <c r="R101" s="29" t="str">
        <f aca="false">IF($D101='Info Lega'!$B$28,COUNTIFS($D$2:$D101,'Info Lega'!$B$28),"")</f>
        <v/>
      </c>
      <c r="S101" s="30" t="n">
        <f aca="false">IFERROR(INDEX('Input Statistiche 2025_26'!$G$3:$G$665,MATCH($A101,'Input Statistiche 2025_26'!$A$3:$A$665,0)),"")</f>
        <v>6.26</v>
      </c>
      <c r="T101" s="30" t="n">
        <f aca="false">IFERROR(INDEX('Input Statistiche 2025_26'!$H$3:$H$665,MATCH($A101,'Input Statistiche 2025_26'!$A$3:$A$665,0)),"")</f>
        <v>6.19</v>
      </c>
      <c r="U101" s="26" t="str">
        <f aca="false">IF(OR('La Mia Rosa'!$O$12="",$D101&lt;&gt;""),"",IF($F101&lt;='La Mia Rosa'!$O$12*'Parametri Modello'!$B$24,"OK",IF($F101&lt;='La Mia Rosa'!$O$12*'Parametri Modello'!$B$25,"Attenzione","Rischio Alto")))</f>
        <v>OK</v>
      </c>
      <c r="V101" s="26" t="n">
        <f aca="false">IFERROR(COUNTIFS($B$2:$B$492,$B101,$O$2:$O$492,"&gt;"&amp;$O101)+1,"")</f>
        <v>37</v>
      </c>
      <c r="W101" s="21" t="n">
        <f aca="false">'Info Lega'!$B$4-SUMIFS($M$2:$M$492,$D$2:$D$492,'Info Lega'!$B$28)</f>
        <v>1000</v>
      </c>
      <c r="X101" s="21" t="n">
        <f aca="false">('Info Lega'!$B$5-COUNTIFS($D$2:$D$492,'Info Lega'!$B$28,$B$2:$B$492,"P"))+('Info Lega'!$B$6-COUNTIFS($D$2:$D$492,'Info Lega'!$B$28,$B$2:$B$492,"D"))+('Info Lega'!$B$7-COUNTIFS($D$2:$D$492,'Info Lega'!$B$28,$B$2:$B$492,"C"))+('Info Lega'!$B$8-COUNTIFS($D$2:$D$492,'Info Lega'!$B$28,$B$2:$B$492,"A"))</f>
        <v>25</v>
      </c>
      <c r="Y101" s="21" t="n">
        <f aca="false">X101*'Parametri Modello'!$B$30</f>
        <v>25</v>
      </c>
      <c r="Z101" s="21" t="n">
        <f aca="false">MAX(0,W101-Y101)</f>
        <v>975</v>
      </c>
      <c r="AA101" s="21" t="n">
        <f aca="false">MIN(F101,Z101)</f>
        <v>18</v>
      </c>
      <c r="AB101" s="21"/>
      <c r="AC101" s="21" t="str">
        <f aca="false">IF(AB101="","",IF(AB101&gt;AA101,"PASS",IF(AB101&lt;=AA101*0.85,"BID","ATTENZIONE")))</f>
        <v/>
      </c>
      <c r="AD101" s="31" t="n">
        <f aca="false">IF(I101="","",ROUND(100*(1-EXP(-I101/30)),0))</f>
        <v>70</v>
      </c>
      <c r="AE101" s="7" t="str">
        <f aca="false">IFERROR(INDEX('Stato Asta'!$G$9:$G$12,MATCH($B101,'Stato Asta'!$A$9:$A$12,0)),"")</f>
        <v>🟡 Attesa rischiosa</v>
      </c>
    </row>
    <row r="102" customFormat="false" ht="14.25" hidden="false" customHeight="true" outlineLevel="0" collapsed="false">
      <c r="A102" s="21" t="n">
        <v>7313</v>
      </c>
      <c r="B102" s="21" t="s">
        <v>46</v>
      </c>
      <c r="C102" s="21" t="s">
        <v>570</v>
      </c>
      <c r="E102" s="26" t="str">
        <f aca="false">IF(COUNTIF('Info Strategia'!$D$2:$D$51,$C102)&gt;0,"SI","NO")</f>
        <v>NO</v>
      </c>
      <c r="F102" s="27" t="n">
        <f aca="false">IFERROR(ROUND(($G102+($H102-$G102)*'Info Strategia'!$B$6)*(1+IF($E102="SI",'Parametri Modello'!$B$7*'Info Strategia'!$B$6,0)),0),"")</f>
        <v>28</v>
      </c>
      <c r="G102" s="27" t="n">
        <f aca="false">IFERROR(ROUND((IF(OR(INDEX('Parametri Modello'!$C$39:$C$42,MATCH($B102,'Parametri Modello'!$A$39:$A$42,0))="",INDEX('Parametri Modello'!$C$39:$C$42,MATCH($B102,'Parametri Modello'!$A$39:$A$42,0))=0),0,($O102/INDEX('Parametri Modello'!$C$39:$C$42,MATCH($B102,'Parametri Modello'!$A$39:$A$42,0)))*(INDEX('Parametri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17</v>
      </c>
      <c r="H102" s="27" t="n">
        <f aca="false">IFERROR(ROUND((IF(OR(INDEX('Parametri Modello'!$C$39:$C$42,MATCH($B102,'Parametri Modello'!$A$39:$A$42,0))="",INDEX('Parametri Modello'!$C$39:$C$42,MATCH($B102,'Parametri Modello'!$A$39:$A$42,0))=0),0,($O102/INDEX('Parametri Modello'!$C$39:$C$42,MATCH($B102,'Parametri Modello'!$A$39:$A$42,0)))*(INDEX('Parametri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32</v>
      </c>
      <c r="I102" s="26" t="n">
        <f aca="false">IFERROR(INDEX('Input Statistiche 2025_26'!$F$3:$F$665,MATCH($A102,'Input Statistiche 2025_26'!$A$3:$A$665,0)),"")</f>
        <v>7</v>
      </c>
      <c r="J102" s="26" t="n">
        <f aca="false">IFERROR(IF($I102="","",MAX(0,38-$I102)),"")</f>
        <v>31</v>
      </c>
      <c r="K102" s="26" t="n">
        <f aca="false">IFERROR(INDEX('Input Statistiche 2025_26'!$I$3:$I$665,MATCH($A102,'Input Statistiche 2025_26'!$A$3:$A$665,0)),"")</f>
        <v>0</v>
      </c>
      <c r="L102" s="26" t="n">
        <f aca="false">IFERROR(INDEX('Input Statistiche 2025_26'!$O$3:$O$665,MATCH($A102,'Input Statistiche 2025_26'!$A$3:$A$665,0)),"")</f>
        <v>0</v>
      </c>
      <c r="M102" s="28"/>
      <c r="N102" s="27" t="n">
        <f aca="false">IFERROR(INDEX('Input Giocatori 2026_27'!$E$3:$E$493,MATCH($A102,'Input Giocatori 2026_27'!$A$3:$A$493,0)),"")</f>
        <v>10</v>
      </c>
      <c r="O102" s="27" t="n">
        <f aca="false">IFERROR(INDEX('Input Giocatori 2026_27'!$G$3:$G$493,MATCH($A102,'Input Giocatori 2026_27'!$A$3:$A$493,0)),"")</f>
        <v>32</v>
      </c>
      <c r="P102" s="26" t="str">
        <f aca="false">IFERROR(IF($O102="","",IF((1-(COUNTIFS($B$2:$B$492,$B102,$O$2:$O$492,"&gt;"&amp;$O102)+1-1)/COUNTIF($B$2:$B$492,$B102))&gt;=0.85,"Top",IF((1-(COUNTIFS($B$2:$B$492,$B102,$O$2:$O$492,"&gt;"&amp;$O102)+1-1)/COUNTIF($B$2:$B$492,$B102))&gt;=0.6,"Buono",IF((1-(COUNTIFS($B$2:$B$492,$B102,$O$2:$O$492,"&gt;"&amp;$O102)+1-1)/COUNTIF($B$2:$B$492,$B102))&gt;=0.3,"Nella Media","Scommessa/Riserva")))),"")</f>
        <v>Nella Media</v>
      </c>
      <c r="Q102" s="29" t="n">
        <f aca="false">IF($D102="",COUNTIF($D$2:$D102,""),"")</f>
        <v>101</v>
      </c>
      <c r="R102" s="29" t="str">
        <f aca="false">IF($D102='Info Lega'!$B$28,COUNTIFS($D$2:$D102,'Info Lega'!$B$28),"")</f>
        <v/>
      </c>
      <c r="S102" s="30" t="n">
        <f aca="false">IFERROR(INDEX('Input Statistiche 2025_26'!$G$3:$G$665,MATCH($A102,'Input Statistiche 2025_26'!$A$3:$A$665,0)),"")</f>
        <v>5.64</v>
      </c>
      <c r="T102" s="30" t="n">
        <f aca="false">IFERROR(INDEX('Input Statistiche 2025_26'!$H$3:$H$665,MATCH($A102,'Input Statistiche 2025_26'!$A$3:$A$665,0)),"")</f>
        <v>5.64</v>
      </c>
      <c r="U102" s="26" t="str">
        <f aca="false">IF(OR('La Mia Rosa'!$O$12="",$D102&lt;&gt;""),"",IF($F102&lt;='La Mia Rosa'!$O$12*'Parametri Modello'!$B$24,"OK",IF($F102&lt;='La Mia Rosa'!$O$12*'Parametri Modello'!$B$25,"Attenzione","Rischio Alto")))</f>
        <v>OK</v>
      </c>
      <c r="V102" s="26" t="n">
        <f aca="false">IFERROR(COUNTIFS($B$2:$B$492,$B102,$O$2:$O$492,"&gt;"&amp;$O102)+1,"")</f>
        <v>36</v>
      </c>
      <c r="W102" s="21" t="n">
        <f aca="false">'Info Lega'!$B$4-SUMIFS($M$2:$M$492,$D$2:$D$492,'Info Lega'!$B$28)</f>
        <v>1000</v>
      </c>
      <c r="X102" s="21" t="n">
        <f aca="false">('Info Lega'!$B$5-COUNTIFS($D$2:$D$492,'Info Lega'!$B$28,$B$2:$B$492,"P"))+('Info Lega'!$B$6-COUNTIFS($D$2:$D$492,'Info Lega'!$B$28,$B$2:$B$492,"D"))+('Info Lega'!$B$7-COUNTIFS($D$2:$D$492,'Info Lega'!$B$28,$B$2:$B$492,"C"))+('Info Lega'!$B$8-COUNTIFS($D$2:$D$492,'Info Lega'!$B$28,$B$2:$B$492,"A"))</f>
        <v>25</v>
      </c>
      <c r="Y102" s="21" t="n">
        <f aca="false">X102*'Parametri Modello'!$B$30</f>
        <v>25</v>
      </c>
      <c r="Z102" s="21" t="n">
        <f aca="false">MAX(0,W102-Y102)</f>
        <v>975</v>
      </c>
      <c r="AA102" s="21" t="n">
        <f aca="false">MIN(F102,Z102)</f>
        <v>28</v>
      </c>
      <c r="AB102" s="21"/>
      <c r="AC102" s="21" t="str">
        <f aca="false">IF(AB102="","",IF(AB102&gt;AA102,"PASS",IF(AB102&lt;=AA102*0.85,"BID","ATTENZIONE")))</f>
        <v/>
      </c>
      <c r="AD102" s="31" t="n">
        <f aca="false">IF(I102="","",ROUND(100*(1-EXP(-I102/30)),0))</f>
        <v>21</v>
      </c>
      <c r="AE102" s="7" t="str">
        <f aca="false">IFERROR(INDEX('Stato Asta'!$G$9:$G$12,MATCH($B102,'Stato Asta'!$A$9:$A$12,0)),"")</f>
        <v>🔴 Non aspettare</v>
      </c>
    </row>
    <row r="103" customFormat="false" ht="14.25" hidden="false" customHeight="true" outlineLevel="0" collapsed="false">
      <c r="A103" s="21" t="n">
        <v>6646</v>
      </c>
      <c r="B103" s="21" t="s">
        <v>46</v>
      </c>
      <c r="C103" s="21" t="s">
        <v>577</v>
      </c>
      <c r="E103" s="26" t="str">
        <f aca="false">IF(COUNTIF('Info Strategia'!$D$2:$D$51,$C103)&gt;0,"SI","NO")</f>
        <v>NO</v>
      </c>
      <c r="F103" s="27" t="n">
        <f aca="false">IFERROR(ROUND(($G103+($H103-$G103)*'Info Strategia'!$B$6)*(1+IF($E103="SI",'Parametri Modello'!$B$7*'Info Strategia'!$B$6,0)),0),"")</f>
        <v>29</v>
      </c>
      <c r="G103" s="27" t="n">
        <f aca="false">IFERROR(ROUND((IF(OR(INDEX('Parametri Modello'!$C$39:$C$42,MATCH($B103,'Parametri Modello'!$A$39:$A$42,0))="",INDEX('Parametri Modello'!$C$39:$C$42,MATCH($B103,'Parametri Modello'!$A$39:$A$42,0))=0),0,($O103/INDEX('Parametri Modello'!$C$39:$C$42,MATCH($B103,'Parametri Modello'!$A$39:$A$42,0)))*(INDEX('Parametri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18</v>
      </c>
      <c r="H103" s="27" t="n">
        <f aca="false">IFERROR(ROUND((IF(OR(INDEX('Parametri Modello'!$C$39:$C$42,MATCH($B103,'Parametri Modello'!$A$39:$A$42,0))="",INDEX('Parametri Modello'!$C$39:$C$42,MATCH($B103,'Parametri Modello'!$A$39:$A$42,0))=0),0,($O103/INDEX('Parametri Modello'!$C$39:$C$42,MATCH($B103,'Parametri Modello'!$A$39:$A$42,0)))*(INDEX('Parametri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33</v>
      </c>
      <c r="I103" s="26" t="n">
        <f aca="false">IFERROR(INDEX('Input Statistiche 2025_26'!$F$3:$F$665,MATCH($A103,'Input Statistiche 2025_26'!$A$3:$A$665,0)),"")</f>
        <v>32</v>
      </c>
      <c r="J103" s="26" t="n">
        <f aca="false">IFERROR(IF($I103="","",MAX(0,38-$I103)),"")</f>
        <v>6</v>
      </c>
      <c r="K103" s="26" t="n">
        <f aca="false">IFERROR(INDEX('Input Statistiche 2025_26'!$I$3:$I$665,MATCH($A103,'Input Statistiche 2025_26'!$A$3:$A$665,0)),"")</f>
        <v>6</v>
      </c>
      <c r="L103" s="26" t="n">
        <f aca="false">IFERROR(INDEX('Input Statistiche 2025_26'!$O$3:$O$665,MATCH($A103,'Input Statistiche 2025_26'!$A$3:$A$665,0)),"")</f>
        <v>3</v>
      </c>
      <c r="M103" s="28"/>
      <c r="N103" s="27" t="n">
        <f aca="false">IFERROR(INDEX('Input Giocatori 2026_27'!$E$3:$E$493,MATCH($A103,'Input Giocatori 2026_27'!$A$3:$A$493,0)),"")</f>
        <v>9</v>
      </c>
      <c r="O103" s="27" t="n">
        <f aca="false">IFERROR(INDEX('Input Giocatori 2026_27'!$G$3:$G$493,MATCH($A103,'Input Giocatori 2026_27'!$A$3:$A$493,0)),"")</f>
        <v>32</v>
      </c>
      <c r="P103" s="26" t="str">
        <f aca="false">IFERROR(IF($O103="","",IF((1-(COUNTIFS($B$2:$B$492,$B103,$O$2:$O$492,"&gt;"&amp;$O103)+1-1)/COUNTIF($B$2:$B$492,$B103))&gt;=0.85,"Top",IF((1-(COUNTIFS($B$2:$B$492,$B103,$O$2:$O$492,"&gt;"&amp;$O103)+1-1)/COUNTIF($B$2:$B$492,$B103))&gt;=0.6,"Buono",IF((1-(COUNTIFS($B$2:$B$492,$B103,$O$2:$O$492,"&gt;"&amp;$O103)+1-1)/COUNTIF($B$2:$B$492,$B103))&gt;=0.3,"Nella Media","Scommessa/Riserva")))),"")</f>
        <v>Nella Media</v>
      </c>
      <c r="Q103" s="29" t="n">
        <f aca="false">IF($D103="",COUNTIF($D$2:$D103,""),"")</f>
        <v>102</v>
      </c>
      <c r="R103" s="29" t="str">
        <f aca="false">IF($D103='Info Lega'!$B$28,COUNTIFS($D$2:$D103,'Info Lega'!$B$28),"")</f>
        <v/>
      </c>
      <c r="S103" s="30" t="n">
        <f aca="false">IFERROR(INDEX('Input Statistiche 2025_26'!$G$3:$G$665,MATCH($A103,'Input Statistiche 2025_26'!$A$3:$A$665,0)),"")</f>
        <v>5.98</v>
      </c>
      <c r="T103" s="30" t="n">
        <f aca="false">IFERROR(INDEX('Input Statistiche 2025_26'!$H$3:$H$665,MATCH($A103,'Input Statistiche 2025_26'!$A$3:$A$665,0)),"")</f>
        <v>6.64</v>
      </c>
      <c r="U103" s="26" t="str">
        <f aca="false">IF(OR('La Mia Rosa'!$O$12="",$D103&lt;&gt;""),"",IF($F103&lt;='La Mia Rosa'!$O$12*'Parametri Modello'!$B$24,"OK",IF($F103&lt;='La Mia Rosa'!$O$12*'Parametri Modello'!$B$25,"Attenzione","Rischio Alto")))</f>
        <v>OK</v>
      </c>
      <c r="V103" s="26" t="n">
        <f aca="false">IFERROR(COUNTIFS($B$2:$B$492,$B103,$O$2:$O$492,"&gt;"&amp;$O103)+1,"")</f>
        <v>36</v>
      </c>
      <c r="W103" s="21" t="n">
        <f aca="false">'Info Lega'!$B$4-SUMIFS($M$2:$M$492,$D$2:$D$492,'Info Lega'!$B$28)</f>
        <v>1000</v>
      </c>
      <c r="X103" s="21" t="n">
        <f aca="false">('Info Lega'!$B$5-COUNTIFS($D$2:$D$492,'Info Lega'!$B$28,$B$2:$B$492,"P"))+('Info Lega'!$B$6-COUNTIFS($D$2:$D$492,'Info Lega'!$B$28,$B$2:$B$492,"D"))+('Info Lega'!$B$7-COUNTIFS($D$2:$D$492,'Info Lega'!$B$28,$B$2:$B$492,"C"))+('Info Lega'!$B$8-COUNTIFS($D$2:$D$492,'Info Lega'!$B$28,$B$2:$B$492,"A"))</f>
        <v>25</v>
      </c>
      <c r="Y103" s="21" t="n">
        <f aca="false">X103*'Parametri Modello'!$B$30</f>
        <v>25</v>
      </c>
      <c r="Z103" s="21" t="n">
        <f aca="false">MAX(0,W103-Y103)</f>
        <v>975</v>
      </c>
      <c r="AA103" s="21" t="n">
        <f aca="false">MIN(F103,Z103)</f>
        <v>29</v>
      </c>
      <c r="AB103" s="21"/>
      <c r="AC103" s="21" t="str">
        <f aca="false">IF(AB103="","",IF(AB103&gt;AA103,"PASS",IF(AB103&lt;=AA103*0.85,"BID","ATTENZIONE")))</f>
        <v/>
      </c>
      <c r="AD103" s="31" t="n">
        <f aca="false">IF(I103="","",ROUND(100*(1-EXP(-I103/30)),0))</f>
        <v>66</v>
      </c>
      <c r="AE103" s="7" t="str">
        <f aca="false">IFERROR(INDEX('Stato Asta'!$G$9:$G$12,MATCH($B103,'Stato Asta'!$A$9:$A$12,0)),"")</f>
        <v>🔴 Non aspettare</v>
      </c>
    </row>
    <row r="104" customFormat="false" ht="14.25" hidden="false" customHeight="true" outlineLevel="0" collapsed="false">
      <c r="A104" s="21" t="n">
        <v>5833</v>
      </c>
      <c r="B104" s="21" t="s">
        <v>44</v>
      </c>
      <c r="C104" s="21" t="s">
        <v>203</v>
      </c>
      <c r="E104" s="26" t="str">
        <f aca="false">IF(COUNTIF('Info Strategia'!$D$2:$D$51,$C104)&gt;0,"SI","NO")</f>
        <v>NO</v>
      </c>
      <c r="F104" s="27" t="n">
        <f aca="false">IFERROR(ROUND(($G104+($H104-$G104)*'Info Strategia'!$B$6)*(1+IF($E104="SI",'Parametri Modello'!$B$7*'Info Strategia'!$B$6,0)),0),"")</f>
        <v>15</v>
      </c>
      <c r="G104" s="27" t="n">
        <f aca="false">IFERROR(ROUND((IF(OR(INDEX('Parametri Modello'!$C$39:$C$42,MATCH($B104,'Parametri Modello'!$A$39:$A$42,0))="",INDEX('Parametri Modello'!$C$39:$C$42,MATCH($B104,'Parametri Modello'!$A$39:$A$42,0))=0),0,($O104/INDEX('Parametri Modello'!$C$39:$C$42,MATCH($B104,'Parametri Modello'!$A$39:$A$42,0)))*(INDEX('Parametri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11</v>
      </c>
      <c r="H104" s="27" t="n">
        <f aca="false">IFERROR(ROUND((IF(OR(INDEX('Parametri Modello'!$C$39:$C$42,MATCH($B104,'Parametri Modello'!$A$39:$A$42,0))="",INDEX('Parametri Modello'!$C$39:$C$42,MATCH($B104,'Parametri Modello'!$A$39:$A$42,0))=0),0,($O104/INDEX('Parametri Modello'!$C$39:$C$42,MATCH($B104,'Parametri Modello'!$A$39:$A$42,0)))*(INDEX('Parametri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16</v>
      </c>
      <c r="I104" s="26" t="n">
        <f aca="false">IFERROR(INDEX('Input Statistiche 2025_26'!$F$3:$F$665,MATCH($A104,'Input Statistiche 2025_26'!$A$3:$A$665,0)),"")</f>
        <v>31</v>
      </c>
      <c r="J104" s="26" t="n">
        <f aca="false">IFERROR(IF($I104="","",MAX(0,38-$I104)),"")</f>
        <v>7</v>
      </c>
      <c r="K104" s="26" t="n">
        <f aca="false">IFERROR(INDEX('Input Statistiche 2025_26'!$I$3:$I$665,MATCH($A104,'Input Statistiche 2025_26'!$A$3:$A$665,0)),"")</f>
        <v>0</v>
      </c>
      <c r="L104" s="26" t="n">
        <f aca="false">IFERROR(INDEX('Input Statistiche 2025_26'!$O$3:$O$665,MATCH($A104,'Input Statistiche 2025_26'!$A$3:$A$665,0)),"")</f>
        <v>0</v>
      </c>
      <c r="M104" s="28"/>
      <c r="N104" s="27" t="n">
        <f aca="false">IFERROR(INDEX('Input Giocatori 2026_27'!$E$3:$E$493,MATCH($A104,'Input Giocatori 2026_27'!$A$3:$A$493,0)),"")</f>
        <v>12</v>
      </c>
      <c r="O104" s="27" t="n">
        <f aca="false">IFERROR(INDEX('Input Giocatori 2026_27'!$G$3:$G$493,MATCH($A104,'Input Giocatori 2026_27'!$A$3:$A$493,0)),"")</f>
        <v>31</v>
      </c>
      <c r="P104" s="26" t="str">
        <f aca="false">IFERROR(IF($O104="","",IF((1-(COUNTIFS($B$2:$B$492,$B104,$O$2:$O$492,"&gt;"&amp;$O104)+1-1)/COUNTIF($B$2:$B$492,$B104))&gt;=0.85,"Top",IF((1-(COUNTIFS($B$2:$B$492,$B104,$O$2:$O$492,"&gt;"&amp;$O104)+1-1)/COUNTIF($B$2:$B$492,$B104))&gt;=0.6,"Buono",IF((1-(COUNTIFS($B$2:$B$492,$B104,$O$2:$O$492,"&gt;"&amp;$O104)+1-1)/COUNTIF($B$2:$B$492,$B104))&gt;=0.3,"Nella Media","Scommessa/Riserva")))),"")</f>
        <v>Top</v>
      </c>
      <c r="Q104" s="29" t="n">
        <f aca="false">IF($D104="",COUNTIF($D$2:$D104,""),"")</f>
        <v>103</v>
      </c>
      <c r="R104" s="29" t="str">
        <f aca="false">IF($D104='Info Lega'!$B$28,COUNTIFS($D$2:$D104,'Info Lega'!$B$28),"")</f>
        <v/>
      </c>
      <c r="S104" s="30" t="n">
        <f aca="false">IFERROR(INDEX('Input Statistiche 2025_26'!$G$3:$G$665,MATCH($A104,'Input Statistiche 2025_26'!$A$3:$A$665,0)),"")</f>
        <v>6.03</v>
      </c>
      <c r="T104" s="30" t="n">
        <f aca="false">IFERROR(INDEX('Input Statistiche 2025_26'!$H$3:$H$665,MATCH($A104,'Input Statistiche 2025_26'!$A$3:$A$665,0)),"")</f>
        <v>5.95</v>
      </c>
      <c r="U104" s="26" t="str">
        <f aca="false">IF(OR('La Mia Rosa'!$O$12="",$D104&lt;&gt;""),"",IF($F104&lt;='La Mia Rosa'!$O$12*'Parametri Modello'!$B$24,"OK",IF($F104&lt;='La Mia Rosa'!$O$12*'Parametri Modello'!$B$25,"Attenzione","Rischio Alto")))</f>
        <v>OK</v>
      </c>
      <c r="V104" s="26" t="n">
        <f aca="false">IFERROR(COUNTIFS($B$2:$B$492,$B104,$O$2:$O$492,"&gt;"&amp;$O104)+1,"")</f>
        <v>18</v>
      </c>
      <c r="W104" s="21" t="n">
        <f aca="false">'Info Lega'!$B$4-SUMIFS($M$2:$M$492,$D$2:$D$492,'Info Lega'!$B$28)</f>
        <v>1000</v>
      </c>
      <c r="X104" s="21" t="n">
        <f aca="false">('Info Lega'!$B$5-COUNTIFS($D$2:$D$492,'Info Lega'!$B$28,$B$2:$B$492,"P"))+('Info Lega'!$B$6-COUNTIFS($D$2:$D$492,'Info Lega'!$B$28,$B$2:$B$492,"D"))+('Info Lega'!$B$7-COUNTIFS($D$2:$D$492,'Info Lega'!$B$28,$B$2:$B$492,"C"))+('Info Lega'!$B$8-COUNTIFS($D$2:$D$492,'Info Lega'!$B$28,$B$2:$B$492,"A"))</f>
        <v>25</v>
      </c>
      <c r="Y104" s="21" t="n">
        <f aca="false">X104*'Parametri Modello'!$B$30</f>
        <v>25</v>
      </c>
      <c r="Z104" s="21" t="n">
        <f aca="false">MAX(0,W104-Y104)</f>
        <v>975</v>
      </c>
      <c r="AA104" s="21" t="n">
        <f aca="false">MIN(F104,Z104)</f>
        <v>15</v>
      </c>
      <c r="AB104" s="21"/>
      <c r="AC104" s="21" t="str">
        <f aca="false">IF(AB104="","",IF(AB104&gt;AA104,"PASS",IF(AB104&lt;=AA104*0.85,"BID","ATTENZIONE")))</f>
        <v/>
      </c>
      <c r="AD104" s="31" t="n">
        <f aca="false">IF(I104="","",ROUND(100*(1-EXP(-I104/30)),0))</f>
        <v>64</v>
      </c>
      <c r="AE104" s="7" t="str">
        <f aca="false">IFERROR(INDEX('Stato Asta'!$G$9:$G$12,MATCH($B104,'Stato Asta'!$A$9:$A$12,0)),"")</f>
        <v>🟡 Attesa rischiosa</v>
      </c>
    </row>
    <row r="105" customFormat="false" ht="14.25" hidden="false" customHeight="true" outlineLevel="0" collapsed="false">
      <c r="A105" s="21" t="n">
        <v>5672</v>
      </c>
      <c r="B105" s="21" t="s">
        <v>46</v>
      </c>
      <c r="C105" s="21" t="s">
        <v>569</v>
      </c>
      <c r="E105" s="26" t="str">
        <f aca="false">IF(COUNTIF('Info Strategia'!$D$2:$D$51,$C105)&gt;0,"SI","NO")</f>
        <v>NO</v>
      </c>
      <c r="F105" s="27" t="n">
        <f aca="false">IFERROR(ROUND(($G105+($H105-$G105)*'Info Strategia'!$B$6)*(1+IF($E105="SI",'Parametri Modello'!$B$7*'Info Strategia'!$B$6,0)),0),"")</f>
        <v>27</v>
      </c>
      <c r="G105" s="27" t="n">
        <f aca="false">IFERROR(ROUND((IF(OR(INDEX('Parametri Modello'!$C$39:$C$42,MATCH($B105,'Parametri Modello'!$A$39:$A$42,0))="",INDEX('Parametri Modello'!$C$39:$C$42,MATCH($B105,'Parametri Modello'!$A$39:$A$42,0))=0),0,($O105/INDEX('Parametri Modello'!$C$39:$C$42,MATCH($B105,'Parametri Modello'!$A$39:$A$42,0)))*(INDEX('Parametri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17</v>
      </c>
      <c r="H105" s="27" t="n">
        <f aca="false">IFERROR(ROUND((IF(OR(INDEX('Parametri Modello'!$C$39:$C$42,MATCH($B105,'Parametri Modello'!$A$39:$A$42,0))="",INDEX('Parametri Modello'!$C$39:$C$42,MATCH($B105,'Parametri Modello'!$A$39:$A$42,0))=0),0,($O105/INDEX('Parametri Modello'!$C$39:$C$42,MATCH($B105,'Parametri Modello'!$A$39:$A$42,0)))*(INDEX('Parametri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31</v>
      </c>
      <c r="I105" s="26" t="n">
        <f aca="false">IFERROR(INDEX('Input Statistiche 2025_26'!$F$3:$F$665,MATCH($A105,'Input Statistiche 2025_26'!$A$3:$A$665,0)),"")</f>
        <v>25</v>
      </c>
      <c r="J105" s="26" t="n">
        <f aca="false">IFERROR(IF($I105="","",MAX(0,38-$I105)),"")</f>
        <v>13</v>
      </c>
      <c r="K105" s="26" t="n">
        <f aca="false">IFERROR(INDEX('Input Statistiche 2025_26'!$I$3:$I$665,MATCH($A105,'Input Statistiche 2025_26'!$A$3:$A$665,0)),"")</f>
        <v>1</v>
      </c>
      <c r="L105" s="26" t="n">
        <f aca="false">IFERROR(INDEX('Input Statistiche 2025_26'!$O$3:$O$665,MATCH($A105,'Input Statistiche 2025_26'!$A$3:$A$665,0)),"")</f>
        <v>2</v>
      </c>
      <c r="M105" s="28"/>
      <c r="N105" s="27" t="n">
        <f aca="false">IFERROR(INDEX('Input Giocatori 2026_27'!$E$3:$E$493,MATCH($A105,'Input Giocatori 2026_27'!$A$3:$A$493,0)),"")</f>
        <v>10</v>
      </c>
      <c r="O105" s="27" t="n">
        <f aca="false">IFERROR(INDEX('Input Giocatori 2026_27'!$G$3:$G$493,MATCH($A105,'Input Giocatori 2026_27'!$A$3:$A$493,0)),"")</f>
        <v>31</v>
      </c>
      <c r="P105" s="26" t="str">
        <f aca="false">IFERROR(IF($O105="","",IF((1-(COUNTIFS($B$2:$B$492,$B105,$O$2:$O$492,"&gt;"&amp;$O105)+1-1)/COUNTIF($B$2:$B$492,$B105))&gt;=0.85,"Top",IF((1-(COUNTIFS($B$2:$B$492,$B105,$O$2:$O$492,"&gt;"&amp;$O105)+1-1)/COUNTIF($B$2:$B$492,$B105))&gt;=0.6,"Buono",IF((1-(COUNTIFS($B$2:$B$492,$B105,$O$2:$O$492,"&gt;"&amp;$O105)+1-1)/COUNTIF($B$2:$B$492,$B105))&gt;=0.3,"Nella Media","Scommessa/Riserva")))),"")</f>
        <v>Nella Media</v>
      </c>
      <c r="Q105" s="29" t="n">
        <f aca="false">IF($D105="",COUNTIF($D$2:$D105,""),"")</f>
        <v>104</v>
      </c>
      <c r="R105" s="29" t="str">
        <f aca="false">IF($D105='Info Lega'!$B$28,COUNTIFS($D$2:$D105,'Info Lega'!$B$28),"")</f>
        <v/>
      </c>
      <c r="S105" s="30" t="n">
        <f aca="false">IFERROR(INDEX('Input Statistiche 2025_26'!$G$3:$G$665,MATCH($A105,'Input Statistiche 2025_26'!$A$3:$A$665,0)),"")</f>
        <v>5.68</v>
      </c>
      <c r="T105" s="30" t="n">
        <f aca="false">IFERROR(INDEX('Input Statistiche 2025_26'!$H$3:$H$665,MATCH($A105,'Input Statistiche 2025_26'!$A$3:$A$665,0)),"")</f>
        <v>5.86</v>
      </c>
      <c r="U105" s="26" t="str">
        <f aca="false">IF(OR('La Mia Rosa'!$O$12="",$D105&lt;&gt;""),"",IF($F105&lt;='La Mia Rosa'!$O$12*'Parametri Modello'!$B$24,"OK",IF($F105&lt;='La Mia Rosa'!$O$12*'Parametri Modello'!$B$25,"Attenzione","Rischio Alto")))</f>
        <v>OK</v>
      </c>
      <c r="V105" s="26" t="n">
        <f aca="false">IFERROR(COUNTIFS($B$2:$B$492,$B105,$O$2:$O$492,"&gt;"&amp;$O105)+1,"")</f>
        <v>38</v>
      </c>
      <c r="W105" s="21" t="n">
        <f aca="false">'Info Lega'!$B$4-SUMIFS($M$2:$M$492,$D$2:$D$492,'Info Lega'!$B$28)</f>
        <v>1000</v>
      </c>
      <c r="X105" s="21" t="n">
        <f aca="false">('Info Lega'!$B$5-COUNTIFS($D$2:$D$492,'Info Lega'!$B$28,$B$2:$B$492,"P"))+('Info Lega'!$B$6-COUNTIFS($D$2:$D$492,'Info Lega'!$B$28,$B$2:$B$492,"D"))+('Info Lega'!$B$7-COUNTIFS($D$2:$D$492,'Info Lega'!$B$28,$B$2:$B$492,"C"))+('Info Lega'!$B$8-COUNTIFS($D$2:$D$492,'Info Lega'!$B$28,$B$2:$B$492,"A"))</f>
        <v>25</v>
      </c>
      <c r="Y105" s="21" t="n">
        <f aca="false">X105*'Parametri Modello'!$B$30</f>
        <v>25</v>
      </c>
      <c r="Z105" s="21" t="n">
        <f aca="false">MAX(0,W105-Y105)</f>
        <v>975</v>
      </c>
      <c r="AA105" s="21" t="n">
        <f aca="false">MIN(F105,Z105)</f>
        <v>27</v>
      </c>
      <c r="AB105" s="21"/>
      <c r="AC105" s="21" t="str">
        <f aca="false">IF(AB105="","",IF(AB105&gt;AA105,"PASS",IF(AB105&lt;=AA105*0.85,"BID","ATTENZIONE")))</f>
        <v/>
      </c>
      <c r="AD105" s="31" t="n">
        <f aca="false">IF(I105="","",ROUND(100*(1-EXP(-I105/30)),0))</f>
        <v>57</v>
      </c>
      <c r="AE105" s="7" t="str">
        <f aca="false">IFERROR(INDEX('Stato Asta'!$G$9:$G$12,MATCH($B105,'Stato Asta'!$A$9:$A$12,0)),"")</f>
        <v>🔴 Non aspettare</v>
      </c>
    </row>
    <row r="106" customFormat="false" ht="14.25" hidden="false" customHeight="true" outlineLevel="0" collapsed="false">
      <c r="A106" s="21" t="n">
        <v>6482</v>
      </c>
      <c r="B106" s="21" t="s">
        <v>43</v>
      </c>
      <c r="C106" s="21" t="s">
        <v>132</v>
      </c>
      <c r="E106" s="26" t="str">
        <f aca="false">IF(COUNTIF('Info Strategia'!$D$2:$D$51,$C106)&gt;0,"SI","NO")</f>
        <v>NO</v>
      </c>
      <c r="F106" s="27" t="n">
        <f aca="false">IFERROR(ROUND(($G106+($H106-$G106)*'Info Strategia'!$B$6)*(1+IF($E106="SI",'Parametri Modello'!$B$7*'Info Strategia'!$B$6,0)),0),"")</f>
        <v>34</v>
      </c>
      <c r="G106" s="27" t="n">
        <f aca="false">IFERROR(ROUND((IF(OR(INDEX('Parametri Modello'!$C$39:$C$42,MATCH($B106,'Parametri Modello'!$A$39:$A$42,0))="",INDEX('Parametri Modello'!$C$39:$C$42,MATCH($B106,'Parametri Modello'!$A$39:$A$42,0))=0),0,($O106/INDEX('Parametri Modello'!$C$39:$C$42,MATCH($B106,'Parametri Modello'!$A$39:$A$42,0)))*(INDEX('Parametri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28</v>
      </c>
      <c r="H106" s="27" t="n">
        <f aca="false">IFERROR(ROUND((IF(OR(INDEX('Parametri Modello'!$C$39:$C$42,MATCH($B106,'Parametri Modello'!$A$39:$A$42,0))="",INDEX('Parametri Modello'!$C$39:$C$42,MATCH($B106,'Parametri Modello'!$A$39:$A$42,0))=0),0,($O106/INDEX('Parametri Modello'!$C$39:$C$42,MATCH($B106,'Parametri Modello'!$A$39:$A$42,0)))*(INDEX('Parametri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37</v>
      </c>
      <c r="I106" s="26" t="n">
        <f aca="false">IFERROR(INDEX('Input Statistiche 2025_26'!$F$3:$F$665,MATCH($A106,'Input Statistiche 2025_26'!$A$3:$A$665,0)),"")</f>
        <v>0</v>
      </c>
      <c r="J106" s="26" t="n">
        <f aca="false">IFERROR(IF($I106="","",MAX(0,38-$I106)),"")</f>
        <v>38</v>
      </c>
      <c r="K106" s="26" t="n">
        <f aca="false">IFERROR(INDEX('Input Statistiche 2025_26'!$I$3:$I$665,MATCH($A106,'Input Statistiche 2025_26'!$A$3:$A$665,0)),"")</f>
        <v>0</v>
      </c>
      <c r="L106" s="26" t="n">
        <f aca="false">IFERROR(INDEX('Input Statistiche 2025_26'!$O$3:$O$665,MATCH($A106,'Input Statistiche 2025_26'!$A$3:$A$665,0)),"")</f>
        <v>0</v>
      </c>
      <c r="M106" s="28"/>
      <c r="N106" s="27" t="n">
        <f aca="false">IFERROR(INDEX('Input Giocatori 2026_27'!$E$3:$E$493,MATCH($A106,'Input Giocatori 2026_27'!$A$3:$A$493,0)),"")</f>
        <v>9</v>
      </c>
      <c r="O106" s="27" t="n">
        <f aca="false">IFERROR(INDEX('Input Giocatori 2026_27'!$G$3:$G$493,MATCH($A106,'Input Giocatori 2026_27'!$A$3:$A$493,0)),"")</f>
        <v>30</v>
      </c>
      <c r="P106" s="26" t="str">
        <f aca="false">IFERROR(IF($O106="","",IF((1-(COUNTIFS($B$2:$B$492,$B106,$O$2:$O$492,"&gt;"&amp;$O106)+1-1)/COUNTIF($B$2:$B$492,$B106))&gt;=0.85,"Top",IF((1-(COUNTIFS($B$2:$B$492,$B106,$O$2:$O$492,"&gt;"&amp;$O106)+1-1)/COUNTIF($B$2:$B$492,$B106))&gt;=0.6,"Buono",IF((1-(COUNTIFS($B$2:$B$492,$B106,$O$2:$O$492,"&gt;"&amp;$O106)+1-1)/COUNTIF($B$2:$B$492,$B106))&gt;=0.3,"Nella Media","Scommessa/Riserva")))),"")</f>
        <v>Buono</v>
      </c>
      <c r="Q106" s="29" t="n">
        <f aca="false">IF($D106="",COUNTIF($D$2:$D106,""),"")</f>
        <v>105</v>
      </c>
      <c r="R106" s="29" t="str">
        <f aca="false">IF($D106='Info Lega'!$B$28,COUNTIFS($D$2:$D106,'Info Lega'!$B$28),"")</f>
        <v/>
      </c>
      <c r="S106" s="30" t="n">
        <f aca="false">IFERROR(INDEX('Input Statistiche 2025_26'!$G$3:$G$665,MATCH($A106,'Input Statistiche 2025_26'!$A$3:$A$665,0)),"")</f>
        <v>0</v>
      </c>
      <c r="T106" s="30" t="n">
        <f aca="false">IFERROR(INDEX('Input Statistiche 2025_26'!$H$3:$H$665,MATCH($A106,'Input Statistiche 2025_26'!$A$3:$A$665,0)),"")</f>
        <v>0</v>
      </c>
      <c r="U106" s="26" t="str">
        <f aca="false">IF(OR('La Mia Rosa'!$O$12="",$D106&lt;&gt;""),"",IF($F106&lt;='La Mia Rosa'!$O$12*'Parametri Modello'!$B$24,"OK",IF($F106&lt;='La Mia Rosa'!$O$12*'Parametri Modello'!$B$25,"Attenzione","Rischio Alto")))</f>
        <v>OK</v>
      </c>
      <c r="V106" s="26" t="n">
        <f aca="false">IFERROR(COUNTIFS($B$2:$B$492,$B106,$O$2:$O$492,"&gt;"&amp;$O106)+1,"")</f>
        <v>10</v>
      </c>
      <c r="W106" s="21" t="n">
        <f aca="false">'Info Lega'!$B$4-SUMIFS($M$2:$M$492,$D$2:$D$492,'Info Lega'!$B$28)</f>
        <v>1000</v>
      </c>
      <c r="X106" s="21" t="n">
        <f aca="false">('Info Lega'!$B$5-COUNTIFS($D$2:$D$492,'Info Lega'!$B$28,$B$2:$B$492,"P"))+('Info Lega'!$B$6-COUNTIFS($D$2:$D$492,'Info Lega'!$B$28,$B$2:$B$492,"D"))+('Info Lega'!$B$7-COUNTIFS($D$2:$D$492,'Info Lega'!$B$28,$B$2:$B$492,"C"))+('Info Lega'!$B$8-COUNTIFS($D$2:$D$492,'Info Lega'!$B$28,$B$2:$B$492,"A"))</f>
        <v>25</v>
      </c>
      <c r="Y106" s="21" t="n">
        <f aca="false">X106*'Parametri Modello'!$B$30</f>
        <v>25</v>
      </c>
      <c r="Z106" s="21" t="n">
        <f aca="false">MAX(0,W106-Y106)</f>
        <v>975</v>
      </c>
      <c r="AA106" s="21" t="n">
        <f aca="false">MIN(F106,Z106)</f>
        <v>34</v>
      </c>
      <c r="AB106" s="21"/>
      <c r="AC106" s="21" t="str">
        <f aca="false">IF(AB106="","",IF(AB106&gt;AA106,"PASS",IF(AB106&lt;=AA106*0.85,"BID","ATTENZIONE")))</f>
        <v/>
      </c>
      <c r="AD106" s="31" t="n">
        <f aca="false">IF(I106="","",ROUND(100*(1-EXP(-I106/30)),0))</f>
        <v>0</v>
      </c>
      <c r="AE106" s="7" t="str">
        <f aca="false">IFERROR(INDEX('Stato Asta'!$G$9:$G$12,MATCH($B106,'Stato Asta'!$A$9:$A$12,0)),"")</f>
        <v>🟡 Attesa rischiosa</v>
      </c>
    </row>
    <row r="107" customFormat="false" ht="14.25" hidden="false" customHeight="true" outlineLevel="0" collapsed="false">
      <c r="A107" s="21" t="n">
        <v>5885</v>
      </c>
      <c r="B107" s="21" t="s">
        <v>44</v>
      </c>
      <c r="C107" s="21" t="s">
        <v>209</v>
      </c>
      <c r="E107" s="26" t="str">
        <f aca="false">IF(COUNTIF('Info Strategia'!$D$2:$D$51,$C107)&gt;0,"SI","NO")</f>
        <v>NO</v>
      </c>
      <c r="F107" s="27" t="n">
        <f aca="false">IFERROR(ROUND(($G107+($H107-$G107)*'Info Strategia'!$B$6)*(1+IF($E107="SI",'Parametri Modello'!$B$7*'Info Strategia'!$B$6,0)),0),"")</f>
        <v>15</v>
      </c>
      <c r="G107" s="27" t="n">
        <f aca="false">IFERROR(ROUND((IF(OR(INDEX('Parametri Modello'!$C$39:$C$42,MATCH($B107,'Parametri Modello'!$A$39:$A$42,0))="",INDEX('Parametri Modello'!$C$39:$C$42,MATCH($B107,'Parametri Modello'!$A$39:$A$42,0))=0),0,($O107/INDEX('Parametri Modello'!$C$39:$C$42,MATCH($B107,'Parametri Modello'!$A$39:$A$42,0)))*(INDEX('Parametri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11</v>
      </c>
      <c r="H107" s="27" t="n">
        <f aca="false">IFERROR(ROUND((IF(OR(INDEX('Parametri Modello'!$C$39:$C$42,MATCH($B107,'Parametri Modello'!$A$39:$A$42,0))="",INDEX('Parametri Modello'!$C$39:$C$42,MATCH($B107,'Parametri Modello'!$A$39:$A$42,0))=0),0,($O107/INDEX('Parametri Modello'!$C$39:$C$42,MATCH($B107,'Parametri Modello'!$A$39:$A$42,0)))*(INDEX('Parametri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16</v>
      </c>
      <c r="I107" s="26" t="n">
        <f aca="false">IFERROR(INDEX('Input Statistiche 2025_26'!$F$3:$F$665,MATCH($A107,'Input Statistiche 2025_26'!$A$3:$A$665,0)),"")</f>
        <v>36</v>
      </c>
      <c r="J107" s="26" t="n">
        <f aca="false">IFERROR(IF($I107="","",MAX(0,38-$I107)),"")</f>
        <v>2</v>
      </c>
      <c r="K107" s="26" t="n">
        <f aca="false">IFERROR(INDEX('Input Statistiche 2025_26'!$I$3:$I$665,MATCH($A107,'Input Statistiche 2025_26'!$A$3:$A$665,0)),"")</f>
        <v>1</v>
      </c>
      <c r="L107" s="26" t="n">
        <f aca="false">IFERROR(INDEX('Input Statistiche 2025_26'!$O$3:$O$665,MATCH($A107,'Input Statistiche 2025_26'!$A$3:$A$665,0)),"")</f>
        <v>2</v>
      </c>
      <c r="M107" s="28"/>
      <c r="N107" s="27" t="n">
        <f aca="false">IFERROR(INDEX('Input Giocatori 2026_27'!$E$3:$E$493,MATCH($A107,'Input Giocatori 2026_27'!$A$3:$A$493,0)),"")</f>
        <v>10</v>
      </c>
      <c r="O107" s="27" t="n">
        <f aca="false">IFERROR(INDEX('Input Giocatori 2026_27'!$G$3:$G$493,MATCH($A107,'Input Giocatori 2026_27'!$A$3:$A$493,0)),"")</f>
        <v>30</v>
      </c>
      <c r="P107" s="26" t="str">
        <f aca="false">IFERROR(IF($O107="","",IF((1-(COUNTIFS($B$2:$B$492,$B107,$O$2:$O$492,"&gt;"&amp;$O107)+1-1)/COUNTIF($B$2:$B$492,$B107))&gt;=0.85,"Top",IF((1-(COUNTIFS($B$2:$B$492,$B107,$O$2:$O$492,"&gt;"&amp;$O107)+1-1)/COUNTIF($B$2:$B$492,$B107))&gt;=0.6,"Buono",IF((1-(COUNTIFS($B$2:$B$492,$B107,$O$2:$O$492,"&gt;"&amp;$O107)+1-1)/COUNTIF($B$2:$B$492,$B107))&gt;=0.3,"Nella Media","Scommessa/Riserva")))),"")</f>
        <v>Top</v>
      </c>
      <c r="Q107" s="29" t="n">
        <f aca="false">IF($D107="",COUNTIF($D$2:$D107,""),"")</f>
        <v>106</v>
      </c>
      <c r="R107" s="29" t="str">
        <f aca="false">IF($D107='Info Lega'!$B$28,COUNTIFS($D$2:$D107,'Info Lega'!$B$28),"")</f>
        <v/>
      </c>
      <c r="S107" s="30" t="n">
        <f aca="false">IFERROR(INDEX('Input Statistiche 2025_26'!$G$3:$G$665,MATCH($A107,'Input Statistiche 2025_26'!$A$3:$A$665,0)),"")</f>
        <v>5.99</v>
      </c>
      <c r="T107" s="30" t="n">
        <f aca="false">IFERROR(INDEX('Input Statistiche 2025_26'!$H$3:$H$665,MATCH($A107,'Input Statistiche 2025_26'!$A$3:$A$665,0)),"")</f>
        <v>6.03</v>
      </c>
      <c r="U107" s="26" t="str">
        <f aca="false">IF(OR('La Mia Rosa'!$O$12="",$D107&lt;&gt;""),"",IF($F107&lt;='La Mia Rosa'!$O$12*'Parametri Modello'!$B$24,"OK",IF($F107&lt;='La Mia Rosa'!$O$12*'Parametri Modello'!$B$25,"Attenzione","Rischio Alto")))</f>
        <v>OK</v>
      </c>
      <c r="V107" s="26" t="n">
        <f aca="false">IFERROR(COUNTIFS($B$2:$B$492,$B107,$O$2:$O$492,"&gt;"&amp;$O107)+1,"")</f>
        <v>19</v>
      </c>
      <c r="W107" s="21" t="n">
        <f aca="false">'Info Lega'!$B$4-SUMIFS($M$2:$M$492,$D$2:$D$492,'Info Lega'!$B$28)</f>
        <v>1000</v>
      </c>
      <c r="X107" s="21" t="n">
        <f aca="false">('Info Lega'!$B$5-COUNTIFS($D$2:$D$492,'Info Lega'!$B$28,$B$2:$B$492,"P"))+('Info Lega'!$B$6-COUNTIFS($D$2:$D$492,'Info Lega'!$B$28,$B$2:$B$492,"D"))+('Info Lega'!$B$7-COUNTIFS($D$2:$D$492,'Info Lega'!$B$28,$B$2:$B$492,"C"))+('Info Lega'!$B$8-COUNTIFS($D$2:$D$492,'Info Lega'!$B$28,$B$2:$B$492,"A"))</f>
        <v>25</v>
      </c>
      <c r="Y107" s="21" t="n">
        <f aca="false">X107*'Parametri Modello'!$B$30</f>
        <v>25</v>
      </c>
      <c r="Z107" s="21" t="n">
        <f aca="false">MAX(0,W107-Y107)</f>
        <v>975</v>
      </c>
      <c r="AA107" s="21" t="n">
        <f aca="false">MIN(F107,Z107)</f>
        <v>15</v>
      </c>
      <c r="AB107" s="21"/>
      <c r="AC107" s="21" t="str">
        <f aca="false">IF(AB107="","",IF(AB107&gt;AA107,"PASS",IF(AB107&lt;=AA107*0.85,"BID","ATTENZIONE")))</f>
        <v/>
      </c>
      <c r="AD107" s="31" t="n">
        <f aca="false">IF(I107="","",ROUND(100*(1-EXP(-I107/30)),0))</f>
        <v>70</v>
      </c>
      <c r="AE107" s="7" t="str">
        <f aca="false">IFERROR(INDEX('Stato Asta'!$G$9:$G$12,MATCH($B107,'Stato Asta'!$A$9:$A$12,0)),"")</f>
        <v>🟡 Attesa rischiosa</v>
      </c>
    </row>
    <row r="108" customFormat="false" ht="14.25" hidden="false" customHeight="true" outlineLevel="0" collapsed="false">
      <c r="A108" s="21" t="n">
        <v>5823</v>
      </c>
      <c r="B108" s="21" t="s">
        <v>45</v>
      </c>
      <c r="C108" s="21" t="s">
        <v>390</v>
      </c>
      <c r="E108" s="26" t="str">
        <f aca="false">IF(COUNTIF('Info Strategia'!$D$2:$D$51,$C108)&gt;0,"SI","NO")</f>
        <v>NO</v>
      </c>
      <c r="F108" s="27" t="n">
        <f aca="false">IFERROR(ROUND(($G108+($H108-$G108)*'Info Strategia'!$B$6)*(1+IF($E108="SI",'Parametri Modello'!$B$7*'Info Strategia'!$B$6,0)),0),"")</f>
        <v>17</v>
      </c>
      <c r="G108" s="27" t="n">
        <f aca="false">IFERROR(ROUND((IF(OR(INDEX('Parametri Modello'!$C$39:$C$42,MATCH($B108,'Parametri Modello'!$A$39:$A$42,0))="",INDEX('Parametri Modello'!$C$39:$C$42,MATCH($B108,'Parametri Modello'!$A$39:$A$42,0))=0),0,($O108/INDEX('Parametri Modello'!$C$39:$C$42,MATCH($B108,'Parametri Modello'!$A$39:$A$42,0)))*(INDEX('Parametri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11</v>
      </c>
      <c r="H108" s="27" t="n">
        <f aca="false">IFERROR(ROUND((IF(OR(INDEX('Parametri Modello'!$C$39:$C$42,MATCH($B108,'Parametri Modello'!$A$39:$A$42,0))="",INDEX('Parametri Modello'!$C$39:$C$42,MATCH($B108,'Parametri Modello'!$A$39:$A$42,0))=0),0,($O108/INDEX('Parametri Modello'!$C$39:$C$42,MATCH($B108,'Parametri Modello'!$A$39:$A$42,0)))*(INDEX('Parametri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19</v>
      </c>
      <c r="I108" s="26" t="n">
        <f aca="false">IFERROR(INDEX('Input Statistiche 2025_26'!$F$3:$F$665,MATCH($A108,'Input Statistiche 2025_26'!$A$3:$A$665,0)),"")</f>
        <v>17</v>
      </c>
      <c r="J108" s="26" t="n">
        <f aca="false">IFERROR(IF($I108="","",MAX(0,38-$I108)),"")</f>
        <v>21</v>
      </c>
      <c r="K108" s="26" t="n">
        <f aca="false">IFERROR(INDEX('Input Statistiche 2025_26'!$I$3:$I$665,MATCH($A108,'Input Statistiche 2025_26'!$A$3:$A$665,0)),"")</f>
        <v>1</v>
      </c>
      <c r="L108" s="26" t="n">
        <f aca="false">IFERROR(INDEX('Input Statistiche 2025_26'!$O$3:$O$665,MATCH($A108,'Input Statistiche 2025_26'!$A$3:$A$665,0)),"")</f>
        <v>2</v>
      </c>
      <c r="M108" s="28"/>
      <c r="N108" s="27" t="n">
        <f aca="false">IFERROR(INDEX('Input Giocatori 2026_27'!$E$3:$E$493,MATCH($A108,'Input Giocatori 2026_27'!$A$3:$A$493,0)),"")</f>
        <v>11</v>
      </c>
      <c r="O108" s="27" t="n">
        <f aca="false">IFERROR(INDEX('Input Giocatori 2026_27'!$G$3:$G$493,MATCH($A108,'Input Giocatori 2026_27'!$A$3:$A$493,0)),"")</f>
        <v>30</v>
      </c>
      <c r="P108" s="26" t="str">
        <f aca="false">IFERROR(IF($O108="","",IF((1-(COUNTIFS($B$2:$B$492,$B108,$O$2:$O$492,"&gt;"&amp;$O108)+1-1)/COUNTIF($B$2:$B$492,$B108))&gt;=0.85,"Top",IF((1-(COUNTIFS($B$2:$B$492,$B108,$O$2:$O$492,"&gt;"&amp;$O108)+1-1)/COUNTIF($B$2:$B$492,$B108))&gt;=0.6,"Buono",IF((1-(COUNTIFS($B$2:$B$492,$B108,$O$2:$O$492,"&gt;"&amp;$O108)+1-1)/COUNTIF($B$2:$B$492,$B108))&gt;=0.3,"Nella Media","Scommessa/Riserva")))),"")</f>
        <v>Buono</v>
      </c>
      <c r="Q108" s="29" t="n">
        <f aca="false">IF($D108="",COUNTIF($D$2:$D108,""),"")</f>
        <v>107</v>
      </c>
      <c r="R108" s="29" t="str">
        <f aca="false">IF($D108='Info Lega'!$B$28,COUNTIFS($D$2:$D108,'Info Lega'!$B$28),"")</f>
        <v/>
      </c>
      <c r="S108" s="30" t="n">
        <f aca="false">IFERROR(INDEX('Input Statistiche 2025_26'!$G$3:$G$665,MATCH($A108,'Input Statistiche 2025_26'!$A$3:$A$665,0)),"")</f>
        <v>6.15</v>
      </c>
      <c r="T108" s="30" t="n">
        <f aca="false">IFERROR(INDEX('Input Statistiche 2025_26'!$H$3:$H$665,MATCH($A108,'Input Statistiche 2025_26'!$A$3:$A$665,0)),"")</f>
        <v>6.38</v>
      </c>
      <c r="U108" s="26" t="str">
        <f aca="false">IF(OR('La Mia Rosa'!$O$12="",$D108&lt;&gt;""),"",IF($F108&lt;='La Mia Rosa'!$O$12*'Parametri Modello'!$B$24,"OK",IF($F108&lt;='La Mia Rosa'!$O$12*'Parametri Modello'!$B$25,"Attenzione","Rischio Alto")))</f>
        <v>OK</v>
      </c>
      <c r="V108" s="26" t="n">
        <f aca="false">IFERROR(COUNTIFS($B$2:$B$492,$B108,$O$2:$O$492,"&gt;"&amp;$O108)+1,"")</f>
        <v>40</v>
      </c>
      <c r="W108" s="21" t="n">
        <f aca="false">'Info Lega'!$B$4-SUMIFS($M$2:$M$492,$D$2:$D$492,'Info Lega'!$B$28)</f>
        <v>1000</v>
      </c>
      <c r="X108" s="21" t="n">
        <f aca="false">('Info Lega'!$B$5-COUNTIFS($D$2:$D$492,'Info Lega'!$B$28,$B$2:$B$492,"P"))+('Info Lega'!$B$6-COUNTIFS($D$2:$D$492,'Info Lega'!$B$28,$B$2:$B$492,"D"))+('Info Lega'!$B$7-COUNTIFS($D$2:$D$492,'Info Lega'!$B$28,$B$2:$B$492,"C"))+('Info Lega'!$B$8-COUNTIFS($D$2:$D$492,'Info Lega'!$B$28,$B$2:$B$492,"A"))</f>
        <v>25</v>
      </c>
      <c r="Y108" s="21" t="n">
        <f aca="false">X108*'Parametri Modello'!$B$30</f>
        <v>25</v>
      </c>
      <c r="Z108" s="21" t="n">
        <f aca="false">MAX(0,W108-Y108)</f>
        <v>975</v>
      </c>
      <c r="AA108" s="21" t="n">
        <f aca="false">MIN(F108,Z108)</f>
        <v>17</v>
      </c>
      <c r="AB108" s="21"/>
      <c r="AC108" s="21" t="str">
        <f aca="false">IF(AB108="","",IF(AB108&gt;AA108,"PASS",IF(AB108&lt;=AA108*0.85,"BID","ATTENZIONE")))</f>
        <v/>
      </c>
      <c r="AD108" s="31" t="n">
        <f aca="false">IF(I108="","",ROUND(100*(1-EXP(-I108/30)),0))</f>
        <v>43</v>
      </c>
      <c r="AE108" s="7" t="str">
        <f aca="false">IFERROR(INDEX('Stato Asta'!$G$9:$G$12,MATCH($B108,'Stato Asta'!$A$9:$A$12,0)),"")</f>
        <v>🟡 Attesa rischiosa</v>
      </c>
    </row>
    <row r="109" customFormat="false" ht="14.25" hidden="false" customHeight="true" outlineLevel="0" collapsed="false">
      <c r="A109" s="21" t="n">
        <v>6530</v>
      </c>
      <c r="B109" s="21" t="s">
        <v>46</v>
      </c>
      <c r="C109" s="21" t="s">
        <v>573</v>
      </c>
      <c r="E109" s="26" t="str">
        <f aca="false">IF(COUNTIF('Info Strategia'!$D$2:$D$51,$C109)&gt;0,"SI","NO")</f>
        <v>NO</v>
      </c>
      <c r="F109" s="27" t="n">
        <f aca="false">IFERROR(ROUND(($G109+($H109-$G109)*'Info Strategia'!$B$6)*(1+IF($E109="SI",'Parametri Modello'!$B$7*'Info Strategia'!$B$6,0)),0),"")</f>
        <v>27</v>
      </c>
      <c r="G109" s="27" t="n">
        <f aca="false">IFERROR(ROUND((IF(OR(INDEX('Parametri Modello'!$C$39:$C$42,MATCH($B109,'Parametri Modello'!$A$39:$A$42,0))="",INDEX('Parametri Modello'!$C$39:$C$42,MATCH($B109,'Parametri Modello'!$A$39:$A$42,0))=0),0,($O109/INDEX('Parametri Modello'!$C$39:$C$42,MATCH($B109,'Parametri Modello'!$A$39:$A$42,0)))*(INDEX('Parametri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17</v>
      </c>
      <c r="H109" s="27" t="n">
        <f aca="false">IFERROR(ROUND((IF(OR(INDEX('Parametri Modello'!$C$39:$C$42,MATCH($B109,'Parametri Modello'!$A$39:$A$42,0))="",INDEX('Parametri Modello'!$C$39:$C$42,MATCH($B109,'Parametri Modello'!$A$39:$A$42,0))=0),0,($O109/INDEX('Parametri Modello'!$C$39:$C$42,MATCH($B109,'Parametri Modello'!$A$39:$A$42,0)))*(INDEX('Parametri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31</v>
      </c>
      <c r="I109" s="26" t="str">
        <f aca="false">IFERROR(INDEX('Input Statistiche 2025_26'!$F$3:$F$665,MATCH($A109,'Input Statistiche 2025_26'!$A$3:$A$665,0)),"")</f>
        <v/>
      </c>
      <c r="J109" s="26" t="str">
        <f aca="false">IFERROR(IF($I109="","",MAX(0,38-$I109)),"")</f>
        <v/>
      </c>
      <c r="K109" s="26" t="str">
        <f aca="false">IFERROR(INDEX('Input Statistiche 2025_26'!$I$3:$I$665,MATCH($A109,'Input Statistiche 2025_26'!$A$3:$A$665,0)),"")</f>
        <v/>
      </c>
      <c r="L109" s="26" t="str">
        <f aca="false">IFERROR(INDEX('Input Statistiche 2025_26'!$O$3:$O$665,MATCH($A109,'Input Statistiche 2025_26'!$A$3:$A$665,0)),"")</f>
        <v/>
      </c>
      <c r="M109" s="28"/>
      <c r="N109" s="27" t="n">
        <f aca="false">IFERROR(INDEX('Input Giocatori 2026_27'!$E$3:$E$493,MATCH($A109,'Input Giocatori 2026_27'!$A$3:$A$493,0)),"")</f>
        <v>9</v>
      </c>
      <c r="O109" s="27" t="n">
        <f aca="false">IFERROR(INDEX('Input Giocatori 2026_27'!$G$3:$G$493,MATCH($A109,'Input Giocatori 2026_27'!$A$3:$A$493,0)),"")</f>
        <v>30</v>
      </c>
      <c r="P109" s="26" t="str">
        <f aca="false">IFERROR(IF($O109="","",IF((1-(COUNTIFS($B$2:$B$492,$B109,$O$2:$O$492,"&gt;"&amp;$O109)+1-1)/COUNTIF($B$2:$B$492,$B109))&gt;=0.85,"Top",IF((1-(COUNTIFS($B$2:$B$492,$B109,$O$2:$O$492,"&gt;"&amp;$O109)+1-1)/COUNTIF($B$2:$B$492,$B109))&gt;=0.6,"Buono",IF((1-(COUNTIFS($B$2:$B$492,$B109,$O$2:$O$492,"&gt;"&amp;$O109)+1-1)/COUNTIF($B$2:$B$492,$B109))&gt;=0.3,"Nella Media","Scommessa/Riserva")))),"")</f>
        <v>Nella Media</v>
      </c>
      <c r="Q109" s="29" t="n">
        <f aca="false">IF($D109="",COUNTIF($D$2:$D109,""),"")</f>
        <v>108</v>
      </c>
      <c r="R109" s="29" t="str">
        <f aca="false">IF($D109='Info Lega'!$B$28,COUNTIFS($D$2:$D109,'Info Lega'!$B$28),"")</f>
        <v/>
      </c>
      <c r="S109" s="30" t="str">
        <f aca="false">IFERROR(INDEX('Input Statistiche 2025_26'!$G$3:$G$665,MATCH($A109,'Input Statistiche 2025_26'!$A$3:$A$665,0)),"")</f>
        <v/>
      </c>
      <c r="T109" s="30" t="str">
        <f aca="false">IFERROR(INDEX('Input Statistiche 2025_26'!$H$3:$H$665,MATCH($A109,'Input Statistiche 2025_26'!$A$3:$A$665,0)),"")</f>
        <v/>
      </c>
      <c r="U109" s="26" t="str">
        <f aca="false">IF(OR('La Mia Rosa'!$O$12="",$D109&lt;&gt;""),"",IF($F109&lt;='La Mia Rosa'!$O$12*'Parametri Modello'!$B$24,"OK",IF($F109&lt;='La Mia Rosa'!$O$12*'Parametri Modello'!$B$25,"Attenzione","Rischio Alto")))</f>
        <v>OK</v>
      </c>
      <c r="V109" s="26" t="n">
        <f aca="false">IFERROR(COUNTIFS($B$2:$B$492,$B109,$O$2:$O$492,"&gt;"&amp;$O109)+1,"")</f>
        <v>39</v>
      </c>
      <c r="W109" s="21" t="n">
        <f aca="false">'Info Lega'!$B$4-SUMIFS($M$2:$M$492,$D$2:$D$492,'Info Lega'!$B$28)</f>
        <v>1000</v>
      </c>
      <c r="X109" s="21" t="n">
        <f aca="false">('Info Lega'!$B$5-COUNTIFS($D$2:$D$492,'Info Lega'!$B$28,$B$2:$B$492,"P"))+('Info Lega'!$B$6-COUNTIFS($D$2:$D$492,'Info Lega'!$B$28,$B$2:$B$492,"D"))+('Info Lega'!$B$7-COUNTIFS($D$2:$D$492,'Info Lega'!$B$28,$B$2:$B$492,"C"))+('Info Lega'!$B$8-COUNTIFS($D$2:$D$492,'Info Lega'!$B$28,$B$2:$B$492,"A"))</f>
        <v>25</v>
      </c>
      <c r="Y109" s="21" t="n">
        <f aca="false">X109*'Parametri Modello'!$B$30</f>
        <v>25</v>
      </c>
      <c r="Z109" s="21" t="n">
        <f aca="false">MAX(0,W109-Y109)</f>
        <v>975</v>
      </c>
      <c r="AA109" s="21" t="n">
        <f aca="false">MIN(F109,Z109)</f>
        <v>27</v>
      </c>
      <c r="AB109" s="21"/>
      <c r="AC109" s="21" t="str">
        <f aca="false">IF(AB109="","",IF(AB109&gt;AA109,"PASS",IF(AB109&lt;=AA109*0.85,"BID","ATTENZIONE")))</f>
        <v/>
      </c>
      <c r="AD109" s="31" t="str">
        <f aca="false">IF(I109="","",ROUND(100*(1-EXP(-I109/30)),0))</f>
        <v/>
      </c>
      <c r="AE109" s="7" t="str">
        <f aca="false">IFERROR(INDEX('Stato Asta'!$G$9:$G$12,MATCH($B109,'Stato Asta'!$A$9:$A$12,0)),"")</f>
        <v>🔴 Non aspettare</v>
      </c>
    </row>
    <row r="110" customFormat="false" ht="14.25" hidden="false" customHeight="true" outlineLevel="0" collapsed="false">
      <c r="A110" s="21" t="n">
        <v>6462</v>
      </c>
      <c r="B110" s="21" t="s">
        <v>43</v>
      </c>
      <c r="C110" s="21" t="s">
        <v>134</v>
      </c>
      <c r="E110" s="26" t="str">
        <f aca="false">IF(COUNTIF('Info Strategia'!$D$2:$D$51,$C110)&gt;0,"SI","NO")</f>
        <v>NO</v>
      </c>
      <c r="F110" s="27" t="n">
        <f aca="false">IFERROR(ROUND(($G110+($H110-$G110)*'Info Strategia'!$B$6)*(1+IF($E110="SI",'Parametri Modello'!$B$7*'Info Strategia'!$B$6,0)),0),"")</f>
        <v>33</v>
      </c>
      <c r="G110" s="27" t="n">
        <f aca="false">IFERROR(ROUND((IF(OR(INDEX('Parametri Modello'!$C$39:$C$42,MATCH($B110,'Parametri Modello'!$A$39:$A$42,0))="",INDEX('Parametri Modello'!$C$39:$C$42,MATCH($B110,'Parametri Modello'!$A$39:$A$42,0))=0),0,($O110/INDEX('Parametri Modello'!$C$39:$C$42,MATCH($B110,'Parametri Modello'!$A$39:$A$42,0)))*(INDEX('Parametri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27</v>
      </c>
      <c r="H110" s="27" t="n">
        <f aca="false">IFERROR(ROUND((IF(OR(INDEX('Parametri Modello'!$C$39:$C$42,MATCH($B110,'Parametri Modello'!$A$39:$A$42,0))="",INDEX('Parametri Modello'!$C$39:$C$42,MATCH($B110,'Parametri Modello'!$A$39:$A$42,0))=0),0,($O110/INDEX('Parametri Modello'!$C$39:$C$42,MATCH($B110,'Parametri Modello'!$A$39:$A$42,0)))*(INDEX('Parametri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36</v>
      </c>
      <c r="I110" s="26" t="n">
        <f aca="false">IFERROR(INDEX('Input Statistiche 2025_26'!$F$3:$F$665,MATCH($A110,'Input Statistiche 2025_26'!$A$3:$A$665,0)),"")</f>
        <v>30</v>
      </c>
      <c r="J110" s="26" t="n">
        <f aca="false">IFERROR(IF($I110="","",MAX(0,38-$I110)),"")</f>
        <v>8</v>
      </c>
      <c r="K110" s="26" t="n">
        <f aca="false">IFERROR(INDEX('Input Statistiche 2025_26'!$I$3:$I$665,MATCH($A110,'Input Statistiche 2025_26'!$A$3:$A$665,0)),"")</f>
        <v>0</v>
      </c>
      <c r="L110" s="26" t="n">
        <f aca="false">IFERROR(INDEX('Input Statistiche 2025_26'!$O$3:$O$665,MATCH($A110,'Input Statistiche 2025_26'!$A$3:$A$665,0)),"")</f>
        <v>1</v>
      </c>
      <c r="M110" s="28"/>
      <c r="N110" s="27" t="n">
        <f aca="false">IFERROR(INDEX('Input Giocatori 2026_27'!$E$3:$E$493,MATCH($A110,'Input Giocatori 2026_27'!$A$3:$A$493,0)),"")</f>
        <v>9</v>
      </c>
      <c r="O110" s="27" t="n">
        <f aca="false">IFERROR(INDEX('Input Giocatori 2026_27'!$G$3:$G$493,MATCH($A110,'Input Giocatori 2026_27'!$A$3:$A$493,0)),"")</f>
        <v>29</v>
      </c>
      <c r="P110" s="26" t="str">
        <f aca="false">IFERROR(IF($O110="","",IF((1-(COUNTIFS($B$2:$B$492,$B110,$O$2:$O$492,"&gt;"&amp;$O110)+1-1)/COUNTIF($B$2:$B$492,$B110))&gt;=0.85,"Top",IF((1-(COUNTIFS($B$2:$B$492,$B110,$O$2:$O$492,"&gt;"&amp;$O110)+1-1)/COUNTIF($B$2:$B$492,$B110))&gt;=0.6,"Buono",IF((1-(COUNTIFS($B$2:$B$492,$B110,$O$2:$O$492,"&gt;"&amp;$O110)+1-1)/COUNTIF($B$2:$B$492,$B110))&gt;=0.3,"Nella Media","Scommessa/Riserva")))),"")</f>
        <v>Buono</v>
      </c>
      <c r="Q110" s="29" t="n">
        <f aca="false">IF($D110="",COUNTIF($D$2:$D110,""),"")</f>
        <v>109</v>
      </c>
      <c r="R110" s="29" t="str">
        <f aca="false">IF($D110='Info Lega'!$B$28,COUNTIFS($D$2:$D110,'Info Lega'!$B$28),"")</f>
        <v/>
      </c>
      <c r="S110" s="30" t="n">
        <f aca="false">IFERROR(INDEX('Input Statistiche 2025_26'!$G$3:$G$665,MATCH($A110,'Input Statistiche 2025_26'!$A$3:$A$665,0)),"")</f>
        <v>6.07</v>
      </c>
      <c r="T110" s="30" t="n">
        <f aca="false">IFERROR(INDEX('Input Statistiche 2025_26'!$H$3:$H$665,MATCH($A110,'Input Statistiche 2025_26'!$A$3:$A$665,0)),"")</f>
        <v>5.08</v>
      </c>
      <c r="U110" s="26" t="str">
        <f aca="false">IF(OR('La Mia Rosa'!$O$12="",$D110&lt;&gt;""),"",IF($F110&lt;='La Mia Rosa'!$O$12*'Parametri Modello'!$B$24,"OK",IF($F110&lt;='La Mia Rosa'!$O$12*'Parametri Modello'!$B$25,"Attenzione","Rischio Alto")))</f>
        <v>OK</v>
      </c>
      <c r="V110" s="26" t="n">
        <f aca="false">IFERROR(COUNTIFS($B$2:$B$492,$B110,$O$2:$O$492,"&gt;"&amp;$O110)+1,"")</f>
        <v>11</v>
      </c>
      <c r="W110" s="21" t="n">
        <f aca="false">'Info Lega'!$B$4-SUMIFS($M$2:$M$492,$D$2:$D$492,'Info Lega'!$B$28)</f>
        <v>1000</v>
      </c>
      <c r="X110" s="21" t="n">
        <f aca="false">('Info Lega'!$B$5-COUNTIFS($D$2:$D$492,'Info Lega'!$B$28,$B$2:$B$492,"P"))+('Info Lega'!$B$6-COUNTIFS($D$2:$D$492,'Info Lega'!$B$28,$B$2:$B$492,"D"))+('Info Lega'!$B$7-COUNTIFS($D$2:$D$492,'Info Lega'!$B$28,$B$2:$B$492,"C"))+('Info Lega'!$B$8-COUNTIFS($D$2:$D$492,'Info Lega'!$B$28,$B$2:$B$492,"A"))</f>
        <v>25</v>
      </c>
      <c r="Y110" s="21" t="n">
        <f aca="false">X110*'Parametri Modello'!$B$30</f>
        <v>25</v>
      </c>
      <c r="Z110" s="21" t="n">
        <f aca="false">MAX(0,W110-Y110)</f>
        <v>975</v>
      </c>
      <c r="AA110" s="21" t="n">
        <f aca="false">MIN(F110,Z110)</f>
        <v>33</v>
      </c>
      <c r="AB110" s="21"/>
      <c r="AC110" s="21" t="str">
        <f aca="false">IF(AB110="","",IF(AB110&gt;AA110,"PASS",IF(AB110&lt;=AA110*0.85,"BID","ATTENZIONE")))</f>
        <v/>
      </c>
      <c r="AD110" s="31" t="n">
        <f aca="false">IF(I110="","",ROUND(100*(1-EXP(-I110/30)),0))</f>
        <v>63</v>
      </c>
      <c r="AE110" s="7" t="str">
        <f aca="false">IFERROR(INDEX('Stato Asta'!$G$9:$G$12,MATCH($B110,'Stato Asta'!$A$9:$A$12,0)),"")</f>
        <v>🟡 Attesa rischiosa</v>
      </c>
    </row>
    <row r="111" customFormat="false" ht="14.25" hidden="false" customHeight="true" outlineLevel="0" collapsed="false">
      <c r="A111" s="21" t="n">
        <v>779</v>
      </c>
      <c r="B111" s="21" t="s">
        <v>45</v>
      </c>
      <c r="C111" s="21" t="s">
        <v>416</v>
      </c>
      <c r="E111" s="26" t="str">
        <f aca="false">IF(COUNTIF('Info Strategia'!$D$2:$D$51,$C111)&gt;0,"SI","NO")</f>
        <v>NO</v>
      </c>
      <c r="F111" s="27" t="n">
        <f aca="false">IFERROR(ROUND(($G111+($H111-$G111)*'Info Strategia'!$B$6)*(1+IF($E111="SI",'Parametri Modello'!$B$7*'Info Strategia'!$B$6,0)),0),"")</f>
        <v>16</v>
      </c>
      <c r="G111" s="27" t="n">
        <f aca="false">IFERROR(ROUND((IF(OR(INDEX('Parametri Modello'!$C$39:$C$42,MATCH($B111,'Parametri Modello'!$A$39:$A$42,0))="",INDEX('Parametri Modello'!$C$39:$C$42,MATCH($B111,'Parametri Modello'!$A$39:$A$42,0))=0),0,($O111/INDEX('Parametri Modello'!$C$39:$C$42,MATCH($B111,'Parametri Modello'!$A$39:$A$42,0)))*(INDEX('Parametri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11</v>
      </c>
      <c r="H111" s="27" t="n">
        <f aca="false">IFERROR(ROUND((IF(OR(INDEX('Parametri Modello'!$C$39:$C$42,MATCH($B111,'Parametri Modello'!$A$39:$A$42,0))="",INDEX('Parametri Modello'!$C$39:$C$42,MATCH($B111,'Parametri Modello'!$A$39:$A$42,0))=0),0,($O111/INDEX('Parametri Modello'!$C$39:$C$42,MATCH($B111,'Parametri Modello'!$A$39:$A$42,0)))*(INDEX('Parametri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18</v>
      </c>
      <c r="I111" s="26" t="n">
        <f aca="false">IFERROR(INDEX('Input Statistiche 2025_26'!$F$3:$F$665,MATCH($A111,'Input Statistiche 2025_26'!$A$3:$A$665,0)),"")</f>
        <v>37</v>
      </c>
      <c r="J111" s="26" t="n">
        <f aca="false">IFERROR(IF($I111="","",MAX(0,38-$I111)),"")</f>
        <v>1</v>
      </c>
      <c r="K111" s="26" t="n">
        <f aca="false">IFERROR(INDEX('Input Statistiche 2025_26'!$I$3:$I$665,MATCH($A111,'Input Statistiche 2025_26'!$A$3:$A$665,0)),"")</f>
        <v>2</v>
      </c>
      <c r="L111" s="26" t="n">
        <f aca="false">IFERROR(INDEX('Input Statistiche 2025_26'!$O$3:$O$665,MATCH($A111,'Input Statistiche 2025_26'!$A$3:$A$665,0)),"")</f>
        <v>1</v>
      </c>
      <c r="M111" s="28"/>
      <c r="N111" s="27" t="n">
        <f aca="false">IFERROR(INDEX('Input Giocatori 2026_27'!$E$3:$E$493,MATCH($A111,'Input Giocatori 2026_27'!$A$3:$A$493,0)),"")</f>
        <v>8</v>
      </c>
      <c r="O111" s="27" t="n">
        <f aca="false">IFERROR(INDEX('Input Giocatori 2026_27'!$G$3:$G$493,MATCH($A111,'Input Giocatori 2026_27'!$A$3:$A$493,0)),"")</f>
        <v>29</v>
      </c>
      <c r="P111" s="26" t="str">
        <f aca="false">IFERROR(IF($O111="","",IF((1-(COUNTIFS($B$2:$B$492,$B111,$O$2:$O$492,"&gt;"&amp;$O111)+1-1)/COUNTIF($B$2:$B$492,$B111))&gt;=0.85,"Top",IF((1-(COUNTIFS($B$2:$B$492,$B111,$O$2:$O$492,"&gt;"&amp;$O111)+1-1)/COUNTIF($B$2:$B$492,$B111))&gt;=0.6,"Buono",IF((1-(COUNTIFS($B$2:$B$492,$B111,$O$2:$O$492,"&gt;"&amp;$O111)+1-1)/COUNTIF($B$2:$B$492,$B111))&gt;=0.3,"Nella Media","Scommessa/Riserva")))),"")</f>
        <v>Buono</v>
      </c>
      <c r="Q111" s="29" t="n">
        <f aca="false">IF($D111="",COUNTIF($D$2:$D111,""),"")</f>
        <v>110</v>
      </c>
      <c r="R111" s="29" t="str">
        <f aca="false">IF($D111='Info Lega'!$B$28,COUNTIFS($D$2:$D111,'Info Lega'!$B$28),"")</f>
        <v/>
      </c>
      <c r="S111" s="30" t="n">
        <f aca="false">IFERROR(INDEX('Input Statistiche 2025_26'!$G$3:$G$665,MATCH($A111,'Input Statistiche 2025_26'!$A$3:$A$665,0)),"")</f>
        <v>6.11</v>
      </c>
      <c r="T111" s="30" t="n">
        <f aca="false">IFERROR(INDEX('Input Statistiche 2025_26'!$H$3:$H$665,MATCH($A111,'Input Statistiche 2025_26'!$A$3:$A$665,0)),"")</f>
        <v>6.22</v>
      </c>
      <c r="U111" s="26" t="str">
        <f aca="false">IF(OR('La Mia Rosa'!$O$12="",$D111&lt;&gt;""),"",IF($F111&lt;='La Mia Rosa'!$O$12*'Parametri Modello'!$B$24,"OK",IF($F111&lt;='La Mia Rosa'!$O$12*'Parametri Modello'!$B$25,"Attenzione","Rischio Alto")))</f>
        <v>OK</v>
      </c>
      <c r="V111" s="26" t="n">
        <f aca="false">IFERROR(COUNTIFS($B$2:$B$492,$B111,$O$2:$O$492,"&gt;"&amp;$O111)+1,"")</f>
        <v>41</v>
      </c>
      <c r="W111" s="21" t="n">
        <f aca="false">'Info Lega'!$B$4-SUMIFS($M$2:$M$492,$D$2:$D$492,'Info Lega'!$B$28)</f>
        <v>1000</v>
      </c>
      <c r="X111" s="21" t="n">
        <f aca="false">('Info Lega'!$B$5-COUNTIFS($D$2:$D$492,'Info Lega'!$B$28,$B$2:$B$492,"P"))+('Info Lega'!$B$6-COUNTIFS($D$2:$D$492,'Info Lega'!$B$28,$B$2:$B$492,"D"))+('Info Lega'!$B$7-COUNTIFS($D$2:$D$492,'Info Lega'!$B$28,$B$2:$B$492,"C"))+('Info Lega'!$B$8-COUNTIFS($D$2:$D$492,'Info Lega'!$B$28,$B$2:$B$492,"A"))</f>
        <v>25</v>
      </c>
      <c r="Y111" s="21" t="n">
        <f aca="false">X111*'Parametri Modello'!$B$30</f>
        <v>25</v>
      </c>
      <c r="Z111" s="21" t="n">
        <f aca="false">MAX(0,W111-Y111)</f>
        <v>975</v>
      </c>
      <c r="AA111" s="21" t="n">
        <f aca="false">MIN(F111,Z111)</f>
        <v>16</v>
      </c>
      <c r="AB111" s="21"/>
      <c r="AC111" s="21" t="str">
        <f aca="false">IF(AB111="","",IF(AB111&gt;AA111,"PASS",IF(AB111&lt;=AA111*0.85,"BID","ATTENZIONE")))</f>
        <v/>
      </c>
      <c r="AD111" s="31" t="n">
        <f aca="false">IF(I111="","",ROUND(100*(1-EXP(-I111/30)),0))</f>
        <v>71</v>
      </c>
      <c r="AE111" s="7" t="str">
        <f aca="false">IFERROR(INDEX('Stato Asta'!$G$9:$G$12,MATCH($B111,'Stato Asta'!$A$9:$A$12,0)),"")</f>
        <v>🟡 Attesa rischiosa</v>
      </c>
    </row>
    <row r="112" customFormat="false" ht="14.25" hidden="false" customHeight="true" outlineLevel="0" collapsed="false">
      <c r="A112" s="21" t="n">
        <v>5526</v>
      </c>
      <c r="B112" s="21" t="s">
        <v>44</v>
      </c>
      <c r="C112" s="21" t="s">
        <v>207</v>
      </c>
      <c r="E112" s="26" t="str">
        <f aca="false">IF(COUNTIF('Info Strategia'!$D$2:$D$51,$C112)&gt;0,"SI","NO")</f>
        <v>NO</v>
      </c>
      <c r="F112" s="27" t="n">
        <f aca="false">IFERROR(ROUND(($G112+($H112-$G112)*'Info Strategia'!$B$6)*(1+IF($E112="SI",'Parametri Modello'!$B$7*'Info Strategia'!$B$6,0)),0),"")</f>
        <v>14</v>
      </c>
      <c r="G112" s="27" t="n">
        <f aca="false">IFERROR(ROUND((IF(OR(INDEX('Parametri Modello'!$C$39:$C$42,MATCH($B112,'Parametri Modello'!$A$39:$A$42,0))="",INDEX('Parametri Modello'!$C$39:$C$42,MATCH($B112,'Parametri Modello'!$A$39:$A$42,0))=0),0,($O112/INDEX('Parametri Modello'!$C$39:$C$42,MATCH($B112,'Parametri Modello'!$A$39:$A$42,0)))*(INDEX('Parametri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10</v>
      </c>
      <c r="H112" s="27" t="n">
        <f aca="false">IFERROR(ROUND((IF(OR(INDEX('Parametri Modello'!$C$39:$C$42,MATCH($B112,'Parametri Modello'!$A$39:$A$42,0))="",INDEX('Parametri Modello'!$C$39:$C$42,MATCH($B112,'Parametri Modello'!$A$39:$A$42,0))=0),0,($O112/INDEX('Parametri Modello'!$C$39:$C$42,MATCH($B112,'Parametri Modello'!$A$39:$A$42,0)))*(INDEX('Parametri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15</v>
      </c>
      <c r="I112" s="26" t="n">
        <f aca="false">IFERROR(INDEX('Input Statistiche 2025_26'!$F$3:$F$665,MATCH($A112,'Input Statistiche 2025_26'!$A$3:$A$665,0)),"")</f>
        <v>24</v>
      </c>
      <c r="J112" s="26" t="n">
        <f aca="false">IFERROR(IF($I112="","",MAX(0,38-$I112)),"")</f>
        <v>14</v>
      </c>
      <c r="K112" s="26" t="n">
        <f aca="false">IFERROR(INDEX('Input Statistiche 2025_26'!$I$3:$I$665,MATCH($A112,'Input Statistiche 2025_26'!$A$3:$A$665,0)),"")</f>
        <v>3</v>
      </c>
      <c r="L112" s="26" t="n">
        <f aca="false">IFERROR(INDEX('Input Statistiche 2025_26'!$O$3:$O$665,MATCH($A112,'Input Statistiche 2025_26'!$A$3:$A$665,0)),"")</f>
        <v>1</v>
      </c>
      <c r="M112" s="28"/>
      <c r="N112" s="27" t="n">
        <f aca="false">IFERROR(INDEX('Input Giocatori 2026_27'!$E$3:$E$493,MATCH($A112,'Input Giocatori 2026_27'!$A$3:$A$493,0)),"")</f>
        <v>10</v>
      </c>
      <c r="O112" s="27" t="n">
        <f aca="false">IFERROR(INDEX('Input Giocatori 2026_27'!$G$3:$G$493,MATCH($A112,'Input Giocatori 2026_27'!$A$3:$A$493,0)),"")</f>
        <v>28</v>
      </c>
      <c r="P112" s="26" t="str">
        <f aca="false">IFERROR(IF($O112="","",IF((1-(COUNTIFS($B$2:$B$492,$B112,$O$2:$O$492,"&gt;"&amp;$O112)+1-1)/COUNTIF($B$2:$B$492,$B112))&gt;=0.85,"Top",IF((1-(COUNTIFS($B$2:$B$492,$B112,$O$2:$O$492,"&gt;"&amp;$O112)+1-1)/COUNTIF($B$2:$B$492,$B112))&gt;=0.6,"Buono",IF((1-(COUNTIFS($B$2:$B$492,$B112,$O$2:$O$492,"&gt;"&amp;$O112)+1-1)/COUNTIF($B$2:$B$492,$B112))&gt;=0.3,"Nella Media","Scommessa/Riserva")))),"")</f>
        <v>Top</v>
      </c>
      <c r="Q112" s="29" t="n">
        <f aca="false">IF($D112="",COUNTIF($D$2:$D112,""),"")</f>
        <v>111</v>
      </c>
      <c r="R112" s="29" t="str">
        <f aca="false">IF($D112='Info Lega'!$B$28,COUNTIFS($D$2:$D112,'Info Lega'!$B$28),"")</f>
        <v/>
      </c>
      <c r="S112" s="30" t="n">
        <f aca="false">IFERROR(INDEX('Input Statistiche 2025_26'!$G$3:$G$665,MATCH($A112,'Input Statistiche 2025_26'!$A$3:$A$665,0)),"")</f>
        <v>6.06</v>
      </c>
      <c r="T112" s="30" t="n">
        <f aca="false">IFERROR(INDEX('Input Statistiche 2025_26'!$H$3:$H$665,MATCH($A112,'Input Statistiche 2025_26'!$A$3:$A$665,0)),"")</f>
        <v>6.44</v>
      </c>
      <c r="U112" s="26" t="str">
        <f aca="false">IF(OR('La Mia Rosa'!$O$12="",$D112&lt;&gt;""),"",IF($F112&lt;='La Mia Rosa'!$O$12*'Parametri Modello'!$B$24,"OK",IF($F112&lt;='La Mia Rosa'!$O$12*'Parametri Modello'!$B$25,"Attenzione","Rischio Alto")))</f>
        <v>OK</v>
      </c>
      <c r="V112" s="26" t="n">
        <f aca="false">IFERROR(COUNTIFS($B$2:$B$492,$B112,$O$2:$O$492,"&gt;"&amp;$O112)+1,"")</f>
        <v>20</v>
      </c>
      <c r="W112" s="21" t="n">
        <f aca="false">'Info Lega'!$B$4-SUMIFS($M$2:$M$492,$D$2:$D$492,'Info Lega'!$B$28)</f>
        <v>1000</v>
      </c>
      <c r="X112" s="21" t="n">
        <f aca="false">('Info Lega'!$B$5-COUNTIFS($D$2:$D$492,'Info Lega'!$B$28,$B$2:$B$492,"P"))+('Info Lega'!$B$6-COUNTIFS($D$2:$D$492,'Info Lega'!$B$28,$B$2:$B$492,"D"))+('Info Lega'!$B$7-COUNTIFS($D$2:$D$492,'Info Lega'!$B$28,$B$2:$B$492,"C"))+('Info Lega'!$B$8-COUNTIFS($D$2:$D$492,'Info Lega'!$B$28,$B$2:$B$492,"A"))</f>
        <v>25</v>
      </c>
      <c r="Y112" s="21" t="n">
        <f aca="false">X112*'Parametri Modello'!$B$30</f>
        <v>25</v>
      </c>
      <c r="Z112" s="21" t="n">
        <f aca="false">MAX(0,W112-Y112)</f>
        <v>975</v>
      </c>
      <c r="AA112" s="21" t="n">
        <f aca="false">MIN(F112,Z112)</f>
        <v>14</v>
      </c>
      <c r="AB112" s="21"/>
      <c r="AC112" s="21" t="str">
        <f aca="false">IF(AB112="","",IF(AB112&gt;AA112,"PASS",IF(AB112&lt;=AA112*0.85,"BID","ATTENZIONE")))</f>
        <v/>
      </c>
      <c r="AD112" s="31" t="n">
        <f aca="false">IF(I112="","",ROUND(100*(1-EXP(-I112/30)),0))</f>
        <v>55</v>
      </c>
      <c r="AE112" s="7" t="str">
        <f aca="false">IFERROR(INDEX('Stato Asta'!$G$9:$G$12,MATCH($B112,'Stato Asta'!$A$9:$A$12,0)),"")</f>
        <v>🟡 Attesa rischiosa</v>
      </c>
    </row>
    <row r="113" customFormat="false" ht="14.25" hidden="false" customHeight="true" outlineLevel="0" collapsed="false">
      <c r="A113" s="21" t="n">
        <v>1933</v>
      </c>
      <c r="B113" s="21" t="s">
        <v>45</v>
      </c>
      <c r="C113" s="21" t="s">
        <v>403</v>
      </c>
      <c r="E113" s="26" t="str">
        <f aca="false">IF(COUNTIF('Info Strategia'!$D$2:$D$51,$C113)&gt;0,"SI","NO")</f>
        <v>NO</v>
      </c>
      <c r="F113" s="27" t="n">
        <f aca="false">IFERROR(ROUND(($G113+($H113-$G113)*'Info Strategia'!$B$6)*(1+IF($E113="SI",'Parametri Modello'!$B$7*'Info Strategia'!$B$6,0)),0),"")</f>
        <v>16</v>
      </c>
      <c r="G113" s="27" t="n">
        <f aca="false">IFERROR(ROUND((IF(OR(INDEX('Parametri Modello'!$C$39:$C$42,MATCH($B113,'Parametri Modello'!$A$39:$A$42,0))="",INDEX('Parametri Modello'!$C$39:$C$42,MATCH($B113,'Parametri Modello'!$A$39:$A$42,0))=0),0,($O113/INDEX('Parametri Modello'!$C$39:$C$42,MATCH($B113,'Parametri Modello'!$A$39:$A$42,0)))*(INDEX('Parametri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11</v>
      </c>
      <c r="H113" s="27" t="n">
        <f aca="false">IFERROR(ROUND((IF(OR(INDEX('Parametri Modello'!$C$39:$C$42,MATCH($B113,'Parametri Modello'!$A$39:$A$42,0))="",INDEX('Parametri Modello'!$C$39:$C$42,MATCH($B113,'Parametri Modello'!$A$39:$A$42,0))=0),0,($O113/INDEX('Parametri Modello'!$C$39:$C$42,MATCH($B113,'Parametri Modello'!$A$39:$A$42,0)))*(INDEX('Parametri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18</v>
      </c>
      <c r="I113" s="26" t="n">
        <f aca="false">IFERROR(INDEX('Input Statistiche 2025_26'!$F$3:$F$665,MATCH($A113,'Input Statistiche 2025_26'!$A$3:$A$665,0)),"")</f>
        <v>34</v>
      </c>
      <c r="J113" s="26" t="n">
        <f aca="false">IFERROR(IF($I113="","",MAX(0,38-$I113)),"")</f>
        <v>4</v>
      </c>
      <c r="K113" s="26" t="n">
        <f aca="false">IFERROR(INDEX('Input Statistiche 2025_26'!$I$3:$I$665,MATCH($A113,'Input Statistiche 2025_26'!$A$3:$A$665,0)),"")</f>
        <v>7</v>
      </c>
      <c r="L113" s="26" t="n">
        <f aca="false">IFERROR(INDEX('Input Statistiche 2025_26'!$O$3:$O$665,MATCH($A113,'Input Statistiche 2025_26'!$A$3:$A$665,0)),"")</f>
        <v>2</v>
      </c>
      <c r="M113" s="28"/>
      <c r="N113" s="27" t="n">
        <f aca="false">IFERROR(INDEX('Input Giocatori 2026_27'!$E$3:$E$493,MATCH($A113,'Input Giocatori 2026_27'!$A$3:$A$493,0)),"")</f>
        <v>9</v>
      </c>
      <c r="O113" s="27" t="n">
        <f aca="false">IFERROR(INDEX('Input Giocatori 2026_27'!$G$3:$G$493,MATCH($A113,'Input Giocatori 2026_27'!$A$3:$A$493,0)),"")</f>
        <v>28</v>
      </c>
      <c r="P113" s="26" t="str">
        <f aca="false">IFERROR(IF($O113="","",IF((1-(COUNTIFS($B$2:$B$492,$B113,$O$2:$O$492,"&gt;"&amp;$O113)+1-1)/COUNTIF($B$2:$B$492,$B113))&gt;=0.85,"Top",IF((1-(COUNTIFS($B$2:$B$492,$B113,$O$2:$O$492,"&gt;"&amp;$O113)+1-1)/COUNTIF($B$2:$B$492,$B113))&gt;=0.6,"Buono",IF((1-(COUNTIFS($B$2:$B$492,$B113,$O$2:$O$492,"&gt;"&amp;$O113)+1-1)/COUNTIF($B$2:$B$492,$B113))&gt;=0.3,"Nella Media","Scommessa/Riserva")))),"")</f>
        <v>Buono</v>
      </c>
      <c r="Q113" s="29" t="n">
        <f aca="false">IF($D113="",COUNTIF($D$2:$D113,""),"")</f>
        <v>112</v>
      </c>
      <c r="R113" s="29" t="str">
        <f aca="false">IF($D113='Info Lega'!$B$28,COUNTIFS($D$2:$D113,'Info Lega'!$B$28),"")</f>
        <v/>
      </c>
      <c r="S113" s="30" t="n">
        <f aca="false">IFERROR(INDEX('Input Statistiche 2025_26'!$G$3:$G$665,MATCH($A113,'Input Statistiche 2025_26'!$A$3:$A$665,0)),"")</f>
        <v>6.04</v>
      </c>
      <c r="T113" s="30" t="n">
        <f aca="false">IFERROR(INDEX('Input Statistiche 2025_26'!$H$3:$H$665,MATCH($A113,'Input Statistiche 2025_26'!$A$3:$A$665,0)),"")</f>
        <v>6.62</v>
      </c>
      <c r="U113" s="26" t="str">
        <f aca="false">IF(OR('La Mia Rosa'!$O$12="",$D113&lt;&gt;""),"",IF($F113&lt;='La Mia Rosa'!$O$12*'Parametri Modello'!$B$24,"OK",IF($F113&lt;='La Mia Rosa'!$O$12*'Parametri Modello'!$B$25,"Attenzione","Rischio Alto")))</f>
        <v>OK</v>
      </c>
      <c r="V113" s="26" t="n">
        <f aca="false">IFERROR(COUNTIFS($B$2:$B$492,$B113,$O$2:$O$492,"&gt;"&amp;$O113)+1,"")</f>
        <v>42</v>
      </c>
      <c r="W113" s="21" t="n">
        <f aca="false">'Info Lega'!$B$4-SUMIFS($M$2:$M$492,$D$2:$D$492,'Info Lega'!$B$28)</f>
        <v>1000</v>
      </c>
      <c r="X113" s="21" t="n">
        <f aca="false">('Info Lega'!$B$5-COUNTIFS($D$2:$D$492,'Info Lega'!$B$28,$B$2:$B$492,"P"))+('Info Lega'!$B$6-COUNTIFS($D$2:$D$492,'Info Lega'!$B$28,$B$2:$B$492,"D"))+('Info Lega'!$B$7-COUNTIFS($D$2:$D$492,'Info Lega'!$B$28,$B$2:$B$492,"C"))+('Info Lega'!$B$8-COUNTIFS($D$2:$D$492,'Info Lega'!$B$28,$B$2:$B$492,"A"))</f>
        <v>25</v>
      </c>
      <c r="Y113" s="21" t="n">
        <f aca="false">X113*'Parametri Modello'!$B$30</f>
        <v>25</v>
      </c>
      <c r="Z113" s="21" t="n">
        <f aca="false">MAX(0,W113-Y113)</f>
        <v>975</v>
      </c>
      <c r="AA113" s="21" t="n">
        <f aca="false">MIN(F113,Z113)</f>
        <v>16</v>
      </c>
      <c r="AB113" s="21"/>
      <c r="AC113" s="21" t="str">
        <f aca="false">IF(AB113="","",IF(AB113&gt;AA113,"PASS",IF(AB113&lt;=AA113*0.85,"BID","ATTENZIONE")))</f>
        <v/>
      </c>
      <c r="AD113" s="31" t="n">
        <f aca="false">IF(I113="","",ROUND(100*(1-EXP(-I113/30)),0))</f>
        <v>68</v>
      </c>
      <c r="AE113" s="7" t="str">
        <f aca="false">IFERROR(INDEX('Stato Asta'!$G$9:$G$12,MATCH($B113,'Stato Asta'!$A$9:$A$12,0)),"")</f>
        <v>🟡 Attesa rischiosa</v>
      </c>
    </row>
    <row r="114" customFormat="false" ht="14.25" hidden="false" customHeight="true" outlineLevel="0" collapsed="false">
      <c r="A114" s="21" t="n">
        <v>5500</v>
      </c>
      <c r="B114" s="21" t="s">
        <v>45</v>
      </c>
      <c r="C114" s="21" t="s">
        <v>404</v>
      </c>
      <c r="E114" s="26" t="str">
        <f aca="false">IF(COUNTIF('Info Strategia'!$D$2:$D$51,$C114)&gt;0,"SI","NO")</f>
        <v>NO</v>
      </c>
      <c r="F114" s="27" t="n">
        <f aca="false">IFERROR(ROUND(($G114+($H114-$G114)*'Info Strategia'!$B$6)*(1+IF($E114="SI",'Parametri Modello'!$B$7*'Info Strategia'!$B$6,0)),0),"")</f>
        <v>15</v>
      </c>
      <c r="G114" s="27" t="n">
        <f aca="false">IFERROR(ROUND((IF(OR(INDEX('Parametri Modello'!$C$39:$C$42,MATCH($B114,'Parametri Modello'!$A$39:$A$42,0))="",INDEX('Parametri Modello'!$C$39:$C$42,MATCH($B114,'Parametri Modello'!$A$39:$A$42,0))=0),0,($O114/INDEX('Parametri Modello'!$C$39:$C$42,MATCH($B114,'Parametri Modello'!$A$39:$A$42,0)))*(INDEX('Parametri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10</v>
      </c>
      <c r="H114" s="27" t="n">
        <f aca="false">IFERROR(ROUND((IF(OR(INDEX('Parametri Modello'!$C$39:$C$42,MATCH($B114,'Parametri Modello'!$A$39:$A$42,0))="",INDEX('Parametri Modello'!$C$39:$C$42,MATCH($B114,'Parametri Modello'!$A$39:$A$42,0))=0),0,($O114/INDEX('Parametri Modello'!$C$39:$C$42,MATCH($B114,'Parametri Modello'!$A$39:$A$42,0)))*(INDEX('Parametri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17</v>
      </c>
      <c r="I114" s="26" t="n">
        <f aca="false">IFERROR(INDEX('Input Statistiche 2025_26'!$F$3:$F$665,MATCH($A114,'Input Statistiche 2025_26'!$A$3:$A$665,0)),"")</f>
        <v>28</v>
      </c>
      <c r="J114" s="26" t="n">
        <f aca="false">IFERROR(IF($I114="","",MAX(0,38-$I114)),"")</f>
        <v>10</v>
      </c>
      <c r="K114" s="26" t="n">
        <f aca="false">IFERROR(INDEX('Input Statistiche 2025_26'!$I$3:$I$665,MATCH($A114,'Input Statistiche 2025_26'!$A$3:$A$665,0)),"")</f>
        <v>4</v>
      </c>
      <c r="L114" s="26" t="n">
        <f aca="false">IFERROR(INDEX('Input Statistiche 2025_26'!$O$3:$O$665,MATCH($A114,'Input Statistiche 2025_26'!$A$3:$A$665,0)),"")</f>
        <v>1</v>
      </c>
      <c r="M114" s="28"/>
      <c r="N114" s="27" t="n">
        <f aca="false">IFERROR(INDEX('Input Giocatori 2026_27'!$E$3:$E$493,MATCH($A114,'Input Giocatori 2026_27'!$A$3:$A$493,0)),"")</f>
        <v>9</v>
      </c>
      <c r="O114" s="27" t="n">
        <f aca="false">IFERROR(INDEX('Input Giocatori 2026_27'!$G$3:$G$493,MATCH($A114,'Input Giocatori 2026_27'!$A$3:$A$493,0)),"")</f>
        <v>28</v>
      </c>
      <c r="P114" s="26" t="str">
        <f aca="false">IFERROR(IF($O114="","",IF((1-(COUNTIFS($B$2:$B$492,$B114,$O$2:$O$492,"&gt;"&amp;$O114)+1-1)/COUNTIF($B$2:$B$492,$B114))&gt;=0.85,"Top",IF((1-(COUNTIFS($B$2:$B$492,$B114,$O$2:$O$492,"&gt;"&amp;$O114)+1-1)/COUNTIF($B$2:$B$492,$B114))&gt;=0.6,"Buono",IF((1-(COUNTIFS($B$2:$B$492,$B114,$O$2:$O$492,"&gt;"&amp;$O114)+1-1)/COUNTIF($B$2:$B$492,$B114))&gt;=0.3,"Nella Media","Scommessa/Riserva")))),"")</f>
        <v>Buono</v>
      </c>
      <c r="Q114" s="29" t="n">
        <f aca="false">IF($D114="",COUNTIF($D$2:$D114,""),"")</f>
        <v>113</v>
      </c>
      <c r="R114" s="29" t="str">
        <f aca="false">IF($D114='Info Lega'!$B$28,COUNTIFS($D$2:$D114,'Info Lega'!$B$28),"")</f>
        <v/>
      </c>
      <c r="S114" s="30" t="n">
        <f aca="false">IFERROR(INDEX('Input Statistiche 2025_26'!$G$3:$G$665,MATCH($A114,'Input Statistiche 2025_26'!$A$3:$A$665,0)),"")</f>
        <v>5.93</v>
      </c>
      <c r="T114" s="30" t="n">
        <f aca="false">IFERROR(INDEX('Input Statistiche 2025_26'!$H$3:$H$665,MATCH($A114,'Input Statistiche 2025_26'!$A$3:$A$665,0)),"")</f>
        <v>6.29</v>
      </c>
      <c r="U114" s="26" t="str">
        <f aca="false">IF(OR('La Mia Rosa'!$O$12="",$D114&lt;&gt;""),"",IF($F114&lt;='La Mia Rosa'!$O$12*'Parametri Modello'!$B$24,"OK",IF($F114&lt;='La Mia Rosa'!$O$12*'Parametri Modello'!$B$25,"Attenzione","Rischio Alto")))</f>
        <v>OK</v>
      </c>
      <c r="V114" s="26" t="n">
        <f aca="false">IFERROR(COUNTIFS($B$2:$B$492,$B114,$O$2:$O$492,"&gt;"&amp;$O114)+1,"")</f>
        <v>42</v>
      </c>
      <c r="W114" s="21" t="n">
        <f aca="false">'Info Lega'!$B$4-SUMIFS($M$2:$M$492,$D$2:$D$492,'Info Lega'!$B$28)</f>
        <v>1000</v>
      </c>
      <c r="X114" s="21" t="n">
        <f aca="false">('Info Lega'!$B$5-COUNTIFS($D$2:$D$492,'Info Lega'!$B$28,$B$2:$B$492,"P"))+('Info Lega'!$B$6-COUNTIFS($D$2:$D$492,'Info Lega'!$B$28,$B$2:$B$492,"D"))+('Info Lega'!$B$7-COUNTIFS($D$2:$D$492,'Info Lega'!$B$28,$B$2:$B$492,"C"))+('Info Lega'!$B$8-COUNTIFS($D$2:$D$492,'Info Lega'!$B$28,$B$2:$B$492,"A"))</f>
        <v>25</v>
      </c>
      <c r="Y114" s="21" t="n">
        <f aca="false">X114*'Parametri Modello'!$B$30</f>
        <v>25</v>
      </c>
      <c r="Z114" s="21" t="n">
        <f aca="false">MAX(0,W114-Y114)</f>
        <v>975</v>
      </c>
      <c r="AA114" s="21" t="n">
        <f aca="false">MIN(F114,Z114)</f>
        <v>15</v>
      </c>
      <c r="AB114" s="21"/>
      <c r="AC114" s="21" t="str">
        <f aca="false">IF(AB114="","",IF(AB114&gt;AA114,"PASS",IF(AB114&lt;=AA114*0.85,"BID","ATTENZIONE")))</f>
        <v/>
      </c>
      <c r="AD114" s="31" t="n">
        <f aca="false">IF(I114="","",ROUND(100*(1-EXP(-I114/30)),0))</f>
        <v>61</v>
      </c>
      <c r="AE114" s="7" t="str">
        <f aca="false">IFERROR(INDEX('Stato Asta'!$G$9:$G$12,MATCH($B114,'Stato Asta'!$A$9:$A$12,0)),"")</f>
        <v>🟡 Attesa rischiosa</v>
      </c>
    </row>
    <row r="115" customFormat="false" ht="14.25" hidden="false" customHeight="true" outlineLevel="0" collapsed="false">
      <c r="A115" s="21" t="n">
        <v>6904</v>
      </c>
      <c r="B115" s="21" t="s">
        <v>46</v>
      </c>
      <c r="C115" s="21" t="s">
        <v>581</v>
      </c>
      <c r="E115" s="26" t="str">
        <f aca="false">IF(COUNTIF('Info Strategia'!$D$2:$D$51,$C115)&gt;0,"SI","NO")</f>
        <v>NO</v>
      </c>
      <c r="F115" s="27" t="n">
        <f aca="false">IFERROR(ROUND(($G115+($H115-$G115)*'Info Strategia'!$B$6)*(1+IF($E115="SI",'Parametri Modello'!$B$7*'Info Strategia'!$B$6,0)),0),"")</f>
        <v>25</v>
      </c>
      <c r="G115" s="27" t="n">
        <f aca="false">IFERROR(ROUND((IF(OR(INDEX('Parametri Modello'!$C$39:$C$42,MATCH($B115,'Parametri Modello'!$A$39:$A$42,0))="",INDEX('Parametri Modello'!$C$39:$C$42,MATCH($B115,'Parametri Modello'!$A$39:$A$42,0))=0),0,($O115/INDEX('Parametri Modello'!$C$39:$C$42,MATCH($B115,'Parametri Modello'!$A$39:$A$42,0)))*(INDEX('Parametri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16</v>
      </c>
      <c r="H115" s="27" t="n">
        <f aca="false">IFERROR(ROUND((IF(OR(INDEX('Parametri Modello'!$C$39:$C$42,MATCH($B115,'Parametri Modello'!$A$39:$A$42,0))="",INDEX('Parametri Modello'!$C$39:$C$42,MATCH($B115,'Parametri Modello'!$A$39:$A$42,0))=0),0,($O115/INDEX('Parametri Modello'!$C$39:$C$42,MATCH($B115,'Parametri Modello'!$A$39:$A$42,0)))*(INDEX('Parametri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29</v>
      </c>
      <c r="I115" s="26" t="str">
        <f aca="false">IFERROR(INDEX('Input Statistiche 2025_26'!$F$3:$F$665,MATCH($A115,'Input Statistiche 2025_26'!$A$3:$A$665,0)),"")</f>
        <v/>
      </c>
      <c r="J115" s="26" t="str">
        <f aca="false">IFERROR(IF($I115="","",MAX(0,38-$I115)),"")</f>
        <v/>
      </c>
      <c r="K115" s="26" t="str">
        <f aca="false">IFERROR(INDEX('Input Statistiche 2025_26'!$I$3:$I$665,MATCH($A115,'Input Statistiche 2025_26'!$A$3:$A$665,0)),"")</f>
        <v/>
      </c>
      <c r="L115" s="26" t="str">
        <f aca="false">IFERROR(INDEX('Input Statistiche 2025_26'!$O$3:$O$665,MATCH($A115,'Input Statistiche 2025_26'!$A$3:$A$665,0)),"")</f>
        <v/>
      </c>
      <c r="M115" s="28"/>
      <c r="N115" s="27" t="n">
        <f aca="false">IFERROR(INDEX('Input Giocatori 2026_27'!$E$3:$E$493,MATCH($A115,'Input Giocatori 2026_27'!$A$3:$A$493,0)),"")</f>
        <v>8</v>
      </c>
      <c r="O115" s="27" t="n">
        <f aca="false">IFERROR(INDEX('Input Giocatori 2026_27'!$G$3:$G$493,MATCH($A115,'Input Giocatori 2026_27'!$A$3:$A$493,0)),"")</f>
        <v>28</v>
      </c>
      <c r="P115" s="26" t="str">
        <f aca="false">IFERROR(IF($O115="","",IF((1-(COUNTIFS($B$2:$B$492,$B115,$O$2:$O$492,"&gt;"&amp;$O115)+1-1)/COUNTIF($B$2:$B$492,$B115))&gt;=0.85,"Top",IF((1-(COUNTIFS($B$2:$B$492,$B115,$O$2:$O$492,"&gt;"&amp;$O115)+1-1)/COUNTIF($B$2:$B$492,$B115))&gt;=0.6,"Buono",IF((1-(COUNTIFS($B$2:$B$492,$B115,$O$2:$O$492,"&gt;"&amp;$O115)+1-1)/COUNTIF($B$2:$B$492,$B115))&gt;=0.3,"Nella Media","Scommessa/Riserva")))),"")</f>
        <v>Nella Media</v>
      </c>
      <c r="Q115" s="29" t="n">
        <f aca="false">IF($D115="",COUNTIF($D$2:$D115,""),"")</f>
        <v>114</v>
      </c>
      <c r="R115" s="29" t="str">
        <f aca="false">IF($D115='Info Lega'!$B$28,COUNTIFS($D$2:$D115,'Info Lega'!$B$28),"")</f>
        <v/>
      </c>
      <c r="S115" s="30" t="str">
        <f aca="false">IFERROR(INDEX('Input Statistiche 2025_26'!$G$3:$G$665,MATCH($A115,'Input Statistiche 2025_26'!$A$3:$A$665,0)),"")</f>
        <v/>
      </c>
      <c r="T115" s="30" t="str">
        <f aca="false">IFERROR(INDEX('Input Statistiche 2025_26'!$H$3:$H$665,MATCH($A115,'Input Statistiche 2025_26'!$A$3:$A$665,0)),"")</f>
        <v/>
      </c>
      <c r="U115" s="26" t="str">
        <f aca="false">IF(OR('La Mia Rosa'!$O$12="",$D115&lt;&gt;""),"",IF($F115&lt;='La Mia Rosa'!$O$12*'Parametri Modello'!$B$24,"OK",IF($F115&lt;='La Mia Rosa'!$O$12*'Parametri Modello'!$B$25,"Attenzione","Rischio Alto")))</f>
        <v>OK</v>
      </c>
      <c r="V115" s="26" t="n">
        <f aca="false">IFERROR(COUNTIFS($B$2:$B$492,$B115,$O$2:$O$492,"&gt;"&amp;$O115)+1,"")</f>
        <v>40</v>
      </c>
      <c r="W115" s="21" t="n">
        <f aca="false">'Info Lega'!$B$4-SUMIFS($M$2:$M$492,$D$2:$D$492,'Info Lega'!$B$28)</f>
        <v>1000</v>
      </c>
      <c r="X115" s="21" t="n">
        <f aca="false">('Info Lega'!$B$5-COUNTIFS($D$2:$D$492,'Info Lega'!$B$28,$B$2:$B$492,"P"))+('Info Lega'!$B$6-COUNTIFS($D$2:$D$492,'Info Lega'!$B$28,$B$2:$B$492,"D"))+('Info Lega'!$B$7-COUNTIFS($D$2:$D$492,'Info Lega'!$B$28,$B$2:$B$492,"C"))+('Info Lega'!$B$8-COUNTIFS($D$2:$D$492,'Info Lega'!$B$28,$B$2:$B$492,"A"))</f>
        <v>25</v>
      </c>
      <c r="Y115" s="21" t="n">
        <f aca="false">X115*'Parametri Modello'!$B$30</f>
        <v>25</v>
      </c>
      <c r="Z115" s="21" t="n">
        <f aca="false">MAX(0,W115-Y115)</f>
        <v>975</v>
      </c>
      <c r="AA115" s="21" t="n">
        <f aca="false">MIN(F115,Z115)</f>
        <v>25</v>
      </c>
      <c r="AB115" s="21"/>
      <c r="AC115" s="21" t="str">
        <f aca="false">IF(AB115="","",IF(AB115&gt;AA115,"PASS",IF(AB115&lt;=AA115*0.85,"BID","ATTENZIONE")))</f>
        <v/>
      </c>
      <c r="AD115" s="31" t="str">
        <f aca="false">IF(I115="","",ROUND(100*(1-EXP(-I115/30)),0))</f>
        <v/>
      </c>
      <c r="AE115" s="7" t="str">
        <f aca="false">IFERROR(INDEX('Stato Asta'!$G$9:$G$12,MATCH($B115,'Stato Asta'!$A$9:$A$12,0)),"")</f>
        <v>🔴 Non aspettare</v>
      </c>
    </row>
    <row r="116" customFormat="false" ht="14.25" hidden="false" customHeight="true" outlineLevel="0" collapsed="false">
      <c r="A116" s="21" t="n">
        <v>4360</v>
      </c>
      <c r="B116" s="21" t="s">
        <v>43</v>
      </c>
      <c r="C116" s="21" t="s">
        <v>128</v>
      </c>
      <c r="E116" s="26" t="str">
        <f aca="false">IF(COUNTIF('Info Strategia'!$D$2:$D$51,$C116)&gt;0,"SI","NO")</f>
        <v>NO</v>
      </c>
      <c r="F116" s="27" t="n">
        <f aca="false">IFERROR(ROUND(($G116+($H116-$G116)*'Info Strategia'!$B$6)*(1+IF($E116="SI",'Parametri Modello'!$B$7*'Info Strategia'!$B$6,0)),0),"")</f>
        <v>31</v>
      </c>
      <c r="G116" s="27" t="n">
        <f aca="false">IFERROR(ROUND((IF(OR(INDEX('Parametri Modello'!$C$39:$C$42,MATCH($B116,'Parametri Modello'!$A$39:$A$42,0))="",INDEX('Parametri Modello'!$C$39:$C$42,MATCH($B116,'Parametri Modello'!$A$39:$A$42,0))=0),0,($O116/INDEX('Parametri Modello'!$C$39:$C$42,MATCH($B116,'Parametri Modello'!$A$39:$A$42,0)))*(INDEX('Parametri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25</v>
      </c>
      <c r="H116" s="27" t="n">
        <f aca="false">IFERROR(ROUND((IF(OR(INDEX('Parametri Modello'!$C$39:$C$42,MATCH($B116,'Parametri Modello'!$A$39:$A$42,0))="",INDEX('Parametri Modello'!$C$39:$C$42,MATCH($B116,'Parametri Modello'!$A$39:$A$42,0))=0),0,($O116/INDEX('Parametri Modello'!$C$39:$C$42,MATCH($B116,'Parametri Modello'!$A$39:$A$42,0)))*(INDEX('Parametri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33</v>
      </c>
      <c r="I116" s="26" t="n">
        <f aca="false">IFERROR(INDEX('Input Statistiche 2025_26'!$F$3:$F$665,MATCH($A116,'Input Statistiche 2025_26'!$A$3:$A$665,0)),"")</f>
        <v>38</v>
      </c>
      <c r="J116" s="26" t="n">
        <f aca="false">IFERROR(IF($I116="","",MAX(0,38-$I116)),"")</f>
        <v>0</v>
      </c>
      <c r="K116" s="26" t="n">
        <f aca="false">IFERROR(INDEX('Input Statistiche 2025_26'!$I$3:$I$665,MATCH($A116,'Input Statistiche 2025_26'!$A$3:$A$665,0)),"")</f>
        <v>0</v>
      </c>
      <c r="L116" s="26" t="n">
        <f aca="false">IFERROR(INDEX('Input Statistiche 2025_26'!$O$3:$O$665,MATCH($A116,'Input Statistiche 2025_26'!$A$3:$A$665,0)),"")</f>
        <v>0</v>
      </c>
      <c r="M116" s="28"/>
      <c r="N116" s="27" t="n">
        <f aca="false">IFERROR(INDEX('Input Giocatori 2026_27'!$E$3:$E$493,MATCH($A116,'Input Giocatori 2026_27'!$A$3:$A$493,0)),"")</f>
        <v>9</v>
      </c>
      <c r="O116" s="27" t="n">
        <f aca="false">IFERROR(INDEX('Input Giocatori 2026_27'!$G$3:$G$493,MATCH($A116,'Input Giocatori 2026_27'!$A$3:$A$493,0)),"")</f>
        <v>27</v>
      </c>
      <c r="P116" s="26" t="str">
        <f aca="false">IFERROR(IF($O116="","",IF((1-(COUNTIFS($B$2:$B$492,$B116,$O$2:$O$492,"&gt;"&amp;$O116)+1-1)/COUNTIF($B$2:$B$492,$B116))&gt;=0.85,"Top",IF((1-(COUNTIFS($B$2:$B$492,$B116,$O$2:$O$492,"&gt;"&amp;$O116)+1-1)/COUNTIF($B$2:$B$492,$B116))&gt;=0.6,"Buono",IF((1-(COUNTIFS($B$2:$B$492,$B116,$O$2:$O$492,"&gt;"&amp;$O116)+1-1)/COUNTIF($B$2:$B$492,$B116))&gt;=0.3,"Nella Media","Scommessa/Riserva")))),"")</f>
        <v>Buono</v>
      </c>
      <c r="Q116" s="29" t="n">
        <f aca="false">IF($D116="",COUNTIF($D$2:$D116,""),"")</f>
        <v>115</v>
      </c>
      <c r="R116" s="29" t="str">
        <f aca="false">IF($D116='Info Lega'!$B$28,COUNTIFS($D$2:$D116,'Info Lega'!$B$28),"")</f>
        <v/>
      </c>
      <c r="S116" s="30" t="n">
        <f aca="false">IFERROR(INDEX('Input Statistiche 2025_26'!$G$3:$G$665,MATCH($A116,'Input Statistiche 2025_26'!$A$3:$A$665,0)),"")</f>
        <v>6.29</v>
      </c>
      <c r="T116" s="30" t="n">
        <f aca="false">IFERROR(INDEX('Input Statistiche 2025_26'!$H$3:$H$665,MATCH($A116,'Input Statistiche 2025_26'!$A$3:$A$665,0)),"")</f>
        <v>4.87</v>
      </c>
      <c r="U116" s="26" t="str">
        <f aca="false">IF(OR('La Mia Rosa'!$O$12="",$D116&lt;&gt;""),"",IF($F116&lt;='La Mia Rosa'!$O$12*'Parametri Modello'!$B$24,"OK",IF($F116&lt;='La Mia Rosa'!$O$12*'Parametri Modello'!$B$25,"Attenzione","Rischio Alto")))</f>
        <v>OK</v>
      </c>
      <c r="V116" s="26" t="n">
        <f aca="false">IFERROR(COUNTIFS($B$2:$B$492,$B116,$O$2:$O$492,"&gt;"&amp;$O116)+1,"")</f>
        <v>12</v>
      </c>
      <c r="W116" s="21" t="n">
        <f aca="false">'Info Lega'!$B$4-SUMIFS($M$2:$M$492,$D$2:$D$492,'Info Lega'!$B$28)</f>
        <v>1000</v>
      </c>
      <c r="X116" s="21" t="n">
        <f aca="false">('Info Lega'!$B$5-COUNTIFS($D$2:$D$492,'Info Lega'!$B$28,$B$2:$B$492,"P"))+('Info Lega'!$B$6-COUNTIFS($D$2:$D$492,'Info Lega'!$B$28,$B$2:$B$492,"D"))+('Info Lega'!$B$7-COUNTIFS($D$2:$D$492,'Info Lega'!$B$28,$B$2:$B$492,"C"))+('Info Lega'!$B$8-COUNTIFS($D$2:$D$492,'Info Lega'!$B$28,$B$2:$B$492,"A"))</f>
        <v>25</v>
      </c>
      <c r="Y116" s="21" t="n">
        <f aca="false">X116*'Parametri Modello'!$B$30</f>
        <v>25</v>
      </c>
      <c r="Z116" s="21" t="n">
        <f aca="false">MAX(0,W116-Y116)</f>
        <v>975</v>
      </c>
      <c r="AA116" s="21" t="n">
        <f aca="false">MIN(F116,Z116)</f>
        <v>31</v>
      </c>
      <c r="AB116" s="21"/>
      <c r="AC116" s="21" t="str">
        <f aca="false">IF(AB116="","",IF(AB116&gt;AA116,"PASS",IF(AB116&lt;=AA116*0.85,"BID","ATTENZIONE")))</f>
        <v/>
      </c>
      <c r="AD116" s="31" t="n">
        <f aca="false">IF(I116="","",ROUND(100*(1-EXP(-I116/30)),0))</f>
        <v>72</v>
      </c>
      <c r="AE116" s="7" t="str">
        <f aca="false">IFERROR(INDEX('Stato Asta'!$G$9:$G$12,MATCH($B116,'Stato Asta'!$A$9:$A$12,0)),"")</f>
        <v>🟡 Attesa rischiosa</v>
      </c>
    </row>
    <row r="117" customFormat="false" ht="14.25" hidden="false" customHeight="true" outlineLevel="0" collapsed="false">
      <c r="A117" s="21" t="n">
        <v>5520</v>
      </c>
      <c r="B117" s="21" t="s">
        <v>44</v>
      </c>
      <c r="C117" s="21" t="s">
        <v>212</v>
      </c>
      <c r="E117" s="26" t="str">
        <f aca="false">IF(COUNTIF('Info Strategia'!$D$2:$D$51,$C117)&gt;0,"SI","NO")</f>
        <v>NO</v>
      </c>
      <c r="F117" s="27" t="n">
        <f aca="false">IFERROR(ROUND(($G117+($H117-$G117)*'Info Strategia'!$B$6)*(1+IF($E117="SI",'Parametri Modello'!$B$7*'Info Strategia'!$B$6,0)),0),"")</f>
        <v>13</v>
      </c>
      <c r="G117" s="27" t="n">
        <f aca="false">IFERROR(ROUND((IF(OR(INDEX('Parametri Modello'!$C$39:$C$42,MATCH($B117,'Parametri Modello'!$A$39:$A$42,0))="",INDEX('Parametri Modello'!$C$39:$C$42,MATCH($B117,'Parametri Modello'!$A$39:$A$42,0))=0),0,($O117/INDEX('Parametri Modello'!$C$39:$C$42,MATCH($B117,'Parametri Modello'!$A$39:$A$42,0)))*(INDEX('Parametri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10</v>
      </c>
      <c r="H117" s="27" t="n">
        <f aca="false">IFERROR(ROUND((IF(OR(INDEX('Parametri Modello'!$C$39:$C$42,MATCH($B117,'Parametri Modello'!$A$39:$A$42,0))="",INDEX('Parametri Modello'!$C$39:$C$42,MATCH($B117,'Parametri Modello'!$A$39:$A$42,0))=0),0,($O117/INDEX('Parametri Modello'!$C$39:$C$42,MATCH($B117,'Parametri Modello'!$A$39:$A$42,0)))*(INDEX('Parametri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14</v>
      </c>
      <c r="I117" s="26" t="n">
        <f aca="false">IFERROR(INDEX('Input Statistiche 2025_26'!$F$3:$F$665,MATCH($A117,'Input Statistiche 2025_26'!$A$3:$A$665,0)),"")</f>
        <v>36</v>
      </c>
      <c r="J117" s="26" t="n">
        <f aca="false">IFERROR(IF($I117="","",MAX(0,38-$I117)),"")</f>
        <v>2</v>
      </c>
      <c r="K117" s="26" t="n">
        <f aca="false">IFERROR(INDEX('Input Statistiche 2025_26'!$I$3:$I$665,MATCH($A117,'Input Statistiche 2025_26'!$A$3:$A$665,0)),"")</f>
        <v>3</v>
      </c>
      <c r="L117" s="26" t="n">
        <f aca="false">IFERROR(INDEX('Input Statistiche 2025_26'!$O$3:$O$665,MATCH($A117,'Input Statistiche 2025_26'!$A$3:$A$665,0)),"")</f>
        <v>4</v>
      </c>
      <c r="M117" s="28"/>
      <c r="N117" s="27" t="n">
        <f aca="false">IFERROR(INDEX('Input Giocatori 2026_27'!$E$3:$E$493,MATCH($A117,'Input Giocatori 2026_27'!$A$3:$A$493,0)),"")</f>
        <v>9</v>
      </c>
      <c r="O117" s="27" t="n">
        <f aca="false">IFERROR(INDEX('Input Giocatori 2026_27'!$G$3:$G$493,MATCH($A117,'Input Giocatori 2026_27'!$A$3:$A$493,0)),"")</f>
        <v>27</v>
      </c>
      <c r="P117" s="26" t="str">
        <f aca="false">IFERROR(IF($O117="","",IF((1-(COUNTIFS($B$2:$B$492,$B117,$O$2:$O$492,"&gt;"&amp;$O117)+1-1)/COUNTIF($B$2:$B$492,$B117))&gt;=0.85,"Top",IF((1-(COUNTIFS($B$2:$B$492,$B117,$O$2:$O$492,"&gt;"&amp;$O117)+1-1)/COUNTIF($B$2:$B$492,$B117))&gt;=0.6,"Buono",IF((1-(COUNTIFS($B$2:$B$492,$B117,$O$2:$O$492,"&gt;"&amp;$O117)+1-1)/COUNTIF($B$2:$B$492,$B117))&gt;=0.3,"Nella Media","Scommessa/Riserva")))),"")</f>
        <v>Top</v>
      </c>
      <c r="Q117" s="29" t="n">
        <f aca="false">IF($D117="",COUNTIF($D$2:$D117,""),"")</f>
        <v>116</v>
      </c>
      <c r="R117" s="29" t="str">
        <f aca="false">IF($D117='Info Lega'!$B$28,COUNTIFS($D$2:$D117,'Info Lega'!$B$28),"")</f>
        <v/>
      </c>
      <c r="S117" s="30" t="n">
        <f aca="false">IFERROR(INDEX('Input Statistiche 2025_26'!$G$3:$G$665,MATCH($A117,'Input Statistiche 2025_26'!$A$3:$A$665,0)),"")</f>
        <v>5.81</v>
      </c>
      <c r="T117" s="30" t="n">
        <f aca="false">IFERROR(INDEX('Input Statistiche 2025_26'!$H$3:$H$665,MATCH($A117,'Input Statistiche 2025_26'!$A$3:$A$665,0)),"")</f>
        <v>5.99</v>
      </c>
      <c r="U117" s="26" t="str">
        <f aca="false">IF(OR('La Mia Rosa'!$O$12="",$D117&lt;&gt;""),"",IF($F117&lt;='La Mia Rosa'!$O$12*'Parametri Modello'!$B$24,"OK",IF($F117&lt;='La Mia Rosa'!$O$12*'Parametri Modello'!$B$25,"Attenzione","Rischio Alto")))</f>
        <v>OK</v>
      </c>
      <c r="V117" s="26" t="n">
        <f aca="false">IFERROR(COUNTIFS($B$2:$B$492,$B117,$O$2:$O$492,"&gt;"&amp;$O117)+1,"")</f>
        <v>21</v>
      </c>
      <c r="W117" s="21" t="n">
        <f aca="false">'Info Lega'!$B$4-SUMIFS($M$2:$M$492,$D$2:$D$492,'Info Lega'!$B$28)</f>
        <v>1000</v>
      </c>
      <c r="X117" s="21" t="n">
        <f aca="false">('Info Lega'!$B$5-COUNTIFS($D$2:$D$492,'Info Lega'!$B$28,$B$2:$B$492,"P"))+('Info Lega'!$B$6-COUNTIFS($D$2:$D$492,'Info Lega'!$B$28,$B$2:$B$492,"D"))+('Info Lega'!$B$7-COUNTIFS($D$2:$D$492,'Info Lega'!$B$28,$B$2:$B$492,"C"))+('Info Lega'!$B$8-COUNTIFS($D$2:$D$492,'Info Lega'!$B$28,$B$2:$B$492,"A"))</f>
        <v>25</v>
      </c>
      <c r="Y117" s="21" t="n">
        <f aca="false">X117*'Parametri Modello'!$B$30</f>
        <v>25</v>
      </c>
      <c r="Z117" s="21" t="n">
        <f aca="false">MAX(0,W117-Y117)</f>
        <v>975</v>
      </c>
      <c r="AA117" s="21" t="n">
        <f aca="false">MIN(F117,Z117)</f>
        <v>13</v>
      </c>
      <c r="AB117" s="21"/>
      <c r="AC117" s="21" t="str">
        <f aca="false">IF(AB117="","",IF(AB117&gt;AA117,"PASS",IF(AB117&lt;=AA117*0.85,"BID","ATTENZIONE")))</f>
        <v/>
      </c>
      <c r="AD117" s="31" t="n">
        <f aca="false">IF(I117="","",ROUND(100*(1-EXP(-I117/30)),0))</f>
        <v>70</v>
      </c>
      <c r="AE117" s="7" t="str">
        <f aca="false">IFERROR(INDEX('Stato Asta'!$G$9:$G$12,MATCH($B117,'Stato Asta'!$A$9:$A$12,0)),"")</f>
        <v>🟡 Attesa rischiosa</v>
      </c>
    </row>
    <row r="118" customFormat="false" ht="14.25" hidden="false" customHeight="true" outlineLevel="0" collapsed="false">
      <c r="A118" s="21" t="n">
        <v>5365</v>
      </c>
      <c r="B118" s="21" t="s">
        <v>44</v>
      </c>
      <c r="C118" s="21" t="s">
        <v>218</v>
      </c>
      <c r="E118" s="26" t="str">
        <f aca="false">IF(COUNTIF('Info Strategia'!$D$2:$D$51,$C118)&gt;0,"SI","NO")</f>
        <v>NO</v>
      </c>
      <c r="F118" s="27" t="n">
        <f aca="false">IFERROR(ROUND(($G118+($H118-$G118)*'Info Strategia'!$B$6)*(1+IF($E118="SI",'Parametri Modello'!$B$7*'Info Strategia'!$B$6,0)),0),"")</f>
        <v>13</v>
      </c>
      <c r="G118" s="27" t="n">
        <f aca="false">IFERROR(ROUND((IF(OR(INDEX('Parametri Modello'!$C$39:$C$42,MATCH($B118,'Parametri Modello'!$A$39:$A$42,0))="",INDEX('Parametri Modello'!$C$39:$C$42,MATCH($B118,'Parametri Modello'!$A$39:$A$42,0))=0),0,($O118/INDEX('Parametri Modello'!$C$39:$C$42,MATCH($B118,'Parametri Modello'!$A$39:$A$42,0)))*(INDEX('Parametri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10</v>
      </c>
      <c r="H118" s="27" t="n">
        <f aca="false">IFERROR(ROUND((IF(OR(INDEX('Parametri Modello'!$C$39:$C$42,MATCH($B118,'Parametri Modello'!$A$39:$A$42,0))="",INDEX('Parametri Modello'!$C$39:$C$42,MATCH($B118,'Parametri Modello'!$A$39:$A$42,0))=0),0,($O118/INDEX('Parametri Modello'!$C$39:$C$42,MATCH($B118,'Parametri Modello'!$A$39:$A$42,0)))*(INDEX('Parametri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14</v>
      </c>
      <c r="I118" s="26" t="str">
        <f aca="false">IFERROR(INDEX('Input Statistiche 2025_26'!$F$3:$F$665,MATCH($A118,'Input Statistiche 2025_26'!$A$3:$A$665,0)),"")</f>
        <v/>
      </c>
      <c r="J118" s="26" t="str">
        <f aca="false">IFERROR(IF($I118="","",MAX(0,38-$I118)),"")</f>
        <v/>
      </c>
      <c r="K118" s="26" t="str">
        <f aca="false">IFERROR(INDEX('Input Statistiche 2025_26'!$I$3:$I$665,MATCH($A118,'Input Statistiche 2025_26'!$A$3:$A$665,0)),"")</f>
        <v/>
      </c>
      <c r="L118" s="26" t="str">
        <f aca="false">IFERROR(INDEX('Input Statistiche 2025_26'!$O$3:$O$665,MATCH($A118,'Input Statistiche 2025_26'!$A$3:$A$665,0)),"")</f>
        <v/>
      </c>
      <c r="M118" s="28"/>
      <c r="N118" s="27" t="n">
        <f aca="false">IFERROR(INDEX('Input Giocatori 2026_27'!$E$3:$E$493,MATCH($A118,'Input Giocatori 2026_27'!$A$3:$A$493,0)),"")</f>
        <v>8</v>
      </c>
      <c r="O118" s="27" t="n">
        <f aca="false">IFERROR(INDEX('Input Giocatori 2026_27'!$G$3:$G$493,MATCH($A118,'Input Giocatori 2026_27'!$A$3:$A$493,0)),"")</f>
        <v>27</v>
      </c>
      <c r="P118" s="26" t="str">
        <f aca="false">IFERROR(IF($O118="","",IF((1-(COUNTIFS($B$2:$B$492,$B118,$O$2:$O$492,"&gt;"&amp;$O118)+1-1)/COUNTIF($B$2:$B$492,$B118))&gt;=0.85,"Top",IF((1-(COUNTIFS($B$2:$B$492,$B118,$O$2:$O$492,"&gt;"&amp;$O118)+1-1)/COUNTIF($B$2:$B$492,$B118))&gt;=0.6,"Buono",IF((1-(COUNTIFS($B$2:$B$492,$B118,$O$2:$O$492,"&gt;"&amp;$O118)+1-1)/COUNTIF($B$2:$B$492,$B118))&gt;=0.3,"Nella Media","Scommessa/Riserva")))),"")</f>
        <v>Top</v>
      </c>
      <c r="Q118" s="29" t="n">
        <f aca="false">IF($D118="",COUNTIF($D$2:$D118,""),"")</f>
        <v>117</v>
      </c>
      <c r="R118" s="29" t="str">
        <f aca="false">IF($D118='Info Lega'!$B$28,COUNTIFS($D$2:$D118,'Info Lega'!$B$28),"")</f>
        <v/>
      </c>
      <c r="S118" s="30" t="str">
        <f aca="false">IFERROR(INDEX('Input Statistiche 2025_26'!$G$3:$G$665,MATCH($A118,'Input Statistiche 2025_26'!$A$3:$A$665,0)),"")</f>
        <v/>
      </c>
      <c r="T118" s="30" t="str">
        <f aca="false">IFERROR(INDEX('Input Statistiche 2025_26'!$H$3:$H$665,MATCH($A118,'Input Statistiche 2025_26'!$A$3:$A$665,0)),"")</f>
        <v/>
      </c>
      <c r="U118" s="26" t="str">
        <f aca="false">IF(OR('La Mia Rosa'!$O$12="",$D118&lt;&gt;""),"",IF($F118&lt;='La Mia Rosa'!$O$12*'Parametri Modello'!$B$24,"OK",IF($F118&lt;='La Mia Rosa'!$O$12*'Parametri Modello'!$B$25,"Attenzione","Rischio Alto")))</f>
        <v>OK</v>
      </c>
      <c r="V118" s="26" t="n">
        <f aca="false">IFERROR(COUNTIFS($B$2:$B$492,$B118,$O$2:$O$492,"&gt;"&amp;$O118)+1,"")</f>
        <v>21</v>
      </c>
      <c r="W118" s="21" t="n">
        <f aca="false">'Info Lega'!$B$4-SUMIFS($M$2:$M$492,$D$2:$D$492,'Info Lega'!$B$28)</f>
        <v>1000</v>
      </c>
      <c r="X118" s="21" t="n">
        <f aca="false">('Info Lega'!$B$5-COUNTIFS($D$2:$D$492,'Info Lega'!$B$28,$B$2:$B$492,"P"))+('Info Lega'!$B$6-COUNTIFS($D$2:$D$492,'Info Lega'!$B$28,$B$2:$B$492,"D"))+('Info Lega'!$B$7-COUNTIFS($D$2:$D$492,'Info Lega'!$B$28,$B$2:$B$492,"C"))+('Info Lega'!$B$8-COUNTIFS($D$2:$D$492,'Info Lega'!$B$28,$B$2:$B$492,"A"))</f>
        <v>25</v>
      </c>
      <c r="Y118" s="21" t="n">
        <f aca="false">X118*'Parametri Modello'!$B$30</f>
        <v>25</v>
      </c>
      <c r="Z118" s="21" t="n">
        <f aca="false">MAX(0,W118-Y118)</f>
        <v>975</v>
      </c>
      <c r="AA118" s="21" t="n">
        <f aca="false">MIN(F118,Z118)</f>
        <v>13</v>
      </c>
      <c r="AB118" s="21"/>
      <c r="AC118" s="21" t="str">
        <f aca="false">IF(AB118="","",IF(AB118&gt;AA118,"PASS",IF(AB118&lt;=AA118*0.85,"BID","ATTENZIONE")))</f>
        <v/>
      </c>
      <c r="AD118" s="31" t="str">
        <f aca="false">IF(I118="","",ROUND(100*(1-EXP(-I118/30)),0))</f>
        <v/>
      </c>
      <c r="AE118" s="7" t="str">
        <f aca="false">IFERROR(INDEX('Stato Asta'!$G$9:$G$12,MATCH($B118,'Stato Asta'!$A$9:$A$12,0)),"")</f>
        <v>🟡 Attesa rischiosa</v>
      </c>
    </row>
    <row r="119" customFormat="false" ht="14.25" hidden="false" customHeight="true" outlineLevel="0" collapsed="false">
      <c r="A119" s="21" t="n">
        <v>5877</v>
      </c>
      <c r="B119" s="21" t="s">
        <v>44</v>
      </c>
      <c r="C119" s="21" t="s">
        <v>231</v>
      </c>
      <c r="E119" s="26" t="str">
        <f aca="false">IF(COUNTIF('Info Strategia'!$D$2:$D$51,$C119)&gt;0,"SI","NO")</f>
        <v>NO</v>
      </c>
      <c r="F119" s="27" t="n">
        <f aca="false">IFERROR(ROUND(($G119+($H119-$G119)*'Info Strategia'!$B$6)*(1+IF($E119="SI",'Parametri Modello'!$B$7*'Info Strategia'!$B$6,0)),0),"")</f>
        <v>13</v>
      </c>
      <c r="G119" s="27" t="n">
        <f aca="false">IFERROR(ROUND((IF(OR(INDEX('Parametri Modello'!$C$39:$C$42,MATCH($B119,'Parametri Modello'!$A$39:$A$42,0))="",INDEX('Parametri Modello'!$C$39:$C$42,MATCH($B119,'Parametri Modello'!$A$39:$A$42,0))=0),0,($O119/INDEX('Parametri Modello'!$C$39:$C$42,MATCH($B119,'Parametri Modello'!$A$39:$A$42,0)))*(INDEX('Parametri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10</v>
      </c>
      <c r="H119" s="27" t="n">
        <f aca="false">IFERROR(ROUND((IF(OR(INDEX('Parametri Modello'!$C$39:$C$42,MATCH($B119,'Parametri Modello'!$A$39:$A$42,0))="",INDEX('Parametri Modello'!$C$39:$C$42,MATCH($B119,'Parametri Modello'!$A$39:$A$42,0))=0),0,($O119/INDEX('Parametri Modello'!$C$39:$C$42,MATCH($B119,'Parametri Modello'!$A$39:$A$42,0)))*(INDEX('Parametri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14</v>
      </c>
      <c r="I119" s="26" t="n">
        <f aca="false">IFERROR(INDEX('Input Statistiche 2025_26'!$F$3:$F$665,MATCH($A119,'Input Statistiche 2025_26'!$A$3:$A$665,0)),"")</f>
        <v>28</v>
      </c>
      <c r="J119" s="26" t="n">
        <f aca="false">IFERROR(IF($I119="","",MAX(0,38-$I119)),"")</f>
        <v>10</v>
      </c>
      <c r="K119" s="26" t="n">
        <f aca="false">IFERROR(INDEX('Input Statistiche 2025_26'!$I$3:$I$665,MATCH($A119,'Input Statistiche 2025_26'!$A$3:$A$665,0)),"")</f>
        <v>1</v>
      </c>
      <c r="L119" s="26" t="n">
        <f aca="false">IFERROR(INDEX('Input Statistiche 2025_26'!$O$3:$O$665,MATCH($A119,'Input Statistiche 2025_26'!$A$3:$A$665,0)),"")</f>
        <v>1</v>
      </c>
      <c r="M119" s="28"/>
      <c r="N119" s="27" t="n">
        <f aca="false">IFERROR(INDEX('Input Giocatori 2026_27'!$E$3:$E$493,MATCH($A119,'Input Giocatori 2026_27'!$A$3:$A$493,0)),"")</f>
        <v>7</v>
      </c>
      <c r="O119" s="27" t="n">
        <f aca="false">IFERROR(INDEX('Input Giocatori 2026_27'!$G$3:$G$493,MATCH($A119,'Input Giocatori 2026_27'!$A$3:$A$493,0)),"")</f>
        <v>27</v>
      </c>
      <c r="P119" s="26" t="str">
        <f aca="false">IFERROR(IF($O119="","",IF((1-(COUNTIFS($B$2:$B$492,$B119,$O$2:$O$492,"&gt;"&amp;$O119)+1-1)/COUNTIF($B$2:$B$492,$B119))&gt;=0.85,"Top",IF((1-(COUNTIFS($B$2:$B$492,$B119,$O$2:$O$492,"&gt;"&amp;$O119)+1-1)/COUNTIF($B$2:$B$492,$B119))&gt;=0.6,"Buono",IF((1-(COUNTIFS($B$2:$B$492,$B119,$O$2:$O$492,"&gt;"&amp;$O119)+1-1)/COUNTIF($B$2:$B$492,$B119))&gt;=0.3,"Nella Media","Scommessa/Riserva")))),"")</f>
        <v>Top</v>
      </c>
      <c r="Q119" s="29" t="n">
        <f aca="false">IF($D119="",COUNTIF($D$2:$D119,""),"")</f>
        <v>118</v>
      </c>
      <c r="R119" s="29" t="str">
        <f aca="false">IF($D119='Info Lega'!$B$28,COUNTIFS($D$2:$D119,'Info Lega'!$B$28),"")</f>
        <v/>
      </c>
      <c r="S119" s="30" t="n">
        <f aca="false">IFERROR(INDEX('Input Statistiche 2025_26'!$G$3:$G$665,MATCH($A119,'Input Statistiche 2025_26'!$A$3:$A$665,0)),"")</f>
        <v>6.12</v>
      </c>
      <c r="T119" s="30" t="n">
        <f aca="false">IFERROR(INDEX('Input Statistiche 2025_26'!$H$3:$H$665,MATCH($A119,'Input Statistiche 2025_26'!$A$3:$A$665,0)),"")</f>
        <v>6.16</v>
      </c>
      <c r="U119" s="26" t="str">
        <f aca="false">IF(OR('La Mia Rosa'!$O$12="",$D119&lt;&gt;""),"",IF($F119&lt;='La Mia Rosa'!$O$12*'Parametri Modello'!$B$24,"OK",IF($F119&lt;='La Mia Rosa'!$O$12*'Parametri Modello'!$B$25,"Attenzione","Rischio Alto")))</f>
        <v>OK</v>
      </c>
      <c r="V119" s="26" t="n">
        <f aca="false">IFERROR(COUNTIFS($B$2:$B$492,$B119,$O$2:$O$492,"&gt;"&amp;$O119)+1,"")</f>
        <v>21</v>
      </c>
      <c r="W119" s="21" t="n">
        <f aca="false">'Info Lega'!$B$4-SUMIFS($M$2:$M$492,$D$2:$D$492,'Info Lega'!$B$28)</f>
        <v>1000</v>
      </c>
      <c r="X119" s="21" t="n">
        <f aca="false">('Info Lega'!$B$5-COUNTIFS($D$2:$D$492,'Info Lega'!$B$28,$B$2:$B$492,"P"))+('Info Lega'!$B$6-COUNTIFS($D$2:$D$492,'Info Lega'!$B$28,$B$2:$B$492,"D"))+('Info Lega'!$B$7-COUNTIFS($D$2:$D$492,'Info Lega'!$B$28,$B$2:$B$492,"C"))+('Info Lega'!$B$8-COUNTIFS($D$2:$D$492,'Info Lega'!$B$28,$B$2:$B$492,"A"))</f>
        <v>25</v>
      </c>
      <c r="Y119" s="21" t="n">
        <f aca="false">X119*'Parametri Modello'!$B$30</f>
        <v>25</v>
      </c>
      <c r="Z119" s="21" t="n">
        <f aca="false">MAX(0,W119-Y119)</f>
        <v>975</v>
      </c>
      <c r="AA119" s="21" t="n">
        <f aca="false">MIN(F119,Z119)</f>
        <v>13</v>
      </c>
      <c r="AB119" s="21"/>
      <c r="AC119" s="21" t="str">
        <f aca="false">IF(AB119="","",IF(AB119&gt;AA119,"PASS",IF(AB119&lt;=AA119*0.85,"BID","ATTENZIONE")))</f>
        <v/>
      </c>
      <c r="AD119" s="31" t="n">
        <f aca="false">IF(I119="","",ROUND(100*(1-EXP(-I119/30)),0))</f>
        <v>61</v>
      </c>
      <c r="AE119" s="7" t="str">
        <f aca="false">IFERROR(INDEX('Stato Asta'!$G$9:$G$12,MATCH($B119,'Stato Asta'!$A$9:$A$12,0)),"")</f>
        <v>🟡 Attesa rischiosa</v>
      </c>
    </row>
    <row r="120" customFormat="false" ht="14.25" hidden="false" customHeight="true" outlineLevel="0" collapsed="false">
      <c r="A120" s="21" t="n">
        <v>6218</v>
      </c>
      <c r="B120" s="21" t="s">
        <v>45</v>
      </c>
      <c r="C120" s="21" t="s">
        <v>427</v>
      </c>
      <c r="E120" s="26" t="str">
        <f aca="false">IF(COUNTIF('Info Strategia'!$D$2:$D$51,$C120)&gt;0,"SI","NO")</f>
        <v>NO</v>
      </c>
      <c r="F120" s="27" t="n">
        <f aca="false">IFERROR(ROUND(($G120+($H120-$G120)*'Info Strategia'!$B$6)*(1+IF($E120="SI",'Parametri Modello'!$B$7*'Info Strategia'!$B$6,0)),0),"")</f>
        <v>15</v>
      </c>
      <c r="G120" s="27" t="n">
        <f aca="false">IFERROR(ROUND((IF(OR(INDEX('Parametri Modello'!$C$39:$C$42,MATCH($B120,'Parametri Modello'!$A$39:$A$42,0))="",INDEX('Parametri Modello'!$C$39:$C$42,MATCH($B120,'Parametri Modello'!$A$39:$A$42,0))=0),0,($O120/INDEX('Parametri Modello'!$C$39:$C$42,MATCH($B120,'Parametri Modello'!$A$39:$A$42,0)))*(INDEX('Parametri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10</v>
      </c>
      <c r="H120" s="27" t="n">
        <f aca="false">IFERROR(ROUND((IF(OR(INDEX('Parametri Modello'!$C$39:$C$42,MATCH($B120,'Parametri Modello'!$A$39:$A$42,0))="",INDEX('Parametri Modello'!$C$39:$C$42,MATCH($B120,'Parametri Modello'!$A$39:$A$42,0))=0),0,($O120/INDEX('Parametri Modello'!$C$39:$C$42,MATCH($B120,'Parametri Modello'!$A$39:$A$42,0)))*(INDEX('Parametri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17</v>
      </c>
      <c r="I120" s="26" t="n">
        <f aca="false">IFERROR(INDEX('Input Statistiche 2025_26'!$F$3:$F$665,MATCH($A120,'Input Statistiche 2025_26'!$A$3:$A$665,0)),"")</f>
        <v>18</v>
      </c>
      <c r="J120" s="26" t="n">
        <f aca="false">IFERROR(IF($I120="","",MAX(0,38-$I120)),"")</f>
        <v>20</v>
      </c>
      <c r="K120" s="26" t="n">
        <f aca="false">IFERROR(INDEX('Input Statistiche 2025_26'!$I$3:$I$665,MATCH($A120,'Input Statistiche 2025_26'!$A$3:$A$665,0)),"")</f>
        <v>1</v>
      </c>
      <c r="L120" s="26" t="n">
        <f aca="false">IFERROR(INDEX('Input Statistiche 2025_26'!$O$3:$O$665,MATCH($A120,'Input Statistiche 2025_26'!$A$3:$A$665,0)),"")</f>
        <v>0</v>
      </c>
      <c r="M120" s="28"/>
      <c r="N120" s="27" t="n">
        <f aca="false">IFERROR(INDEX('Input Giocatori 2026_27'!$E$3:$E$493,MATCH($A120,'Input Giocatori 2026_27'!$A$3:$A$493,0)),"")</f>
        <v>7</v>
      </c>
      <c r="O120" s="27" t="n">
        <f aca="false">IFERROR(INDEX('Input Giocatori 2026_27'!$G$3:$G$493,MATCH($A120,'Input Giocatori 2026_27'!$A$3:$A$493,0)),"")</f>
        <v>27</v>
      </c>
      <c r="P120" s="26" t="str">
        <f aca="false">IFERROR(IF($O120="","",IF((1-(COUNTIFS($B$2:$B$492,$B120,$O$2:$O$492,"&gt;"&amp;$O120)+1-1)/COUNTIF($B$2:$B$492,$B120))&gt;=0.85,"Top",IF((1-(COUNTIFS($B$2:$B$492,$B120,$O$2:$O$492,"&gt;"&amp;$O120)+1-1)/COUNTIF($B$2:$B$492,$B120))&gt;=0.6,"Buono",IF((1-(COUNTIFS($B$2:$B$492,$B120,$O$2:$O$492,"&gt;"&amp;$O120)+1-1)/COUNTIF($B$2:$B$492,$B120))&gt;=0.3,"Nella Media","Scommessa/Riserva")))),"")</f>
        <v>Buono</v>
      </c>
      <c r="Q120" s="29" t="n">
        <f aca="false">IF($D120="",COUNTIF($D$2:$D120,""),"")</f>
        <v>119</v>
      </c>
      <c r="R120" s="29" t="str">
        <f aca="false">IF($D120='Info Lega'!$B$28,COUNTIFS($D$2:$D120,'Info Lega'!$B$28),"")</f>
        <v/>
      </c>
      <c r="S120" s="30" t="n">
        <f aca="false">IFERROR(INDEX('Input Statistiche 2025_26'!$G$3:$G$665,MATCH($A120,'Input Statistiche 2025_26'!$A$3:$A$665,0)),"")</f>
        <v>5.78</v>
      </c>
      <c r="T120" s="30" t="n">
        <f aca="false">IFERROR(INDEX('Input Statistiche 2025_26'!$H$3:$H$665,MATCH($A120,'Input Statistiche 2025_26'!$A$3:$A$665,0)),"")</f>
        <v>5.92</v>
      </c>
      <c r="U120" s="26" t="str">
        <f aca="false">IF(OR('La Mia Rosa'!$O$12="",$D120&lt;&gt;""),"",IF($F120&lt;='La Mia Rosa'!$O$12*'Parametri Modello'!$B$24,"OK",IF($F120&lt;='La Mia Rosa'!$O$12*'Parametri Modello'!$B$25,"Attenzione","Rischio Alto")))</f>
        <v>OK</v>
      </c>
      <c r="V120" s="26" t="n">
        <f aca="false">IFERROR(COUNTIFS($B$2:$B$492,$B120,$O$2:$O$492,"&gt;"&amp;$O120)+1,"")</f>
        <v>44</v>
      </c>
      <c r="W120" s="21" t="n">
        <f aca="false">'Info Lega'!$B$4-SUMIFS($M$2:$M$492,$D$2:$D$492,'Info Lega'!$B$28)</f>
        <v>1000</v>
      </c>
      <c r="X120" s="21" t="n">
        <f aca="false">('Info Lega'!$B$5-COUNTIFS($D$2:$D$492,'Info Lega'!$B$28,$B$2:$B$492,"P"))+('Info Lega'!$B$6-COUNTIFS($D$2:$D$492,'Info Lega'!$B$28,$B$2:$B$492,"D"))+('Info Lega'!$B$7-COUNTIFS($D$2:$D$492,'Info Lega'!$B$28,$B$2:$B$492,"C"))+('Info Lega'!$B$8-COUNTIFS($D$2:$D$492,'Info Lega'!$B$28,$B$2:$B$492,"A"))</f>
        <v>25</v>
      </c>
      <c r="Y120" s="21" t="n">
        <f aca="false">X120*'Parametri Modello'!$B$30</f>
        <v>25</v>
      </c>
      <c r="Z120" s="21" t="n">
        <f aca="false">MAX(0,W120-Y120)</f>
        <v>975</v>
      </c>
      <c r="AA120" s="21" t="n">
        <f aca="false">MIN(F120,Z120)</f>
        <v>15</v>
      </c>
      <c r="AB120" s="21"/>
      <c r="AC120" s="21" t="str">
        <f aca="false">IF(AB120="","",IF(AB120&gt;AA120,"PASS",IF(AB120&lt;=AA120*0.85,"BID","ATTENZIONE")))</f>
        <v/>
      </c>
      <c r="AD120" s="31" t="n">
        <f aca="false">IF(I120="","",ROUND(100*(1-EXP(-I120/30)),0))</f>
        <v>45</v>
      </c>
      <c r="AE120" s="7" t="str">
        <f aca="false">IFERROR(INDEX('Stato Asta'!$G$9:$G$12,MATCH($B120,'Stato Asta'!$A$9:$A$12,0)),"")</f>
        <v>🟡 Attesa rischiosa</v>
      </c>
    </row>
    <row r="121" customFormat="false" ht="14.25" hidden="false" customHeight="true" outlineLevel="0" collapsed="false">
      <c r="A121" s="21" t="n">
        <v>4807</v>
      </c>
      <c r="B121" s="21" t="s">
        <v>44</v>
      </c>
      <c r="C121" s="21" t="s">
        <v>210</v>
      </c>
      <c r="E121" s="26" t="str">
        <f aca="false">IF(COUNTIF('Info Strategia'!$D$2:$D$51,$C121)&gt;0,"SI","NO")</f>
        <v>NO</v>
      </c>
      <c r="F121" s="27" t="n">
        <f aca="false">IFERROR(ROUND(($G121+($H121-$G121)*'Info Strategia'!$B$6)*(1+IF($E121="SI",'Parametri Modello'!$B$7*'Info Strategia'!$B$6,0)),0),"")</f>
        <v>13</v>
      </c>
      <c r="G121" s="27" t="n">
        <f aca="false">IFERROR(ROUND((IF(OR(INDEX('Parametri Modello'!$C$39:$C$42,MATCH($B121,'Parametri Modello'!$A$39:$A$42,0))="",INDEX('Parametri Modello'!$C$39:$C$42,MATCH($B121,'Parametri Modello'!$A$39:$A$42,0))=0),0,($O121/INDEX('Parametri Modello'!$C$39:$C$42,MATCH($B121,'Parametri Modello'!$A$39:$A$42,0)))*(INDEX('Parametri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9</v>
      </c>
      <c r="H121" s="27" t="n">
        <f aca="false">IFERROR(ROUND((IF(OR(INDEX('Parametri Modello'!$C$39:$C$42,MATCH($B121,'Parametri Modello'!$A$39:$A$42,0))="",INDEX('Parametri Modello'!$C$39:$C$42,MATCH($B121,'Parametri Modello'!$A$39:$A$42,0))=0),0,($O121/INDEX('Parametri Modello'!$C$39:$C$42,MATCH($B121,'Parametri Modello'!$A$39:$A$42,0)))*(INDEX('Parametri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14</v>
      </c>
      <c r="I121" s="26" t="n">
        <f aca="false">IFERROR(INDEX('Input Statistiche 2025_26'!$F$3:$F$665,MATCH($A121,'Input Statistiche 2025_26'!$A$3:$A$665,0)),"")</f>
        <v>27</v>
      </c>
      <c r="J121" s="26" t="n">
        <f aca="false">IFERROR(IF($I121="","",MAX(0,38-$I121)),"")</f>
        <v>11</v>
      </c>
      <c r="K121" s="26" t="n">
        <f aca="false">IFERROR(INDEX('Input Statistiche 2025_26'!$I$3:$I$665,MATCH($A121,'Input Statistiche 2025_26'!$A$3:$A$665,0)),"")</f>
        <v>3</v>
      </c>
      <c r="L121" s="26" t="n">
        <f aca="false">IFERROR(INDEX('Input Statistiche 2025_26'!$O$3:$O$665,MATCH($A121,'Input Statistiche 2025_26'!$A$3:$A$665,0)),"")</f>
        <v>2</v>
      </c>
      <c r="M121" s="28"/>
      <c r="N121" s="27" t="n">
        <f aca="false">IFERROR(INDEX('Input Giocatori 2026_27'!$E$3:$E$493,MATCH($A121,'Input Giocatori 2026_27'!$A$3:$A$493,0)),"")</f>
        <v>10</v>
      </c>
      <c r="O121" s="27" t="n">
        <f aca="false">IFERROR(INDEX('Input Giocatori 2026_27'!$G$3:$G$493,MATCH($A121,'Input Giocatori 2026_27'!$A$3:$A$493,0)),"")</f>
        <v>26</v>
      </c>
      <c r="P121" s="26" t="str">
        <f aca="false">IFERROR(IF($O121="","",IF((1-(COUNTIFS($B$2:$B$492,$B121,$O$2:$O$492,"&gt;"&amp;$O121)+1-1)/COUNTIF($B$2:$B$492,$B121))&gt;=0.85,"Top",IF((1-(COUNTIFS($B$2:$B$492,$B121,$O$2:$O$492,"&gt;"&amp;$O121)+1-1)/COUNTIF($B$2:$B$492,$B121))&gt;=0.6,"Buono",IF((1-(COUNTIFS($B$2:$B$492,$B121,$O$2:$O$492,"&gt;"&amp;$O121)+1-1)/COUNTIF($B$2:$B$492,$B121))&gt;=0.3,"Nella Media","Scommessa/Riserva")))),"")</f>
        <v>Top</v>
      </c>
      <c r="Q121" s="29" t="n">
        <f aca="false">IF($D121="",COUNTIF($D$2:$D121,""),"")</f>
        <v>120</v>
      </c>
      <c r="R121" s="29" t="str">
        <f aca="false">IF($D121='Info Lega'!$B$28,COUNTIFS($D$2:$D121,'Info Lega'!$B$28),"")</f>
        <v/>
      </c>
      <c r="S121" s="30" t="n">
        <f aca="false">IFERROR(INDEX('Input Statistiche 2025_26'!$G$3:$G$665,MATCH($A121,'Input Statistiche 2025_26'!$A$3:$A$665,0)),"")</f>
        <v>6.17</v>
      </c>
      <c r="T121" s="30" t="n">
        <f aca="false">IFERROR(INDEX('Input Statistiche 2025_26'!$H$3:$H$665,MATCH($A121,'Input Statistiche 2025_26'!$A$3:$A$665,0)),"")</f>
        <v>6.41</v>
      </c>
      <c r="U121" s="26" t="str">
        <f aca="false">IF(OR('La Mia Rosa'!$O$12="",$D121&lt;&gt;""),"",IF($F121&lt;='La Mia Rosa'!$O$12*'Parametri Modello'!$B$24,"OK",IF($F121&lt;='La Mia Rosa'!$O$12*'Parametri Modello'!$B$25,"Attenzione","Rischio Alto")))</f>
        <v>OK</v>
      </c>
      <c r="V121" s="26" t="n">
        <f aca="false">IFERROR(COUNTIFS($B$2:$B$492,$B121,$O$2:$O$492,"&gt;"&amp;$O121)+1,"")</f>
        <v>24</v>
      </c>
      <c r="W121" s="21" t="n">
        <f aca="false">'Info Lega'!$B$4-SUMIFS($M$2:$M$492,$D$2:$D$492,'Info Lega'!$B$28)</f>
        <v>1000</v>
      </c>
      <c r="X121" s="21" t="n">
        <f aca="false">('Info Lega'!$B$5-COUNTIFS($D$2:$D$492,'Info Lega'!$B$28,$B$2:$B$492,"P"))+('Info Lega'!$B$6-COUNTIFS($D$2:$D$492,'Info Lega'!$B$28,$B$2:$B$492,"D"))+('Info Lega'!$B$7-COUNTIFS($D$2:$D$492,'Info Lega'!$B$28,$B$2:$B$492,"C"))+('Info Lega'!$B$8-COUNTIFS($D$2:$D$492,'Info Lega'!$B$28,$B$2:$B$492,"A"))</f>
        <v>25</v>
      </c>
      <c r="Y121" s="21" t="n">
        <f aca="false">X121*'Parametri Modello'!$B$30</f>
        <v>25</v>
      </c>
      <c r="Z121" s="21" t="n">
        <f aca="false">MAX(0,W121-Y121)</f>
        <v>975</v>
      </c>
      <c r="AA121" s="21" t="n">
        <f aca="false">MIN(F121,Z121)</f>
        <v>13</v>
      </c>
      <c r="AB121" s="21"/>
      <c r="AC121" s="21" t="str">
        <f aca="false">IF(AB121="","",IF(AB121&gt;AA121,"PASS",IF(AB121&lt;=AA121*0.85,"BID","ATTENZIONE")))</f>
        <v/>
      </c>
      <c r="AD121" s="31" t="n">
        <f aca="false">IF(I121="","",ROUND(100*(1-EXP(-I121/30)),0))</f>
        <v>59</v>
      </c>
      <c r="AE121" s="7" t="str">
        <f aca="false">IFERROR(INDEX('Stato Asta'!$G$9:$G$12,MATCH($B121,'Stato Asta'!$A$9:$A$12,0)),"")</f>
        <v>🟡 Attesa rischiosa</v>
      </c>
    </row>
    <row r="122" customFormat="false" ht="14.25" hidden="false" customHeight="true" outlineLevel="0" collapsed="false">
      <c r="A122" s="21" t="n">
        <v>7070</v>
      </c>
      <c r="B122" s="21" t="s">
        <v>45</v>
      </c>
      <c r="C122" s="21" t="s">
        <v>412</v>
      </c>
      <c r="E122" s="26" t="str">
        <f aca="false">IF(COUNTIF('Info Strategia'!$D$2:$D$51,$C122)&gt;0,"SI","NO")</f>
        <v>NO</v>
      </c>
      <c r="F122" s="27" t="n">
        <f aca="false">IFERROR(ROUND(($G122+($H122-$G122)*'Info Strategia'!$B$6)*(1+IF($E122="SI",'Parametri Modello'!$B$7*'Info Strategia'!$B$6,0)),0),"")</f>
        <v>14</v>
      </c>
      <c r="G122" s="27" t="n">
        <f aca="false">IFERROR(ROUND((IF(OR(INDEX('Parametri Modello'!$C$39:$C$42,MATCH($B122,'Parametri Modello'!$A$39:$A$42,0))="",INDEX('Parametri Modello'!$C$39:$C$42,MATCH($B122,'Parametri Modello'!$A$39:$A$42,0))=0),0,($O122/INDEX('Parametri Modello'!$C$39:$C$42,MATCH($B122,'Parametri Modello'!$A$39:$A$42,0)))*(INDEX('Parametri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10</v>
      </c>
      <c r="H122" s="27" t="n">
        <f aca="false">IFERROR(ROUND((IF(OR(INDEX('Parametri Modello'!$C$39:$C$42,MATCH($B122,'Parametri Modello'!$A$39:$A$42,0))="",INDEX('Parametri Modello'!$C$39:$C$42,MATCH($B122,'Parametri Modello'!$A$39:$A$42,0))=0),0,($O122/INDEX('Parametri Modello'!$C$39:$C$42,MATCH($B122,'Parametri Modello'!$A$39:$A$42,0)))*(INDEX('Parametri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16</v>
      </c>
      <c r="I122" s="26" t="n">
        <f aca="false">IFERROR(INDEX('Input Statistiche 2025_26'!$F$3:$F$665,MATCH($A122,'Input Statistiche 2025_26'!$A$3:$A$665,0)),"")</f>
        <v>28</v>
      </c>
      <c r="J122" s="26" t="n">
        <f aca="false">IFERROR(IF($I122="","",MAX(0,38-$I122)),"")</f>
        <v>10</v>
      </c>
      <c r="K122" s="26" t="n">
        <f aca="false">IFERROR(INDEX('Input Statistiche 2025_26'!$I$3:$I$665,MATCH($A122,'Input Statistiche 2025_26'!$A$3:$A$665,0)),"")</f>
        <v>2</v>
      </c>
      <c r="L122" s="26" t="n">
        <f aca="false">IFERROR(INDEX('Input Statistiche 2025_26'!$O$3:$O$665,MATCH($A122,'Input Statistiche 2025_26'!$A$3:$A$665,0)),"")</f>
        <v>2</v>
      </c>
      <c r="M122" s="28"/>
      <c r="N122" s="27" t="n">
        <f aca="false">IFERROR(INDEX('Input Giocatori 2026_27'!$E$3:$E$493,MATCH($A122,'Input Giocatori 2026_27'!$A$3:$A$493,0)),"")</f>
        <v>8</v>
      </c>
      <c r="O122" s="27" t="n">
        <f aca="false">IFERROR(INDEX('Input Giocatori 2026_27'!$G$3:$G$493,MATCH($A122,'Input Giocatori 2026_27'!$A$3:$A$493,0)),"")</f>
        <v>26</v>
      </c>
      <c r="P122" s="26" t="str">
        <f aca="false">IFERROR(IF($O122="","",IF((1-(COUNTIFS($B$2:$B$492,$B122,$O$2:$O$492,"&gt;"&amp;$O122)+1-1)/COUNTIF($B$2:$B$492,$B122))&gt;=0.85,"Top",IF((1-(COUNTIFS($B$2:$B$492,$B122,$O$2:$O$492,"&gt;"&amp;$O122)+1-1)/COUNTIF($B$2:$B$492,$B122))&gt;=0.6,"Buono",IF((1-(COUNTIFS($B$2:$B$492,$B122,$O$2:$O$492,"&gt;"&amp;$O122)+1-1)/COUNTIF($B$2:$B$492,$B122))&gt;=0.3,"Nella Media","Scommessa/Riserva")))),"")</f>
        <v>Buono</v>
      </c>
      <c r="Q122" s="29" t="n">
        <f aca="false">IF($D122="",COUNTIF($D$2:$D122,""),"")</f>
        <v>121</v>
      </c>
      <c r="R122" s="29" t="str">
        <f aca="false">IF($D122='Info Lega'!$B$28,COUNTIFS($D$2:$D122,'Info Lega'!$B$28),"")</f>
        <v/>
      </c>
      <c r="S122" s="30" t="n">
        <f aca="false">IFERROR(INDEX('Input Statistiche 2025_26'!$G$3:$G$665,MATCH($A122,'Input Statistiche 2025_26'!$A$3:$A$665,0)),"")</f>
        <v>6.07</v>
      </c>
      <c r="T122" s="30" t="n">
        <f aca="false">IFERROR(INDEX('Input Statistiche 2025_26'!$H$3:$H$665,MATCH($A122,'Input Statistiche 2025_26'!$A$3:$A$665,0)),"")</f>
        <v>6.27</v>
      </c>
      <c r="U122" s="26" t="str">
        <f aca="false">IF(OR('La Mia Rosa'!$O$12="",$D122&lt;&gt;""),"",IF($F122&lt;='La Mia Rosa'!$O$12*'Parametri Modello'!$B$24,"OK",IF($F122&lt;='La Mia Rosa'!$O$12*'Parametri Modello'!$B$25,"Attenzione","Rischio Alto")))</f>
        <v>OK</v>
      </c>
      <c r="V122" s="26" t="n">
        <f aca="false">IFERROR(COUNTIFS($B$2:$B$492,$B122,$O$2:$O$492,"&gt;"&amp;$O122)+1,"")</f>
        <v>45</v>
      </c>
      <c r="W122" s="21" t="n">
        <f aca="false">'Info Lega'!$B$4-SUMIFS($M$2:$M$492,$D$2:$D$492,'Info Lega'!$B$28)</f>
        <v>1000</v>
      </c>
      <c r="X122" s="21" t="n">
        <f aca="false">('Info Lega'!$B$5-COUNTIFS($D$2:$D$492,'Info Lega'!$B$28,$B$2:$B$492,"P"))+('Info Lega'!$B$6-COUNTIFS($D$2:$D$492,'Info Lega'!$B$28,$B$2:$B$492,"D"))+('Info Lega'!$B$7-COUNTIFS($D$2:$D$492,'Info Lega'!$B$28,$B$2:$B$492,"C"))+('Info Lega'!$B$8-COUNTIFS($D$2:$D$492,'Info Lega'!$B$28,$B$2:$B$492,"A"))</f>
        <v>25</v>
      </c>
      <c r="Y122" s="21" t="n">
        <f aca="false">X122*'Parametri Modello'!$B$30</f>
        <v>25</v>
      </c>
      <c r="Z122" s="21" t="n">
        <f aca="false">MAX(0,W122-Y122)</f>
        <v>975</v>
      </c>
      <c r="AA122" s="21" t="n">
        <f aca="false">MIN(F122,Z122)</f>
        <v>14</v>
      </c>
      <c r="AB122" s="21"/>
      <c r="AC122" s="21" t="str">
        <f aca="false">IF(AB122="","",IF(AB122&gt;AA122,"PASS",IF(AB122&lt;=AA122*0.85,"BID","ATTENZIONE")))</f>
        <v/>
      </c>
      <c r="AD122" s="31" t="n">
        <f aca="false">IF(I122="","",ROUND(100*(1-EXP(-I122/30)),0))</f>
        <v>61</v>
      </c>
      <c r="AE122" s="7" t="str">
        <f aca="false">IFERROR(INDEX('Stato Asta'!$G$9:$G$12,MATCH($B122,'Stato Asta'!$A$9:$A$12,0)),"")</f>
        <v>🟡 Attesa rischiosa</v>
      </c>
    </row>
    <row r="123" customFormat="false" ht="14.25" hidden="false" customHeight="true" outlineLevel="0" collapsed="false">
      <c r="A123" s="21" t="n">
        <v>2134</v>
      </c>
      <c r="B123" s="21" t="s">
        <v>43</v>
      </c>
      <c r="C123" s="21" t="s">
        <v>138</v>
      </c>
      <c r="E123" s="26" t="str">
        <f aca="false">IF(COUNTIF('Info Strategia'!$D$2:$D$51,$C123)&gt;0,"SI","NO")</f>
        <v>NO</v>
      </c>
      <c r="F123" s="27" t="n">
        <f aca="false">IFERROR(ROUND(($G123+($H123-$G123)*'Info Strategia'!$B$6)*(1+IF($E123="SI",'Parametri Modello'!$B$7*'Info Strategia'!$B$6,0)),0),"")</f>
        <v>29</v>
      </c>
      <c r="G123" s="27" t="n">
        <f aca="false">IFERROR(ROUND((IF(OR(INDEX('Parametri Modello'!$C$39:$C$42,MATCH($B123,'Parametri Modello'!$A$39:$A$42,0))="",INDEX('Parametri Modello'!$C$39:$C$42,MATCH($B123,'Parametri Modello'!$A$39:$A$42,0))=0),0,($O123/INDEX('Parametri Modello'!$C$39:$C$42,MATCH($B123,'Parametri Modello'!$A$39:$A$42,0)))*(INDEX('Parametri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23</v>
      </c>
      <c r="H123" s="27" t="n">
        <f aca="false">IFERROR(ROUND((IF(OR(INDEX('Parametri Modello'!$C$39:$C$42,MATCH($B123,'Parametri Modello'!$A$39:$A$42,0))="",INDEX('Parametri Modello'!$C$39:$C$42,MATCH($B123,'Parametri Modello'!$A$39:$A$42,0))=0),0,($O123/INDEX('Parametri Modello'!$C$39:$C$42,MATCH($B123,'Parametri Modello'!$A$39:$A$42,0)))*(INDEX('Parametri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31</v>
      </c>
      <c r="I123" s="26" t="n">
        <f aca="false">IFERROR(INDEX('Input Statistiche 2025_26'!$F$3:$F$665,MATCH($A123,'Input Statistiche 2025_26'!$A$3:$A$665,0)),"")</f>
        <v>38</v>
      </c>
      <c r="J123" s="26" t="n">
        <f aca="false">IFERROR(IF($I123="","",MAX(0,38-$I123)),"")</f>
        <v>0</v>
      </c>
      <c r="K123" s="26" t="n">
        <f aca="false">IFERROR(INDEX('Input Statistiche 2025_26'!$I$3:$I$665,MATCH($A123,'Input Statistiche 2025_26'!$A$3:$A$665,0)),"")</f>
        <v>0</v>
      </c>
      <c r="L123" s="26" t="n">
        <f aca="false">IFERROR(INDEX('Input Statistiche 2025_26'!$O$3:$O$665,MATCH($A123,'Input Statistiche 2025_26'!$A$3:$A$665,0)),"")</f>
        <v>0</v>
      </c>
      <c r="M123" s="28"/>
      <c r="N123" s="27" t="n">
        <f aca="false">IFERROR(INDEX('Input Giocatori 2026_27'!$E$3:$E$493,MATCH($A123,'Input Giocatori 2026_27'!$A$3:$A$493,0)),"")</f>
        <v>8</v>
      </c>
      <c r="O123" s="27" t="n">
        <f aca="false">IFERROR(INDEX('Input Giocatori 2026_27'!$G$3:$G$493,MATCH($A123,'Input Giocatori 2026_27'!$A$3:$A$493,0)),"")</f>
        <v>25</v>
      </c>
      <c r="P123" s="26" t="str">
        <f aca="false">IFERROR(IF($O123="","",IF((1-(COUNTIFS($B$2:$B$492,$B123,$O$2:$O$492,"&gt;"&amp;$O123)+1-1)/COUNTIF($B$2:$B$492,$B123))&gt;=0.85,"Top",IF((1-(COUNTIFS($B$2:$B$492,$B123,$O$2:$O$492,"&gt;"&amp;$O123)+1-1)/COUNTIF($B$2:$B$492,$B123))&gt;=0.6,"Buono",IF((1-(COUNTIFS($B$2:$B$492,$B123,$O$2:$O$492,"&gt;"&amp;$O123)+1-1)/COUNTIF($B$2:$B$492,$B123))&gt;=0.3,"Nella Media","Scommessa/Riserva")))),"")</f>
        <v>Buono</v>
      </c>
      <c r="Q123" s="29" t="n">
        <f aca="false">IF($D123="",COUNTIF($D$2:$D123,""),"")</f>
        <v>122</v>
      </c>
      <c r="R123" s="29" t="str">
        <f aca="false">IF($D123='Info Lega'!$B$28,COUNTIFS($D$2:$D123,'Info Lega'!$B$28),"")</f>
        <v/>
      </c>
      <c r="S123" s="30" t="n">
        <f aca="false">IFERROR(INDEX('Input Statistiche 2025_26'!$G$3:$G$665,MATCH($A123,'Input Statistiche 2025_26'!$A$3:$A$665,0)),"")</f>
        <v>6.41</v>
      </c>
      <c r="T123" s="30" t="n">
        <f aca="false">IFERROR(INDEX('Input Statistiche 2025_26'!$H$3:$H$665,MATCH($A123,'Input Statistiche 2025_26'!$A$3:$A$665,0)),"")</f>
        <v>5.22</v>
      </c>
      <c r="U123" s="26" t="str">
        <f aca="false">IF(OR('La Mia Rosa'!$O$12="",$D123&lt;&gt;""),"",IF($F123&lt;='La Mia Rosa'!$O$12*'Parametri Modello'!$B$24,"OK",IF($F123&lt;='La Mia Rosa'!$O$12*'Parametri Modello'!$B$25,"Attenzione","Rischio Alto")))</f>
        <v>OK</v>
      </c>
      <c r="V123" s="26" t="n">
        <f aca="false">IFERROR(COUNTIFS($B$2:$B$492,$B123,$O$2:$O$492,"&gt;"&amp;$O123)+1,"")</f>
        <v>13</v>
      </c>
      <c r="W123" s="21" t="n">
        <f aca="false">'Info Lega'!$B$4-SUMIFS($M$2:$M$492,$D$2:$D$492,'Info Lega'!$B$28)</f>
        <v>1000</v>
      </c>
      <c r="X123" s="21" t="n">
        <f aca="false">('Info Lega'!$B$5-COUNTIFS($D$2:$D$492,'Info Lega'!$B$28,$B$2:$B$492,"P"))+('Info Lega'!$B$6-COUNTIFS($D$2:$D$492,'Info Lega'!$B$28,$B$2:$B$492,"D"))+('Info Lega'!$B$7-COUNTIFS($D$2:$D$492,'Info Lega'!$B$28,$B$2:$B$492,"C"))+('Info Lega'!$B$8-COUNTIFS($D$2:$D$492,'Info Lega'!$B$28,$B$2:$B$492,"A"))</f>
        <v>25</v>
      </c>
      <c r="Y123" s="21" t="n">
        <f aca="false">X123*'Parametri Modello'!$B$30</f>
        <v>25</v>
      </c>
      <c r="Z123" s="21" t="n">
        <f aca="false">MAX(0,W123-Y123)</f>
        <v>975</v>
      </c>
      <c r="AA123" s="21" t="n">
        <f aca="false">MIN(F123,Z123)</f>
        <v>29</v>
      </c>
      <c r="AB123" s="21"/>
      <c r="AC123" s="21" t="str">
        <f aca="false">IF(AB123="","",IF(AB123&gt;AA123,"PASS",IF(AB123&lt;=AA123*0.85,"BID","ATTENZIONE")))</f>
        <v/>
      </c>
      <c r="AD123" s="31" t="n">
        <f aca="false">IF(I123="","",ROUND(100*(1-EXP(-I123/30)),0))</f>
        <v>72</v>
      </c>
      <c r="AE123" s="7" t="str">
        <f aca="false">IFERROR(INDEX('Stato Asta'!$G$9:$G$12,MATCH($B123,'Stato Asta'!$A$9:$A$12,0)),"")</f>
        <v>🟡 Attesa rischiosa</v>
      </c>
    </row>
    <row r="124" customFormat="false" ht="14.25" hidden="false" customHeight="true" outlineLevel="0" collapsed="false">
      <c r="A124" s="21" t="n">
        <v>6496</v>
      </c>
      <c r="B124" s="21" t="s">
        <v>44</v>
      </c>
      <c r="C124" s="21" t="s">
        <v>222</v>
      </c>
      <c r="E124" s="26" t="str">
        <f aca="false">IF(COUNTIF('Info Strategia'!$D$2:$D$51,$C124)&gt;0,"SI","NO")</f>
        <v>NO</v>
      </c>
      <c r="F124" s="27" t="n">
        <f aca="false">IFERROR(ROUND(($G124+($H124-$G124)*'Info Strategia'!$B$6)*(1+IF($E124="SI",'Parametri Modello'!$B$7*'Info Strategia'!$B$6,0)),0),"")</f>
        <v>12</v>
      </c>
      <c r="G124" s="27" t="n">
        <f aca="false">IFERROR(ROUND((IF(OR(INDEX('Parametri Modello'!$C$39:$C$42,MATCH($B124,'Parametri Modello'!$A$39:$A$42,0))="",INDEX('Parametri Modello'!$C$39:$C$42,MATCH($B124,'Parametri Modello'!$A$39:$A$42,0))=0),0,($O124/INDEX('Parametri Modello'!$C$39:$C$42,MATCH($B124,'Parametri Modello'!$A$39:$A$42,0)))*(INDEX('Parametri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9</v>
      </c>
      <c r="H124" s="27" t="n">
        <f aca="false">IFERROR(ROUND((IF(OR(INDEX('Parametri Modello'!$C$39:$C$42,MATCH($B124,'Parametri Modello'!$A$39:$A$42,0))="",INDEX('Parametri Modello'!$C$39:$C$42,MATCH($B124,'Parametri Modello'!$A$39:$A$42,0))=0),0,($O124/INDEX('Parametri Modello'!$C$39:$C$42,MATCH($B124,'Parametri Modello'!$A$39:$A$42,0)))*(INDEX('Parametri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13</v>
      </c>
      <c r="I124" s="26" t="n">
        <f aca="false">IFERROR(INDEX('Input Statistiche 2025_26'!$F$3:$F$665,MATCH($A124,'Input Statistiche 2025_26'!$A$3:$A$665,0)),"")</f>
        <v>31</v>
      </c>
      <c r="J124" s="26" t="n">
        <f aca="false">IFERROR(IF($I124="","",MAX(0,38-$I124)),"")</f>
        <v>7</v>
      </c>
      <c r="K124" s="26" t="n">
        <f aca="false">IFERROR(INDEX('Input Statistiche 2025_26'!$I$3:$I$665,MATCH($A124,'Input Statistiche 2025_26'!$A$3:$A$665,0)),"")</f>
        <v>2</v>
      </c>
      <c r="L124" s="26" t="n">
        <f aca="false">IFERROR(INDEX('Input Statistiche 2025_26'!$O$3:$O$665,MATCH($A124,'Input Statistiche 2025_26'!$A$3:$A$665,0)),"")</f>
        <v>0</v>
      </c>
      <c r="M124" s="28"/>
      <c r="N124" s="27" t="n">
        <f aca="false">IFERROR(INDEX('Input Giocatori 2026_27'!$E$3:$E$493,MATCH($A124,'Input Giocatori 2026_27'!$A$3:$A$493,0)),"")</f>
        <v>8</v>
      </c>
      <c r="O124" s="27" t="n">
        <f aca="false">IFERROR(INDEX('Input Giocatori 2026_27'!$G$3:$G$493,MATCH($A124,'Input Giocatori 2026_27'!$A$3:$A$493,0)),"")</f>
        <v>25</v>
      </c>
      <c r="P124" s="26" t="str">
        <f aca="false">IFERROR(IF($O124="","",IF((1-(COUNTIFS($B$2:$B$492,$B124,$O$2:$O$492,"&gt;"&amp;$O124)+1-1)/COUNTIF($B$2:$B$492,$B124))&gt;=0.85,"Top",IF((1-(COUNTIFS($B$2:$B$492,$B124,$O$2:$O$492,"&gt;"&amp;$O124)+1-1)/COUNTIF($B$2:$B$492,$B124))&gt;=0.6,"Buono",IF((1-(COUNTIFS($B$2:$B$492,$B124,$O$2:$O$492,"&gt;"&amp;$O124)+1-1)/COUNTIF($B$2:$B$492,$B124))&gt;=0.3,"Nella Media","Scommessa/Riserva")))),"")</f>
        <v>Top</v>
      </c>
      <c r="Q124" s="29" t="n">
        <f aca="false">IF($D124="",COUNTIF($D$2:$D124,""),"")</f>
        <v>123</v>
      </c>
      <c r="R124" s="29" t="str">
        <f aca="false">IF($D124='Info Lega'!$B$28,COUNTIFS($D$2:$D124,'Info Lega'!$B$28),"")</f>
        <v/>
      </c>
      <c r="S124" s="30" t="n">
        <f aca="false">IFERROR(INDEX('Input Statistiche 2025_26'!$G$3:$G$665,MATCH($A124,'Input Statistiche 2025_26'!$A$3:$A$665,0)),"")</f>
        <v>5.97</v>
      </c>
      <c r="T124" s="30" t="n">
        <f aca="false">IFERROR(INDEX('Input Statistiche 2025_26'!$H$3:$H$665,MATCH($A124,'Input Statistiche 2025_26'!$A$3:$A$665,0)),"")</f>
        <v>6.05</v>
      </c>
      <c r="U124" s="26" t="str">
        <f aca="false">IF(OR('La Mia Rosa'!$O$12="",$D124&lt;&gt;""),"",IF($F124&lt;='La Mia Rosa'!$O$12*'Parametri Modello'!$B$24,"OK",IF($F124&lt;='La Mia Rosa'!$O$12*'Parametri Modello'!$B$25,"Attenzione","Rischio Alto")))</f>
        <v>OK</v>
      </c>
      <c r="V124" s="26" t="n">
        <f aca="false">IFERROR(COUNTIFS($B$2:$B$492,$B124,$O$2:$O$492,"&gt;"&amp;$O124)+1,"")</f>
        <v>25</v>
      </c>
      <c r="W124" s="21" t="n">
        <f aca="false">'Info Lega'!$B$4-SUMIFS($M$2:$M$492,$D$2:$D$492,'Info Lega'!$B$28)</f>
        <v>1000</v>
      </c>
      <c r="X124" s="21" t="n">
        <f aca="false">('Info Lega'!$B$5-COUNTIFS($D$2:$D$492,'Info Lega'!$B$28,$B$2:$B$492,"P"))+('Info Lega'!$B$6-COUNTIFS($D$2:$D$492,'Info Lega'!$B$28,$B$2:$B$492,"D"))+('Info Lega'!$B$7-COUNTIFS($D$2:$D$492,'Info Lega'!$B$28,$B$2:$B$492,"C"))+('Info Lega'!$B$8-COUNTIFS($D$2:$D$492,'Info Lega'!$B$28,$B$2:$B$492,"A"))</f>
        <v>25</v>
      </c>
      <c r="Y124" s="21" t="n">
        <f aca="false">X124*'Parametri Modello'!$B$30</f>
        <v>25</v>
      </c>
      <c r="Z124" s="21" t="n">
        <f aca="false">MAX(0,W124-Y124)</f>
        <v>975</v>
      </c>
      <c r="AA124" s="21" t="n">
        <f aca="false">MIN(F124,Z124)</f>
        <v>12</v>
      </c>
      <c r="AB124" s="21"/>
      <c r="AC124" s="21" t="str">
        <f aca="false">IF(AB124="","",IF(AB124&gt;AA124,"PASS",IF(AB124&lt;=AA124*0.85,"BID","ATTENZIONE")))</f>
        <v/>
      </c>
      <c r="AD124" s="31" t="n">
        <f aca="false">IF(I124="","",ROUND(100*(1-EXP(-I124/30)),0))</f>
        <v>64</v>
      </c>
      <c r="AE124" s="7" t="str">
        <f aca="false">IFERROR(INDEX('Stato Asta'!$G$9:$G$12,MATCH($B124,'Stato Asta'!$A$9:$A$12,0)),"")</f>
        <v>🟡 Attesa rischiosa</v>
      </c>
    </row>
    <row r="125" customFormat="false" ht="14.25" hidden="false" customHeight="true" outlineLevel="0" collapsed="false">
      <c r="A125" s="21" t="n">
        <v>6398</v>
      </c>
      <c r="B125" s="21" t="s">
        <v>45</v>
      </c>
      <c r="C125" s="21" t="s">
        <v>405</v>
      </c>
      <c r="E125" s="26" t="str">
        <f aca="false">IF(COUNTIF('Info Strategia'!$D$2:$D$51,$C125)&gt;0,"SI","NO")</f>
        <v>NO</v>
      </c>
      <c r="F125" s="27" t="n">
        <f aca="false">IFERROR(ROUND(($G125+($H125-$G125)*'Info Strategia'!$B$6)*(1+IF($E125="SI",'Parametri Modello'!$B$7*'Info Strategia'!$B$6,0)),0),"")</f>
        <v>14</v>
      </c>
      <c r="G125" s="27" t="n">
        <f aca="false">IFERROR(ROUND((IF(OR(INDEX('Parametri Modello'!$C$39:$C$42,MATCH($B125,'Parametri Modello'!$A$39:$A$42,0))="",INDEX('Parametri Modello'!$C$39:$C$42,MATCH($B125,'Parametri Modello'!$A$39:$A$42,0))=0),0,($O125/INDEX('Parametri Modello'!$C$39:$C$42,MATCH($B125,'Parametri Modello'!$A$39:$A$42,0)))*(INDEX('Parametri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9</v>
      </c>
      <c r="H125" s="27" t="n">
        <f aca="false">IFERROR(ROUND((IF(OR(INDEX('Parametri Modello'!$C$39:$C$42,MATCH($B125,'Parametri Modello'!$A$39:$A$42,0))="",INDEX('Parametri Modello'!$C$39:$C$42,MATCH($B125,'Parametri Modello'!$A$39:$A$42,0))=0),0,($O125/INDEX('Parametri Modello'!$C$39:$C$42,MATCH($B125,'Parametri Modello'!$A$39:$A$42,0)))*(INDEX('Parametri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16</v>
      </c>
      <c r="I125" s="26" t="n">
        <f aca="false">IFERROR(INDEX('Input Statistiche 2025_26'!$F$3:$F$665,MATCH($A125,'Input Statistiche 2025_26'!$A$3:$A$665,0)),"")</f>
        <v>27</v>
      </c>
      <c r="J125" s="26" t="n">
        <f aca="false">IFERROR(IF($I125="","",MAX(0,38-$I125)),"")</f>
        <v>11</v>
      </c>
      <c r="K125" s="26" t="n">
        <f aca="false">IFERROR(INDEX('Input Statistiche 2025_26'!$I$3:$I$665,MATCH($A125,'Input Statistiche 2025_26'!$A$3:$A$665,0)),"")</f>
        <v>5</v>
      </c>
      <c r="L125" s="26" t="n">
        <f aca="false">IFERROR(INDEX('Input Statistiche 2025_26'!$O$3:$O$665,MATCH($A125,'Input Statistiche 2025_26'!$A$3:$A$665,0)),"")</f>
        <v>1</v>
      </c>
      <c r="M125" s="28"/>
      <c r="N125" s="27" t="n">
        <f aca="false">IFERROR(INDEX('Input Giocatori 2026_27'!$E$3:$E$493,MATCH($A125,'Input Giocatori 2026_27'!$A$3:$A$493,0)),"")</f>
        <v>9</v>
      </c>
      <c r="O125" s="27" t="n">
        <f aca="false">IFERROR(INDEX('Input Giocatori 2026_27'!$G$3:$G$493,MATCH($A125,'Input Giocatori 2026_27'!$A$3:$A$493,0)),"")</f>
        <v>25</v>
      </c>
      <c r="P125" s="26" t="str">
        <f aca="false">IFERROR(IF($O125="","",IF((1-(COUNTIFS($B$2:$B$492,$B125,$O$2:$O$492,"&gt;"&amp;$O125)+1-1)/COUNTIF($B$2:$B$492,$B125))&gt;=0.85,"Top",IF((1-(COUNTIFS($B$2:$B$492,$B125,$O$2:$O$492,"&gt;"&amp;$O125)+1-1)/COUNTIF($B$2:$B$492,$B125))&gt;=0.6,"Buono",IF((1-(COUNTIFS($B$2:$B$492,$B125,$O$2:$O$492,"&gt;"&amp;$O125)+1-1)/COUNTIF($B$2:$B$492,$B125))&gt;=0.3,"Nella Media","Scommessa/Riserva")))),"")</f>
        <v>Buono</v>
      </c>
      <c r="Q125" s="29" t="n">
        <f aca="false">IF($D125="",COUNTIF($D$2:$D125,""),"")</f>
        <v>124</v>
      </c>
      <c r="R125" s="29" t="str">
        <f aca="false">IF($D125='Info Lega'!$B$28,COUNTIFS($D$2:$D125,'Info Lega'!$B$28),"")</f>
        <v/>
      </c>
      <c r="S125" s="30" t="n">
        <f aca="false">IFERROR(INDEX('Input Statistiche 2025_26'!$G$3:$G$665,MATCH($A125,'Input Statistiche 2025_26'!$A$3:$A$665,0)),"")</f>
        <v>6.04</v>
      </c>
      <c r="T125" s="30" t="n">
        <f aca="false">IFERROR(INDEX('Input Statistiche 2025_26'!$H$3:$H$665,MATCH($A125,'Input Statistiche 2025_26'!$A$3:$A$665,0)),"")</f>
        <v>6.63</v>
      </c>
      <c r="U125" s="26" t="str">
        <f aca="false">IF(OR('La Mia Rosa'!$O$12="",$D125&lt;&gt;""),"",IF($F125&lt;='La Mia Rosa'!$O$12*'Parametri Modello'!$B$24,"OK",IF($F125&lt;='La Mia Rosa'!$O$12*'Parametri Modello'!$B$25,"Attenzione","Rischio Alto")))</f>
        <v>OK</v>
      </c>
      <c r="V125" s="26" t="n">
        <f aca="false">IFERROR(COUNTIFS($B$2:$B$492,$B125,$O$2:$O$492,"&gt;"&amp;$O125)+1,"")</f>
        <v>46</v>
      </c>
      <c r="W125" s="21" t="n">
        <f aca="false">'Info Lega'!$B$4-SUMIFS($M$2:$M$492,$D$2:$D$492,'Info Lega'!$B$28)</f>
        <v>1000</v>
      </c>
      <c r="X125" s="21" t="n">
        <f aca="false">('Info Lega'!$B$5-COUNTIFS($D$2:$D$492,'Info Lega'!$B$28,$B$2:$B$492,"P"))+('Info Lega'!$B$6-COUNTIFS($D$2:$D$492,'Info Lega'!$B$28,$B$2:$B$492,"D"))+('Info Lega'!$B$7-COUNTIFS($D$2:$D$492,'Info Lega'!$B$28,$B$2:$B$492,"C"))+('Info Lega'!$B$8-COUNTIFS($D$2:$D$492,'Info Lega'!$B$28,$B$2:$B$492,"A"))</f>
        <v>25</v>
      </c>
      <c r="Y125" s="21" t="n">
        <f aca="false">X125*'Parametri Modello'!$B$30</f>
        <v>25</v>
      </c>
      <c r="Z125" s="21" t="n">
        <f aca="false">MAX(0,W125-Y125)</f>
        <v>975</v>
      </c>
      <c r="AA125" s="21" t="n">
        <f aca="false">MIN(F125,Z125)</f>
        <v>14</v>
      </c>
      <c r="AB125" s="21"/>
      <c r="AC125" s="21" t="str">
        <f aca="false">IF(AB125="","",IF(AB125&gt;AA125,"PASS",IF(AB125&lt;=AA125*0.85,"BID","ATTENZIONE")))</f>
        <v/>
      </c>
      <c r="AD125" s="31" t="n">
        <f aca="false">IF(I125="","",ROUND(100*(1-EXP(-I125/30)),0))</f>
        <v>59</v>
      </c>
      <c r="AE125" s="7" t="str">
        <f aca="false">IFERROR(INDEX('Stato Asta'!$G$9:$G$12,MATCH($B125,'Stato Asta'!$A$9:$A$12,0)),"")</f>
        <v>🟡 Attesa rischiosa</v>
      </c>
    </row>
    <row r="126" customFormat="false" ht="14.25" hidden="false" customHeight="true" outlineLevel="0" collapsed="false">
      <c r="A126" s="21" t="n">
        <v>4436</v>
      </c>
      <c r="B126" s="21" t="s">
        <v>45</v>
      </c>
      <c r="C126" s="21" t="s">
        <v>408</v>
      </c>
      <c r="E126" s="26" t="str">
        <f aca="false">IF(COUNTIF('Info Strategia'!$D$2:$D$51,$C126)&gt;0,"SI","NO")</f>
        <v>NO</v>
      </c>
      <c r="F126" s="27" t="n">
        <f aca="false">IFERROR(ROUND(($G126+($H126-$G126)*'Info Strategia'!$B$6)*(1+IF($E126="SI",'Parametri Modello'!$B$7*'Info Strategia'!$B$6,0)),0),"")</f>
        <v>14</v>
      </c>
      <c r="G126" s="27" t="n">
        <f aca="false">IFERROR(ROUND((IF(OR(INDEX('Parametri Modello'!$C$39:$C$42,MATCH($B126,'Parametri Modello'!$A$39:$A$42,0))="",INDEX('Parametri Modello'!$C$39:$C$42,MATCH($B126,'Parametri Modello'!$A$39:$A$42,0))=0),0,($O126/INDEX('Parametri Modello'!$C$39:$C$42,MATCH($B126,'Parametri Modello'!$A$39:$A$42,0)))*(INDEX('Parametri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9</v>
      </c>
      <c r="H126" s="27" t="n">
        <f aca="false">IFERROR(ROUND((IF(OR(INDEX('Parametri Modello'!$C$39:$C$42,MATCH($B126,'Parametri Modello'!$A$39:$A$42,0))="",INDEX('Parametri Modello'!$C$39:$C$42,MATCH($B126,'Parametri Modello'!$A$39:$A$42,0))=0),0,($O126/INDEX('Parametri Modello'!$C$39:$C$42,MATCH($B126,'Parametri Modello'!$A$39:$A$42,0)))*(INDEX('Parametri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16</v>
      </c>
      <c r="I126" s="26" t="n">
        <f aca="false">IFERROR(INDEX('Input Statistiche 2025_26'!$F$3:$F$665,MATCH($A126,'Input Statistiche 2025_26'!$A$3:$A$665,0)),"")</f>
        <v>24</v>
      </c>
      <c r="J126" s="26" t="n">
        <f aca="false">IFERROR(IF($I126="","",MAX(0,38-$I126)),"")</f>
        <v>14</v>
      </c>
      <c r="K126" s="26" t="n">
        <f aca="false">IFERROR(INDEX('Input Statistiche 2025_26'!$I$3:$I$665,MATCH($A126,'Input Statistiche 2025_26'!$A$3:$A$665,0)),"")</f>
        <v>3</v>
      </c>
      <c r="L126" s="26" t="n">
        <f aca="false">IFERROR(INDEX('Input Statistiche 2025_26'!$O$3:$O$665,MATCH($A126,'Input Statistiche 2025_26'!$A$3:$A$665,0)),"")</f>
        <v>4</v>
      </c>
      <c r="M126" s="28"/>
      <c r="N126" s="27" t="n">
        <f aca="false">IFERROR(INDEX('Input Giocatori 2026_27'!$E$3:$E$493,MATCH($A126,'Input Giocatori 2026_27'!$A$3:$A$493,0)),"")</f>
        <v>8</v>
      </c>
      <c r="O126" s="27" t="n">
        <f aca="false">IFERROR(INDEX('Input Giocatori 2026_27'!$G$3:$G$493,MATCH($A126,'Input Giocatori 2026_27'!$A$3:$A$493,0)),"")</f>
        <v>25</v>
      </c>
      <c r="P126" s="26" t="str">
        <f aca="false">IFERROR(IF($O126="","",IF((1-(COUNTIFS($B$2:$B$492,$B126,$O$2:$O$492,"&gt;"&amp;$O126)+1-1)/COUNTIF($B$2:$B$492,$B126))&gt;=0.85,"Top",IF((1-(COUNTIFS($B$2:$B$492,$B126,$O$2:$O$492,"&gt;"&amp;$O126)+1-1)/COUNTIF($B$2:$B$492,$B126))&gt;=0.6,"Buono",IF((1-(COUNTIFS($B$2:$B$492,$B126,$O$2:$O$492,"&gt;"&amp;$O126)+1-1)/COUNTIF($B$2:$B$492,$B126))&gt;=0.3,"Nella Media","Scommessa/Riserva")))),"")</f>
        <v>Buono</v>
      </c>
      <c r="Q126" s="29" t="n">
        <f aca="false">IF($D126="",COUNTIF($D$2:$D126,""),"")</f>
        <v>125</v>
      </c>
      <c r="R126" s="29" t="str">
        <f aca="false">IF($D126='Info Lega'!$B$28,COUNTIFS($D$2:$D126,'Info Lega'!$B$28),"")</f>
        <v/>
      </c>
      <c r="S126" s="30" t="n">
        <f aca="false">IFERROR(INDEX('Input Statistiche 2025_26'!$G$3:$G$665,MATCH($A126,'Input Statistiche 2025_26'!$A$3:$A$665,0)),"")</f>
        <v>5.98</v>
      </c>
      <c r="T126" s="30" t="n">
        <f aca="false">IFERROR(INDEX('Input Statistiche 2025_26'!$H$3:$H$665,MATCH($A126,'Input Statistiche 2025_26'!$A$3:$A$665,0)),"")</f>
        <v>6.42</v>
      </c>
      <c r="U126" s="26" t="str">
        <f aca="false">IF(OR('La Mia Rosa'!$O$12="",$D126&lt;&gt;""),"",IF($F126&lt;='La Mia Rosa'!$O$12*'Parametri Modello'!$B$24,"OK",IF($F126&lt;='La Mia Rosa'!$O$12*'Parametri Modello'!$B$25,"Attenzione","Rischio Alto")))</f>
        <v>OK</v>
      </c>
      <c r="V126" s="26" t="n">
        <f aca="false">IFERROR(COUNTIFS($B$2:$B$492,$B126,$O$2:$O$492,"&gt;"&amp;$O126)+1,"")</f>
        <v>46</v>
      </c>
      <c r="W126" s="21" t="n">
        <f aca="false">'Info Lega'!$B$4-SUMIFS($M$2:$M$492,$D$2:$D$492,'Info Lega'!$B$28)</f>
        <v>1000</v>
      </c>
      <c r="X126" s="21" t="n">
        <f aca="false">('Info Lega'!$B$5-COUNTIFS($D$2:$D$492,'Info Lega'!$B$28,$B$2:$B$492,"P"))+('Info Lega'!$B$6-COUNTIFS($D$2:$D$492,'Info Lega'!$B$28,$B$2:$B$492,"D"))+('Info Lega'!$B$7-COUNTIFS($D$2:$D$492,'Info Lega'!$B$28,$B$2:$B$492,"C"))+('Info Lega'!$B$8-COUNTIFS($D$2:$D$492,'Info Lega'!$B$28,$B$2:$B$492,"A"))</f>
        <v>25</v>
      </c>
      <c r="Y126" s="21" t="n">
        <f aca="false">X126*'Parametri Modello'!$B$30</f>
        <v>25</v>
      </c>
      <c r="Z126" s="21" t="n">
        <f aca="false">MAX(0,W126-Y126)</f>
        <v>975</v>
      </c>
      <c r="AA126" s="21" t="n">
        <f aca="false">MIN(F126,Z126)</f>
        <v>14</v>
      </c>
      <c r="AB126" s="21"/>
      <c r="AC126" s="21" t="str">
        <f aca="false">IF(AB126="","",IF(AB126&gt;AA126,"PASS",IF(AB126&lt;=AA126*0.85,"BID","ATTENZIONE")))</f>
        <v/>
      </c>
      <c r="AD126" s="31" t="n">
        <f aca="false">IF(I126="","",ROUND(100*(1-EXP(-I126/30)),0))</f>
        <v>55</v>
      </c>
      <c r="AE126" s="7" t="str">
        <f aca="false">IFERROR(INDEX('Stato Asta'!$G$9:$G$12,MATCH($B126,'Stato Asta'!$A$9:$A$12,0)),"")</f>
        <v>🟡 Attesa rischiosa</v>
      </c>
    </row>
    <row r="127" customFormat="false" ht="14.25" hidden="false" customHeight="true" outlineLevel="0" collapsed="false">
      <c r="A127" s="21" t="n">
        <v>6294</v>
      </c>
      <c r="B127" s="21" t="s">
        <v>45</v>
      </c>
      <c r="C127" s="21" t="s">
        <v>410</v>
      </c>
      <c r="E127" s="26" t="str">
        <f aca="false">IF(COUNTIF('Info Strategia'!$D$2:$D$51,$C127)&gt;0,"SI","NO")</f>
        <v>NO</v>
      </c>
      <c r="F127" s="27" t="n">
        <f aca="false">IFERROR(ROUND(($G127+($H127-$G127)*'Info Strategia'!$B$6)*(1+IF($E127="SI",'Parametri Modello'!$B$7*'Info Strategia'!$B$6,0)),0),"")</f>
        <v>13</v>
      </c>
      <c r="G127" s="27" t="n">
        <f aca="false">IFERROR(ROUND((IF(OR(INDEX('Parametri Modello'!$C$39:$C$42,MATCH($B127,'Parametri Modello'!$A$39:$A$42,0))="",INDEX('Parametri Modello'!$C$39:$C$42,MATCH($B127,'Parametri Modello'!$A$39:$A$42,0))=0),0,($O127/INDEX('Parametri Modello'!$C$39:$C$42,MATCH($B127,'Parametri Modello'!$A$39:$A$42,0)))*(INDEX('Parametri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9</v>
      </c>
      <c r="H127" s="27" t="n">
        <f aca="false">IFERROR(ROUND((IF(OR(INDEX('Parametri Modello'!$C$39:$C$42,MATCH($B127,'Parametri Modello'!$A$39:$A$42,0))="",INDEX('Parametri Modello'!$C$39:$C$42,MATCH($B127,'Parametri Modello'!$A$39:$A$42,0))=0),0,($O127/INDEX('Parametri Modello'!$C$39:$C$42,MATCH($B127,'Parametri Modello'!$A$39:$A$42,0)))*(INDEX('Parametri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15</v>
      </c>
      <c r="I127" s="26" t="n">
        <f aca="false">IFERROR(INDEX('Input Statistiche 2025_26'!$F$3:$F$665,MATCH($A127,'Input Statistiche 2025_26'!$A$3:$A$665,0)),"")</f>
        <v>30</v>
      </c>
      <c r="J127" s="26" t="n">
        <f aca="false">IFERROR(IF($I127="","",MAX(0,38-$I127)),"")</f>
        <v>8</v>
      </c>
      <c r="K127" s="26" t="n">
        <f aca="false">IFERROR(INDEX('Input Statistiche 2025_26'!$I$3:$I$665,MATCH($A127,'Input Statistiche 2025_26'!$A$3:$A$665,0)),"")</f>
        <v>3</v>
      </c>
      <c r="L127" s="26" t="n">
        <f aca="false">IFERROR(INDEX('Input Statistiche 2025_26'!$O$3:$O$665,MATCH($A127,'Input Statistiche 2025_26'!$A$3:$A$665,0)),"")</f>
        <v>0</v>
      </c>
      <c r="M127" s="28"/>
      <c r="N127" s="27" t="n">
        <f aca="false">IFERROR(INDEX('Input Giocatori 2026_27'!$E$3:$E$493,MATCH($A127,'Input Giocatori 2026_27'!$A$3:$A$493,0)),"")</f>
        <v>8</v>
      </c>
      <c r="O127" s="27" t="n">
        <f aca="false">IFERROR(INDEX('Input Giocatori 2026_27'!$G$3:$G$493,MATCH($A127,'Input Giocatori 2026_27'!$A$3:$A$493,0)),"")</f>
        <v>25</v>
      </c>
      <c r="P127" s="26" t="str">
        <f aca="false">IFERROR(IF($O127="","",IF((1-(COUNTIFS($B$2:$B$492,$B127,$O$2:$O$492,"&gt;"&amp;$O127)+1-1)/COUNTIF($B$2:$B$492,$B127))&gt;=0.85,"Top",IF((1-(COUNTIFS($B$2:$B$492,$B127,$O$2:$O$492,"&gt;"&amp;$O127)+1-1)/COUNTIF($B$2:$B$492,$B127))&gt;=0.6,"Buono",IF((1-(COUNTIFS($B$2:$B$492,$B127,$O$2:$O$492,"&gt;"&amp;$O127)+1-1)/COUNTIF($B$2:$B$492,$B127))&gt;=0.3,"Nella Media","Scommessa/Riserva")))),"")</f>
        <v>Buono</v>
      </c>
      <c r="Q127" s="29" t="n">
        <f aca="false">IF($D127="",COUNTIF($D$2:$D127,""),"")</f>
        <v>126</v>
      </c>
      <c r="R127" s="29" t="str">
        <f aca="false">IF($D127='Info Lega'!$B$28,COUNTIFS($D$2:$D127,'Info Lega'!$B$28),"")</f>
        <v/>
      </c>
      <c r="S127" s="30" t="n">
        <f aca="false">IFERROR(INDEX('Input Statistiche 2025_26'!$G$3:$G$665,MATCH($A127,'Input Statistiche 2025_26'!$A$3:$A$665,0)),"")</f>
        <v>5.8</v>
      </c>
      <c r="T127" s="30" t="n">
        <f aca="false">IFERROR(INDEX('Input Statistiche 2025_26'!$H$3:$H$665,MATCH($A127,'Input Statistiche 2025_26'!$A$3:$A$665,0)),"")</f>
        <v>6.07</v>
      </c>
      <c r="U127" s="26" t="str">
        <f aca="false">IF(OR('La Mia Rosa'!$O$12="",$D127&lt;&gt;""),"",IF($F127&lt;='La Mia Rosa'!$O$12*'Parametri Modello'!$B$24,"OK",IF($F127&lt;='La Mia Rosa'!$O$12*'Parametri Modello'!$B$25,"Attenzione","Rischio Alto")))</f>
        <v>OK</v>
      </c>
      <c r="V127" s="26" t="n">
        <f aca="false">IFERROR(COUNTIFS($B$2:$B$492,$B127,$O$2:$O$492,"&gt;"&amp;$O127)+1,"")</f>
        <v>46</v>
      </c>
      <c r="W127" s="21" t="n">
        <f aca="false">'Info Lega'!$B$4-SUMIFS($M$2:$M$492,$D$2:$D$492,'Info Lega'!$B$28)</f>
        <v>1000</v>
      </c>
      <c r="X127" s="21" t="n">
        <f aca="false">('Info Lega'!$B$5-COUNTIFS($D$2:$D$492,'Info Lega'!$B$28,$B$2:$B$492,"P"))+('Info Lega'!$B$6-COUNTIFS($D$2:$D$492,'Info Lega'!$B$28,$B$2:$B$492,"D"))+('Info Lega'!$B$7-COUNTIFS($D$2:$D$492,'Info Lega'!$B$28,$B$2:$B$492,"C"))+('Info Lega'!$B$8-COUNTIFS($D$2:$D$492,'Info Lega'!$B$28,$B$2:$B$492,"A"))</f>
        <v>25</v>
      </c>
      <c r="Y127" s="21" t="n">
        <f aca="false">X127*'Parametri Modello'!$B$30</f>
        <v>25</v>
      </c>
      <c r="Z127" s="21" t="n">
        <f aca="false">MAX(0,W127-Y127)</f>
        <v>975</v>
      </c>
      <c r="AA127" s="21" t="n">
        <f aca="false">MIN(F127,Z127)</f>
        <v>13</v>
      </c>
      <c r="AB127" s="21"/>
      <c r="AC127" s="21" t="str">
        <f aca="false">IF(AB127="","",IF(AB127&gt;AA127,"PASS",IF(AB127&lt;=AA127*0.85,"BID","ATTENZIONE")))</f>
        <v/>
      </c>
      <c r="AD127" s="31" t="n">
        <f aca="false">IF(I127="","",ROUND(100*(1-EXP(-I127/30)),0))</f>
        <v>63</v>
      </c>
      <c r="AE127" s="7" t="str">
        <f aca="false">IFERROR(INDEX('Stato Asta'!$G$9:$G$12,MATCH($B127,'Stato Asta'!$A$9:$A$12,0)),"")</f>
        <v>🟡 Attesa rischiosa</v>
      </c>
    </row>
    <row r="128" customFormat="false" ht="14.25" hidden="false" customHeight="true" outlineLevel="0" collapsed="false">
      <c r="A128" s="21" t="n">
        <v>5878</v>
      </c>
      <c r="B128" s="21" t="s">
        <v>45</v>
      </c>
      <c r="C128" s="21" t="s">
        <v>414</v>
      </c>
      <c r="E128" s="26" t="str">
        <f aca="false">IF(COUNTIF('Info Strategia'!$D$2:$D$51,$C128)&gt;0,"SI","NO")</f>
        <v>NO</v>
      </c>
      <c r="F128" s="27" t="n">
        <f aca="false">IFERROR(ROUND(($G128+($H128-$G128)*'Info Strategia'!$B$6)*(1+IF($E128="SI",'Parametri Modello'!$B$7*'Info Strategia'!$B$6,0)),0),"")</f>
        <v>14</v>
      </c>
      <c r="G128" s="27" t="n">
        <f aca="false">IFERROR(ROUND((IF(OR(INDEX('Parametri Modello'!$C$39:$C$42,MATCH($B128,'Parametri Modello'!$A$39:$A$42,0))="",INDEX('Parametri Modello'!$C$39:$C$42,MATCH($B128,'Parametri Modello'!$A$39:$A$42,0))=0),0,($O128/INDEX('Parametri Modello'!$C$39:$C$42,MATCH($B128,'Parametri Modello'!$A$39:$A$42,0)))*(INDEX('Parametri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9</v>
      </c>
      <c r="H128" s="27" t="n">
        <f aca="false">IFERROR(ROUND((IF(OR(INDEX('Parametri Modello'!$C$39:$C$42,MATCH($B128,'Parametri Modello'!$A$39:$A$42,0))="",INDEX('Parametri Modello'!$C$39:$C$42,MATCH($B128,'Parametri Modello'!$A$39:$A$42,0))=0),0,($O128/INDEX('Parametri Modello'!$C$39:$C$42,MATCH($B128,'Parametri Modello'!$A$39:$A$42,0)))*(INDEX('Parametri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16</v>
      </c>
      <c r="I128" s="26" t="str">
        <f aca="false">IFERROR(INDEX('Input Statistiche 2025_26'!$F$3:$F$665,MATCH($A128,'Input Statistiche 2025_26'!$A$3:$A$665,0)),"")</f>
        <v/>
      </c>
      <c r="J128" s="26" t="str">
        <f aca="false">IFERROR(IF($I128="","",MAX(0,38-$I128)),"")</f>
        <v/>
      </c>
      <c r="K128" s="26" t="str">
        <f aca="false">IFERROR(INDEX('Input Statistiche 2025_26'!$I$3:$I$665,MATCH($A128,'Input Statistiche 2025_26'!$A$3:$A$665,0)),"")</f>
        <v/>
      </c>
      <c r="L128" s="26" t="str">
        <f aca="false">IFERROR(INDEX('Input Statistiche 2025_26'!$O$3:$O$665,MATCH($A128,'Input Statistiche 2025_26'!$A$3:$A$665,0)),"")</f>
        <v/>
      </c>
      <c r="M128" s="28"/>
      <c r="N128" s="27" t="n">
        <f aca="false">IFERROR(INDEX('Input Giocatori 2026_27'!$E$3:$E$493,MATCH($A128,'Input Giocatori 2026_27'!$A$3:$A$493,0)),"")</f>
        <v>8</v>
      </c>
      <c r="O128" s="27" t="n">
        <f aca="false">IFERROR(INDEX('Input Giocatori 2026_27'!$G$3:$G$493,MATCH($A128,'Input Giocatori 2026_27'!$A$3:$A$493,0)),"")</f>
        <v>25</v>
      </c>
      <c r="P128" s="26" t="str">
        <f aca="false">IFERROR(IF($O128="","",IF((1-(COUNTIFS($B$2:$B$492,$B128,$O$2:$O$492,"&gt;"&amp;$O128)+1-1)/COUNTIF($B$2:$B$492,$B128))&gt;=0.85,"Top",IF((1-(COUNTIFS($B$2:$B$492,$B128,$O$2:$O$492,"&gt;"&amp;$O128)+1-1)/COUNTIF($B$2:$B$492,$B128))&gt;=0.6,"Buono",IF((1-(COUNTIFS($B$2:$B$492,$B128,$O$2:$O$492,"&gt;"&amp;$O128)+1-1)/COUNTIF($B$2:$B$492,$B128))&gt;=0.3,"Nella Media","Scommessa/Riserva")))),"")</f>
        <v>Buono</v>
      </c>
      <c r="Q128" s="29" t="n">
        <f aca="false">IF($D128="",COUNTIF($D$2:$D128,""),"")</f>
        <v>127</v>
      </c>
      <c r="R128" s="29" t="str">
        <f aca="false">IF($D128='Info Lega'!$B$28,COUNTIFS($D$2:$D128,'Info Lega'!$B$28),"")</f>
        <v/>
      </c>
      <c r="S128" s="30" t="str">
        <f aca="false">IFERROR(INDEX('Input Statistiche 2025_26'!$G$3:$G$665,MATCH($A128,'Input Statistiche 2025_26'!$A$3:$A$665,0)),"")</f>
        <v/>
      </c>
      <c r="T128" s="30" t="str">
        <f aca="false">IFERROR(INDEX('Input Statistiche 2025_26'!$H$3:$H$665,MATCH($A128,'Input Statistiche 2025_26'!$A$3:$A$665,0)),"")</f>
        <v/>
      </c>
      <c r="U128" s="26" t="str">
        <f aca="false">IF(OR('La Mia Rosa'!$O$12="",$D128&lt;&gt;""),"",IF($F128&lt;='La Mia Rosa'!$O$12*'Parametri Modello'!$B$24,"OK",IF($F128&lt;='La Mia Rosa'!$O$12*'Parametri Modello'!$B$25,"Attenzione","Rischio Alto")))</f>
        <v>OK</v>
      </c>
      <c r="V128" s="26" t="n">
        <f aca="false">IFERROR(COUNTIFS($B$2:$B$492,$B128,$O$2:$O$492,"&gt;"&amp;$O128)+1,"")</f>
        <v>46</v>
      </c>
      <c r="W128" s="21" t="n">
        <f aca="false">'Info Lega'!$B$4-SUMIFS($M$2:$M$492,$D$2:$D$492,'Info Lega'!$B$28)</f>
        <v>1000</v>
      </c>
      <c r="X128" s="21" t="n">
        <f aca="false">('Info Lega'!$B$5-COUNTIFS($D$2:$D$492,'Info Lega'!$B$28,$B$2:$B$492,"P"))+('Info Lega'!$B$6-COUNTIFS($D$2:$D$492,'Info Lega'!$B$28,$B$2:$B$492,"D"))+('Info Lega'!$B$7-COUNTIFS($D$2:$D$492,'Info Lega'!$B$28,$B$2:$B$492,"C"))+('Info Lega'!$B$8-COUNTIFS($D$2:$D$492,'Info Lega'!$B$28,$B$2:$B$492,"A"))</f>
        <v>25</v>
      </c>
      <c r="Y128" s="21" t="n">
        <f aca="false">X128*'Parametri Modello'!$B$30</f>
        <v>25</v>
      </c>
      <c r="Z128" s="21" t="n">
        <f aca="false">MAX(0,W128-Y128)</f>
        <v>975</v>
      </c>
      <c r="AA128" s="21" t="n">
        <f aca="false">MIN(F128,Z128)</f>
        <v>14</v>
      </c>
      <c r="AB128" s="21"/>
      <c r="AC128" s="21" t="str">
        <f aca="false">IF(AB128="","",IF(AB128&gt;AA128,"PASS",IF(AB128&lt;=AA128*0.85,"BID","ATTENZIONE")))</f>
        <v/>
      </c>
      <c r="AD128" s="31" t="str">
        <f aca="false">IF(I128="","",ROUND(100*(1-EXP(-I128/30)),0))</f>
        <v/>
      </c>
      <c r="AE128" s="7" t="str">
        <f aca="false">IFERROR(INDEX('Stato Asta'!$G$9:$G$12,MATCH($B128,'Stato Asta'!$A$9:$A$12,0)),"")</f>
        <v>🟡 Attesa rischiosa</v>
      </c>
    </row>
    <row r="129" customFormat="false" ht="14.25" hidden="false" customHeight="true" outlineLevel="0" collapsed="false">
      <c r="A129" s="21" t="n">
        <v>7472</v>
      </c>
      <c r="B129" s="21" t="s">
        <v>45</v>
      </c>
      <c r="C129" s="21" t="s">
        <v>420</v>
      </c>
      <c r="E129" s="26" t="str">
        <f aca="false">IF(COUNTIF('Info Strategia'!$D$2:$D$51,$C129)&gt;0,"SI","NO")</f>
        <v>NO</v>
      </c>
      <c r="F129" s="27" t="n">
        <f aca="false">IFERROR(ROUND(($G129+($H129-$G129)*'Info Strategia'!$B$6)*(1+IF($E129="SI",'Parametri Modello'!$B$7*'Info Strategia'!$B$6,0)),0),"")</f>
        <v>14</v>
      </c>
      <c r="G129" s="27" t="n">
        <f aca="false">IFERROR(ROUND((IF(OR(INDEX('Parametri Modello'!$C$39:$C$42,MATCH($B129,'Parametri Modello'!$A$39:$A$42,0))="",INDEX('Parametri Modello'!$C$39:$C$42,MATCH($B129,'Parametri Modello'!$A$39:$A$42,0))=0),0,($O129/INDEX('Parametri Modello'!$C$39:$C$42,MATCH($B129,'Parametri Modello'!$A$39:$A$42,0)))*(INDEX('Parametri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9</v>
      </c>
      <c r="H129" s="27" t="n">
        <f aca="false">IFERROR(ROUND((IF(OR(INDEX('Parametri Modello'!$C$39:$C$42,MATCH($B129,'Parametri Modello'!$A$39:$A$42,0))="",INDEX('Parametri Modello'!$C$39:$C$42,MATCH($B129,'Parametri Modello'!$A$39:$A$42,0))=0),0,($O129/INDEX('Parametri Modello'!$C$39:$C$42,MATCH($B129,'Parametri Modello'!$A$39:$A$42,0)))*(INDEX('Parametri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16</v>
      </c>
      <c r="I129" s="26" t="str">
        <f aca="false">IFERROR(INDEX('Input Statistiche 2025_26'!$F$3:$F$665,MATCH($A129,'Input Statistiche 2025_26'!$A$3:$A$665,0)),"")</f>
        <v/>
      </c>
      <c r="J129" s="26" t="str">
        <f aca="false">IFERROR(IF($I129="","",MAX(0,38-$I129)),"")</f>
        <v/>
      </c>
      <c r="K129" s="26" t="str">
        <f aca="false">IFERROR(INDEX('Input Statistiche 2025_26'!$I$3:$I$665,MATCH($A129,'Input Statistiche 2025_26'!$A$3:$A$665,0)),"")</f>
        <v/>
      </c>
      <c r="L129" s="26" t="str">
        <f aca="false">IFERROR(INDEX('Input Statistiche 2025_26'!$O$3:$O$665,MATCH($A129,'Input Statistiche 2025_26'!$A$3:$A$665,0)),"")</f>
        <v/>
      </c>
      <c r="M129" s="28"/>
      <c r="N129" s="27" t="n">
        <f aca="false">IFERROR(INDEX('Input Giocatori 2026_27'!$E$3:$E$493,MATCH($A129,'Input Giocatori 2026_27'!$A$3:$A$493,0)),"")</f>
        <v>7</v>
      </c>
      <c r="O129" s="27" t="n">
        <f aca="false">IFERROR(INDEX('Input Giocatori 2026_27'!$G$3:$G$493,MATCH($A129,'Input Giocatori 2026_27'!$A$3:$A$493,0)),"")</f>
        <v>25</v>
      </c>
      <c r="P129" s="26" t="str">
        <f aca="false">IFERROR(IF($O129="","",IF((1-(COUNTIFS($B$2:$B$492,$B129,$O$2:$O$492,"&gt;"&amp;$O129)+1-1)/COUNTIF($B$2:$B$492,$B129))&gt;=0.85,"Top",IF((1-(COUNTIFS($B$2:$B$492,$B129,$O$2:$O$492,"&gt;"&amp;$O129)+1-1)/COUNTIF($B$2:$B$492,$B129))&gt;=0.6,"Buono",IF((1-(COUNTIFS($B$2:$B$492,$B129,$O$2:$O$492,"&gt;"&amp;$O129)+1-1)/COUNTIF($B$2:$B$492,$B129))&gt;=0.3,"Nella Media","Scommessa/Riserva")))),"")</f>
        <v>Buono</v>
      </c>
      <c r="Q129" s="29" t="n">
        <f aca="false">IF($D129="",COUNTIF($D$2:$D129,""),"")</f>
        <v>128</v>
      </c>
      <c r="R129" s="29" t="str">
        <f aca="false">IF($D129='Info Lega'!$B$28,COUNTIFS($D$2:$D129,'Info Lega'!$B$28),"")</f>
        <v/>
      </c>
      <c r="S129" s="30" t="str">
        <f aca="false">IFERROR(INDEX('Input Statistiche 2025_26'!$G$3:$G$665,MATCH($A129,'Input Statistiche 2025_26'!$A$3:$A$665,0)),"")</f>
        <v/>
      </c>
      <c r="T129" s="30" t="str">
        <f aca="false">IFERROR(INDEX('Input Statistiche 2025_26'!$H$3:$H$665,MATCH($A129,'Input Statistiche 2025_26'!$A$3:$A$665,0)),"")</f>
        <v/>
      </c>
      <c r="U129" s="26" t="str">
        <f aca="false">IF(OR('La Mia Rosa'!$O$12="",$D129&lt;&gt;""),"",IF($F129&lt;='La Mia Rosa'!$O$12*'Parametri Modello'!$B$24,"OK",IF($F129&lt;='La Mia Rosa'!$O$12*'Parametri Modello'!$B$25,"Attenzione","Rischio Alto")))</f>
        <v>OK</v>
      </c>
      <c r="V129" s="26" t="n">
        <f aca="false">IFERROR(COUNTIFS($B$2:$B$492,$B129,$O$2:$O$492,"&gt;"&amp;$O129)+1,"")</f>
        <v>46</v>
      </c>
      <c r="W129" s="21" t="n">
        <f aca="false">'Info Lega'!$B$4-SUMIFS($M$2:$M$492,$D$2:$D$492,'Info Lega'!$B$28)</f>
        <v>1000</v>
      </c>
      <c r="X129" s="21" t="n">
        <f aca="false">('Info Lega'!$B$5-COUNTIFS($D$2:$D$492,'Info Lega'!$B$28,$B$2:$B$492,"P"))+('Info Lega'!$B$6-COUNTIFS($D$2:$D$492,'Info Lega'!$B$28,$B$2:$B$492,"D"))+('Info Lega'!$B$7-COUNTIFS($D$2:$D$492,'Info Lega'!$B$28,$B$2:$B$492,"C"))+('Info Lega'!$B$8-COUNTIFS($D$2:$D$492,'Info Lega'!$B$28,$B$2:$B$492,"A"))</f>
        <v>25</v>
      </c>
      <c r="Y129" s="21" t="n">
        <f aca="false">X129*'Parametri Modello'!$B$30</f>
        <v>25</v>
      </c>
      <c r="Z129" s="21" t="n">
        <f aca="false">MAX(0,W129-Y129)</f>
        <v>975</v>
      </c>
      <c r="AA129" s="21" t="n">
        <f aca="false">MIN(F129,Z129)</f>
        <v>14</v>
      </c>
      <c r="AB129" s="21"/>
      <c r="AC129" s="21" t="str">
        <f aca="false">IF(AB129="","",IF(AB129&gt;AA129,"PASS",IF(AB129&lt;=AA129*0.85,"BID","ATTENZIONE")))</f>
        <v/>
      </c>
      <c r="AD129" s="31" t="str">
        <f aca="false">IF(I129="","",ROUND(100*(1-EXP(-I129/30)),0))</f>
        <v/>
      </c>
      <c r="AE129" s="7" t="str">
        <f aca="false">IFERROR(INDEX('Stato Asta'!$G$9:$G$12,MATCH($B129,'Stato Asta'!$A$9:$A$12,0)),"")</f>
        <v>🟡 Attesa rischiosa</v>
      </c>
    </row>
    <row r="130" customFormat="false" ht="14.25" hidden="false" customHeight="true" outlineLevel="0" collapsed="false">
      <c r="A130" s="21" t="n">
        <v>5029</v>
      </c>
      <c r="B130" s="21" t="s">
        <v>46</v>
      </c>
      <c r="C130" s="21" t="s">
        <v>575</v>
      </c>
      <c r="E130" s="26" t="str">
        <f aca="false">IF(COUNTIF('Info Strategia'!$D$2:$D$51,$C130)&gt;0,"SI","NO")</f>
        <v>NO</v>
      </c>
      <c r="F130" s="27" t="n">
        <f aca="false">IFERROR(ROUND(($G130+($H130-$G130)*'Info Strategia'!$B$6)*(1+IF($E130="SI",'Parametri Modello'!$B$7*'Info Strategia'!$B$6,0)),0),"")</f>
        <v>22</v>
      </c>
      <c r="G130" s="27" t="n">
        <f aca="false">IFERROR(ROUND((IF(OR(INDEX('Parametri Modello'!$C$39:$C$42,MATCH($B130,'Parametri Modello'!$A$39:$A$42,0))="",INDEX('Parametri Modello'!$C$39:$C$42,MATCH($B130,'Parametri Modello'!$A$39:$A$42,0))=0),0,($O130/INDEX('Parametri Modello'!$C$39:$C$42,MATCH($B130,'Parametri Modello'!$A$39:$A$42,0)))*(INDEX('Parametri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14</v>
      </c>
      <c r="H130" s="27" t="n">
        <f aca="false">IFERROR(ROUND((IF(OR(INDEX('Parametri Modello'!$C$39:$C$42,MATCH($B130,'Parametri Modello'!$A$39:$A$42,0))="",INDEX('Parametri Modello'!$C$39:$C$42,MATCH($B130,'Parametri Modello'!$A$39:$A$42,0))=0),0,($O130/INDEX('Parametri Modello'!$C$39:$C$42,MATCH($B130,'Parametri Modello'!$A$39:$A$42,0)))*(INDEX('Parametri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26</v>
      </c>
      <c r="I130" s="26" t="str">
        <f aca="false">IFERROR(INDEX('Input Statistiche 2025_26'!$F$3:$F$665,MATCH($A130,'Input Statistiche 2025_26'!$A$3:$A$665,0)),"")</f>
        <v/>
      </c>
      <c r="J130" s="26" t="str">
        <f aca="false">IFERROR(IF($I130="","",MAX(0,38-$I130)),"")</f>
        <v/>
      </c>
      <c r="K130" s="26" t="str">
        <f aca="false">IFERROR(INDEX('Input Statistiche 2025_26'!$I$3:$I$665,MATCH($A130,'Input Statistiche 2025_26'!$A$3:$A$665,0)),"")</f>
        <v/>
      </c>
      <c r="L130" s="26" t="str">
        <f aca="false">IFERROR(INDEX('Input Statistiche 2025_26'!$O$3:$O$665,MATCH($A130,'Input Statistiche 2025_26'!$A$3:$A$665,0)),"")</f>
        <v/>
      </c>
      <c r="M130" s="28"/>
      <c r="N130" s="27" t="n">
        <f aca="false">IFERROR(INDEX('Input Giocatori 2026_27'!$E$3:$E$493,MATCH($A130,'Input Giocatori 2026_27'!$A$3:$A$493,0)),"")</f>
        <v>9</v>
      </c>
      <c r="O130" s="27" t="n">
        <f aca="false">IFERROR(INDEX('Input Giocatori 2026_27'!$G$3:$G$493,MATCH($A130,'Input Giocatori 2026_27'!$A$3:$A$493,0)),"")</f>
        <v>25</v>
      </c>
      <c r="P130" s="26" t="str">
        <f aca="false">IFERROR(IF($O130="","",IF((1-(COUNTIFS($B$2:$B$492,$B130,$O$2:$O$492,"&gt;"&amp;$O130)+1-1)/COUNTIF($B$2:$B$492,$B130))&gt;=0.85,"Top",IF((1-(COUNTIFS($B$2:$B$492,$B130,$O$2:$O$492,"&gt;"&amp;$O130)+1-1)/COUNTIF($B$2:$B$492,$B130))&gt;=0.6,"Buono",IF((1-(COUNTIFS($B$2:$B$492,$B130,$O$2:$O$492,"&gt;"&amp;$O130)+1-1)/COUNTIF($B$2:$B$492,$B130))&gt;=0.3,"Nella Media","Scommessa/Riserva")))),"")</f>
        <v>Nella Media</v>
      </c>
      <c r="Q130" s="29" t="n">
        <f aca="false">IF($D130="",COUNTIF($D$2:$D130,""),"")</f>
        <v>129</v>
      </c>
      <c r="R130" s="29" t="str">
        <f aca="false">IF($D130='Info Lega'!$B$28,COUNTIFS($D$2:$D130,'Info Lega'!$B$28),"")</f>
        <v/>
      </c>
      <c r="S130" s="30" t="str">
        <f aca="false">IFERROR(INDEX('Input Statistiche 2025_26'!$G$3:$G$665,MATCH($A130,'Input Statistiche 2025_26'!$A$3:$A$665,0)),"")</f>
        <v/>
      </c>
      <c r="T130" s="30" t="str">
        <f aca="false">IFERROR(INDEX('Input Statistiche 2025_26'!$H$3:$H$665,MATCH($A130,'Input Statistiche 2025_26'!$A$3:$A$665,0)),"")</f>
        <v/>
      </c>
      <c r="U130" s="26" t="str">
        <f aca="false">IF(OR('La Mia Rosa'!$O$12="",$D130&lt;&gt;""),"",IF($F130&lt;='La Mia Rosa'!$O$12*'Parametri Modello'!$B$24,"OK",IF($F130&lt;='La Mia Rosa'!$O$12*'Parametri Modello'!$B$25,"Attenzione","Rischio Alto")))</f>
        <v>OK</v>
      </c>
      <c r="V130" s="26" t="n">
        <f aca="false">IFERROR(COUNTIFS($B$2:$B$492,$B130,$O$2:$O$492,"&gt;"&amp;$O130)+1,"")</f>
        <v>41</v>
      </c>
      <c r="W130" s="21" t="n">
        <f aca="false">'Info Lega'!$B$4-SUMIFS($M$2:$M$492,$D$2:$D$492,'Info Lega'!$B$28)</f>
        <v>1000</v>
      </c>
      <c r="X130" s="21" t="n">
        <f aca="false">('Info Lega'!$B$5-COUNTIFS($D$2:$D$492,'Info Lega'!$B$28,$B$2:$B$492,"P"))+('Info Lega'!$B$6-COUNTIFS($D$2:$D$492,'Info Lega'!$B$28,$B$2:$B$492,"D"))+('Info Lega'!$B$7-COUNTIFS($D$2:$D$492,'Info Lega'!$B$28,$B$2:$B$492,"C"))+('Info Lega'!$B$8-COUNTIFS($D$2:$D$492,'Info Lega'!$B$28,$B$2:$B$492,"A"))</f>
        <v>25</v>
      </c>
      <c r="Y130" s="21" t="n">
        <f aca="false">X130*'Parametri Modello'!$B$30</f>
        <v>25</v>
      </c>
      <c r="Z130" s="21" t="n">
        <f aca="false">MAX(0,W130-Y130)</f>
        <v>975</v>
      </c>
      <c r="AA130" s="21" t="n">
        <f aca="false">MIN(F130,Z130)</f>
        <v>22</v>
      </c>
      <c r="AB130" s="21"/>
      <c r="AC130" s="21" t="str">
        <f aca="false">IF(AB130="","",IF(AB130&gt;AA130,"PASS",IF(AB130&lt;=AA130*0.85,"BID","ATTENZIONE")))</f>
        <v/>
      </c>
      <c r="AD130" s="31" t="str">
        <f aca="false">IF(I130="","",ROUND(100*(1-EXP(-I130/30)),0))</f>
        <v/>
      </c>
      <c r="AE130" s="7" t="str">
        <f aca="false">IFERROR(INDEX('Stato Asta'!$G$9:$G$12,MATCH($B130,'Stato Asta'!$A$9:$A$12,0)),"")</f>
        <v>🔴 Non aspettare</v>
      </c>
    </row>
    <row r="131" customFormat="false" ht="14.25" hidden="false" customHeight="true" outlineLevel="0" collapsed="false">
      <c r="A131" s="21" t="n">
        <v>2832</v>
      </c>
      <c r="B131" s="21" t="s">
        <v>46</v>
      </c>
      <c r="C131" s="21" t="s">
        <v>589</v>
      </c>
      <c r="E131" s="26" t="str">
        <f aca="false">IF(COUNTIF('Info Strategia'!$D$2:$D$51,$C131)&gt;0,"SI","NO")</f>
        <v>NO</v>
      </c>
      <c r="F131" s="27" t="n">
        <f aca="false">IFERROR(ROUND(($G131+($H131-$G131)*'Info Strategia'!$B$6)*(1+IF($E131="SI",'Parametri Modello'!$B$7*'Info Strategia'!$B$6,0)),0),"")</f>
        <v>22</v>
      </c>
      <c r="G131" s="27" t="n">
        <f aca="false">IFERROR(ROUND((IF(OR(INDEX('Parametri Modello'!$C$39:$C$42,MATCH($B131,'Parametri Modello'!$A$39:$A$42,0))="",INDEX('Parametri Modello'!$C$39:$C$42,MATCH($B131,'Parametri Modello'!$A$39:$A$42,0))=0),0,($O131/INDEX('Parametri Modello'!$C$39:$C$42,MATCH($B131,'Parametri Modello'!$A$39:$A$42,0)))*(INDEX('Parametri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14</v>
      </c>
      <c r="H131" s="27" t="n">
        <f aca="false">IFERROR(ROUND((IF(OR(INDEX('Parametri Modello'!$C$39:$C$42,MATCH($B131,'Parametri Modello'!$A$39:$A$42,0))="",INDEX('Parametri Modello'!$C$39:$C$42,MATCH($B131,'Parametri Modello'!$A$39:$A$42,0))=0),0,($O131/INDEX('Parametri Modello'!$C$39:$C$42,MATCH($B131,'Parametri Modello'!$A$39:$A$42,0)))*(INDEX('Parametri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26</v>
      </c>
      <c r="I131" s="26" t="n">
        <f aca="false">IFERROR(INDEX('Input Statistiche 2025_26'!$F$3:$F$665,MATCH($A131,'Input Statistiche 2025_26'!$A$3:$A$665,0)),"")</f>
        <v>13</v>
      </c>
      <c r="J131" s="26" t="n">
        <f aca="false">IFERROR(IF($I131="","",MAX(0,38-$I131)),"")</f>
        <v>25</v>
      </c>
      <c r="K131" s="26" t="n">
        <f aca="false">IFERROR(INDEX('Input Statistiche 2025_26'!$I$3:$I$665,MATCH($A131,'Input Statistiche 2025_26'!$A$3:$A$665,0)),"")</f>
        <v>4</v>
      </c>
      <c r="L131" s="26" t="n">
        <f aca="false">IFERROR(INDEX('Input Statistiche 2025_26'!$O$3:$O$665,MATCH($A131,'Input Statistiche 2025_26'!$A$3:$A$665,0)),"")</f>
        <v>1</v>
      </c>
      <c r="M131" s="28"/>
      <c r="N131" s="27" t="n">
        <f aca="false">IFERROR(INDEX('Input Giocatori 2026_27'!$E$3:$E$493,MATCH($A131,'Input Giocatori 2026_27'!$A$3:$A$493,0)),"")</f>
        <v>6</v>
      </c>
      <c r="O131" s="27" t="n">
        <f aca="false">IFERROR(INDEX('Input Giocatori 2026_27'!$G$3:$G$493,MATCH($A131,'Input Giocatori 2026_27'!$A$3:$A$493,0)),"")</f>
        <v>25</v>
      </c>
      <c r="P131" s="26" t="str">
        <f aca="false">IFERROR(IF($O131="","",IF((1-(COUNTIFS($B$2:$B$492,$B131,$O$2:$O$492,"&gt;"&amp;$O131)+1-1)/COUNTIF($B$2:$B$492,$B131))&gt;=0.85,"Top",IF((1-(COUNTIFS($B$2:$B$492,$B131,$O$2:$O$492,"&gt;"&amp;$O131)+1-1)/COUNTIF($B$2:$B$492,$B131))&gt;=0.6,"Buono",IF((1-(COUNTIFS($B$2:$B$492,$B131,$O$2:$O$492,"&gt;"&amp;$O131)+1-1)/COUNTIF($B$2:$B$492,$B131))&gt;=0.3,"Nella Media","Scommessa/Riserva")))),"")</f>
        <v>Nella Media</v>
      </c>
      <c r="Q131" s="29" t="n">
        <f aca="false">IF($D131="",COUNTIF($D$2:$D131,""),"")</f>
        <v>130</v>
      </c>
      <c r="R131" s="29" t="str">
        <f aca="false">IF($D131='Info Lega'!$B$28,COUNTIFS($D$2:$D131,'Info Lega'!$B$28),"")</f>
        <v/>
      </c>
      <c r="S131" s="30" t="n">
        <f aca="false">IFERROR(INDEX('Input Statistiche 2025_26'!$G$3:$G$665,MATCH($A131,'Input Statistiche 2025_26'!$A$3:$A$665,0)),"")</f>
        <v>6.19</v>
      </c>
      <c r="T131" s="30" t="n">
        <f aca="false">IFERROR(INDEX('Input Statistiche 2025_26'!$H$3:$H$665,MATCH($A131,'Input Statistiche 2025_26'!$A$3:$A$665,0)),"")</f>
        <v>7.15</v>
      </c>
      <c r="U131" s="26" t="str">
        <f aca="false">IF(OR('La Mia Rosa'!$O$12="",$D131&lt;&gt;""),"",IF($F131&lt;='La Mia Rosa'!$O$12*'Parametri Modello'!$B$24,"OK",IF($F131&lt;='La Mia Rosa'!$O$12*'Parametri Modello'!$B$25,"Attenzione","Rischio Alto")))</f>
        <v>OK</v>
      </c>
      <c r="V131" s="26" t="n">
        <f aca="false">IFERROR(COUNTIFS($B$2:$B$492,$B131,$O$2:$O$492,"&gt;"&amp;$O131)+1,"")</f>
        <v>41</v>
      </c>
      <c r="W131" s="21" t="n">
        <f aca="false">'Info Lega'!$B$4-SUMIFS($M$2:$M$492,$D$2:$D$492,'Info Lega'!$B$28)</f>
        <v>1000</v>
      </c>
      <c r="X131" s="21" t="n">
        <f aca="false">('Info Lega'!$B$5-COUNTIFS($D$2:$D$492,'Info Lega'!$B$28,$B$2:$B$492,"P"))+('Info Lega'!$B$6-COUNTIFS($D$2:$D$492,'Info Lega'!$B$28,$B$2:$B$492,"D"))+('Info Lega'!$B$7-COUNTIFS($D$2:$D$492,'Info Lega'!$B$28,$B$2:$B$492,"C"))+('Info Lega'!$B$8-COUNTIFS($D$2:$D$492,'Info Lega'!$B$28,$B$2:$B$492,"A"))</f>
        <v>25</v>
      </c>
      <c r="Y131" s="21" t="n">
        <f aca="false">X131*'Parametri Modello'!$B$30</f>
        <v>25</v>
      </c>
      <c r="Z131" s="21" t="n">
        <f aca="false">MAX(0,W131-Y131)</f>
        <v>975</v>
      </c>
      <c r="AA131" s="21" t="n">
        <f aca="false">MIN(F131,Z131)</f>
        <v>22</v>
      </c>
      <c r="AB131" s="21"/>
      <c r="AC131" s="21" t="str">
        <f aca="false">IF(AB131="","",IF(AB131&gt;AA131,"PASS",IF(AB131&lt;=AA131*0.85,"BID","ATTENZIONE")))</f>
        <v/>
      </c>
      <c r="AD131" s="31" t="n">
        <f aca="false">IF(I131="","",ROUND(100*(1-EXP(-I131/30)),0))</f>
        <v>35</v>
      </c>
      <c r="AE131" s="7" t="str">
        <f aca="false">IFERROR(INDEX('Stato Asta'!$G$9:$G$12,MATCH($B131,'Stato Asta'!$A$9:$A$12,0)),"")</f>
        <v>🔴 Non aspettare</v>
      </c>
    </row>
    <row r="132" customFormat="false" ht="14.25" hidden="false" customHeight="true" outlineLevel="0" collapsed="false">
      <c r="A132" s="21" t="n">
        <v>554</v>
      </c>
      <c r="B132" s="21" t="s">
        <v>44</v>
      </c>
      <c r="C132" s="21" t="s">
        <v>214</v>
      </c>
      <c r="E132" s="26" t="str">
        <f aca="false">IF(COUNTIF('Info Strategia'!$D$2:$D$51,$C132)&gt;0,"SI","NO")</f>
        <v>NO</v>
      </c>
      <c r="F132" s="27" t="n">
        <f aca="false">IFERROR(ROUND(($G132+($H132-$G132)*'Info Strategia'!$B$6)*(1+IF($E132="SI",'Parametri Modello'!$B$7*'Info Strategia'!$B$6,0)),0),"")</f>
        <v>12</v>
      </c>
      <c r="G132" s="27" t="n">
        <f aca="false">IFERROR(ROUND((IF(OR(INDEX('Parametri Modello'!$C$39:$C$42,MATCH($B132,'Parametri Modello'!$A$39:$A$42,0))="",INDEX('Parametri Modello'!$C$39:$C$42,MATCH($B132,'Parametri Modello'!$A$39:$A$42,0))=0),0,($O132/INDEX('Parametri Modello'!$C$39:$C$42,MATCH($B132,'Parametri Modello'!$A$39:$A$42,0)))*(INDEX('Parametri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9</v>
      </c>
      <c r="H132" s="27" t="n">
        <f aca="false">IFERROR(ROUND((IF(OR(INDEX('Parametri Modello'!$C$39:$C$42,MATCH($B132,'Parametri Modello'!$A$39:$A$42,0))="",INDEX('Parametri Modello'!$C$39:$C$42,MATCH($B132,'Parametri Modello'!$A$39:$A$42,0))=0),0,($O132/INDEX('Parametri Modello'!$C$39:$C$42,MATCH($B132,'Parametri Modello'!$A$39:$A$42,0)))*(INDEX('Parametri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13</v>
      </c>
      <c r="I132" s="26" t="n">
        <f aca="false">IFERROR(INDEX('Input Statistiche 2025_26'!$F$3:$F$665,MATCH($A132,'Input Statistiche 2025_26'!$A$3:$A$665,0)),"")</f>
        <v>35</v>
      </c>
      <c r="J132" s="26" t="n">
        <f aca="false">IFERROR(IF($I132="","",MAX(0,38-$I132)),"")</f>
        <v>3</v>
      </c>
      <c r="K132" s="26" t="n">
        <f aca="false">IFERROR(INDEX('Input Statistiche 2025_26'!$I$3:$I$665,MATCH($A132,'Input Statistiche 2025_26'!$A$3:$A$665,0)),"")</f>
        <v>3</v>
      </c>
      <c r="L132" s="26" t="n">
        <f aca="false">IFERROR(INDEX('Input Statistiche 2025_26'!$O$3:$O$665,MATCH($A132,'Input Statistiche 2025_26'!$A$3:$A$665,0)),"")</f>
        <v>1</v>
      </c>
      <c r="M132" s="28"/>
      <c r="N132" s="27" t="n">
        <f aca="false">IFERROR(INDEX('Input Giocatori 2026_27'!$E$3:$E$493,MATCH($A132,'Input Giocatori 2026_27'!$A$3:$A$493,0)),"")</f>
        <v>8</v>
      </c>
      <c r="O132" s="27" t="n">
        <f aca="false">IFERROR(INDEX('Input Giocatori 2026_27'!$G$3:$G$493,MATCH($A132,'Input Giocatori 2026_27'!$A$3:$A$493,0)),"")</f>
        <v>24</v>
      </c>
      <c r="P132" s="26" t="str">
        <f aca="false">IFERROR(IF($O132="","",IF((1-(COUNTIFS($B$2:$B$492,$B132,$O$2:$O$492,"&gt;"&amp;$O132)+1-1)/COUNTIF($B$2:$B$492,$B132))&gt;=0.85,"Top",IF((1-(COUNTIFS($B$2:$B$492,$B132,$O$2:$O$492,"&gt;"&amp;$O132)+1-1)/COUNTIF($B$2:$B$492,$B132))&gt;=0.6,"Buono",IF((1-(COUNTIFS($B$2:$B$492,$B132,$O$2:$O$492,"&gt;"&amp;$O132)+1-1)/COUNTIF($B$2:$B$492,$B132))&gt;=0.3,"Nella Media","Scommessa/Riserva")))),"")</f>
        <v>Top</v>
      </c>
      <c r="Q132" s="29" t="n">
        <f aca="false">IF($D132="",COUNTIF($D$2:$D132,""),"")</f>
        <v>131</v>
      </c>
      <c r="R132" s="29" t="str">
        <f aca="false">IF($D132='Info Lega'!$B$28,COUNTIFS($D$2:$D132,'Info Lega'!$B$28),"")</f>
        <v/>
      </c>
      <c r="S132" s="30" t="n">
        <f aca="false">IFERROR(INDEX('Input Statistiche 2025_26'!$G$3:$G$665,MATCH($A132,'Input Statistiche 2025_26'!$A$3:$A$665,0)),"")</f>
        <v>6.06</v>
      </c>
      <c r="T132" s="30" t="n">
        <f aca="false">IFERROR(INDEX('Input Statistiche 2025_26'!$H$3:$H$665,MATCH($A132,'Input Statistiche 2025_26'!$A$3:$A$665,0)),"")</f>
        <v>6.3</v>
      </c>
      <c r="U132" s="26" t="str">
        <f aca="false">IF(OR('La Mia Rosa'!$O$12="",$D132&lt;&gt;""),"",IF($F132&lt;='La Mia Rosa'!$O$12*'Parametri Modello'!$B$24,"OK",IF($F132&lt;='La Mia Rosa'!$O$12*'Parametri Modello'!$B$25,"Attenzione","Rischio Alto")))</f>
        <v>OK</v>
      </c>
      <c r="V132" s="26" t="n">
        <f aca="false">IFERROR(COUNTIFS($B$2:$B$492,$B132,$O$2:$O$492,"&gt;"&amp;$O132)+1,"")</f>
        <v>26</v>
      </c>
      <c r="W132" s="21" t="n">
        <f aca="false">'Info Lega'!$B$4-SUMIFS($M$2:$M$492,$D$2:$D$492,'Info Lega'!$B$28)</f>
        <v>1000</v>
      </c>
      <c r="X132" s="21" t="n">
        <f aca="false">('Info Lega'!$B$5-COUNTIFS($D$2:$D$492,'Info Lega'!$B$28,$B$2:$B$492,"P"))+('Info Lega'!$B$6-COUNTIFS($D$2:$D$492,'Info Lega'!$B$28,$B$2:$B$492,"D"))+('Info Lega'!$B$7-COUNTIFS($D$2:$D$492,'Info Lega'!$B$28,$B$2:$B$492,"C"))+('Info Lega'!$B$8-COUNTIFS($D$2:$D$492,'Info Lega'!$B$28,$B$2:$B$492,"A"))</f>
        <v>25</v>
      </c>
      <c r="Y132" s="21" t="n">
        <f aca="false">X132*'Parametri Modello'!$B$30</f>
        <v>25</v>
      </c>
      <c r="Z132" s="21" t="n">
        <f aca="false">MAX(0,W132-Y132)</f>
        <v>975</v>
      </c>
      <c r="AA132" s="21" t="n">
        <f aca="false">MIN(F132,Z132)</f>
        <v>12</v>
      </c>
      <c r="AB132" s="21"/>
      <c r="AC132" s="21" t="str">
        <f aca="false">IF(AB132="","",IF(AB132&gt;AA132,"PASS",IF(AB132&lt;=AA132*0.85,"BID","ATTENZIONE")))</f>
        <v/>
      </c>
      <c r="AD132" s="31" t="n">
        <f aca="false">IF(I132="","",ROUND(100*(1-EXP(-I132/30)),0))</f>
        <v>69</v>
      </c>
      <c r="AE132" s="7" t="str">
        <f aca="false">IFERROR(INDEX('Stato Asta'!$G$9:$G$12,MATCH($B132,'Stato Asta'!$A$9:$A$12,0)),"")</f>
        <v>🟡 Attesa rischiosa</v>
      </c>
    </row>
    <row r="133" customFormat="false" ht="14.25" hidden="false" customHeight="true" outlineLevel="0" collapsed="false">
      <c r="A133" s="21" t="n">
        <v>4734</v>
      </c>
      <c r="B133" s="21" t="s">
        <v>44</v>
      </c>
      <c r="C133" s="21" t="s">
        <v>216</v>
      </c>
      <c r="E133" s="26" t="str">
        <f aca="false">IF(COUNTIF('Info Strategia'!$D$2:$D$51,$C133)&gt;0,"SI","NO")</f>
        <v>NO</v>
      </c>
      <c r="F133" s="27" t="n">
        <f aca="false">IFERROR(ROUND(($G133+($H133-$G133)*'Info Strategia'!$B$6)*(1+IF($E133="SI",'Parametri Modello'!$B$7*'Info Strategia'!$B$6,0)),0),"")</f>
        <v>12</v>
      </c>
      <c r="G133" s="27" t="n">
        <f aca="false">IFERROR(ROUND((IF(OR(INDEX('Parametri Modello'!$C$39:$C$42,MATCH($B133,'Parametri Modello'!$A$39:$A$42,0))="",INDEX('Parametri Modello'!$C$39:$C$42,MATCH($B133,'Parametri Modello'!$A$39:$A$42,0))=0),0,($O133/INDEX('Parametri Modello'!$C$39:$C$42,MATCH($B133,'Parametri Modello'!$A$39:$A$42,0)))*(INDEX('Parametri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9</v>
      </c>
      <c r="H133" s="27" t="n">
        <f aca="false">IFERROR(ROUND((IF(OR(INDEX('Parametri Modello'!$C$39:$C$42,MATCH($B133,'Parametri Modello'!$A$39:$A$42,0))="",INDEX('Parametri Modello'!$C$39:$C$42,MATCH($B133,'Parametri Modello'!$A$39:$A$42,0))=0),0,($O133/INDEX('Parametri Modello'!$C$39:$C$42,MATCH($B133,'Parametri Modello'!$A$39:$A$42,0)))*(INDEX('Parametri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13</v>
      </c>
      <c r="I133" s="26" t="n">
        <f aca="false">IFERROR(INDEX('Input Statistiche 2025_26'!$F$3:$F$665,MATCH($A133,'Input Statistiche 2025_26'!$A$3:$A$665,0)),"")</f>
        <v>31</v>
      </c>
      <c r="J133" s="26" t="n">
        <f aca="false">IFERROR(IF($I133="","",MAX(0,38-$I133)),"")</f>
        <v>7</v>
      </c>
      <c r="K133" s="26" t="n">
        <f aca="false">IFERROR(INDEX('Input Statistiche 2025_26'!$I$3:$I$665,MATCH($A133,'Input Statistiche 2025_26'!$A$3:$A$665,0)),"")</f>
        <v>1</v>
      </c>
      <c r="L133" s="26" t="n">
        <f aca="false">IFERROR(INDEX('Input Statistiche 2025_26'!$O$3:$O$665,MATCH($A133,'Input Statistiche 2025_26'!$A$3:$A$665,0)),"")</f>
        <v>3</v>
      </c>
      <c r="M133" s="28"/>
      <c r="N133" s="27" t="n">
        <f aca="false">IFERROR(INDEX('Input Giocatori 2026_27'!$E$3:$E$493,MATCH($A133,'Input Giocatori 2026_27'!$A$3:$A$493,0)),"")</f>
        <v>8</v>
      </c>
      <c r="O133" s="27" t="n">
        <f aca="false">IFERROR(INDEX('Input Giocatori 2026_27'!$G$3:$G$493,MATCH($A133,'Input Giocatori 2026_27'!$A$3:$A$493,0)),"")</f>
        <v>24</v>
      </c>
      <c r="P133" s="26" t="str">
        <f aca="false">IFERROR(IF($O133="","",IF((1-(COUNTIFS($B$2:$B$492,$B133,$O$2:$O$492,"&gt;"&amp;$O133)+1-1)/COUNTIF($B$2:$B$492,$B133))&gt;=0.85,"Top",IF((1-(COUNTIFS($B$2:$B$492,$B133,$O$2:$O$492,"&gt;"&amp;$O133)+1-1)/COUNTIF($B$2:$B$492,$B133))&gt;=0.6,"Buono",IF((1-(COUNTIFS($B$2:$B$492,$B133,$O$2:$O$492,"&gt;"&amp;$O133)+1-1)/COUNTIF($B$2:$B$492,$B133))&gt;=0.3,"Nella Media","Scommessa/Riserva")))),"")</f>
        <v>Top</v>
      </c>
      <c r="Q133" s="29" t="n">
        <f aca="false">IF($D133="",COUNTIF($D$2:$D133,""),"")</f>
        <v>132</v>
      </c>
      <c r="R133" s="29" t="str">
        <f aca="false">IF($D133='Info Lega'!$B$28,COUNTIFS($D$2:$D133,'Info Lega'!$B$28),"")</f>
        <v/>
      </c>
      <c r="S133" s="30" t="n">
        <f aca="false">IFERROR(INDEX('Input Statistiche 2025_26'!$G$3:$G$665,MATCH($A133,'Input Statistiche 2025_26'!$A$3:$A$665,0)),"")</f>
        <v>6</v>
      </c>
      <c r="T133" s="30" t="n">
        <f aca="false">IFERROR(INDEX('Input Statistiche 2025_26'!$H$3:$H$665,MATCH($A133,'Input Statistiche 2025_26'!$A$3:$A$665,0)),"")</f>
        <v>6.1</v>
      </c>
      <c r="U133" s="26" t="str">
        <f aca="false">IF(OR('La Mia Rosa'!$O$12="",$D133&lt;&gt;""),"",IF($F133&lt;='La Mia Rosa'!$O$12*'Parametri Modello'!$B$24,"OK",IF($F133&lt;='La Mia Rosa'!$O$12*'Parametri Modello'!$B$25,"Attenzione","Rischio Alto")))</f>
        <v>OK</v>
      </c>
      <c r="V133" s="26" t="n">
        <f aca="false">IFERROR(COUNTIFS($B$2:$B$492,$B133,$O$2:$O$492,"&gt;"&amp;$O133)+1,"")</f>
        <v>26</v>
      </c>
      <c r="W133" s="21" t="n">
        <f aca="false">'Info Lega'!$B$4-SUMIFS($M$2:$M$492,$D$2:$D$492,'Info Lega'!$B$28)</f>
        <v>1000</v>
      </c>
      <c r="X133" s="21" t="n">
        <f aca="false">('Info Lega'!$B$5-COUNTIFS($D$2:$D$492,'Info Lega'!$B$28,$B$2:$B$492,"P"))+('Info Lega'!$B$6-COUNTIFS($D$2:$D$492,'Info Lega'!$B$28,$B$2:$B$492,"D"))+('Info Lega'!$B$7-COUNTIFS($D$2:$D$492,'Info Lega'!$B$28,$B$2:$B$492,"C"))+('Info Lega'!$B$8-COUNTIFS($D$2:$D$492,'Info Lega'!$B$28,$B$2:$B$492,"A"))</f>
        <v>25</v>
      </c>
      <c r="Y133" s="21" t="n">
        <f aca="false">X133*'Parametri Modello'!$B$30</f>
        <v>25</v>
      </c>
      <c r="Z133" s="21" t="n">
        <f aca="false">MAX(0,W133-Y133)</f>
        <v>975</v>
      </c>
      <c r="AA133" s="21" t="n">
        <f aca="false">MIN(F133,Z133)</f>
        <v>12</v>
      </c>
      <c r="AB133" s="21"/>
      <c r="AC133" s="21" t="str">
        <f aca="false">IF(AB133="","",IF(AB133&gt;AA133,"PASS",IF(AB133&lt;=AA133*0.85,"BID","ATTENZIONE")))</f>
        <v/>
      </c>
      <c r="AD133" s="31" t="n">
        <f aca="false">IF(I133="","",ROUND(100*(1-EXP(-I133/30)),0))</f>
        <v>64</v>
      </c>
      <c r="AE133" s="7" t="str">
        <f aca="false">IFERROR(INDEX('Stato Asta'!$G$9:$G$12,MATCH($B133,'Stato Asta'!$A$9:$A$12,0)),"")</f>
        <v>🟡 Attesa rischiosa</v>
      </c>
    </row>
    <row r="134" customFormat="false" ht="14.25" hidden="false" customHeight="true" outlineLevel="0" collapsed="false">
      <c r="A134" s="21" t="n">
        <v>1852</v>
      </c>
      <c r="B134" s="21" t="s">
        <v>44</v>
      </c>
      <c r="C134" s="21" t="s">
        <v>223</v>
      </c>
      <c r="E134" s="26" t="str">
        <f aca="false">IF(COUNTIF('Info Strategia'!$D$2:$D$51,$C134)&gt;0,"SI","NO")</f>
        <v>NO</v>
      </c>
      <c r="F134" s="27" t="n">
        <f aca="false">IFERROR(ROUND(($G134+($H134-$G134)*'Info Strategia'!$B$6)*(1+IF($E134="SI",'Parametri Modello'!$B$7*'Info Strategia'!$B$6,0)),0),"")</f>
        <v>12</v>
      </c>
      <c r="G134" s="27" t="n">
        <f aca="false">IFERROR(ROUND((IF(OR(INDEX('Parametri Modello'!$C$39:$C$42,MATCH($B134,'Parametri Modello'!$A$39:$A$42,0))="",INDEX('Parametri Modello'!$C$39:$C$42,MATCH($B134,'Parametri Modello'!$A$39:$A$42,0))=0),0,($O134/INDEX('Parametri Modello'!$C$39:$C$42,MATCH($B134,'Parametri Modello'!$A$39:$A$42,0)))*(INDEX('Parametri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9</v>
      </c>
      <c r="H134" s="27" t="n">
        <f aca="false">IFERROR(ROUND((IF(OR(INDEX('Parametri Modello'!$C$39:$C$42,MATCH($B134,'Parametri Modello'!$A$39:$A$42,0))="",INDEX('Parametri Modello'!$C$39:$C$42,MATCH($B134,'Parametri Modello'!$A$39:$A$42,0))=0),0,($O134/INDEX('Parametri Modello'!$C$39:$C$42,MATCH($B134,'Parametri Modello'!$A$39:$A$42,0)))*(INDEX('Parametri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13</v>
      </c>
      <c r="I134" s="26" t="n">
        <f aca="false">IFERROR(INDEX('Input Statistiche 2025_26'!$F$3:$F$665,MATCH($A134,'Input Statistiche 2025_26'!$A$3:$A$665,0)),"")</f>
        <v>30</v>
      </c>
      <c r="J134" s="26" t="n">
        <f aca="false">IFERROR(IF($I134="","",MAX(0,38-$I134)),"")</f>
        <v>8</v>
      </c>
      <c r="K134" s="26" t="n">
        <f aca="false">IFERROR(INDEX('Input Statistiche 2025_26'!$I$3:$I$665,MATCH($A134,'Input Statistiche 2025_26'!$A$3:$A$665,0)),"")</f>
        <v>3</v>
      </c>
      <c r="L134" s="26" t="n">
        <f aca="false">IFERROR(INDEX('Input Statistiche 2025_26'!$O$3:$O$665,MATCH($A134,'Input Statistiche 2025_26'!$A$3:$A$665,0)),"")</f>
        <v>3</v>
      </c>
      <c r="M134" s="28"/>
      <c r="N134" s="27" t="n">
        <f aca="false">IFERROR(INDEX('Input Giocatori 2026_27'!$E$3:$E$493,MATCH($A134,'Input Giocatori 2026_27'!$A$3:$A$493,0)),"")</f>
        <v>8</v>
      </c>
      <c r="O134" s="27" t="n">
        <f aca="false">IFERROR(INDEX('Input Giocatori 2026_27'!$G$3:$G$493,MATCH($A134,'Input Giocatori 2026_27'!$A$3:$A$493,0)),"")</f>
        <v>24</v>
      </c>
      <c r="P134" s="26" t="str">
        <f aca="false">IFERROR(IF($O134="","",IF((1-(COUNTIFS($B$2:$B$492,$B134,$O$2:$O$492,"&gt;"&amp;$O134)+1-1)/COUNTIF($B$2:$B$492,$B134))&gt;=0.85,"Top",IF((1-(COUNTIFS($B$2:$B$492,$B134,$O$2:$O$492,"&gt;"&amp;$O134)+1-1)/COUNTIF($B$2:$B$492,$B134))&gt;=0.6,"Buono",IF((1-(COUNTIFS($B$2:$B$492,$B134,$O$2:$O$492,"&gt;"&amp;$O134)+1-1)/COUNTIF($B$2:$B$492,$B134))&gt;=0.3,"Nella Media","Scommessa/Riserva")))),"")</f>
        <v>Top</v>
      </c>
      <c r="Q134" s="29" t="n">
        <f aca="false">IF($D134="",COUNTIF($D$2:$D134,""),"")</f>
        <v>133</v>
      </c>
      <c r="R134" s="29" t="str">
        <f aca="false">IF($D134='Info Lega'!$B$28,COUNTIFS($D$2:$D134,'Info Lega'!$B$28),"")</f>
        <v/>
      </c>
      <c r="S134" s="30" t="n">
        <f aca="false">IFERROR(INDEX('Input Statistiche 2025_26'!$G$3:$G$665,MATCH($A134,'Input Statistiche 2025_26'!$A$3:$A$665,0)),"")</f>
        <v>6.17</v>
      </c>
      <c r="T134" s="30" t="n">
        <f aca="false">IFERROR(INDEX('Input Statistiche 2025_26'!$H$3:$H$665,MATCH($A134,'Input Statistiche 2025_26'!$A$3:$A$665,0)),"")</f>
        <v>6.55</v>
      </c>
      <c r="U134" s="26" t="str">
        <f aca="false">IF(OR('La Mia Rosa'!$O$12="",$D134&lt;&gt;""),"",IF($F134&lt;='La Mia Rosa'!$O$12*'Parametri Modello'!$B$24,"OK",IF($F134&lt;='La Mia Rosa'!$O$12*'Parametri Modello'!$B$25,"Attenzione","Rischio Alto")))</f>
        <v>OK</v>
      </c>
      <c r="V134" s="26" t="n">
        <f aca="false">IFERROR(COUNTIFS($B$2:$B$492,$B134,$O$2:$O$492,"&gt;"&amp;$O134)+1,"")</f>
        <v>26</v>
      </c>
      <c r="W134" s="21" t="n">
        <f aca="false">'Info Lega'!$B$4-SUMIFS($M$2:$M$492,$D$2:$D$492,'Info Lega'!$B$28)</f>
        <v>1000</v>
      </c>
      <c r="X134" s="21" t="n">
        <f aca="false">('Info Lega'!$B$5-COUNTIFS($D$2:$D$492,'Info Lega'!$B$28,$B$2:$B$492,"P"))+('Info Lega'!$B$6-COUNTIFS($D$2:$D$492,'Info Lega'!$B$28,$B$2:$B$492,"D"))+('Info Lega'!$B$7-COUNTIFS($D$2:$D$492,'Info Lega'!$B$28,$B$2:$B$492,"C"))+('Info Lega'!$B$8-COUNTIFS($D$2:$D$492,'Info Lega'!$B$28,$B$2:$B$492,"A"))</f>
        <v>25</v>
      </c>
      <c r="Y134" s="21" t="n">
        <f aca="false">X134*'Parametri Modello'!$B$30</f>
        <v>25</v>
      </c>
      <c r="Z134" s="21" t="n">
        <f aca="false">MAX(0,W134-Y134)</f>
        <v>975</v>
      </c>
      <c r="AA134" s="21" t="n">
        <f aca="false">MIN(F134,Z134)</f>
        <v>12</v>
      </c>
      <c r="AB134" s="21"/>
      <c r="AC134" s="21" t="str">
        <f aca="false">IF(AB134="","",IF(AB134&gt;AA134,"PASS",IF(AB134&lt;=AA134*0.85,"BID","ATTENZIONE")))</f>
        <v/>
      </c>
      <c r="AD134" s="31" t="n">
        <f aca="false">IF(I134="","",ROUND(100*(1-EXP(-I134/30)),0))</f>
        <v>63</v>
      </c>
      <c r="AE134" s="7" t="str">
        <f aca="false">IFERROR(INDEX('Stato Asta'!$G$9:$G$12,MATCH($B134,'Stato Asta'!$A$9:$A$12,0)),"")</f>
        <v>🟡 Attesa rischiosa</v>
      </c>
    </row>
    <row r="135" customFormat="false" ht="14.25" hidden="false" customHeight="true" outlineLevel="0" collapsed="false">
      <c r="A135" s="21" t="n">
        <v>5862</v>
      </c>
      <c r="B135" s="21" t="s">
        <v>44</v>
      </c>
      <c r="C135" s="21" t="s">
        <v>225</v>
      </c>
      <c r="E135" s="26" t="str">
        <f aca="false">IF(COUNTIF('Info Strategia'!$D$2:$D$51,$C135)&gt;0,"SI","NO")</f>
        <v>NO</v>
      </c>
      <c r="F135" s="27" t="n">
        <f aca="false">IFERROR(ROUND(($G135+($H135-$G135)*'Info Strategia'!$B$6)*(1+IF($E135="SI",'Parametri Modello'!$B$7*'Info Strategia'!$B$6,0)),0),"")</f>
        <v>12</v>
      </c>
      <c r="G135" s="27" t="n">
        <f aca="false">IFERROR(ROUND((IF(OR(INDEX('Parametri Modello'!$C$39:$C$42,MATCH($B135,'Parametri Modello'!$A$39:$A$42,0))="",INDEX('Parametri Modello'!$C$39:$C$42,MATCH($B135,'Parametri Modello'!$A$39:$A$42,0))=0),0,($O135/INDEX('Parametri Modello'!$C$39:$C$42,MATCH($B135,'Parametri Modello'!$A$39:$A$42,0)))*(INDEX('Parametri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9</v>
      </c>
      <c r="H135" s="27" t="n">
        <f aca="false">IFERROR(ROUND((IF(OR(INDEX('Parametri Modello'!$C$39:$C$42,MATCH($B135,'Parametri Modello'!$A$39:$A$42,0))="",INDEX('Parametri Modello'!$C$39:$C$42,MATCH($B135,'Parametri Modello'!$A$39:$A$42,0))=0),0,($O135/INDEX('Parametri Modello'!$C$39:$C$42,MATCH($B135,'Parametri Modello'!$A$39:$A$42,0)))*(INDEX('Parametri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13</v>
      </c>
      <c r="I135" s="26" t="n">
        <f aca="false">IFERROR(INDEX('Input Statistiche 2025_26'!$F$3:$F$665,MATCH($A135,'Input Statistiche 2025_26'!$A$3:$A$665,0)),"")</f>
        <v>34</v>
      </c>
      <c r="J135" s="26" t="n">
        <f aca="false">IFERROR(IF($I135="","",MAX(0,38-$I135)),"")</f>
        <v>4</v>
      </c>
      <c r="K135" s="26" t="n">
        <f aca="false">IFERROR(INDEX('Input Statistiche 2025_26'!$I$3:$I$665,MATCH($A135,'Input Statistiche 2025_26'!$A$3:$A$665,0)),"")</f>
        <v>0</v>
      </c>
      <c r="L135" s="26" t="n">
        <f aca="false">IFERROR(INDEX('Input Statistiche 2025_26'!$O$3:$O$665,MATCH($A135,'Input Statistiche 2025_26'!$A$3:$A$665,0)),"")</f>
        <v>2</v>
      </c>
      <c r="M135" s="28"/>
      <c r="N135" s="27" t="n">
        <f aca="false">IFERROR(INDEX('Input Giocatori 2026_27'!$E$3:$E$493,MATCH($A135,'Input Giocatori 2026_27'!$A$3:$A$493,0)),"")</f>
        <v>8</v>
      </c>
      <c r="O135" s="27" t="n">
        <f aca="false">IFERROR(INDEX('Input Giocatori 2026_27'!$G$3:$G$493,MATCH($A135,'Input Giocatori 2026_27'!$A$3:$A$493,0)),"")</f>
        <v>24</v>
      </c>
      <c r="P135" s="26" t="str">
        <f aca="false">IFERROR(IF($O135="","",IF((1-(COUNTIFS($B$2:$B$492,$B135,$O$2:$O$492,"&gt;"&amp;$O135)+1-1)/COUNTIF($B$2:$B$492,$B135))&gt;=0.85,"Top",IF((1-(COUNTIFS($B$2:$B$492,$B135,$O$2:$O$492,"&gt;"&amp;$O135)+1-1)/COUNTIF($B$2:$B$492,$B135))&gt;=0.6,"Buono",IF((1-(COUNTIFS($B$2:$B$492,$B135,$O$2:$O$492,"&gt;"&amp;$O135)+1-1)/COUNTIF($B$2:$B$492,$B135))&gt;=0.3,"Nella Media","Scommessa/Riserva")))),"")</f>
        <v>Top</v>
      </c>
      <c r="Q135" s="29" t="n">
        <f aca="false">IF($D135="",COUNTIF($D$2:$D135,""),"")</f>
        <v>134</v>
      </c>
      <c r="R135" s="29" t="str">
        <f aca="false">IF($D135='Info Lega'!$B$28,COUNTIFS($D$2:$D135,'Info Lega'!$B$28),"")</f>
        <v/>
      </c>
      <c r="S135" s="30" t="n">
        <f aca="false">IFERROR(INDEX('Input Statistiche 2025_26'!$G$3:$G$665,MATCH($A135,'Input Statistiche 2025_26'!$A$3:$A$665,0)),"")</f>
        <v>6.06</v>
      </c>
      <c r="T135" s="30" t="n">
        <f aca="false">IFERROR(INDEX('Input Statistiche 2025_26'!$H$3:$H$665,MATCH($A135,'Input Statistiche 2025_26'!$A$3:$A$665,0)),"")</f>
        <v>6.09</v>
      </c>
      <c r="U135" s="26" t="str">
        <f aca="false">IF(OR('La Mia Rosa'!$O$12="",$D135&lt;&gt;""),"",IF($F135&lt;='La Mia Rosa'!$O$12*'Parametri Modello'!$B$24,"OK",IF($F135&lt;='La Mia Rosa'!$O$12*'Parametri Modello'!$B$25,"Attenzione","Rischio Alto")))</f>
        <v>OK</v>
      </c>
      <c r="V135" s="26" t="n">
        <f aca="false">IFERROR(COUNTIFS($B$2:$B$492,$B135,$O$2:$O$492,"&gt;"&amp;$O135)+1,"")</f>
        <v>26</v>
      </c>
      <c r="W135" s="21" t="n">
        <f aca="false">'Info Lega'!$B$4-SUMIFS($M$2:$M$492,$D$2:$D$492,'Info Lega'!$B$28)</f>
        <v>1000</v>
      </c>
      <c r="X135" s="21" t="n">
        <f aca="false">('Info Lega'!$B$5-COUNTIFS($D$2:$D$492,'Info Lega'!$B$28,$B$2:$B$492,"P"))+('Info Lega'!$B$6-COUNTIFS($D$2:$D$492,'Info Lega'!$B$28,$B$2:$B$492,"D"))+('Info Lega'!$B$7-COUNTIFS($D$2:$D$492,'Info Lega'!$B$28,$B$2:$B$492,"C"))+('Info Lega'!$B$8-COUNTIFS($D$2:$D$492,'Info Lega'!$B$28,$B$2:$B$492,"A"))</f>
        <v>25</v>
      </c>
      <c r="Y135" s="21" t="n">
        <f aca="false">X135*'Parametri Modello'!$B$30</f>
        <v>25</v>
      </c>
      <c r="Z135" s="21" t="n">
        <f aca="false">MAX(0,W135-Y135)</f>
        <v>975</v>
      </c>
      <c r="AA135" s="21" t="n">
        <f aca="false">MIN(F135,Z135)</f>
        <v>12</v>
      </c>
      <c r="AB135" s="21"/>
      <c r="AC135" s="21" t="str">
        <f aca="false">IF(AB135="","",IF(AB135&gt;AA135,"PASS",IF(AB135&lt;=AA135*0.85,"BID","ATTENZIONE")))</f>
        <v/>
      </c>
      <c r="AD135" s="31" t="n">
        <f aca="false">IF(I135="","",ROUND(100*(1-EXP(-I135/30)),0))</f>
        <v>68</v>
      </c>
      <c r="AE135" s="7" t="str">
        <f aca="false">IFERROR(INDEX('Stato Asta'!$G$9:$G$12,MATCH($B135,'Stato Asta'!$A$9:$A$12,0)),"")</f>
        <v>🟡 Attesa rischiosa</v>
      </c>
    </row>
    <row r="136" customFormat="false" ht="14.25" hidden="false" customHeight="true" outlineLevel="0" collapsed="false">
      <c r="A136" s="21" t="n">
        <v>460</v>
      </c>
      <c r="B136" s="21" t="s">
        <v>44</v>
      </c>
      <c r="C136" s="21" t="s">
        <v>233</v>
      </c>
      <c r="E136" s="26" t="str">
        <f aca="false">IF(COUNTIF('Info Strategia'!$D$2:$D$51,$C136)&gt;0,"SI","NO")</f>
        <v>NO</v>
      </c>
      <c r="F136" s="27" t="n">
        <f aca="false">IFERROR(ROUND(($G136+($H136-$G136)*'Info Strategia'!$B$6)*(1+IF($E136="SI",'Parametri Modello'!$B$7*'Info Strategia'!$B$6,0)),0),"")</f>
        <v>12</v>
      </c>
      <c r="G136" s="27" t="n">
        <f aca="false">IFERROR(ROUND((IF(OR(INDEX('Parametri Modello'!$C$39:$C$42,MATCH($B136,'Parametri Modello'!$A$39:$A$42,0))="",INDEX('Parametri Modello'!$C$39:$C$42,MATCH($B136,'Parametri Modello'!$A$39:$A$42,0))=0),0,($O136/INDEX('Parametri Modello'!$C$39:$C$42,MATCH($B136,'Parametri Modello'!$A$39:$A$42,0)))*(INDEX('Parametri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8</v>
      </c>
      <c r="H136" s="27" t="n">
        <f aca="false">IFERROR(ROUND((IF(OR(INDEX('Parametri Modello'!$C$39:$C$42,MATCH($B136,'Parametri Modello'!$A$39:$A$42,0))="",INDEX('Parametri Modello'!$C$39:$C$42,MATCH($B136,'Parametri Modello'!$A$39:$A$42,0))=0),0,($O136/INDEX('Parametri Modello'!$C$39:$C$42,MATCH($B136,'Parametri Modello'!$A$39:$A$42,0)))*(INDEX('Parametri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13</v>
      </c>
      <c r="I136" s="26" t="n">
        <f aca="false">IFERROR(INDEX('Input Statistiche 2025_26'!$F$3:$F$665,MATCH($A136,'Input Statistiche 2025_26'!$A$3:$A$665,0)),"")</f>
        <v>32</v>
      </c>
      <c r="J136" s="26" t="n">
        <f aca="false">IFERROR(IF($I136="","",MAX(0,38-$I136)),"")</f>
        <v>6</v>
      </c>
      <c r="K136" s="26" t="n">
        <f aca="false">IFERROR(INDEX('Input Statistiche 2025_26'!$I$3:$I$665,MATCH($A136,'Input Statistiche 2025_26'!$A$3:$A$665,0)),"")</f>
        <v>0</v>
      </c>
      <c r="L136" s="26" t="n">
        <f aca="false">IFERROR(INDEX('Input Statistiche 2025_26'!$O$3:$O$665,MATCH($A136,'Input Statistiche 2025_26'!$A$3:$A$665,0)),"")</f>
        <v>0</v>
      </c>
      <c r="M136" s="28"/>
      <c r="N136" s="27" t="n">
        <f aca="false">IFERROR(INDEX('Input Giocatori 2026_27'!$E$3:$E$493,MATCH($A136,'Input Giocatori 2026_27'!$A$3:$A$493,0)),"")</f>
        <v>7</v>
      </c>
      <c r="O136" s="27" t="n">
        <f aca="false">IFERROR(INDEX('Input Giocatori 2026_27'!$G$3:$G$493,MATCH($A136,'Input Giocatori 2026_27'!$A$3:$A$493,0)),"")</f>
        <v>24</v>
      </c>
      <c r="P136" s="26" t="str">
        <f aca="false">IFERROR(IF($O136="","",IF((1-(COUNTIFS($B$2:$B$492,$B136,$O$2:$O$492,"&gt;"&amp;$O136)+1-1)/COUNTIF($B$2:$B$492,$B136))&gt;=0.85,"Top",IF((1-(COUNTIFS($B$2:$B$492,$B136,$O$2:$O$492,"&gt;"&amp;$O136)+1-1)/COUNTIF($B$2:$B$492,$B136))&gt;=0.6,"Buono",IF((1-(COUNTIFS($B$2:$B$492,$B136,$O$2:$O$492,"&gt;"&amp;$O136)+1-1)/COUNTIF($B$2:$B$492,$B136))&gt;=0.3,"Nella Media","Scommessa/Riserva")))),"")</f>
        <v>Top</v>
      </c>
      <c r="Q136" s="29" t="n">
        <f aca="false">IF($D136="",COUNTIF($D$2:$D136,""),"")</f>
        <v>135</v>
      </c>
      <c r="R136" s="29" t="str">
        <f aca="false">IF($D136='Info Lega'!$B$28,COUNTIFS($D$2:$D136,'Info Lega'!$B$28),"")</f>
        <v/>
      </c>
      <c r="S136" s="30" t="n">
        <f aca="false">IFERROR(INDEX('Input Statistiche 2025_26'!$G$3:$G$665,MATCH($A136,'Input Statistiche 2025_26'!$A$3:$A$665,0)),"")</f>
        <v>6.03</v>
      </c>
      <c r="T136" s="30" t="n">
        <f aca="false">IFERROR(INDEX('Input Statistiche 2025_26'!$H$3:$H$665,MATCH($A136,'Input Statistiche 2025_26'!$A$3:$A$665,0)),"")</f>
        <v>5.92</v>
      </c>
      <c r="U136" s="26" t="str">
        <f aca="false">IF(OR('La Mia Rosa'!$O$12="",$D136&lt;&gt;""),"",IF($F136&lt;='La Mia Rosa'!$O$12*'Parametri Modello'!$B$24,"OK",IF($F136&lt;='La Mia Rosa'!$O$12*'Parametri Modello'!$B$25,"Attenzione","Rischio Alto")))</f>
        <v>OK</v>
      </c>
      <c r="V136" s="26" t="n">
        <f aca="false">IFERROR(COUNTIFS($B$2:$B$492,$B136,$O$2:$O$492,"&gt;"&amp;$O136)+1,"")</f>
        <v>26</v>
      </c>
      <c r="W136" s="21" t="n">
        <f aca="false">'Info Lega'!$B$4-SUMIFS($M$2:$M$492,$D$2:$D$492,'Info Lega'!$B$28)</f>
        <v>1000</v>
      </c>
      <c r="X136" s="21" t="n">
        <f aca="false">('Info Lega'!$B$5-COUNTIFS($D$2:$D$492,'Info Lega'!$B$28,$B$2:$B$492,"P"))+('Info Lega'!$B$6-COUNTIFS($D$2:$D$492,'Info Lega'!$B$28,$B$2:$B$492,"D"))+('Info Lega'!$B$7-COUNTIFS($D$2:$D$492,'Info Lega'!$B$28,$B$2:$B$492,"C"))+('Info Lega'!$B$8-COUNTIFS($D$2:$D$492,'Info Lega'!$B$28,$B$2:$B$492,"A"))</f>
        <v>25</v>
      </c>
      <c r="Y136" s="21" t="n">
        <f aca="false">X136*'Parametri Modello'!$B$30</f>
        <v>25</v>
      </c>
      <c r="Z136" s="21" t="n">
        <f aca="false">MAX(0,W136-Y136)</f>
        <v>975</v>
      </c>
      <c r="AA136" s="21" t="n">
        <f aca="false">MIN(F136,Z136)</f>
        <v>12</v>
      </c>
      <c r="AB136" s="21"/>
      <c r="AC136" s="21" t="str">
        <f aca="false">IF(AB136="","",IF(AB136&gt;AA136,"PASS",IF(AB136&lt;=AA136*0.85,"BID","ATTENZIONE")))</f>
        <v/>
      </c>
      <c r="AD136" s="31" t="n">
        <f aca="false">IF(I136="","",ROUND(100*(1-EXP(-I136/30)),0))</f>
        <v>66</v>
      </c>
      <c r="AE136" s="7" t="str">
        <f aca="false">IFERROR(INDEX('Stato Asta'!$G$9:$G$12,MATCH($B136,'Stato Asta'!$A$9:$A$12,0)),"")</f>
        <v>🟡 Attesa rischiosa</v>
      </c>
    </row>
    <row r="137" customFormat="false" ht="14.25" hidden="false" customHeight="true" outlineLevel="0" collapsed="false">
      <c r="A137" s="21" t="n">
        <v>4364</v>
      </c>
      <c r="B137" s="21" t="s">
        <v>45</v>
      </c>
      <c r="C137" s="21" t="s">
        <v>417</v>
      </c>
      <c r="E137" s="26" t="str">
        <f aca="false">IF(COUNTIF('Info Strategia'!$D$2:$D$51,$C137)&gt;0,"SI","NO")</f>
        <v>NO</v>
      </c>
      <c r="F137" s="27" t="n">
        <f aca="false">IFERROR(ROUND(($G137+($H137-$G137)*'Info Strategia'!$B$6)*(1+IF($E137="SI",'Parametri Modello'!$B$7*'Info Strategia'!$B$6,0)),0),"")</f>
        <v>13</v>
      </c>
      <c r="G137" s="27" t="n">
        <f aca="false">IFERROR(ROUND((IF(OR(INDEX('Parametri Modello'!$C$39:$C$42,MATCH($B137,'Parametri Modello'!$A$39:$A$42,0))="",INDEX('Parametri Modello'!$C$39:$C$42,MATCH($B137,'Parametri Modello'!$A$39:$A$42,0))=0),0,($O137/INDEX('Parametri Modello'!$C$39:$C$42,MATCH($B137,'Parametri Modello'!$A$39:$A$42,0)))*(INDEX('Parametri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9</v>
      </c>
      <c r="H137" s="27" t="n">
        <f aca="false">IFERROR(ROUND((IF(OR(INDEX('Parametri Modello'!$C$39:$C$42,MATCH($B137,'Parametri Modello'!$A$39:$A$42,0))="",INDEX('Parametri Modello'!$C$39:$C$42,MATCH($B137,'Parametri Modello'!$A$39:$A$42,0))=0),0,($O137/INDEX('Parametri Modello'!$C$39:$C$42,MATCH($B137,'Parametri Modello'!$A$39:$A$42,0)))*(INDEX('Parametri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15</v>
      </c>
      <c r="I137" s="26" t="n">
        <f aca="false">IFERROR(INDEX('Input Statistiche 2025_26'!$F$3:$F$665,MATCH($A137,'Input Statistiche 2025_26'!$A$3:$A$665,0)),"")</f>
        <v>32</v>
      </c>
      <c r="J137" s="26" t="n">
        <f aca="false">IFERROR(IF($I137="","",MAX(0,38-$I137)),"")</f>
        <v>6</v>
      </c>
      <c r="K137" s="26" t="n">
        <f aca="false">IFERROR(INDEX('Input Statistiche 2025_26'!$I$3:$I$665,MATCH($A137,'Input Statistiche 2025_26'!$A$3:$A$665,0)),"")</f>
        <v>2</v>
      </c>
      <c r="L137" s="26" t="n">
        <f aca="false">IFERROR(INDEX('Input Statistiche 2025_26'!$O$3:$O$665,MATCH($A137,'Input Statistiche 2025_26'!$A$3:$A$665,0)),"")</f>
        <v>4</v>
      </c>
      <c r="M137" s="28"/>
      <c r="N137" s="27" t="n">
        <f aca="false">IFERROR(INDEX('Input Giocatori 2026_27'!$E$3:$E$493,MATCH($A137,'Input Giocatori 2026_27'!$A$3:$A$493,0)),"")</f>
        <v>7</v>
      </c>
      <c r="O137" s="27" t="n">
        <f aca="false">IFERROR(INDEX('Input Giocatori 2026_27'!$G$3:$G$493,MATCH($A137,'Input Giocatori 2026_27'!$A$3:$A$493,0)),"")</f>
        <v>24</v>
      </c>
      <c r="P137" s="26" t="str">
        <f aca="false">IFERROR(IF($O137="","",IF((1-(COUNTIFS($B$2:$B$492,$B137,$O$2:$O$492,"&gt;"&amp;$O137)+1-1)/COUNTIF($B$2:$B$492,$B137))&gt;=0.85,"Top",IF((1-(COUNTIFS($B$2:$B$492,$B137,$O$2:$O$492,"&gt;"&amp;$O137)+1-1)/COUNTIF($B$2:$B$492,$B137))&gt;=0.6,"Buono",IF((1-(COUNTIFS($B$2:$B$492,$B137,$O$2:$O$492,"&gt;"&amp;$O137)+1-1)/COUNTIF($B$2:$B$492,$B137))&gt;=0.3,"Nella Media","Scommessa/Riserva")))),"")</f>
        <v>Buono</v>
      </c>
      <c r="Q137" s="29" t="n">
        <f aca="false">IF($D137="",COUNTIF($D$2:$D137,""),"")</f>
        <v>136</v>
      </c>
      <c r="R137" s="29" t="str">
        <f aca="false">IF($D137='Info Lega'!$B$28,COUNTIFS($D$2:$D137,'Info Lega'!$B$28),"")</f>
        <v/>
      </c>
      <c r="S137" s="30" t="n">
        <f aca="false">IFERROR(INDEX('Input Statistiche 2025_26'!$G$3:$G$665,MATCH($A137,'Input Statistiche 2025_26'!$A$3:$A$665,0)),"")</f>
        <v>6.06</v>
      </c>
      <c r="T137" s="30" t="n">
        <f aca="false">IFERROR(INDEX('Input Statistiche 2025_26'!$H$3:$H$665,MATCH($A137,'Input Statistiche 2025_26'!$A$3:$A$665,0)),"")</f>
        <v>6.31</v>
      </c>
      <c r="U137" s="26" t="str">
        <f aca="false">IF(OR('La Mia Rosa'!$O$12="",$D137&lt;&gt;""),"",IF($F137&lt;='La Mia Rosa'!$O$12*'Parametri Modello'!$B$24,"OK",IF($F137&lt;='La Mia Rosa'!$O$12*'Parametri Modello'!$B$25,"Attenzione","Rischio Alto")))</f>
        <v>OK</v>
      </c>
      <c r="V137" s="26" t="n">
        <f aca="false">IFERROR(COUNTIFS($B$2:$B$492,$B137,$O$2:$O$492,"&gt;"&amp;$O137)+1,"")</f>
        <v>51</v>
      </c>
      <c r="W137" s="21" t="n">
        <f aca="false">'Info Lega'!$B$4-SUMIFS($M$2:$M$492,$D$2:$D$492,'Info Lega'!$B$28)</f>
        <v>1000</v>
      </c>
      <c r="X137" s="21" t="n">
        <f aca="false">('Info Lega'!$B$5-COUNTIFS($D$2:$D$492,'Info Lega'!$B$28,$B$2:$B$492,"P"))+('Info Lega'!$B$6-COUNTIFS($D$2:$D$492,'Info Lega'!$B$28,$B$2:$B$492,"D"))+('Info Lega'!$B$7-COUNTIFS($D$2:$D$492,'Info Lega'!$B$28,$B$2:$B$492,"C"))+('Info Lega'!$B$8-COUNTIFS($D$2:$D$492,'Info Lega'!$B$28,$B$2:$B$492,"A"))</f>
        <v>25</v>
      </c>
      <c r="Y137" s="21" t="n">
        <f aca="false">X137*'Parametri Modello'!$B$30</f>
        <v>25</v>
      </c>
      <c r="Z137" s="21" t="n">
        <f aca="false">MAX(0,W137-Y137)</f>
        <v>975</v>
      </c>
      <c r="AA137" s="21" t="n">
        <f aca="false">MIN(F137,Z137)</f>
        <v>13</v>
      </c>
      <c r="AB137" s="21"/>
      <c r="AC137" s="21" t="str">
        <f aca="false">IF(AB137="","",IF(AB137&gt;AA137,"PASS",IF(AB137&lt;=AA137*0.85,"BID","ATTENZIONE")))</f>
        <v/>
      </c>
      <c r="AD137" s="31" t="n">
        <f aca="false">IF(I137="","",ROUND(100*(1-EXP(-I137/30)),0))</f>
        <v>66</v>
      </c>
      <c r="AE137" s="7" t="str">
        <f aca="false">IFERROR(INDEX('Stato Asta'!$G$9:$G$12,MATCH($B137,'Stato Asta'!$A$9:$A$12,0)),"")</f>
        <v>🟡 Attesa rischiosa</v>
      </c>
    </row>
    <row r="138" customFormat="false" ht="14.25" hidden="false" customHeight="true" outlineLevel="0" collapsed="false">
      <c r="A138" s="21" t="n">
        <v>4359</v>
      </c>
      <c r="B138" s="21" t="s">
        <v>46</v>
      </c>
      <c r="C138" s="21" t="s">
        <v>579</v>
      </c>
      <c r="E138" s="26" t="str">
        <f aca="false">IF(COUNTIF('Info Strategia'!$D$2:$D$51,$C138)&gt;0,"SI","NO")</f>
        <v>NO</v>
      </c>
      <c r="F138" s="27" t="n">
        <f aca="false">IFERROR(ROUND(($G138+($H138-$G138)*'Info Strategia'!$B$6)*(1+IF($E138="SI",'Parametri Modello'!$B$7*'Info Strategia'!$B$6,0)),0),"")</f>
        <v>21</v>
      </c>
      <c r="G138" s="27" t="n">
        <f aca="false">IFERROR(ROUND((IF(OR(INDEX('Parametri Modello'!$C$39:$C$42,MATCH($B138,'Parametri Modello'!$A$39:$A$42,0))="",INDEX('Parametri Modello'!$C$39:$C$42,MATCH($B138,'Parametri Modello'!$A$39:$A$42,0))=0),0,($O138/INDEX('Parametri Modello'!$C$39:$C$42,MATCH($B138,'Parametri Modello'!$A$39:$A$42,0)))*(INDEX('Parametri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13</v>
      </c>
      <c r="H138" s="27" t="n">
        <f aca="false">IFERROR(ROUND((IF(OR(INDEX('Parametri Modello'!$C$39:$C$42,MATCH($B138,'Parametri Modello'!$A$39:$A$42,0))="",INDEX('Parametri Modello'!$C$39:$C$42,MATCH($B138,'Parametri Modello'!$A$39:$A$42,0))=0),0,($O138/INDEX('Parametri Modello'!$C$39:$C$42,MATCH($B138,'Parametri Modello'!$A$39:$A$42,0)))*(INDEX('Parametri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24</v>
      </c>
      <c r="I138" s="26" t="n">
        <f aca="false">IFERROR(INDEX('Input Statistiche 2025_26'!$F$3:$F$665,MATCH($A138,'Input Statistiche 2025_26'!$A$3:$A$665,0)),"")</f>
        <v>27</v>
      </c>
      <c r="J138" s="26" t="n">
        <f aca="false">IFERROR(IF($I138="","",MAX(0,38-$I138)),"")</f>
        <v>11</v>
      </c>
      <c r="K138" s="26" t="n">
        <f aca="false">IFERROR(INDEX('Input Statistiche 2025_26'!$I$3:$I$665,MATCH($A138,'Input Statistiche 2025_26'!$A$3:$A$665,0)),"")</f>
        <v>4</v>
      </c>
      <c r="L138" s="26" t="n">
        <f aca="false">IFERROR(INDEX('Input Statistiche 2025_26'!$O$3:$O$665,MATCH($A138,'Input Statistiche 2025_26'!$A$3:$A$665,0)),"")</f>
        <v>1</v>
      </c>
      <c r="M138" s="28"/>
      <c r="N138" s="27" t="n">
        <f aca="false">IFERROR(INDEX('Input Giocatori 2026_27'!$E$3:$E$493,MATCH($A138,'Input Giocatori 2026_27'!$A$3:$A$493,0)),"")</f>
        <v>8</v>
      </c>
      <c r="O138" s="27" t="n">
        <f aca="false">IFERROR(INDEX('Input Giocatori 2026_27'!$G$3:$G$493,MATCH($A138,'Input Giocatori 2026_27'!$A$3:$A$493,0)),"")</f>
        <v>24</v>
      </c>
      <c r="P138" s="26" t="str">
        <f aca="false">IFERROR(IF($O138="","",IF((1-(COUNTIFS($B$2:$B$492,$B138,$O$2:$O$492,"&gt;"&amp;$O138)+1-1)/COUNTIF($B$2:$B$492,$B138))&gt;=0.85,"Top",IF((1-(COUNTIFS($B$2:$B$492,$B138,$O$2:$O$492,"&gt;"&amp;$O138)+1-1)/COUNTIF($B$2:$B$492,$B138))&gt;=0.6,"Buono",IF((1-(COUNTIFS($B$2:$B$492,$B138,$O$2:$O$492,"&gt;"&amp;$O138)+1-1)/COUNTIF($B$2:$B$492,$B138))&gt;=0.3,"Nella Media","Scommessa/Riserva")))),"")</f>
        <v>Nella Media</v>
      </c>
      <c r="Q138" s="29" t="n">
        <f aca="false">IF($D138="",COUNTIF($D$2:$D138,""),"")</f>
        <v>137</v>
      </c>
      <c r="R138" s="29" t="str">
        <f aca="false">IF($D138='Info Lega'!$B$28,COUNTIFS($D$2:$D138,'Info Lega'!$B$28),"")</f>
        <v/>
      </c>
      <c r="S138" s="30" t="n">
        <f aca="false">IFERROR(INDEX('Input Statistiche 2025_26'!$G$3:$G$665,MATCH($A138,'Input Statistiche 2025_26'!$A$3:$A$665,0)),"")</f>
        <v>5.78</v>
      </c>
      <c r="T138" s="30" t="n">
        <f aca="false">IFERROR(INDEX('Input Statistiche 2025_26'!$H$3:$H$665,MATCH($A138,'Input Statistiche 2025_26'!$A$3:$A$665,0)),"")</f>
        <v>6.24</v>
      </c>
      <c r="U138" s="26" t="str">
        <f aca="false">IF(OR('La Mia Rosa'!$O$12="",$D138&lt;&gt;""),"",IF($F138&lt;='La Mia Rosa'!$O$12*'Parametri Modello'!$B$24,"OK",IF($F138&lt;='La Mia Rosa'!$O$12*'Parametri Modello'!$B$25,"Attenzione","Rischio Alto")))</f>
        <v>OK</v>
      </c>
      <c r="V138" s="26" t="n">
        <f aca="false">IFERROR(COUNTIFS($B$2:$B$492,$B138,$O$2:$O$492,"&gt;"&amp;$O138)+1,"")</f>
        <v>43</v>
      </c>
      <c r="W138" s="21" t="n">
        <f aca="false">'Info Lega'!$B$4-SUMIFS($M$2:$M$492,$D$2:$D$492,'Info Lega'!$B$28)</f>
        <v>1000</v>
      </c>
      <c r="X138" s="21" t="n">
        <f aca="false">('Info Lega'!$B$5-COUNTIFS($D$2:$D$492,'Info Lega'!$B$28,$B$2:$B$492,"P"))+('Info Lega'!$B$6-COUNTIFS($D$2:$D$492,'Info Lega'!$B$28,$B$2:$B$492,"D"))+('Info Lega'!$B$7-COUNTIFS($D$2:$D$492,'Info Lega'!$B$28,$B$2:$B$492,"C"))+('Info Lega'!$B$8-COUNTIFS($D$2:$D$492,'Info Lega'!$B$28,$B$2:$B$492,"A"))</f>
        <v>25</v>
      </c>
      <c r="Y138" s="21" t="n">
        <f aca="false">X138*'Parametri Modello'!$B$30</f>
        <v>25</v>
      </c>
      <c r="Z138" s="21" t="n">
        <f aca="false">MAX(0,W138-Y138)</f>
        <v>975</v>
      </c>
      <c r="AA138" s="21" t="n">
        <f aca="false">MIN(F138,Z138)</f>
        <v>21</v>
      </c>
      <c r="AB138" s="21"/>
      <c r="AC138" s="21" t="str">
        <f aca="false">IF(AB138="","",IF(AB138&gt;AA138,"PASS",IF(AB138&lt;=AA138*0.85,"BID","ATTENZIONE")))</f>
        <v/>
      </c>
      <c r="AD138" s="31" t="n">
        <f aca="false">IF(I138="","",ROUND(100*(1-EXP(-I138/30)),0))</f>
        <v>59</v>
      </c>
      <c r="AE138" s="7" t="str">
        <f aca="false">IFERROR(INDEX('Stato Asta'!$G$9:$G$12,MATCH($B138,'Stato Asta'!$A$9:$A$12,0)),"")</f>
        <v>🔴 Non aspettare</v>
      </c>
    </row>
    <row r="139" customFormat="false" ht="14.25" hidden="false" customHeight="true" outlineLevel="0" collapsed="false">
      <c r="A139" s="21" t="n">
        <v>5436</v>
      </c>
      <c r="B139" s="21" t="s">
        <v>46</v>
      </c>
      <c r="C139" s="21" t="s">
        <v>583</v>
      </c>
      <c r="E139" s="26" t="str">
        <f aca="false">IF(COUNTIF('Info Strategia'!$D$2:$D$51,$C139)&gt;0,"SI","NO")</f>
        <v>NO</v>
      </c>
      <c r="F139" s="27" t="n">
        <f aca="false">IFERROR(ROUND(($G139+($H139-$G139)*'Info Strategia'!$B$6)*(1+IF($E139="SI",'Parametri Modello'!$B$7*'Info Strategia'!$B$6,0)),0),"")</f>
        <v>21</v>
      </c>
      <c r="G139" s="27" t="n">
        <f aca="false">IFERROR(ROUND((IF(OR(INDEX('Parametri Modello'!$C$39:$C$42,MATCH($B139,'Parametri Modello'!$A$39:$A$42,0))="",INDEX('Parametri Modello'!$C$39:$C$42,MATCH($B139,'Parametri Modello'!$A$39:$A$42,0))=0),0,($O139/INDEX('Parametri Modello'!$C$39:$C$42,MATCH($B139,'Parametri Modello'!$A$39:$A$42,0)))*(INDEX('Parametri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13</v>
      </c>
      <c r="H139" s="27" t="n">
        <f aca="false">IFERROR(ROUND((IF(OR(INDEX('Parametri Modello'!$C$39:$C$42,MATCH($B139,'Parametri Modello'!$A$39:$A$42,0))="",INDEX('Parametri Modello'!$C$39:$C$42,MATCH($B139,'Parametri Modello'!$A$39:$A$42,0))=0),0,($O139/INDEX('Parametri Modello'!$C$39:$C$42,MATCH($B139,'Parametri Modello'!$A$39:$A$42,0)))*(INDEX('Parametri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25</v>
      </c>
      <c r="I139" s="26" t="str">
        <f aca="false">IFERROR(INDEX('Input Statistiche 2025_26'!$F$3:$F$665,MATCH($A139,'Input Statistiche 2025_26'!$A$3:$A$665,0)),"")</f>
        <v/>
      </c>
      <c r="J139" s="26" t="str">
        <f aca="false">IFERROR(IF($I139="","",MAX(0,38-$I139)),"")</f>
        <v/>
      </c>
      <c r="K139" s="26" t="str">
        <f aca="false">IFERROR(INDEX('Input Statistiche 2025_26'!$I$3:$I$665,MATCH($A139,'Input Statistiche 2025_26'!$A$3:$A$665,0)),"")</f>
        <v/>
      </c>
      <c r="L139" s="26" t="str">
        <f aca="false">IFERROR(INDEX('Input Statistiche 2025_26'!$O$3:$O$665,MATCH($A139,'Input Statistiche 2025_26'!$A$3:$A$665,0)),"")</f>
        <v/>
      </c>
      <c r="M139" s="28"/>
      <c r="N139" s="27" t="n">
        <f aca="false">IFERROR(INDEX('Input Giocatori 2026_27'!$E$3:$E$493,MATCH($A139,'Input Giocatori 2026_27'!$A$3:$A$493,0)),"")</f>
        <v>7</v>
      </c>
      <c r="O139" s="27" t="n">
        <f aca="false">IFERROR(INDEX('Input Giocatori 2026_27'!$G$3:$G$493,MATCH($A139,'Input Giocatori 2026_27'!$A$3:$A$493,0)),"")</f>
        <v>24</v>
      </c>
      <c r="P139" s="26" t="str">
        <f aca="false">IFERROR(IF($O139="","",IF((1-(COUNTIFS($B$2:$B$492,$B139,$O$2:$O$492,"&gt;"&amp;$O139)+1-1)/COUNTIF($B$2:$B$492,$B139))&gt;=0.85,"Top",IF((1-(COUNTIFS($B$2:$B$492,$B139,$O$2:$O$492,"&gt;"&amp;$O139)+1-1)/COUNTIF($B$2:$B$492,$B139))&gt;=0.6,"Buono",IF((1-(COUNTIFS($B$2:$B$492,$B139,$O$2:$O$492,"&gt;"&amp;$O139)+1-1)/COUNTIF($B$2:$B$492,$B139))&gt;=0.3,"Nella Media","Scommessa/Riserva")))),"")</f>
        <v>Nella Media</v>
      </c>
      <c r="Q139" s="29" t="n">
        <f aca="false">IF($D139="",COUNTIF($D$2:$D139,""),"")</f>
        <v>138</v>
      </c>
      <c r="R139" s="29" t="str">
        <f aca="false">IF($D139='Info Lega'!$B$28,COUNTIFS($D$2:$D139,'Info Lega'!$B$28),"")</f>
        <v/>
      </c>
      <c r="S139" s="30" t="str">
        <f aca="false">IFERROR(INDEX('Input Statistiche 2025_26'!$G$3:$G$665,MATCH($A139,'Input Statistiche 2025_26'!$A$3:$A$665,0)),"")</f>
        <v/>
      </c>
      <c r="T139" s="30" t="str">
        <f aca="false">IFERROR(INDEX('Input Statistiche 2025_26'!$H$3:$H$665,MATCH($A139,'Input Statistiche 2025_26'!$A$3:$A$665,0)),"")</f>
        <v/>
      </c>
      <c r="U139" s="26" t="str">
        <f aca="false">IF(OR('La Mia Rosa'!$O$12="",$D139&lt;&gt;""),"",IF($F139&lt;='La Mia Rosa'!$O$12*'Parametri Modello'!$B$24,"OK",IF($F139&lt;='La Mia Rosa'!$O$12*'Parametri Modello'!$B$25,"Attenzione","Rischio Alto")))</f>
        <v>OK</v>
      </c>
      <c r="V139" s="26" t="n">
        <f aca="false">IFERROR(COUNTIFS($B$2:$B$492,$B139,$O$2:$O$492,"&gt;"&amp;$O139)+1,"")</f>
        <v>43</v>
      </c>
      <c r="W139" s="21" t="n">
        <f aca="false">'Info Lega'!$B$4-SUMIFS($M$2:$M$492,$D$2:$D$492,'Info Lega'!$B$28)</f>
        <v>1000</v>
      </c>
      <c r="X139" s="21" t="n">
        <f aca="false">('Info Lega'!$B$5-COUNTIFS($D$2:$D$492,'Info Lega'!$B$28,$B$2:$B$492,"P"))+('Info Lega'!$B$6-COUNTIFS($D$2:$D$492,'Info Lega'!$B$28,$B$2:$B$492,"D"))+('Info Lega'!$B$7-COUNTIFS($D$2:$D$492,'Info Lega'!$B$28,$B$2:$B$492,"C"))+('Info Lega'!$B$8-COUNTIFS($D$2:$D$492,'Info Lega'!$B$28,$B$2:$B$492,"A"))</f>
        <v>25</v>
      </c>
      <c r="Y139" s="21" t="n">
        <f aca="false">X139*'Parametri Modello'!$B$30</f>
        <v>25</v>
      </c>
      <c r="Z139" s="21" t="n">
        <f aca="false">MAX(0,W139-Y139)</f>
        <v>975</v>
      </c>
      <c r="AA139" s="21" t="n">
        <f aca="false">MIN(F139,Z139)</f>
        <v>21</v>
      </c>
      <c r="AB139" s="21"/>
      <c r="AC139" s="21" t="str">
        <f aca="false">IF(AB139="","",IF(AB139&gt;AA139,"PASS",IF(AB139&lt;=AA139*0.85,"BID","ATTENZIONE")))</f>
        <v/>
      </c>
      <c r="AD139" s="31" t="str">
        <f aca="false">IF(I139="","",ROUND(100*(1-EXP(-I139/30)),0))</f>
        <v/>
      </c>
      <c r="AE139" s="7" t="str">
        <f aca="false">IFERROR(INDEX('Stato Asta'!$G$9:$G$12,MATCH($B139,'Stato Asta'!$A$9:$A$12,0)),"")</f>
        <v>🔴 Non aspettare</v>
      </c>
    </row>
    <row r="140" customFormat="false" ht="14.25" hidden="false" customHeight="true" outlineLevel="0" collapsed="false">
      <c r="A140" s="21" t="n">
        <v>6531</v>
      </c>
      <c r="B140" s="21" t="s">
        <v>44</v>
      </c>
      <c r="C140" s="21" t="s">
        <v>219</v>
      </c>
      <c r="E140" s="26" t="str">
        <f aca="false">IF(COUNTIF('Info Strategia'!$D$2:$D$51,$C140)&gt;0,"SI","NO")</f>
        <v>NO</v>
      </c>
      <c r="F140" s="27" t="n">
        <f aca="false">IFERROR(ROUND(($G140+($H140-$G140)*'Info Strategia'!$B$6)*(1+IF($E140="SI",'Parametri Modello'!$B$7*'Info Strategia'!$B$6,0)),0),"")</f>
        <v>11</v>
      </c>
      <c r="G140" s="27" t="n">
        <f aca="false">IFERROR(ROUND((IF(OR(INDEX('Parametri Modello'!$C$39:$C$42,MATCH($B140,'Parametri Modello'!$A$39:$A$42,0))="",INDEX('Parametri Modello'!$C$39:$C$42,MATCH($B140,'Parametri Modello'!$A$39:$A$42,0))=0),0,($O140/INDEX('Parametri Modello'!$C$39:$C$42,MATCH($B140,'Parametri Modello'!$A$39:$A$42,0)))*(INDEX('Parametri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8</v>
      </c>
      <c r="H140" s="27" t="n">
        <f aca="false">IFERROR(ROUND((IF(OR(INDEX('Parametri Modello'!$C$39:$C$42,MATCH($B140,'Parametri Modello'!$A$39:$A$42,0))="",INDEX('Parametri Modello'!$C$39:$C$42,MATCH($B140,'Parametri Modello'!$A$39:$A$42,0))=0),0,($O140/INDEX('Parametri Modello'!$C$39:$C$42,MATCH($B140,'Parametri Modello'!$A$39:$A$42,0)))*(INDEX('Parametri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12</v>
      </c>
      <c r="I140" s="26" t="n">
        <f aca="false">IFERROR(INDEX('Input Statistiche 2025_26'!$F$3:$F$665,MATCH($A140,'Input Statistiche 2025_26'!$A$3:$A$665,0)),"")</f>
        <v>1</v>
      </c>
      <c r="J140" s="26" t="n">
        <f aca="false">IFERROR(IF($I140="","",MAX(0,38-$I140)),"")</f>
        <v>37</v>
      </c>
      <c r="K140" s="26" t="n">
        <f aca="false">IFERROR(INDEX('Input Statistiche 2025_26'!$I$3:$I$665,MATCH($A140,'Input Statistiche 2025_26'!$A$3:$A$665,0)),"")</f>
        <v>0</v>
      </c>
      <c r="L140" s="26" t="n">
        <f aca="false">IFERROR(INDEX('Input Statistiche 2025_26'!$O$3:$O$665,MATCH($A140,'Input Statistiche 2025_26'!$A$3:$A$665,0)),"")</f>
        <v>0</v>
      </c>
      <c r="M140" s="28"/>
      <c r="N140" s="27" t="n">
        <f aca="false">IFERROR(INDEX('Input Giocatori 2026_27'!$E$3:$E$493,MATCH($A140,'Input Giocatori 2026_27'!$A$3:$A$493,0)),"")</f>
        <v>8</v>
      </c>
      <c r="O140" s="27" t="n">
        <f aca="false">IFERROR(INDEX('Input Giocatori 2026_27'!$G$3:$G$493,MATCH($A140,'Input Giocatori 2026_27'!$A$3:$A$493,0)),"")</f>
        <v>23</v>
      </c>
      <c r="P140" s="26" t="str">
        <f aca="false">IFERROR(IF($O140="","",IF((1-(COUNTIFS($B$2:$B$492,$B140,$O$2:$O$492,"&gt;"&amp;$O140)+1-1)/COUNTIF($B$2:$B$492,$B140))&gt;=0.85,"Top",IF((1-(COUNTIFS($B$2:$B$492,$B140,$O$2:$O$492,"&gt;"&amp;$O140)+1-1)/COUNTIF($B$2:$B$492,$B140))&gt;=0.6,"Buono",IF((1-(COUNTIFS($B$2:$B$492,$B140,$O$2:$O$492,"&gt;"&amp;$O140)+1-1)/COUNTIF($B$2:$B$492,$B140))&gt;=0.3,"Nella Media","Scommessa/Riserva")))),"")</f>
        <v>Buono</v>
      </c>
      <c r="Q140" s="29" t="n">
        <f aca="false">IF($D140="",COUNTIF($D$2:$D140,""),"")</f>
        <v>139</v>
      </c>
      <c r="R140" s="29" t="str">
        <f aca="false">IF($D140='Info Lega'!$B$28,COUNTIFS($D$2:$D140,'Info Lega'!$B$28),"")</f>
        <v/>
      </c>
      <c r="S140" s="30" t="n">
        <f aca="false">IFERROR(INDEX('Input Statistiche 2025_26'!$G$3:$G$665,MATCH($A140,'Input Statistiche 2025_26'!$A$3:$A$665,0)),"")</f>
        <v>5.5</v>
      </c>
      <c r="T140" s="30" t="n">
        <f aca="false">IFERROR(INDEX('Input Statistiche 2025_26'!$H$3:$H$665,MATCH($A140,'Input Statistiche 2025_26'!$A$3:$A$665,0)),"")</f>
        <v>5</v>
      </c>
      <c r="U140" s="26" t="str">
        <f aca="false">IF(OR('La Mia Rosa'!$O$12="",$D140&lt;&gt;""),"",IF($F140&lt;='La Mia Rosa'!$O$12*'Parametri Modello'!$B$24,"OK",IF($F140&lt;='La Mia Rosa'!$O$12*'Parametri Modello'!$B$25,"Attenzione","Rischio Alto")))</f>
        <v>OK</v>
      </c>
      <c r="V140" s="26" t="n">
        <f aca="false">IFERROR(COUNTIFS($B$2:$B$492,$B140,$O$2:$O$492,"&gt;"&amp;$O140)+1,"")</f>
        <v>31</v>
      </c>
      <c r="W140" s="21" t="n">
        <f aca="false">'Info Lega'!$B$4-SUMIFS($M$2:$M$492,$D$2:$D$492,'Info Lega'!$B$28)</f>
        <v>1000</v>
      </c>
      <c r="X140" s="21" t="n">
        <f aca="false">('Info Lega'!$B$5-COUNTIFS($D$2:$D$492,'Info Lega'!$B$28,$B$2:$B$492,"P"))+('Info Lega'!$B$6-COUNTIFS($D$2:$D$492,'Info Lega'!$B$28,$B$2:$B$492,"D"))+('Info Lega'!$B$7-COUNTIFS($D$2:$D$492,'Info Lega'!$B$28,$B$2:$B$492,"C"))+('Info Lega'!$B$8-COUNTIFS($D$2:$D$492,'Info Lega'!$B$28,$B$2:$B$492,"A"))</f>
        <v>25</v>
      </c>
      <c r="Y140" s="21" t="n">
        <f aca="false">X140*'Parametri Modello'!$B$30</f>
        <v>25</v>
      </c>
      <c r="Z140" s="21" t="n">
        <f aca="false">MAX(0,W140-Y140)</f>
        <v>975</v>
      </c>
      <c r="AA140" s="21" t="n">
        <f aca="false">MIN(F140,Z140)</f>
        <v>11</v>
      </c>
      <c r="AB140" s="21"/>
      <c r="AC140" s="21" t="str">
        <f aca="false">IF(AB140="","",IF(AB140&gt;AA140,"PASS",IF(AB140&lt;=AA140*0.85,"BID","ATTENZIONE")))</f>
        <v/>
      </c>
      <c r="AD140" s="31" t="n">
        <f aca="false">IF(I140="","",ROUND(100*(1-EXP(-I140/30)),0))</f>
        <v>3</v>
      </c>
      <c r="AE140" s="7" t="str">
        <f aca="false">IFERROR(INDEX('Stato Asta'!$G$9:$G$12,MATCH($B140,'Stato Asta'!$A$9:$A$12,0)),"")</f>
        <v>🟡 Attesa rischiosa</v>
      </c>
    </row>
    <row r="141" customFormat="false" ht="14.25" hidden="false" customHeight="true" outlineLevel="0" collapsed="false">
      <c r="A141" s="21" t="n">
        <v>7414</v>
      </c>
      <c r="B141" s="21" t="s">
        <v>44</v>
      </c>
      <c r="C141" s="21" t="s">
        <v>230</v>
      </c>
      <c r="E141" s="26" t="str">
        <f aca="false">IF(COUNTIF('Info Strategia'!$D$2:$D$51,$C141)&gt;0,"SI","NO")</f>
        <v>NO</v>
      </c>
      <c r="F141" s="27" t="n">
        <f aca="false">IFERROR(ROUND(($G141+($H141-$G141)*'Info Strategia'!$B$6)*(1+IF($E141="SI",'Parametri Modello'!$B$7*'Info Strategia'!$B$6,0)),0),"")</f>
        <v>11</v>
      </c>
      <c r="G141" s="27" t="n">
        <f aca="false">IFERROR(ROUND((IF(OR(INDEX('Parametri Modello'!$C$39:$C$42,MATCH($B141,'Parametri Modello'!$A$39:$A$42,0))="",INDEX('Parametri Modello'!$C$39:$C$42,MATCH($B141,'Parametri Modello'!$A$39:$A$42,0))=0),0,($O141/INDEX('Parametri Modello'!$C$39:$C$42,MATCH($B141,'Parametri Modello'!$A$39:$A$42,0)))*(INDEX('Parametri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8</v>
      </c>
      <c r="H141" s="27" t="n">
        <f aca="false">IFERROR(ROUND((IF(OR(INDEX('Parametri Modello'!$C$39:$C$42,MATCH($B141,'Parametri Modello'!$A$39:$A$42,0))="",INDEX('Parametri Modello'!$C$39:$C$42,MATCH($B141,'Parametri Modello'!$A$39:$A$42,0))=0),0,($O141/INDEX('Parametri Modello'!$C$39:$C$42,MATCH($B141,'Parametri Modello'!$A$39:$A$42,0)))*(INDEX('Parametri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12</v>
      </c>
      <c r="I141" s="26" t="str">
        <f aca="false">IFERROR(INDEX('Input Statistiche 2025_26'!$F$3:$F$665,MATCH($A141,'Input Statistiche 2025_26'!$A$3:$A$665,0)),"")</f>
        <v/>
      </c>
      <c r="J141" s="26" t="str">
        <f aca="false">IFERROR(IF($I141="","",MAX(0,38-$I141)),"")</f>
        <v/>
      </c>
      <c r="K141" s="26" t="str">
        <f aca="false">IFERROR(INDEX('Input Statistiche 2025_26'!$I$3:$I$665,MATCH($A141,'Input Statistiche 2025_26'!$A$3:$A$665,0)),"")</f>
        <v/>
      </c>
      <c r="L141" s="26" t="str">
        <f aca="false">IFERROR(INDEX('Input Statistiche 2025_26'!$O$3:$O$665,MATCH($A141,'Input Statistiche 2025_26'!$A$3:$A$665,0)),"")</f>
        <v/>
      </c>
      <c r="M141" s="28"/>
      <c r="N141" s="27" t="n">
        <f aca="false">IFERROR(INDEX('Input Giocatori 2026_27'!$E$3:$E$493,MATCH($A141,'Input Giocatori 2026_27'!$A$3:$A$493,0)),"")</f>
        <v>7</v>
      </c>
      <c r="O141" s="27" t="n">
        <f aca="false">IFERROR(INDEX('Input Giocatori 2026_27'!$G$3:$G$493,MATCH($A141,'Input Giocatori 2026_27'!$A$3:$A$493,0)),"")</f>
        <v>23</v>
      </c>
      <c r="P141" s="26" t="str">
        <f aca="false">IFERROR(IF($O141="","",IF((1-(COUNTIFS($B$2:$B$492,$B141,$O$2:$O$492,"&gt;"&amp;$O141)+1-1)/COUNTIF($B$2:$B$492,$B141))&gt;=0.85,"Top",IF((1-(COUNTIFS($B$2:$B$492,$B141,$O$2:$O$492,"&gt;"&amp;$O141)+1-1)/COUNTIF($B$2:$B$492,$B141))&gt;=0.6,"Buono",IF((1-(COUNTIFS($B$2:$B$492,$B141,$O$2:$O$492,"&gt;"&amp;$O141)+1-1)/COUNTIF($B$2:$B$492,$B141))&gt;=0.3,"Nella Media","Scommessa/Riserva")))),"")</f>
        <v>Buono</v>
      </c>
      <c r="Q141" s="29" t="n">
        <f aca="false">IF($D141="",COUNTIF($D$2:$D141,""),"")</f>
        <v>140</v>
      </c>
      <c r="R141" s="29" t="str">
        <f aca="false">IF($D141='Info Lega'!$B$28,COUNTIFS($D$2:$D141,'Info Lega'!$B$28),"")</f>
        <v/>
      </c>
      <c r="S141" s="30" t="str">
        <f aca="false">IFERROR(INDEX('Input Statistiche 2025_26'!$G$3:$G$665,MATCH($A141,'Input Statistiche 2025_26'!$A$3:$A$665,0)),"")</f>
        <v/>
      </c>
      <c r="T141" s="30" t="str">
        <f aca="false">IFERROR(INDEX('Input Statistiche 2025_26'!$H$3:$H$665,MATCH($A141,'Input Statistiche 2025_26'!$A$3:$A$665,0)),"")</f>
        <v/>
      </c>
      <c r="U141" s="26" t="str">
        <f aca="false">IF(OR('La Mia Rosa'!$O$12="",$D141&lt;&gt;""),"",IF($F141&lt;='La Mia Rosa'!$O$12*'Parametri Modello'!$B$24,"OK",IF($F141&lt;='La Mia Rosa'!$O$12*'Parametri Modello'!$B$25,"Attenzione","Rischio Alto")))</f>
        <v>OK</v>
      </c>
      <c r="V141" s="26" t="n">
        <f aca="false">IFERROR(COUNTIFS($B$2:$B$492,$B141,$O$2:$O$492,"&gt;"&amp;$O141)+1,"")</f>
        <v>31</v>
      </c>
      <c r="W141" s="21" t="n">
        <f aca="false">'Info Lega'!$B$4-SUMIFS($M$2:$M$492,$D$2:$D$492,'Info Lega'!$B$28)</f>
        <v>1000</v>
      </c>
      <c r="X141" s="21" t="n">
        <f aca="false">('Info Lega'!$B$5-COUNTIFS($D$2:$D$492,'Info Lega'!$B$28,$B$2:$B$492,"P"))+('Info Lega'!$B$6-COUNTIFS($D$2:$D$492,'Info Lega'!$B$28,$B$2:$B$492,"D"))+('Info Lega'!$B$7-COUNTIFS($D$2:$D$492,'Info Lega'!$B$28,$B$2:$B$492,"C"))+('Info Lega'!$B$8-COUNTIFS($D$2:$D$492,'Info Lega'!$B$28,$B$2:$B$492,"A"))</f>
        <v>25</v>
      </c>
      <c r="Y141" s="21" t="n">
        <f aca="false">X141*'Parametri Modello'!$B$30</f>
        <v>25</v>
      </c>
      <c r="Z141" s="21" t="n">
        <f aca="false">MAX(0,W141-Y141)</f>
        <v>975</v>
      </c>
      <c r="AA141" s="21" t="n">
        <f aca="false">MIN(F141,Z141)</f>
        <v>11</v>
      </c>
      <c r="AB141" s="21"/>
      <c r="AC141" s="21" t="str">
        <f aca="false">IF(AB141="","",IF(AB141&gt;AA141,"PASS",IF(AB141&lt;=AA141*0.85,"BID","ATTENZIONE")))</f>
        <v/>
      </c>
      <c r="AD141" s="31" t="str">
        <f aca="false">IF(I141="","",ROUND(100*(1-EXP(-I141/30)),0))</f>
        <v/>
      </c>
      <c r="AE141" s="7" t="str">
        <f aca="false">IFERROR(INDEX('Stato Asta'!$G$9:$G$12,MATCH($B141,'Stato Asta'!$A$9:$A$12,0)),"")</f>
        <v>🟡 Attesa rischiosa</v>
      </c>
    </row>
    <row r="142" customFormat="false" ht="14.25" hidden="false" customHeight="true" outlineLevel="0" collapsed="false">
      <c r="A142" s="21" t="n">
        <v>4401</v>
      </c>
      <c r="B142" s="21" t="s">
        <v>44</v>
      </c>
      <c r="C142" s="21" t="s">
        <v>235</v>
      </c>
      <c r="E142" s="26" t="str">
        <f aca="false">IF(COUNTIF('Info Strategia'!$D$2:$D$51,$C142)&gt;0,"SI","NO")</f>
        <v>NO</v>
      </c>
      <c r="F142" s="27" t="n">
        <f aca="false">IFERROR(ROUND(($G142+($H142-$G142)*'Info Strategia'!$B$6)*(1+IF($E142="SI",'Parametri Modello'!$B$7*'Info Strategia'!$B$6,0)),0),"")</f>
        <v>11</v>
      </c>
      <c r="G142" s="27" t="n">
        <f aca="false">IFERROR(ROUND((IF(OR(INDEX('Parametri Modello'!$C$39:$C$42,MATCH($B142,'Parametri Modello'!$A$39:$A$42,0))="",INDEX('Parametri Modello'!$C$39:$C$42,MATCH($B142,'Parametri Modello'!$A$39:$A$42,0))=0),0,($O142/INDEX('Parametri Modello'!$C$39:$C$42,MATCH($B142,'Parametri Modello'!$A$39:$A$42,0)))*(INDEX('Parametri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8</v>
      </c>
      <c r="H142" s="27" t="n">
        <f aca="false">IFERROR(ROUND((IF(OR(INDEX('Parametri Modello'!$C$39:$C$42,MATCH($B142,'Parametri Modello'!$A$39:$A$42,0))="",INDEX('Parametri Modello'!$C$39:$C$42,MATCH($B142,'Parametri Modello'!$A$39:$A$42,0))=0),0,($O142/INDEX('Parametri Modello'!$C$39:$C$42,MATCH($B142,'Parametri Modello'!$A$39:$A$42,0)))*(INDEX('Parametri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12</v>
      </c>
      <c r="I142" s="26" t="n">
        <f aca="false">IFERROR(INDEX('Input Statistiche 2025_26'!$F$3:$F$665,MATCH($A142,'Input Statistiche 2025_26'!$A$3:$A$665,0)),"")</f>
        <v>29</v>
      </c>
      <c r="J142" s="26" t="n">
        <f aca="false">IFERROR(IF($I142="","",MAX(0,38-$I142)),"")</f>
        <v>9</v>
      </c>
      <c r="K142" s="26" t="n">
        <f aca="false">IFERROR(INDEX('Input Statistiche 2025_26'!$I$3:$I$665,MATCH($A142,'Input Statistiche 2025_26'!$A$3:$A$665,0)),"")</f>
        <v>0</v>
      </c>
      <c r="L142" s="26" t="n">
        <f aca="false">IFERROR(INDEX('Input Statistiche 2025_26'!$O$3:$O$665,MATCH($A142,'Input Statistiche 2025_26'!$A$3:$A$665,0)),"")</f>
        <v>0</v>
      </c>
      <c r="M142" s="28"/>
      <c r="N142" s="27" t="n">
        <f aca="false">IFERROR(INDEX('Input Giocatori 2026_27'!$E$3:$E$493,MATCH($A142,'Input Giocatori 2026_27'!$A$3:$A$493,0)),"")</f>
        <v>7</v>
      </c>
      <c r="O142" s="27" t="n">
        <f aca="false">IFERROR(INDEX('Input Giocatori 2026_27'!$G$3:$G$493,MATCH($A142,'Input Giocatori 2026_27'!$A$3:$A$493,0)),"")</f>
        <v>23</v>
      </c>
      <c r="P142" s="26" t="str">
        <f aca="false">IFERROR(IF($O142="","",IF((1-(COUNTIFS($B$2:$B$492,$B142,$O$2:$O$492,"&gt;"&amp;$O142)+1-1)/COUNTIF($B$2:$B$492,$B142))&gt;=0.85,"Top",IF((1-(COUNTIFS($B$2:$B$492,$B142,$O$2:$O$492,"&gt;"&amp;$O142)+1-1)/COUNTIF($B$2:$B$492,$B142))&gt;=0.6,"Buono",IF((1-(COUNTIFS($B$2:$B$492,$B142,$O$2:$O$492,"&gt;"&amp;$O142)+1-1)/COUNTIF($B$2:$B$492,$B142))&gt;=0.3,"Nella Media","Scommessa/Riserva")))),"")</f>
        <v>Buono</v>
      </c>
      <c r="Q142" s="29" t="n">
        <f aca="false">IF($D142="",COUNTIF($D$2:$D142,""),"")</f>
        <v>141</v>
      </c>
      <c r="R142" s="29" t="str">
        <f aca="false">IF($D142='Info Lega'!$B$28,COUNTIFS($D$2:$D142,'Info Lega'!$B$28),"")</f>
        <v/>
      </c>
      <c r="S142" s="30" t="n">
        <f aca="false">IFERROR(INDEX('Input Statistiche 2025_26'!$G$3:$G$665,MATCH($A142,'Input Statistiche 2025_26'!$A$3:$A$665,0)),"")</f>
        <v>5.91</v>
      </c>
      <c r="T142" s="30" t="n">
        <f aca="false">IFERROR(INDEX('Input Statistiche 2025_26'!$H$3:$H$665,MATCH($A142,'Input Statistiche 2025_26'!$A$3:$A$665,0)),"")</f>
        <v>5.84</v>
      </c>
      <c r="U142" s="26" t="str">
        <f aca="false">IF(OR('La Mia Rosa'!$O$12="",$D142&lt;&gt;""),"",IF($F142&lt;='La Mia Rosa'!$O$12*'Parametri Modello'!$B$24,"OK",IF($F142&lt;='La Mia Rosa'!$O$12*'Parametri Modello'!$B$25,"Attenzione","Rischio Alto")))</f>
        <v>OK</v>
      </c>
      <c r="V142" s="26" t="n">
        <f aca="false">IFERROR(COUNTIFS($B$2:$B$492,$B142,$O$2:$O$492,"&gt;"&amp;$O142)+1,"")</f>
        <v>31</v>
      </c>
      <c r="W142" s="21" t="n">
        <f aca="false">'Info Lega'!$B$4-SUMIFS($M$2:$M$492,$D$2:$D$492,'Info Lega'!$B$28)</f>
        <v>1000</v>
      </c>
      <c r="X142" s="21" t="n">
        <f aca="false">('Info Lega'!$B$5-COUNTIFS($D$2:$D$492,'Info Lega'!$B$28,$B$2:$B$492,"P"))+('Info Lega'!$B$6-COUNTIFS($D$2:$D$492,'Info Lega'!$B$28,$B$2:$B$492,"D"))+('Info Lega'!$B$7-COUNTIFS($D$2:$D$492,'Info Lega'!$B$28,$B$2:$B$492,"C"))+('Info Lega'!$B$8-COUNTIFS($D$2:$D$492,'Info Lega'!$B$28,$B$2:$B$492,"A"))</f>
        <v>25</v>
      </c>
      <c r="Y142" s="21" t="n">
        <f aca="false">X142*'Parametri Modello'!$B$30</f>
        <v>25</v>
      </c>
      <c r="Z142" s="21" t="n">
        <f aca="false">MAX(0,W142-Y142)</f>
        <v>975</v>
      </c>
      <c r="AA142" s="21" t="n">
        <f aca="false">MIN(F142,Z142)</f>
        <v>11</v>
      </c>
      <c r="AB142" s="21"/>
      <c r="AC142" s="21" t="str">
        <f aca="false">IF(AB142="","",IF(AB142&gt;AA142,"PASS",IF(AB142&lt;=AA142*0.85,"BID","ATTENZIONE")))</f>
        <v/>
      </c>
      <c r="AD142" s="31" t="n">
        <f aca="false">IF(I142="","",ROUND(100*(1-EXP(-I142/30)),0))</f>
        <v>62</v>
      </c>
      <c r="AE142" s="7" t="str">
        <f aca="false">IFERROR(INDEX('Stato Asta'!$G$9:$G$12,MATCH($B142,'Stato Asta'!$A$9:$A$12,0)),"")</f>
        <v>🟡 Attesa rischiosa</v>
      </c>
    </row>
    <row r="143" customFormat="false" ht="14.25" hidden="false" customHeight="true" outlineLevel="0" collapsed="false">
      <c r="A143" s="21" t="n">
        <v>4465</v>
      </c>
      <c r="B143" s="21" t="s">
        <v>45</v>
      </c>
      <c r="C143" s="21" t="s">
        <v>409</v>
      </c>
      <c r="E143" s="26" t="str">
        <f aca="false">IF(COUNTIF('Info Strategia'!$D$2:$D$51,$C143)&gt;0,"SI","NO")</f>
        <v>NO</v>
      </c>
      <c r="F143" s="27" t="n">
        <f aca="false">IFERROR(ROUND(($G143+($H143-$G143)*'Info Strategia'!$B$6)*(1+IF($E143="SI",'Parametri Modello'!$B$7*'Info Strategia'!$B$6,0)),0),"")</f>
        <v>13</v>
      </c>
      <c r="G143" s="27" t="n">
        <f aca="false">IFERROR(ROUND((IF(OR(INDEX('Parametri Modello'!$C$39:$C$42,MATCH($B143,'Parametri Modello'!$A$39:$A$42,0))="",INDEX('Parametri Modello'!$C$39:$C$42,MATCH($B143,'Parametri Modello'!$A$39:$A$42,0))=0),0,($O143/INDEX('Parametri Modello'!$C$39:$C$42,MATCH($B143,'Parametri Modello'!$A$39:$A$42,0)))*(INDEX('Parametri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9</v>
      </c>
      <c r="H143" s="27" t="n">
        <f aca="false">IFERROR(ROUND((IF(OR(INDEX('Parametri Modello'!$C$39:$C$42,MATCH($B143,'Parametri Modello'!$A$39:$A$42,0))="",INDEX('Parametri Modello'!$C$39:$C$42,MATCH($B143,'Parametri Modello'!$A$39:$A$42,0))=0),0,($O143/INDEX('Parametri Modello'!$C$39:$C$42,MATCH($B143,'Parametri Modello'!$A$39:$A$42,0)))*(INDEX('Parametri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14</v>
      </c>
      <c r="I143" s="26" t="n">
        <f aca="false">IFERROR(INDEX('Input Statistiche 2025_26'!$F$3:$F$665,MATCH($A143,'Input Statistiche 2025_26'!$A$3:$A$665,0)),"")</f>
        <v>33</v>
      </c>
      <c r="J143" s="26" t="n">
        <f aca="false">IFERROR(IF($I143="","",MAX(0,38-$I143)),"")</f>
        <v>5</v>
      </c>
      <c r="K143" s="26" t="n">
        <f aca="false">IFERROR(INDEX('Input Statistiche 2025_26'!$I$3:$I$665,MATCH($A143,'Input Statistiche 2025_26'!$A$3:$A$665,0)),"")</f>
        <v>2</v>
      </c>
      <c r="L143" s="26" t="n">
        <f aca="false">IFERROR(INDEX('Input Statistiche 2025_26'!$O$3:$O$665,MATCH($A143,'Input Statistiche 2025_26'!$A$3:$A$665,0)),"")</f>
        <v>3</v>
      </c>
      <c r="M143" s="28"/>
      <c r="N143" s="27" t="n">
        <f aca="false">IFERROR(INDEX('Input Giocatori 2026_27'!$E$3:$E$493,MATCH($A143,'Input Giocatori 2026_27'!$A$3:$A$493,0)),"")</f>
        <v>8</v>
      </c>
      <c r="O143" s="27" t="n">
        <f aca="false">IFERROR(INDEX('Input Giocatori 2026_27'!$G$3:$G$493,MATCH($A143,'Input Giocatori 2026_27'!$A$3:$A$493,0)),"")</f>
        <v>23</v>
      </c>
      <c r="P143" s="26" t="str">
        <f aca="false">IFERROR(IF($O143="","",IF((1-(COUNTIFS($B$2:$B$492,$B143,$O$2:$O$492,"&gt;"&amp;$O143)+1-1)/COUNTIF($B$2:$B$492,$B143))&gt;=0.85,"Top",IF((1-(COUNTIFS($B$2:$B$492,$B143,$O$2:$O$492,"&gt;"&amp;$O143)+1-1)/COUNTIF($B$2:$B$492,$B143))&gt;=0.6,"Buono",IF((1-(COUNTIFS($B$2:$B$492,$B143,$O$2:$O$492,"&gt;"&amp;$O143)+1-1)/COUNTIF($B$2:$B$492,$B143))&gt;=0.3,"Nella Media","Scommessa/Riserva")))),"")</f>
        <v>Buono</v>
      </c>
      <c r="Q143" s="29" t="n">
        <f aca="false">IF($D143="",COUNTIF($D$2:$D143,""),"")</f>
        <v>142</v>
      </c>
      <c r="R143" s="29" t="str">
        <f aca="false">IF($D143='Info Lega'!$B$28,COUNTIFS($D$2:$D143,'Info Lega'!$B$28),"")</f>
        <v/>
      </c>
      <c r="S143" s="30" t="n">
        <f aca="false">IFERROR(INDEX('Input Statistiche 2025_26'!$G$3:$G$665,MATCH($A143,'Input Statistiche 2025_26'!$A$3:$A$665,0)),"")</f>
        <v>6.03</v>
      </c>
      <c r="T143" s="30" t="n">
        <f aca="false">IFERROR(INDEX('Input Statistiche 2025_26'!$H$3:$H$665,MATCH($A143,'Input Statistiche 2025_26'!$A$3:$A$665,0)),"")</f>
        <v>6.23</v>
      </c>
      <c r="U143" s="26" t="str">
        <f aca="false">IF(OR('La Mia Rosa'!$O$12="",$D143&lt;&gt;""),"",IF($F143&lt;='La Mia Rosa'!$O$12*'Parametri Modello'!$B$24,"OK",IF($F143&lt;='La Mia Rosa'!$O$12*'Parametri Modello'!$B$25,"Attenzione","Rischio Alto")))</f>
        <v>OK</v>
      </c>
      <c r="V143" s="26" t="n">
        <f aca="false">IFERROR(COUNTIFS($B$2:$B$492,$B143,$O$2:$O$492,"&gt;"&amp;$O143)+1,"")</f>
        <v>52</v>
      </c>
      <c r="W143" s="21" t="n">
        <f aca="false">'Info Lega'!$B$4-SUMIFS($M$2:$M$492,$D$2:$D$492,'Info Lega'!$B$28)</f>
        <v>1000</v>
      </c>
      <c r="X143" s="21" t="n">
        <f aca="false">('Info Lega'!$B$5-COUNTIFS($D$2:$D$492,'Info Lega'!$B$28,$B$2:$B$492,"P"))+('Info Lega'!$B$6-COUNTIFS($D$2:$D$492,'Info Lega'!$B$28,$B$2:$B$492,"D"))+('Info Lega'!$B$7-COUNTIFS($D$2:$D$492,'Info Lega'!$B$28,$B$2:$B$492,"C"))+('Info Lega'!$B$8-COUNTIFS($D$2:$D$492,'Info Lega'!$B$28,$B$2:$B$492,"A"))</f>
        <v>25</v>
      </c>
      <c r="Y143" s="21" t="n">
        <f aca="false">X143*'Parametri Modello'!$B$30</f>
        <v>25</v>
      </c>
      <c r="Z143" s="21" t="n">
        <f aca="false">MAX(0,W143-Y143)</f>
        <v>975</v>
      </c>
      <c r="AA143" s="21" t="n">
        <f aca="false">MIN(F143,Z143)</f>
        <v>13</v>
      </c>
      <c r="AB143" s="21"/>
      <c r="AC143" s="21" t="str">
        <f aca="false">IF(AB143="","",IF(AB143&gt;AA143,"PASS",IF(AB143&lt;=AA143*0.85,"BID","ATTENZIONE")))</f>
        <v/>
      </c>
      <c r="AD143" s="31" t="n">
        <f aca="false">IF(I143="","",ROUND(100*(1-EXP(-I143/30)),0))</f>
        <v>67</v>
      </c>
      <c r="AE143" s="7" t="str">
        <f aca="false">IFERROR(INDEX('Stato Asta'!$G$9:$G$12,MATCH($B143,'Stato Asta'!$A$9:$A$12,0)),"")</f>
        <v>🟡 Attesa rischiosa</v>
      </c>
    </row>
    <row r="144" customFormat="false" ht="14.25" hidden="false" customHeight="true" outlineLevel="0" collapsed="false">
      <c r="A144" s="21" t="n">
        <v>5735</v>
      </c>
      <c r="B144" s="21" t="s">
        <v>45</v>
      </c>
      <c r="C144" s="21" t="s">
        <v>426</v>
      </c>
      <c r="E144" s="26" t="str">
        <f aca="false">IF(COUNTIF('Info Strategia'!$D$2:$D$51,$C144)&gt;0,"SI","NO")</f>
        <v>NO</v>
      </c>
      <c r="F144" s="27" t="n">
        <f aca="false">IFERROR(ROUND(($G144+($H144-$G144)*'Info Strategia'!$B$6)*(1+IF($E144="SI",'Parametri Modello'!$B$7*'Info Strategia'!$B$6,0)),0),"")</f>
        <v>13</v>
      </c>
      <c r="G144" s="27" t="n">
        <f aca="false">IFERROR(ROUND((IF(OR(INDEX('Parametri Modello'!$C$39:$C$42,MATCH($B144,'Parametri Modello'!$A$39:$A$42,0))="",INDEX('Parametri Modello'!$C$39:$C$42,MATCH($B144,'Parametri Modello'!$A$39:$A$42,0))=0),0,($O144/INDEX('Parametri Modello'!$C$39:$C$42,MATCH($B144,'Parametri Modello'!$A$39:$A$42,0)))*(INDEX('Parametri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9</v>
      </c>
      <c r="H144" s="27" t="n">
        <f aca="false">IFERROR(ROUND((IF(OR(INDEX('Parametri Modello'!$C$39:$C$42,MATCH($B144,'Parametri Modello'!$A$39:$A$42,0))="",INDEX('Parametri Modello'!$C$39:$C$42,MATCH($B144,'Parametri Modello'!$A$39:$A$42,0))=0),0,($O144/INDEX('Parametri Modello'!$C$39:$C$42,MATCH($B144,'Parametri Modello'!$A$39:$A$42,0)))*(INDEX('Parametri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14</v>
      </c>
      <c r="I144" s="26" t="n">
        <f aca="false">IFERROR(INDEX('Input Statistiche 2025_26'!$F$3:$F$665,MATCH($A144,'Input Statistiche 2025_26'!$A$3:$A$665,0)),"")</f>
        <v>21</v>
      </c>
      <c r="J144" s="26" t="n">
        <f aca="false">IFERROR(IF($I144="","",MAX(0,38-$I144)),"")</f>
        <v>17</v>
      </c>
      <c r="K144" s="26" t="n">
        <f aca="false">IFERROR(INDEX('Input Statistiche 2025_26'!$I$3:$I$665,MATCH($A144,'Input Statistiche 2025_26'!$A$3:$A$665,0)),"")</f>
        <v>2</v>
      </c>
      <c r="L144" s="26" t="n">
        <f aca="false">IFERROR(INDEX('Input Statistiche 2025_26'!$O$3:$O$665,MATCH($A144,'Input Statistiche 2025_26'!$A$3:$A$665,0)),"")</f>
        <v>4</v>
      </c>
      <c r="M144" s="28"/>
      <c r="N144" s="27" t="n">
        <f aca="false">IFERROR(INDEX('Input Giocatori 2026_27'!$E$3:$E$493,MATCH($A144,'Input Giocatori 2026_27'!$A$3:$A$493,0)),"")</f>
        <v>7</v>
      </c>
      <c r="O144" s="27" t="n">
        <f aca="false">IFERROR(INDEX('Input Giocatori 2026_27'!$G$3:$G$493,MATCH($A144,'Input Giocatori 2026_27'!$A$3:$A$493,0)),"")</f>
        <v>23</v>
      </c>
      <c r="P144" s="26" t="str">
        <f aca="false">IFERROR(IF($O144="","",IF((1-(COUNTIFS($B$2:$B$492,$B144,$O$2:$O$492,"&gt;"&amp;$O144)+1-1)/COUNTIF($B$2:$B$492,$B144))&gt;=0.85,"Top",IF((1-(COUNTIFS($B$2:$B$492,$B144,$O$2:$O$492,"&gt;"&amp;$O144)+1-1)/COUNTIF($B$2:$B$492,$B144))&gt;=0.6,"Buono",IF((1-(COUNTIFS($B$2:$B$492,$B144,$O$2:$O$492,"&gt;"&amp;$O144)+1-1)/COUNTIF($B$2:$B$492,$B144))&gt;=0.3,"Nella Media","Scommessa/Riserva")))),"")</f>
        <v>Buono</v>
      </c>
      <c r="Q144" s="29" t="n">
        <f aca="false">IF($D144="",COUNTIF($D$2:$D144,""),"")</f>
        <v>143</v>
      </c>
      <c r="R144" s="29" t="str">
        <f aca="false">IF($D144='Info Lega'!$B$28,COUNTIFS($D$2:$D144,'Info Lega'!$B$28),"")</f>
        <v/>
      </c>
      <c r="S144" s="30" t="n">
        <f aca="false">IFERROR(INDEX('Input Statistiche 2025_26'!$G$3:$G$665,MATCH($A144,'Input Statistiche 2025_26'!$A$3:$A$665,0)),"")</f>
        <v>6.14</v>
      </c>
      <c r="T144" s="30" t="n">
        <f aca="false">IFERROR(INDEX('Input Statistiche 2025_26'!$H$3:$H$665,MATCH($A144,'Input Statistiche 2025_26'!$A$3:$A$665,0)),"")</f>
        <v>6.52</v>
      </c>
      <c r="U144" s="26" t="str">
        <f aca="false">IF(OR('La Mia Rosa'!$O$12="",$D144&lt;&gt;""),"",IF($F144&lt;='La Mia Rosa'!$O$12*'Parametri Modello'!$B$24,"OK",IF($F144&lt;='La Mia Rosa'!$O$12*'Parametri Modello'!$B$25,"Attenzione","Rischio Alto")))</f>
        <v>OK</v>
      </c>
      <c r="V144" s="26" t="n">
        <f aca="false">IFERROR(COUNTIFS($B$2:$B$492,$B144,$O$2:$O$492,"&gt;"&amp;$O144)+1,"")</f>
        <v>52</v>
      </c>
      <c r="W144" s="21" t="n">
        <f aca="false">'Info Lega'!$B$4-SUMIFS($M$2:$M$492,$D$2:$D$492,'Info Lega'!$B$28)</f>
        <v>1000</v>
      </c>
      <c r="X144" s="21" t="n">
        <f aca="false">('Info Lega'!$B$5-COUNTIFS($D$2:$D$492,'Info Lega'!$B$28,$B$2:$B$492,"P"))+('Info Lega'!$B$6-COUNTIFS($D$2:$D$492,'Info Lega'!$B$28,$B$2:$B$492,"D"))+('Info Lega'!$B$7-COUNTIFS($D$2:$D$492,'Info Lega'!$B$28,$B$2:$B$492,"C"))+('Info Lega'!$B$8-COUNTIFS($D$2:$D$492,'Info Lega'!$B$28,$B$2:$B$492,"A"))</f>
        <v>25</v>
      </c>
      <c r="Y144" s="21" t="n">
        <f aca="false">X144*'Parametri Modello'!$B$30</f>
        <v>25</v>
      </c>
      <c r="Z144" s="21" t="n">
        <f aca="false">MAX(0,W144-Y144)</f>
        <v>975</v>
      </c>
      <c r="AA144" s="21" t="n">
        <f aca="false">MIN(F144,Z144)</f>
        <v>13</v>
      </c>
      <c r="AB144" s="21"/>
      <c r="AC144" s="21" t="str">
        <f aca="false">IF(AB144="","",IF(AB144&gt;AA144,"PASS",IF(AB144&lt;=AA144*0.85,"BID","ATTENZIONE")))</f>
        <v/>
      </c>
      <c r="AD144" s="31" t="n">
        <f aca="false">IF(I144="","",ROUND(100*(1-EXP(-I144/30)),0))</f>
        <v>50</v>
      </c>
      <c r="AE144" s="7" t="str">
        <f aca="false">IFERROR(INDEX('Stato Asta'!$G$9:$G$12,MATCH($B144,'Stato Asta'!$A$9:$A$12,0)),"")</f>
        <v>🟡 Attesa rischiosa</v>
      </c>
    </row>
    <row r="145" customFormat="false" ht="14.25" hidden="false" customHeight="true" outlineLevel="0" collapsed="false">
      <c r="A145" s="21" t="n">
        <v>6783</v>
      </c>
      <c r="B145" s="21" t="s">
        <v>45</v>
      </c>
      <c r="C145" s="21" t="s">
        <v>428</v>
      </c>
      <c r="E145" s="26" t="str">
        <f aca="false">IF(COUNTIF('Info Strategia'!$D$2:$D$51,$C145)&gt;0,"SI","NO")</f>
        <v>NO</v>
      </c>
      <c r="F145" s="27" t="n">
        <f aca="false">IFERROR(ROUND(($G145+($H145-$G145)*'Info Strategia'!$B$6)*(1+IF($E145="SI",'Parametri Modello'!$B$7*'Info Strategia'!$B$6,0)),0),"")</f>
        <v>13</v>
      </c>
      <c r="G145" s="27" t="n">
        <f aca="false">IFERROR(ROUND((IF(OR(INDEX('Parametri Modello'!$C$39:$C$42,MATCH($B145,'Parametri Modello'!$A$39:$A$42,0))="",INDEX('Parametri Modello'!$C$39:$C$42,MATCH($B145,'Parametri Modello'!$A$39:$A$42,0))=0),0,($O145/INDEX('Parametri Modello'!$C$39:$C$42,MATCH($B145,'Parametri Modello'!$A$39:$A$42,0)))*(INDEX('Parametri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9</v>
      </c>
      <c r="H145" s="27" t="n">
        <f aca="false">IFERROR(ROUND((IF(OR(INDEX('Parametri Modello'!$C$39:$C$42,MATCH($B145,'Parametri Modello'!$A$39:$A$42,0))="",INDEX('Parametri Modello'!$C$39:$C$42,MATCH($B145,'Parametri Modello'!$A$39:$A$42,0))=0),0,($O145/INDEX('Parametri Modello'!$C$39:$C$42,MATCH($B145,'Parametri Modello'!$A$39:$A$42,0)))*(INDEX('Parametri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14</v>
      </c>
      <c r="I145" s="26" t="str">
        <f aca="false">IFERROR(INDEX('Input Statistiche 2025_26'!$F$3:$F$665,MATCH($A145,'Input Statistiche 2025_26'!$A$3:$A$665,0)),"")</f>
        <v/>
      </c>
      <c r="J145" s="26" t="str">
        <f aca="false">IFERROR(IF($I145="","",MAX(0,38-$I145)),"")</f>
        <v/>
      </c>
      <c r="K145" s="26" t="str">
        <f aca="false">IFERROR(INDEX('Input Statistiche 2025_26'!$I$3:$I$665,MATCH($A145,'Input Statistiche 2025_26'!$A$3:$A$665,0)),"")</f>
        <v/>
      </c>
      <c r="L145" s="26" t="str">
        <f aca="false">IFERROR(INDEX('Input Statistiche 2025_26'!$O$3:$O$665,MATCH($A145,'Input Statistiche 2025_26'!$A$3:$A$665,0)),"")</f>
        <v/>
      </c>
      <c r="M145" s="28"/>
      <c r="N145" s="27" t="n">
        <f aca="false">IFERROR(INDEX('Input Giocatori 2026_27'!$E$3:$E$493,MATCH($A145,'Input Giocatori 2026_27'!$A$3:$A$493,0)),"")</f>
        <v>7</v>
      </c>
      <c r="O145" s="27" t="n">
        <f aca="false">IFERROR(INDEX('Input Giocatori 2026_27'!$G$3:$G$493,MATCH($A145,'Input Giocatori 2026_27'!$A$3:$A$493,0)),"")</f>
        <v>23</v>
      </c>
      <c r="P145" s="26" t="str">
        <f aca="false">IFERROR(IF($O145="","",IF((1-(COUNTIFS($B$2:$B$492,$B145,$O$2:$O$492,"&gt;"&amp;$O145)+1-1)/COUNTIF($B$2:$B$492,$B145))&gt;=0.85,"Top",IF((1-(COUNTIFS($B$2:$B$492,$B145,$O$2:$O$492,"&gt;"&amp;$O145)+1-1)/COUNTIF($B$2:$B$492,$B145))&gt;=0.6,"Buono",IF((1-(COUNTIFS($B$2:$B$492,$B145,$O$2:$O$492,"&gt;"&amp;$O145)+1-1)/COUNTIF($B$2:$B$492,$B145))&gt;=0.3,"Nella Media","Scommessa/Riserva")))),"")</f>
        <v>Buono</v>
      </c>
      <c r="Q145" s="29" t="n">
        <f aca="false">IF($D145="",COUNTIF($D$2:$D145,""),"")</f>
        <v>144</v>
      </c>
      <c r="R145" s="29" t="str">
        <f aca="false">IF($D145='Info Lega'!$B$28,COUNTIFS($D$2:$D145,'Info Lega'!$B$28),"")</f>
        <v/>
      </c>
      <c r="S145" s="30" t="str">
        <f aca="false">IFERROR(INDEX('Input Statistiche 2025_26'!$G$3:$G$665,MATCH($A145,'Input Statistiche 2025_26'!$A$3:$A$665,0)),"")</f>
        <v/>
      </c>
      <c r="T145" s="30" t="str">
        <f aca="false">IFERROR(INDEX('Input Statistiche 2025_26'!$H$3:$H$665,MATCH($A145,'Input Statistiche 2025_26'!$A$3:$A$665,0)),"")</f>
        <v/>
      </c>
      <c r="U145" s="26" t="str">
        <f aca="false">IF(OR('La Mia Rosa'!$O$12="",$D145&lt;&gt;""),"",IF($F145&lt;='La Mia Rosa'!$O$12*'Parametri Modello'!$B$24,"OK",IF($F145&lt;='La Mia Rosa'!$O$12*'Parametri Modello'!$B$25,"Attenzione","Rischio Alto")))</f>
        <v>OK</v>
      </c>
      <c r="V145" s="26" t="n">
        <f aca="false">IFERROR(COUNTIFS($B$2:$B$492,$B145,$O$2:$O$492,"&gt;"&amp;$O145)+1,"")</f>
        <v>52</v>
      </c>
      <c r="W145" s="21" t="n">
        <f aca="false">'Info Lega'!$B$4-SUMIFS($M$2:$M$492,$D$2:$D$492,'Info Lega'!$B$28)</f>
        <v>1000</v>
      </c>
      <c r="X145" s="21" t="n">
        <f aca="false">('Info Lega'!$B$5-COUNTIFS($D$2:$D$492,'Info Lega'!$B$28,$B$2:$B$492,"P"))+('Info Lega'!$B$6-COUNTIFS($D$2:$D$492,'Info Lega'!$B$28,$B$2:$B$492,"D"))+('Info Lega'!$B$7-COUNTIFS($D$2:$D$492,'Info Lega'!$B$28,$B$2:$B$492,"C"))+('Info Lega'!$B$8-COUNTIFS($D$2:$D$492,'Info Lega'!$B$28,$B$2:$B$492,"A"))</f>
        <v>25</v>
      </c>
      <c r="Y145" s="21" t="n">
        <f aca="false">X145*'Parametri Modello'!$B$30</f>
        <v>25</v>
      </c>
      <c r="Z145" s="21" t="n">
        <f aca="false">MAX(0,W145-Y145)</f>
        <v>975</v>
      </c>
      <c r="AA145" s="21" t="n">
        <f aca="false">MIN(F145,Z145)</f>
        <v>13</v>
      </c>
      <c r="AB145" s="21"/>
      <c r="AC145" s="21" t="str">
        <f aca="false">IF(AB145="","",IF(AB145&gt;AA145,"PASS",IF(AB145&lt;=AA145*0.85,"BID","ATTENZIONE")))</f>
        <v/>
      </c>
      <c r="AD145" s="31" t="str">
        <f aca="false">IF(I145="","",ROUND(100*(1-EXP(-I145/30)),0))</f>
        <v/>
      </c>
      <c r="AE145" s="7" t="str">
        <f aca="false">IFERROR(INDEX('Stato Asta'!$G$9:$G$12,MATCH($B145,'Stato Asta'!$A$9:$A$12,0)),"")</f>
        <v>🟡 Attesa rischiosa</v>
      </c>
    </row>
    <row r="146" customFormat="false" ht="14.25" hidden="false" customHeight="true" outlineLevel="0" collapsed="false">
      <c r="A146" s="21" t="n">
        <v>4686</v>
      </c>
      <c r="B146" s="21" t="s">
        <v>45</v>
      </c>
      <c r="C146" s="21" t="s">
        <v>459</v>
      </c>
      <c r="E146" s="26" t="str">
        <f aca="false">IF(COUNTIF('Info Strategia'!$D$2:$D$51,$C146)&gt;0,"SI","NO")</f>
        <v>NO</v>
      </c>
      <c r="F146" s="27" t="n">
        <f aca="false">IFERROR(ROUND(($G146+($H146-$G146)*'Info Strategia'!$B$6)*(1+IF($E146="SI",'Parametri Modello'!$B$7*'Info Strategia'!$B$6,0)),0),"")</f>
        <v>13</v>
      </c>
      <c r="G146" s="27" t="n">
        <f aca="false">IFERROR(ROUND((IF(OR(INDEX('Parametri Modello'!$C$39:$C$42,MATCH($B146,'Parametri Modello'!$A$39:$A$42,0))="",INDEX('Parametri Modello'!$C$39:$C$42,MATCH($B146,'Parametri Modello'!$A$39:$A$42,0))=0),0,($O146/INDEX('Parametri Modello'!$C$39:$C$42,MATCH($B146,'Parametri Modello'!$A$39:$A$42,0)))*(INDEX('Parametri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9</v>
      </c>
      <c r="H146" s="27" t="n">
        <f aca="false">IFERROR(ROUND((IF(OR(INDEX('Parametri Modello'!$C$39:$C$42,MATCH($B146,'Parametri Modello'!$A$39:$A$42,0))="",INDEX('Parametri Modello'!$C$39:$C$42,MATCH($B146,'Parametri Modello'!$A$39:$A$42,0))=0),0,($O146/INDEX('Parametri Modello'!$C$39:$C$42,MATCH($B146,'Parametri Modello'!$A$39:$A$42,0)))*(INDEX('Parametri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14</v>
      </c>
      <c r="I146" s="26" t="n">
        <f aca="false">IFERROR(INDEX('Input Statistiche 2025_26'!$F$3:$F$665,MATCH($A146,'Input Statistiche 2025_26'!$A$3:$A$665,0)),"")</f>
        <v>33</v>
      </c>
      <c r="J146" s="26" t="n">
        <f aca="false">IFERROR(IF($I146="","",MAX(0,38-$I146)),"")</f>
        <v>5</v>
      </c>
      <c r="K146" s="26" t="n">
        <f aca="false">IFERROR(INDEX('Input Statistiche 2025_26'!$I$3:$I$665,MATCH($A146,'Input Statistiche 2025_26'!$A$3:$A$665,0)),"")</f>
        <v>2</v>
      </c>
      <c r="L146" s="26" t="n">
        <f aca="false">IFERROR(INDEX('Input Statistiche 2025_26'!$O$3:$O$665,MATCH($A146,'Input Statistiche 2025_26'!$A$3:$A$665,0)),"")</f>
        <v>3</v>
      </c>
      <c r="M146" s="28"/>
      <c r="N146" s="27" t="n">
        <f aca="false">IFERROR(INDEX('Input Giocatori 2026_27'!$E$3:$E$493,MATCH($A146,'Input Giocatori 2026_27'!$A$3:$A$493,0)),"")</f>
        <v>5</v>
      </c>
      <c r="O146" s="27" t="n">
        <f aca="false">IFERROR(INDEX('Input Giocatori 2026_27'!$G$3:$G$493,MATCH($A146,'Input Giocatori 2026_27'!$A$3:$A$493,0)),"")</f>
        <v>23</v>
      </c>
      <c r="P146" s="26" t="str">
        <f aca="false">IFERROR(IF($O146="","",IF((1-(COUNTIFS($B$2:$B$492,$B146,$O$2:$O$492,"&gt;"&amp;$O146)+1-1)/COUNTIF($B$2:$B$492,$B146))&gt;=0.85,"Top",IF((1-(COUNTIFS($B$2:$B$492,$B146,$O$2:$O$492,"&gt;"&amp;$O146)+1-1)/COUNTIF($B$2:$B$492,$B146))&gt;=0.6,"Buono",IF((1-(COUNTIFS($B$2:$B$492,$B146,$O$2:$O$492,"&gt;"&amp;$O146)+1-1)/COUNTIF($B$2:$B$492,$B146))&gt;=0.3,"Nella Media","Scommessa/Riserva")))),"")</f>
        <v>Buono</v>
      </c>
      <c r="Q146" s="29" t="n">
        <f aca="false">IF($D146="",COUNTIF($D$2:$D146,""),"")</f>
        <v>145</v>
      </c>
      <c r="R146" s="29" t="str">
        <f aca="false">IF($D146='Info Lega'!$B$28,COUNTIFS($D$2:$D146,'Info Lega'!$B$28),"")</f>
        <v/>
      </c>
      <c r="S146" s="30" t="n">
        <f aca="false">IFERROR(INDEX('Input Statistiche 2025_26'!$G$3:$G$665,MATCH($A146,'Input Statistiche 2025_26'!$A$3:$A$665,0)),"")</f>
        <v>5.85</v>
      </c>
      <c r="T146" s="30" t="n">
        <f aca="false">IFERROR(INDEX('Input Statistiche 2025_26'!$H$3:$H$665,MATCH($A146,'Input Statistiche 2025_26'!$A$3:$A$665,0)),"")</f>
        <v>6.06</v>
      </c>
      <c r="U146" s="26" t="str">
        <f aca="false">IF(OR('La Mia Rosa'!$O$12="",$D146&lt;&gt;""),"",IF($F146&lt;='La Mia Rosa'!$O$12*'Parametri Modello'!$B$24,"OK",IF($F146&lt;='La Mia Rosa'!$O$12*'Parametri Modello'!$B$25,"Attenzione","Rischio Alto")))</f>
        <v>OK</v>
      </c>
      <c r="V146" s="26" t="n">
        <f aca="false">IFERROR(COUNTIFS($B$2:$B$492,$B146,$O$2:$O$492,"&gt;"&amp;$O146)+1,"")</f>
        <v>52</v>
      </c>
      <c r="W146" s="21" t="n">
        <f aca="false">'Info Lega'!$B$4-SUMIFS($M$2:$M$492,$D$2:$D$492,'Info Lega'!$B$28)</f>
        <v>1000</v>
      </c>
      <c r="X146" s="21" t="n">
        <f aca="false">('Info Lega'!$B$5-COUNTIFS($D$2:$D$492,'Info Lega'!$B$28,$B$2:$B$492,"P"))+('Info Lega'!$B$6-COUNTIFS($D$2:$D$492,'Info Lega'!$B$28,$B$2:$B$492,"D"))+('Info Lega'!$B$7-COUNTIFS($D$2:$D$492,'Info Lega'!$B$28,$B$2:$B$492,"C"))+('Info Lega'!$B$8-COUNTIFS($D$2:$D$492,'Info Lega'!$B$28,$B$2:$B$492,"A"))</f>
        <v>25</v>
      </c>
      <c r="Y146" s="21" t="n">
        <f aca="false">X146*'Parametri Modello'!$B$30</f>
        <v>25</v>
      </c>
      <c r="Z146" s="21" t="n">
        <f aca="false">MAX(0,W146-Y146)</f>
        <v>975</v>
      </c>
      <c r="AA146" s="21" t="n">
        <f aca="false">MIN(F146,Z146)</f>
        <v>13</v>
      </c>
      <c r="AB146" s="21"/>
      <c r="AC146" s="21" t="str">
        <f aca="false">IF(AB146="","",IF(AB146&gt;AA146,"PASS",IF(AB146&lt;=AA146*0.85,"BID","ATTENZIONE")))</f>
        <v/>
      </c>
      <c r="AD146" s="31" t="n">
        <f aca="false">IF(I146="","",ROUND(100*(1-EXP(-I146/30)),0))</f>
        <v>67</v>
      </c>
      <c r="AE146" s="7" t="str">
        <f aca="false">IFERROR(INDEX('Stato Asta'!$G$9:$G$12,MATCH($B146,'Stato Asta'!$A$9:$A$12,0)),"")</f>
        <v>🟡 Attesa rischiosa</v>
      </c>
    </row>
    <row r="147" customFormat="false" ht="14.25" hidden="false" customHeight="true" outlineLevel="0" collapsed="false">
      <c r="A147" s="21" t="n">
        <v>6643</v>
      </c>
      <c r="B147" s="21" t="s">
        <v>46</v>
      </c>
      <c r="C147" s="21" t="s">
        <v>578</v>
      </c>
      <c r="E147" s="26" t="str">
        <f aca="false">IF(COUNTIF('Info Strategia'!$D$2:$D$51,$C147)&gt;0,"SI","NO")</f>
        <v>NO</v>
      </c>
      <c r="F147" s="27" t="n">
        <f aca="false">IFERROR(ROUND(($G147+($H147-$G147)*'Info Strategia'!$B$6)*(1+IF($E147="SI",'Parametri Modello'!$B$7*'Info Strategia'!$B$6,0)),0),"")</f>
        <v>20</v>
      </c>
      <c r="G147" s="27" t="n">
        <f aca="false">IFERROR(ROUND((IF(OR(INDEX('Parametri Modello'!$C$39:$C$42,MATCH($B147,'Parametri Modello'!$A$39:$A$42,0))="",INDEX('Parametri Modello'!$C$39:$C$42,MATCH($B147,'Parametri Modello'!$A$39:$A$42,0))=0),0,($O147/INDEX('Parametri Modello'!$C$39:$C$42,MATCH($B147,'Parametri Modello'!$A$39:$A$42,0)))*(INDEX('Parametri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13</v>
      </c>
      <c r="H147" s="27" t="n">
        <f aca="false">IFERROR(ROUND((IF(OR(INDEX('Parametri Modello'!$C$39:$C$42,MATCH($B147,'Parametri Modello'!$A$39:$A$42,0))="",INDEX('Parametri Modello'!$C$39:$C$42,MATCH($B147,'Parametri Modello'!$A$39:$A$42,0))=0),0,($O147/INDEX('Parametri Modello'!$C$39:$C$42,MATCH($B147,'Parametri Modello'!$A$39:$A$42,0)))*(INDEX('Parametri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23</v>
      </c>
      <c r="I147" s="26" t="n">
        <f aca="false">IFERROR(INDEX('Input Statistiche 2025_26'!$F$3:$F$665,MATCH($A147,'Input Statistiche 2025_26'!$A$3:$A$665,0)),"")</f>
        <v>19</v>
      </c>
      <c r="J147" s="26" t="n">
        <f aca="false">IFERROR(IF($I147="","",MAX(0,38-$I147)),"")</f>
        <v>19</v>
      </c>
      <c r="K147" s="26" t="n">
        <f aca="false">IFERROR(INDEX('Input Statistiche 2025_26'!$I$3:$I$665,MATCH($A147,'Input Statistiche 2025_26'!$A$3:$A$665,0)),"")</f>
        <v>2</v>
      </c>
      <c r="L147" s="26" t="n">
        <f aca="false">IFERROR(INDEX('Input Statistiche 2025_26'!$O$3:$O$665,MATCH($A147,'Input Statistiche 2025_26'!$A$3:$A$665,0)),"")</f>
        <v>1</v>
      </c>
      <c r="M147" s="28"/>
      <c r="N147" s="27" t="n">
        <f aca="false">IFERROR(INDEX('Input Giocatori 2026_27'!$E$3:$E$493,MATCH($A147,'Input Giocatori 2026_27'!$A$3:$A$493,0)),"")</f>
        <v>8</v>
      </c>
      <c r="O147" s="27" t="n">
        <f aca="false">IFERROR(INDEX('Input Giocatori 2026_27'!$G$3:$G$493,MATCH($A147,'Input Giocatori 2026_27'!$A$3:$A$493,0)),"")</f>
        <v>23</v>
      </c>
      <c r="P147" s="26" t="str">
        <f aca="false">IFERROR(IF($O147="","",IF((1-(COUNTIFS($B$2:$B$492,$B147,$O$2:$O$492,"&gt;"&amp;$O147)+1-1)/COUNTIF($B$2:$B$492,$B147))&gt;=0.85,"Top",IF((1-(COUNTIFS($B$2:$B$492,$B147,$O$2:$O$492,"&gt;"&amp;$O147)+1-1)/COUNTIF($B$2:$B$492,$B147))&gt;=0.6,"Buono",IF((1-(COUNTIFS($B$2:$B$492,$B147,$O$2:$O$492,"&gt;"&amp;$O147)+1-1)/COUNTIF($B$2:$B$492,$B147))&gt;=0.3,"Nella Media","Scommessa/Riserva")))),"")</f>
        <v>Nella Media</v>
      </c>
      <c r="Q147" s="29" t="n">
        <f aca="false">IF($D147="",COUNTIF($D$2:$D147,""),"")</f>
        <v>146</v>
      </c>
      <c r="R147" s="29" t="str">
        <f aca="false">IF($D147='Info Lega'!$B$28,COUNTIFS($D$2:$D147,'Info Lega'!$B$28),"")</f>
        <v/>
      </c>
      <c r="S147" s="30" t="n">
        <f aca="false">IFERROR(INDEX('Input Statistiche 2025_26'!$G$3:$G$665,MATCH($A147,'Input Statistiche 2025_26'!$A$3:$A$665,0)),"")</f>
        <v>5.82</v>
      </c>
      <c r="T147" s="30" t="n">
        <f aca="false">IFERROR(INDEX('Input Statistiche 2025_26'!$H$3:$H$665,MATCH($A147,'Input Statistiche 2025_26'!$A$3:$A$665,0)),"")</f>
        <v>6.13</v>
      </c>
      <c r="U147" s="26" t="str">
        <f aca="false">IF(OR('La Mia Rosa'!$O$12="",$D147&lt;&gt;""),"",IF($F147&lt;='La Mia Rosa'!$O$12*'Parametri Modello'!$B$24,"OK",IF($F147&lt;='La Mia Rosa'!$O$12*'Parametri Modello'!$B$25,"Attenzione","Rischio Alto")))</f>
        <v>OK</v>
      </c>
      <c r="V147" s="26" t="n">
        <f aca="false">IFERROR(COUNTIFS($B$2:$B$492,$B147,$O$2:$O$492,"&gt;"&amp;$O147)+1,"")</f>
        <v>45</v>
      </c>
      <c r="W147" s="21" t="n">
        <f aca="false">'Info Lega'!$B$4-SUMIFS($M$2:$M$492,$D$2:$D$492,'Info Lega'!$B$28)</f>
        <v>1000</v>
      </c>
      <c r="X147" s="21" t="n">
        <f aca="false">('Info Lega'!$B$5-COUNTIFS($D$2:$D$492,'Info Lega'!$B$28,$B$2:$B$492,"P"))+('Info Lega'!$B$6-COUNTIFS($D$2:$D$492,'Info Lega'!$B$28,$B$2:$B$492,"D"))+('Info Lega'!$B$7-COUNTIFS($D$2:$D$492,'Info Lega'!$B$28,$B$2:$B$492,"C"))+('Info Lega'!$B$8-COUNTIFS($D$2:$D$492,'Info Lega'!$B$28,$B$2:$B$492,"A"))</f>
        <v>25</v>
      </c>
      <c r="Y147" s="21" t="n">
        <f aca="false">X147*'Parametri Modello'!$B$30</f>
        <v>25</v>
      </c>
      <c r="Z147" s="21" t="n">
        <f aca="false">MAX(0,W147-Y147)</f>
        <v>975</v>
      </c>
      <c r="AA147" s="21" t="n">
        <f aca="false">MIN(F147,Z147)</f>
        <v>20</v>
      </c>
      <c r="AB147" s="21"/>
      <c r="AC147" s="21" t="str">
        <f aca="false">IF(AB147="","",IF(AB147&gt;AA147,"PASS",IF(AB147&lt;=AA147*0.85,"BID","ATTENZIONE")))</f>
        <v/>
      </c>
      <c r="AD147" s="31" t="n">
        <f aca="false">IF(I147="","",ROUND(100*(1-EXP(-I147/30)),0))</f>
        <v>47</v>
      </c>
      <c r="AE147" s="7" t="str">
        <f aca="false">IFERROR(INDEX('Stato Asta'!$G$9:$G$12,MATCH($B147,'Stato Asta'!$A$9:$A$12,0)),"")</f>
        <v>🔴 Non aspettare</v>
      </c>
    </row>
    <row r="148" customFormat="false" ht="14.25" hidden="false" customHeight="true" outlineLevel="0" collapsed="false">
      <c r="A148" s="21" t="n">
        <v>6814</v>
      </c>
      <c r="B148" s="21" t="s">
        <v>44</v>
      </c>
      <c r="C148" s="21" t="s">
        <v>220</v>
      </c>
      <c r="E148" s="26" t="str">
        <f aca="false">IF(COUNTIF('Info Strategia'!$D$2:$D$51,$C148)&gt;0,"SI","NO")</f>
        <v>NO</v>
      </c>
      <c r="F148" s="27" t="n">
        <f aca="false">IFERROR(ROUND(($G148+($H148-$G148)*'Info Strategia'!$B$6)*(1+IF($E148="SI",'Parametri Modello'!$B$7*'Info Strategia'!$B$6,0)),0),"")</f>
        <v>11</v>
      </c>
      <c r="G148" s="27" t="n">
        <f aca="false">IFERROR(ROUND((IF(OR(INDEX('Parametri Modello'!$C$39:$C$42,MATCH($B148,'Parametri Modello'!$A$39:$A$42,0))="",INDEX('Parametri Modello'!$C$39:$C$42,MATCH($B148,'Parametri Modello'!$A$39:$A$42,0))=0),0,($O148/INDEX('Parametri Modello'!$C$39:$C$42,MATCH($B148,'Parametri Modello'!$A$39:$A$42,0)))*(INDEX('Parametri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8</v>
      </c>
      <c r="H148" s="27" t="n">
        <f aca="false">IFERROR(ROUND((IF(OR(INDEX('Parametri Modello'!$C$39:$C$42,MATCH($B148,'Parametri Modello'!$A$39:$A$42,0))="",INDEX('Parametri Modello'!$C$39:$C$42,MATCH($B148,'Parametri Modello'!$A$39:$A$42,0))=0),0,($O148/INDEX('Parametri Modello'!$C$39:$C$42,MATCH($B148,'Parametri Modello'!$A$39:$A$42,0)))*(INDEX('Parametri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12</v>
      </c>
      <c r="I148" s="26" t="n">
        <f aca="false">IFERROR(INDEX('Input Statistiche 2025_26'!$F$3:$F$665,MATCH($A148,'Input Statistiche 2025_26'!$A$3:$A$665,0)),"")</f>
        <v>27</v>
      </c>
      <c r="J148" s="26" t="n">
        <f aca="false">IFERROR(IF($I148="","",MAX(0,38-$I148)),"")</f>
        <v>11</v>
      </c>
      <c r="K148" s="26" t="n">
        <f aca="false">IFERROR(INDEX('Input Statistiche 2025_26'!$I$3:$I$665,MATCH($A148,'Input Statistiche 2025_26'!$A$3:$A$665,0)),"")</f>
        <v>2</v>
      </c>
      <c r="L148" s="26" t="n">
        <f aca="false">IFERROR(INDEX('Input Statistiche 2025_26'!$O$3:$O$665,MATCH($A148,'Input Statistiche 2025_26'!$A$3:$A$665,0)),"")</f>
        <v>1</v>
      </c>
      <c r="M148" s="28"/>
      <c r="N148" s="27" t="n">
        <f aca="false">IFERROR(INDEX('Input Giocatori 2026_27'!$E$3:$E$493,MATCH($A148,'Input Giocatori 2026_27'!$A$3:$A$493,0)),"")</f>
        <v>8</v>
      </c>
      <c r="O148" s="27" t="n">
        <f aca="false">IFERROR(INDEX('Input Giocatori 2026_27'!$G$3:$G$493,MATCH($A148,'Input Giocatori 2026_27'!$A$3:$A$493,0)),"")</f>
        <v>22</v>
      </c>
      <c r="P148" s="26" t="str">
        <f aca="false">IFERROR(IF($O148="","",IF((1-(COUNTIFS($B$2:$B$492,$B148,$O$2:$O$492,"&gt;"&amp;$O148)+1-1)/COUNTIF($B$2:$B$492,$B148))&gt;=0.85,"Top",IF((1-(COUNTIFS($B$2:$B$492,$B148,$O$2:$O$492,"&gt;"&amp;$O148)+1-1)/COUNTIF($B$2:$B$492,$B148))&gt;=0.6,"Buono",IF((1-(COUNTIFS($B$2:$B$492,$B148,$O$2:$O$492,"&gt;"&amp;$O148)+1-1)/COUNTIF($B$2:$B$492,$B148))&gt;=0.3,"Nella Media","Scommessa/Riserva")))),"")</f>
        <v>Buono</v>
      </c>
      <c r="Q148" s="29" t="n">
        <f aca="false">IF($D148="",COUNTIF($D$2:$D148,""),"")</f>
        <v>147</v>
      </c>
      <c r="R148" s="29" t="str">
        <f aca="false">IF($D148='Info Lega'!$B$28,COUNTIFS($D$2:$D148,'Info Lega'!$B$28),"")</f>
        <v/>
      </c>
      <c r="S148" s="30" t="n">
        <f aca="false">IFERROR(INDEX('Input Statistiche 2025_26'!$G$3:$G$665,MATCH($A148,'Input Statistiche 2025_26'!$A$3:$A$665,0)),"")</f>
        <v>5.93</v>
      </c>
      <c r="T148" s="30" t="n">
        <f aca="false">IFERROR(INDEX('Input Statistiche 2025_26'!$H$3:$H$665,MATCH($A148,'Input Statistiche 2025_26'!$A$3:$A$665,0)),"")</f>
        <v>6.09</v>
      </c>
      <c r="U148" s="26" t="str">
        <f aca="false">IF(OR('La Mia Rosa'!$O$12="",$D148&lt;&gt;""),"",IF($F148&lt;='La Mia Rosa'!$O$12*'Parametri Modello'!$B$24,"OK",IF($F148&lt;='La Mia Rosa'!$O$12*'Parametri Modello'!$B$25,"Attenzione","Rischio Alto")))</f>
        <v>OK</v>
      </c>
      <c r="V148" s="26" t="n">
        <f aca="false">IFERROR(COUNTIFS($B$2:$B$492,$B148,$O$2:$O$492,"&gt;"&amp;$O148)+1,"")</f>
        <v>34</v>
      </c>
      <c r="W148" s="21" t="n">
        <f aca="false">'Info Lega'!$B$4-SUMIFS($M$2:$M$492,$D$2:$D$492,'Info Lega'!$B$28)</f>
        <v>1000</v>
      </c>
      <c r="X148" s="21" t="n">
        <f aca="false">('Info Lega'!$B$5-COUNTIFS($D$2:$D$492,'Info Lega'!$B$28,$B$2:$B$492,"P"))+('Info Lega'!$B$6-COUNTIFS($D$2:$D$492,'Info Lega'!$B$28,$B$2:$B$492,"D"))+('Info Lega'!$B$7-COUNTIFS($D$2:$D$492,'Info Lega'!$B$28,$B$2:$B$492,"C"))+('Info Lega'!$B$8-COUNTIFS($D$2:$D$492,'Info Lega'!$B$28,$B$2:$B$492,"A"))</f>
        <v>25</v>
      </c>
      <c r="Y148" s="21" t="n">
        <f aca="false">X148*'Parametri Modello'!$B$30</f>
        <v>25</v>
      </c>
      <c r="Z148" s="21" t="n">
        <f aca="false">MAX(0,W148-Y148)</f>
        <v>975</v>
      </c>
      <c r="AA148" s="21" t="n">
        <f aca="false">MIN(F148,Z148)</f>
        <v>11</v>
      </c>
      <c r="AB148" s="21"/>
      <c r="AC148" s="21" t="str">
        <f aca="false">IF(AB148="","",IF(AB148&gt;AA148,"PASS",IF(AB148&lt;=AA148*0.85,"BID","ATTENZIONE")))</f>
        <v/>
      </c>
      <c r="AD148" s="31" t="n">
        <f aca="false">IF(I148="","",ROUND(100*(1-EXP(-I148/30)),0))</f>
        <v>59</v>
      </c>
      <c r="AE148" s="7" t="str">
        <f aca="false">IFERROR(INDEX('Stato Asta'!$G$9:$G$12,MATCH($B148,'Stato Asta'!$A$9:$A$12,0)),"")</f>
        <v>🟡 Attesa rischiosa</v>
      </c>
    </row>
    <row r="149" customFormat="false" ht="14.25" hidden="false" customHeight="true" outlineLevel="0" collapsed="false">
      <c r="A149" s="21" t="n">
        <v>6320</v>
      </c>
      <c r="B149" s="21" t="s">
        <v>44</v>
      </c>
      <c r="C149" s="21" t="s">
        <v>232</v>
      </c>
      <c r="E149" s="26" t="str">
        <f aca="false">IF(COUNTIF('Info Strategia'!$D$2:$D$51,$C149)&gt;0,"SI","NO")</f>
        <v>NO</v>
      </c>
      <c r="F149" s="27" t="n">
        <f aca="false">IFERROR(ROUND(($G149+($H149-$G149)*'Info Strategia'!$B$6)*(1+IF($E149="SI",'Parametri Modello'!$B$7*'Info Strategia'!$B$6,0)),0),"")</f>
        <v>11</v>
      </c>
      <c r="G149" s="27" t="n">
        <f aca="false">IFERROR(ROUND((IF(OR(INDEX('Parametri Modello'!$C$39:$C$42,MATCH($B149,'Parametri Modello'!$A$39:$A$42,0))="",INDEX('Parametri Modello'!$C$39:$C$42,MATCH($B149,'Parametri Modello'!$A$39:$A$42,0))=0),0,($O149/INDEX('Parametri Modello'!$C$39:$C$42,MATCH($B149,'Parametri Modello'!$A$39:$A$42,0)))*(INDEX('Parametri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8</v>
      </c>
      <c r="H149" s="27" t="n">
        <f aca="false">IFERROR(ROUND((IF(OR(INDEX('Parametri Modello'!$C$39:$C$42,MATCH($B149,'Parametri Modello'!$A$39:$A$42,0))="",INDEX('Parametri Modello'!$C$39:$C$42,MATCH($B149,'Parametri Modello'!$A$39:$A$42,0))=0),0,($O149/INDEX('Parametri Modello'!$C$39:$C$42,MATCH($B149,'Parametri Modello'!$A$39:$A$42,0)))*(INDEX('Parametri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12</v>
      </c>
      <c r="I149" s="26" t="str">
        <f aca="false">IFERROR(INDEX('Input Statistiche 2025_26'!$F$3:$F$665,MATCH($A149,'Input Statistiche 2025_26'!$A$3:$A$665,0)),"")</f>
        <v/>
      </c>
      <c r="J149" s="26" t="str">
        <f aca="false">IFERROR(IF($I149="","",MAX(0,38-$I149)),"")</f>
        <v/>
      </c>
      <c r="K149" s="26" t="str">
        <f aca="false">IFERROR(INDEX('Input Statistiche 2025_26'!$I$3:$I$665,MATCH($A149,'Input Statistiche 2025_26'!$A$3:$A$665,0)),"")</f>
        <v/>
      </c>
      <c r="L149" s="26" t="str">
        <f aca="false">IFERROR(INDEX('Input Statistiche 2025_26'!$O$3:$O$665,MATCH($A149,'Input Statistiche 2025_26'!$A$3:$A$665,0)),"")</f>
        <v/>
      </c>
      <c r="M149" s="28"/>
      <c r="N149" s="27" t="n">
        <f aca="false">IFERROR(INDEX('Input Giocatori 2026_27'!$E$3:$E$493,MATCH($A149,'Input Giocatori 2026_27'!$A$3:$A$493,0)),"")</f>
        <v>7</v>
      </c>
      <c r="O149" s="27" t="n">
        <f aca="false">IFERROR(INDEX('Input Giocatori 2026_27'!$G$3:$G$493,MATCH($A149,'Input Giocatori 2026_27'!$A$3:$A$493,0)),"")</f>
        <v>22</v>
      </c>
      <c r="P149" s="26" t="str">
        <f aca="false">IFERROR(IF($O149="","",IF((1-(COUNTIFS($B$2:$B$492,$B149,$O$2:$O$492,"&gt;"&amp;$O149)+1-1)/COUNTIF($B$2:$B$492,$B149))&gt;=0.85,"Top",IF((1-(COUNTIFS($B$2:$B$492,$B149,$O$2:$O$492,"&gt;"&amp;$O149)+1-1)/COUNTIF($B$2:$B$492,$B149))&gt;=0.6,"Buono",IF((1-(COUNTIFS($B$2:$B$492,$B149,$O$2:$O$492,"&gt;"&amp;$O149)+1-1)/COUNTIF($B$2:$B$492,$B149))&gt;=0.3,"Nella Media","Scommessa/Riserva")))),"")</f>
        <v>Buono</v>
      </c>
      <c r="Q149" s="29" t="n">
        <f aca="false">IF($D149="",COUNTIF($D$2:$D149,""),"")</f>
        <v>148</v>
      </c>
      <c r="R149" s="29" t="str">
        <f aca="false">IF($D149='Info Lega'!$B$28,COUNTIFS($D$2:$D149,'Info Lega'!$B$28),"")</f>
        <v/>
      </c>
      <c r="S149" s="30" t="str">
        <f aca="false">IFERROR(INDEX('Input Statistiche 2025_26'!$G$3:$G$665,MATCH($A149,'Input Statistiche 2025_26'!$A$3:$A$665,0)),"")</f>
        <v/>
      </c>
      <c r="T149" s="30" t="str">
        <f aca="false">IFERROR(INDEX('Input Statistiche 2025_26'!$H$3:$H$665,MATCH($A149,'Input Statistiche 2025_26'!$A$3:$A$665,0)),"")</f>
        <v/>
      </c>
      <c r="U149" s="26" t="str">
        <f aca="false">IF(OR('La Mia Rosa'!$O$12="",$D149&lt;&gt;""),"",IF($F149&lt;='La Mia Rosa'!$O$12*'Parametri Modello'!$B$24,"OK",IF($F149&lt;='La Mia Rosa'!$O$12*'Parametri Modello'!$B$25,"Attenzione","Rischio Alto")))</f>
        <v>OK</v>
      </c>
      <c r="V149" s="26" t="n">
        <f aca="false">IFERROR(COUNTIFS($B$2:$B$492,$B149,$O$2:$O$492,"&gt;"&amp;$O149)+1,"")</f>
        <v>34</v>
      </c>
      <c r="W149" s="21" t="n">
        <f aca="false">'Info Lega'!$B$4-SUMIFS($M$2:$M$492,$D$2:$D$492,'Info Lega'!$B$28)</f>
        <v>1000</v>
      </c>
      <c r="X149" s="21" t="n">
        <f aca="false">('Info Lega'!$B$5-COUNTIFS($D$2:$D$492,'Info Lega'!$B$28,$B$2:$B$492,"P"))+('Info Lega'!$B$6-COUNTIFS($D$2:$D$492,'Info Lega'!$B$28,$B$2:$B$492,"D"))+('Info Lega'!$B$7-COUNTIFS($D$2:$D$492,'Info Lega'!$B$28,$B$2:$B$492,"C"))+('Info Lega'!$B$8-COUNTIFS($D$2:$D$492,'Info Lega'!$B$28,$B$2:$B$492,"A"))</f>
        <v>25</v>
      </c>
      <c r="Y149" s="21" t="n">
        <f aca="false">X149*'Parametri Modello'!$B$30</f>
        <v>25</v>
      </c>
      <c r="Z149" s="21" t="n">
        <f aca="false">MAX(0,W149-Y149)</f>
        <v>975</v>
      </c>
      <c r="AA149" s="21" t="n">
        <f aca="false">MIN(F149,Z149)</f>
        <v>11</v>
      </c>
      <c r="AB149" s="21"/>
      <c r="AC149" s="21" t="str">
        <f aca="false">IF(AB149="","",IF(AB149&gt;AA149,"PASS",IF(AB149&lt;=AA149*0.85,"BID","ATTENZIONE")))</f>
        <v/>
      </c>
      <c r="AD149" s="31" t="str">
        <f aca="false">IF(I149="","",ROUND(100*(1-EXP(-I149/30)),0))</f>
        <v/>
      </c>
      <c r="AE149" s="7" t="str">
        <f aca="false">IFERROR(INDEX('Stato Asta'!$G$9:$G$12,MATCH($B149,'Stato Asta'!$A$9:$A$12,0)),"")</f>
        <v>🟡 Attesa rischiosa</v>
      </c>
    </row>
    <row r="150" customFormat="false" ht="14.25" hidden="false" customHeight="true" outlineLevel="0" collapsed="false">
      <c r="A150" s="21" t="n">
        <v>2765</v>
      </c>
      <c r="B150" s="21" t="s">
        <v>45</v>
      </c>
      <c r="C150" s="21" t="s">
        <v>407</v>
      </c>
      <c r="E150" s="26" t="str">
        <f aca="false">IF(COUNTIF('Info Strategia'!$D$2:$D$51,$C150)&gt;0,"SI","NO")</f>
        <v>NO</v>
      </c>
      <c r="F150" s="27" t="n">
        <f aca="false">IFERROR(ROUND(($G150+($H150-$G150)*'Info Strategia'!$B$6)*(1+IF($E150="SI",'Parametri Modello'!$B$7*'Info Strategia'!$B$6,0)),0),"")</f>
        <v>12</v>
      </c>
      <c r="G150" s="27" t="n">
        <f aca="false">IFERROR(ROUND((IF(OR(INDEX('Parametri Modello'!$C$39:$C$42,MATCH($B150,'Parametri Modello'!$A$39:$A$42,0))="",INDEX('Parametri Modello'!$C$39:$C$42,MATCH($B150,'Parametri Modello'!$A$39:$A$42,0))=0),0,($O150/INDEX('Parametri Modello'!$C$39:$C$42,MATCH($B150,'Parametri Modello'!$A$39:$A$42,0)))*(INDEX('Parametri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8</v>
      </c>
      <c r="H150" s="27" t="n">
        <f aca="false">IFERROR(ROUND((IF(OR(INDEX('Parametri Modello'!$C$39:$C$42,MATCH($B150,'Parametri Modello'!$A$39:$A$42,0))="",INDEX('Parametri Modello'!$C$39:$C$42,MATCH($B150,'Parametri Modello'!$A$39:$A$42,0))=0),0,($O150/INDEX('Parametri Modello'!$C$39:$C$42,MATCH($B150,'Parametri Modello'!$A$39:$A$42,0)))*(INDEX('Parametri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14</v>
      </c>
      <c r="I150" s="26" t="n">
        <f aca="false">IFERROR(INDEX('Input Statistiche 2025_26'!$F$3:$F$665,MATCH($A150,'Input Statistiche 2025_26'!$A$3:$A$665,0)),"")</f>
        <v>22</v>
      </c>
      <c r="J150" s="26" t="n">
        <f aca="false">IFERROR(IF($I150="","",MAX(0,38-$I150)),"")</f>
        <v>16</v>
      </c>
      <c r="K150" s="26" t="n">
        <f aca="false">IFERROR(INDEX('Input Statistiche 2025_26'!$I$3:$I$665,MATCH($A150,'Input Statistiche 2025_26'!$A$3:$A$665,0)),"")</f>
        <v>5</v>
      </c>
      <c r="L150" s="26" t="n">
        <f aca="false">IFERROR(INDEX('Input Statistiche 2025_26'!$O$3:$O$665,MATCH($A150,'Input Statistiche 2025_26'!$A$3:$A$665,0)),"")</f>
        <v>1</v>
      </c>
      <c r="M150" s="28"/>
      <c r="N150" s="27" t="n">
        <f aca="false">IFERROR(INDEX('Input Giocatori 2026_27'!$E$3:$E$493,MATCH($A150,'Input Giocatori 2026_27'!$A$3:$A$493,0)),"")</f>
        <v>8</v>
      </c>
      <c r="O150" s="27" t="n">
        <f aca="false">IFERROR(INDEX('Input Giocatori 2026_27'!$G$3:$G$493,MATCH($A150,'Input Giocatori 2026_27'!$A$3:$A$493,0)),"")</f>
        <v>22</v>
      </c>
      <c r="P150" s="26" t="str">
        <f aca="false">IFERROR(IF($O150="","",IF((1-(COUNTIFS($B$2:$B$492,$B150,$O$2:$O$492,"&gt;"&amp;$O150)+1-1)/COUNTIF($B$2:$B$492,$B150))&gt;=0.85,"Top",IF((1-(COUNTIFS($B$2:$B$492,$B150,$O$2:$O$492,"&gt;"&amp;$O150)+1-1)/COUNTIF($B$2:$B$492,$B150))&gt;=0.6,"Buono",IF((1-(COUNTIFS($B$2:$B$492,$B150,$O$2:$O$492,"&gt;"&amp;$O150)+1-1)/COUNTIF($B$2:$B$492,$B150))&gt;=0.3,"Nella Media","Scommessa/Riserva")))),"")</f>
        <v>Buono</v>
      </c>
      <c r="Q150" s="29" t="n">
        <f aca="false">IF($D150="",COUNTIF($D$2:$D150,""),"")</f>
        <v>149</v>
      </c>
      <c r="R150" s="29" t="str">
        <f aca="false">IF($D150='Info Lega'!$B$28,COUNTIFS($D$2:$D150,'Info Lega'!$B$28),"")</f>
        <v/>
      </c>
      <c r="S150" s="30" t="n">
        <f aca="false">IFERROR(INDEX('Input Statistiche 2025_26'!$G$3:$G$665,MATCH($A150,'Input Statistiche 2025_26'!$A$3:$A$665,0)),"")</f>
        <v>5.91</v>
      </c>
      <c r="T150" s="30" t="n">
        <f aca="false">IFERROR(INDEX('Input Statistiche 2025_26'!$H$3:$H$665,MATCH($A150,'Input Statistiche 2025_26'!$A$3:$A$665,0)),"")</f>
        <v>6.61</v>
      </c>
      <c r="U150" s="26" t="str">
        <f aca="false">IF(OR('La Mia Rosa'!$O$12="",$D150&lt;&gt;""),"",IF($F150&lt;='La Mia Rosa'!$O$12*'Parametri Modello'!$B$24,"OK",IF($F150&lt;='La Mia Rosa'!$O$12*'Parametri Modello'!$B$25,"Attenzione","Rischio Alto")))</f>
        <v>OK</v>
      </c>
      <c r="V150" s="26" t="n">
        <f aca="false">IFERROR(COUNTIFS($B$2:$B$492,$B150,$O$2:$O$492,"&gt;"&amp;$O150)+1,"")</f>
        <v>56</v>
      </c>
      <c r="W150" s="21" t="n">
        <f aca="false">'Info Lega'!$B$4-SUMIFS($M$2:$M$492,$D$2:$D$492,'Info Lega'!$B$28)</f>
        <v>1000</v>
      </c>
      <c r="X150" s="21" t="n">
        <f aca="false">('Info Lega'!$B$5-COUNTIFS($D$2:$D$492,'Info Lega'!$B$28,$B$2:$B$492,"P"))+('Info Lega'!$B$6-COUNTIFS($D$2:$D$492,'Info Lega'!$B$28,$B$2:$B$492,"D"))+('Info Lega'!$B$7-COUNTIFS($D$2:$D$492,'Info Lega'!$B$28,$B$2:$B$492,"C"))+('Info Lega'!$B$8-COUNTIFS($D$2:$D$492,'Info Lega'!$B$28,$B$2:$B$492,"A"))</f>
        <v>25</v>
      </c>
      <c r="Y150" s="21" t="n">
        <f aca="false">X150*'Parametri Modello'!$B$30</f>
        <v>25</v>
      </c>
      <c r="Z150" s="21" t="n">
        <f aca="false">MAX(0,W150-Y150)</f>
        <v>975</v>
      </c>
      <c r="AA150" s="21" t="n">
        <f aca="false">MIN(F150,Z150)</f>
        <v>12</v>
      </c>
      <c r="AB150" s="21"/>
      <c r="AC150" s="21" t="str">
        <f aca="false">IF(AB150="","",IF(AB150&gt;AA150,"PASS",IF(AB150&lt;=AA150*0.85,"BID","ATTENZIONE")))</f>
        <v/>
      </c>
      <c r="AD150" s="31" t="n">
        <f aca="false">IF(I150="","",ROUND(100*(1-EXP(-I150/30)),0))</f>
        <v>52</v>
      </c>
      <c r="AE150" s="7" t="str">
        <f aca="false">IFERROR(INDEX('Stato Asta'!$G$9:$G$12,MATCH($B150,'Stato Asta'!$A$9:$A$12,0)),"")</f>
        <v>🟡 Attesa rischiosa</v>
      </c>
    </row>
    <row r="151" customFormat="false" ht="14.25" hidden="false" customHeight="true" outlineLevel="0" collapsed="false">
      <c r="A151" s="21" t="n">
        <v>6678</v>
      </c>
      <c r="B151" s="21" t="s">
        <v>45</v>
      </c>
      <c r="C151" s="21" t="s">
        <v>434</v>
      </c>
      <c r="E151" s="26" t="str">
        <f aca="false">IF(COUNTIF('Info Strategia'!$D$2:$D$51,$C151)&gt;0,"SI","NO")</f>
        <v>NO</v>
      </c>
      <c r="F151" s="27" t="n">
        <f aca="false">IFERROR(ROUND(($G151+($H151-$G151)*'Info Strategia'!$B$6)*(1+IF($E151="SI",'Parametri Modello'!$B$7*'Info Strategia'!$B$6,0)),0),"")</f>
        <v>12</v>
      </c>
      <c r="G151" s="27" t="n">
        <f aca="false">IFERROR(ROUND((IF(OR(INDEX('Parametri Modello'!$C$39:$C$42,MATCH($B151,'Parametri Modello'!$A$39:$A$42,0))="",INDEX('Parametri Modello'!$C$39:$C$42,MATCH($B151,'Parametri Modello'!$A$39:$A$42,0))=0),0,($O151/INDEX('Parametri Modello'!$C$39:$C$42,MATCH($B151,'Parametri Modello'!$A$39:$A$42,0)))*(INDEX('Parametri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8</v>
      </c>
      <c r="H151" s="27" t="n">
        <f aca="false">IFERROR(ROUND((IF(OR(INDEX('Parametri Modello'!$C$39:$C$42,MATCH($B151,'Parametri Modello'!$A$39:$A$42,0))="",INDEX('Parametri Modello'!$C$39:$C$42,MATCH($B151,'Parametri Modello'!$A$39:$A$42,0))=0),0,($O151/INDEX('Parametri Modello'!$C$39:$C$42,MATCH($B151,'Parametri Modello'!$A$39:$A$42,0)))*(INDEX('Parametri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14</v>
      </c>
      <c r="I151" s="26" t="n">
        <f aca="false">IFERROR(INDEX('Input Statistiche 2025_26'!$F$3:$F$665,MATCH($A151,'Input Statistiche 2025_26'!$A$3:$A$665,0)),"")</f>
        <v>0</v>
      </c>
      <c r="J151" s="26" t="n">
        <f aca="false">IFERROR(IF($I151="","",MAX(0,38-$I151)),"")</f>
        <v>38</v>
      </c>
      <c r="K151" s="26" t="n">
        <f aca="false">IFERROR(INDEX('Input Statistiche 2025_26'!$I$3:$I$665,MATCH($A151,'Input Statistiche 2025_26'!$A$3:$A$665,0)),"")</f>
        <v>0</v>
      </c>
      <c r="L151" s="26" t="n">
        <f aca="false">IFERROR(INDEX('Input Statistiche 2025_26'!$O$3:$O$665,MATCH($A151,'Input Statistiche 2025_26'!$A$3:$A$665,0)),"")</f>
        <v>0</v>
      </c>
      <c r="M151" s="28"/>
      <c r="N151" s="27" t="n">
        <f aca="false">IFERROR(INDEX('Input Giocatori 2026_27'!$E$3:$E$493,MATCH($A151,'Input Giocatori 2026_27'!$A$3:$A$493,0)),"")</f>
        <v>6</v>
      </c>
      <c r="O151" s="27" t="n">
        <f aca="false">IFERROR(INDEX('Input Giocatori 2026_27'!$G$3:$G$493,MATCH($A151,'Input Giocatori 2026_27'!$A$3:$A$493,0)),"")</f>
        <v>22</v>
      </c>
      <c r="P151" s="26" t="str">
        <f aca="false">IFERROR(IF($O151="","",IF((1-(COUNTIFS($B$2:$B$492,$B151,$O$2:$O$492,"&gt;"&amp;$O151)+1-1)/COUNTIF($B$2:$B$492,$B151))&gt;=0.85,"Top",IF((1-(COUNTIFS($B$2:$B$492,$B151,$O$2:$O$492,"&gt;"&amp;$O151)+1-1)/COUNTIF($B$2:$B$492,$B151))&gt;=0.6,"Buono",IF((1-(COUNTIFS($B$2:$B$492,$B151,$O$2:$O$492,"&gt;"&amp;$O151)+1-1)/COUNTIF($B$2:$B$492,$B151))&gt;=0.3,"Nella Media","Scommessa/Riserva")))),"")</f>
        <v>Buono</v>
      </c>
      <c r="Q151" s="29" t="n">
        <f aca="false">IF($D151="",COUNTIF($D$2:$D151,""),"")</f>
        <v>150</v>
      </c>
      <c r="R151" s="29" t="str">
        <f aca="false">IF($D151='Info Lega'!$B$28,COUNTIFS($D$2:$D151,'Info Lega'!$B$28),"")</f>
        <v/>
      </c>
      <c r="S151" s="30" t="n">
        <f aca="false">IFERROR(INDEX('Input Statistiche 2025_26'!$G$3:$G$665,MATCH($A151,'Input Statistiche 2025_26'!$A$3:$A$665,0)),"")</f>
        <v>0</v>
      </c>
      <c r="T151" s="30" t="n">
        <f aca="false">IFERROR(INDEX('Input Statistiche 2025_26'!$H$3:$H$665,MATCH($A151,'Input Statistiche 2025_26'!$A$3:$A$665,0)),"")</f>
        <v>0</v>
      </c>
      <c r="U151" s="26" t="str">
        <f aca="false">IF(OR('La Mia Rosa'!$O$12="",$D151&lt;&gt;""),"",IF($F151&lt;='La Mia Rosa'!$O$12*'Parametri Modello'!$B$24,"OK",IF($F151&lt;='La Mia Rosa'!$O$12*'Parametri Modello'!$B$25,"Attenzione","Rischio Alto")))</f>
        <v>OK</v>
      </c>
      <c r="V151" s="26" t="n">
        <f aca="false">IFERROR(COUNTIFS($B$2:$B$492,$B151,$O$2:$O$492,"&gt;"&amp;$O151)+1,"")</f>
        <v>56</v>
      </c>
      <c r="W151" s="21" t="n">
        <f aca="false">'Info Lega'!$B$4-SUMIFS($M$2:$M$492,$D$2:$D$492,'Info Lega'!$B$28)</f>
        <v>1000</v>
      </c>
      <c r="X151" s="21" t="n">
        <f aca="false">('Info Lega'!$B$5-COUNTIFS($D$2:$D$492,'Info Lega'!$B$28,$B$2:$B$492,"P"))+('Info Lega'!$B$6-COUNTIFS($D$2:$D$492,'Info Lega'!$B$28,$B$2:$B$492,"D"))+('Info Lega'!$B$7-COUNTIFS($D$2:$D$492,'Info Lega'!$B$28,$B$2:$B$492,"C"))+('Info Lega'!$B$8-COUNTIFS($D$2:$D$492,'Info Lega'!$B$28,$B$2:$B$492,"A"))</f>
        <v>25</v>
      </c>
      <c r="Y151" s="21" t="n">
        <f aca="false">X151*'Parametri Modello'!$B$30</f>
        <v>25</v>
      </c>
      <c r="Z151" s="21" t="n">
        <f aca="false">MAX(0,W151-Y151)</f>
        <v>975</v>
      </c>
      <c r="AA151" s="21" t="n">
        <f aca="false">MIN(F151,Z151)</f>
        <v>12</v>
      </c>
      <c r="AB151" s="21"/>
      <c r="AC151" s="21" t="str">
        <f aca="false">IF(AB151="","",IF(AB151&gt;AA151,"PASS",IF(AB151&lt;=AA151*0.85,"BID","ATTENZIONE")))</f>
        <v/>
      </c>
      <c r="AD151" s="31" t="n">
        <f aca="false">IF(I151="","",ROUND(100*(1-EXP(-I151/30)),0))</f>
        <v>0</v>
      </c>
      <c r="AE151" s="7" t="str">
        <f aca="false">IFERROR(INDEX('Stato Asta'!$G$9:$G$12,MATCH($B151,'Stato Asta'!$A$9:$A$12,0)),"")</f>
        <v>🟡 Attesa rischiosa</v>
      </c>
    </row>
    <row r="152" customFormat="false" ht="14.25" hidden="false" customHeight="true" outlineLevel="0" collapsed="false">
      <c r="A152" s="21" t="n">
        <v>6831</v>
      </c>
      <c r="B152" s="21" t="s">
        <v>46</v>
      </c>
      <c r="C152" s="21" t="s">
        <v>592</v>
      </c>
      <c r="E152" s="26" t="str">
        <f aca="false">IF(COUNTIF('Info Strategia'!$D$2:$D$51,$C152)&gt;0,"SI","NO")</f>
        <v>NO</v>
      </c>
      <c r="F152" s="27" t="n">
        <f aca="false">IFERROR(ROUND(($G152+($H152-$G152)*'Info Strategia'!$B$6)*(1+IF($E152="SI",'Parametri Modello'!$B$7*'Info Strategia'!$B$6,0)),0),"")</f>
        <v>20</v>
      </c>
      <c r="G152" s="27" t="n">
        <f aca="false">IFERROR(ROUND((IF(OR(INDEX('Parametri Modello'!$C$39:$C$42,MATCH($B152,'Parametri Modello'!$A$39:$A$42,0))="",INDEX('Parametri Modello'!$C$39:$C$42,MATCH($B152,'Parametri Modello'!$A$39:$A$42,0))=0),0,($O152/INDEX('Parametri Modello'!$C$39:$C$42,MATCH($B152,'Parametri Modello'!$A$39:$A$42,0)))*(INDEX('Parametri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12</v>
      </c>
      <c r="H152" s="27" t="n">
        <f aca="false">IFERROR(ROUND((IF(OR(INDEX('Parametri Modello'!$C$39:$C$42,MATCH($B152,'Parametri Modello'!$A$39:$A$42,0))="",INDEX('Parametri Modello'!$C$39:$C$42,MATCH($B152,'Parametri Modello'!$A$39:$A$42,0))=0),0,($O152/INDEX('Parametri Modello'!$C$39:$C$42,MATCH($B152,'Parametri Modello'!$A$39:$A$42,0)))*(INDEX('Parametri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23</v>
      </c>
      <c r="I152" s="26" t="n">
        <f aca="false">IFERROR(INDEX('Input Statistiche 2025_26'!$F$3:$F$665,MATCH($A152,'Input Statistiche 2025_26'!$A$3:$A$665,0)),"")</f>
        <v>16</v>
      </c>
      <c r="J152" s="26" t="n">
        <f aca="false">IFERROR(IF($I152="","",MAX(0,38-$I152)),"")</f>
        <v>22</v>
      </c>
      <c r="K152" s="26" t="n">
        <f aca="false">IFERROR(INDEX('Input Statistiche 2025_26'!$I$3:$I$665,MATCH($A152,'Input Statistiche 2025_26'!$A$3:$A$665,0)),"")</f>
        <v>3</v>
      </c>
      <c r="L152" s="26" t="n">
        <f aca="false">IFERROR(INDEX('Input Statistiche 2025_26'!$O$3:$O$665,MATCH($A152,'Input Statistiche 2025_26'!$A$3:$A$665,0)),"")</f>
        <v>3</v>
      </c>
      <c r="M152" s="28"/>
      <c r="N152" s="27" t="n">
        <f aca="false">IFERROR(INDEX('Input Giocatori 2026_27'!$E$3:$E$493,MATCH($A152,'Input Giocatori 2026_27'!$A$3:$A$493,0)),"")</f>
        <v>6</v>
      </c>
      <c r="O152" s="27" t="n">
        <f aca="false">IFERROR(INDEX('Input Giocatori 2026_27'!$G$3:$G$493,MATCH($A152,'Input Giocatori 2026_27'!$A$3:$A$493,0)),"")</f>
        <v>22</v>
      </c>
      <c r="P152" s="26" t="str">
        <f aca="false">IFERROR(IF($O152="","",IF((1-(COUNTIFS($B$2:$B$492,$B152,$O$2:$O$492,"&gt;"&amp;$O152)+1-1)/COUNTIF($B$2:$B$492,$B152))&gt;=0.85,"Top",IF((1-(COUNTIFS($B$2:$B$492,$B152,$O$2:$O$492,"&gt;"&amp;$O152)+1-1)/COUNTIF($B$2:$B$492,$B152))&gt;=0.6,"Buono",IF((1-(COUNTIFS($B$2:$B$492,$B152,$O$2:$O$492,"&gt;"&amp;$O152)+1-1)/COUNTIF($B$2:$B$492,$B152))&gt;=0.3,"Nella Media","Scommessa/Riserva")))),"")</f>
        <v>Nella Media</v>
      </c>
      <c r="Q152" s="29" t="n">
        <f aca="false">IF($D152="",COUNTIF($D$2:$D152,""),"")</f>
        <v>151</v>
      </c>
      <c r="R152" s="29" t="str">
        <f aca="false">IF($D152='Info Lega'!$B$28,COUNTIFS($D$2:$D152,'Info Lega'!$B$28),"")</f>
        <v/>
      </c>
      <c r="S152" s="30" t="n">
        <f aca="false">IFERROR(INDEX('Input Statistiche 2025_26'!$G$3:$G$665,MATCH($A152,'Input Statistiche 2025_26'!$A$3:$A$665,0)),"")</f>
        <v>6.19</v>
      </c>
      <c r="T152" s="30" t="n">
        <f aca="false">IFERROR(INDEX('Input Statistiche 2025_26'!$H$3:$H$665,MATCH($A152,'Input Statistiche 2025_26'!$A$3:$A$665,0)),"")</f>
        <v>6.84</v>
      </c>
      <c r="U152" s="26" t="str">
        <f aca="false">IF(OR('La Mia Rosa'!$O$12="",$D152&lt;&gt;""),"",IF($F152&lt;='La Mia Rosa'!$O$12*'Parametri Modello'!$B$24,"OK",IF($F152&lt;='La Mia Rosa'!$O$12*'Parametri Modello'!$B$25,"Attenzione","Rischio Alto")))</f>
        <v>OK</v>
      </c>
      <c r="V152" s="26" t="n">
        <f aca="false">IFERROR(COUNTIFS($B$2:$B$492,$B152,$O$2:$O$492,"&gt;"&amp;$O152)+1,"")</f>
        <v>46</v>
      </c>
      <c r="W152" s="21" t="n">
        <f aca="false">'Info Lega'!$B$4-SUMIFS($M$2:$M$492,$D$2:$D$492,'Info Lega'!$B$28)</f>
        <v>1000</v>
      </c>
      <c r="X152" s="21" t="n">
        <f aca="false">('Info Lega'!$B$5-COUNTIFS($D$2:$D$492,'Info Lega'!$B$28,$B$2:$B$492,"P"))+('Info Lega'!$B$6-COUNTIFS($D$2:$D$492,'Info Lega'!$B$28,$B$2:$B$492,"D"))+('Info Lega'!$B$7-COUNTIFS($D$2:$D$492,'Info Lega'!$B$28,$B$2:$B$492,"C"))+('Info Lega'!$B$8-COUNTIFS($D$2:$D$492,'Info Lega'!$B$28,$B$2:$B$492,"A"))</f>
        <v>25</v>
      </c>
      <c r="Y152" s="21" t="n">
        <f aca="false">X152*'Parametri Modello'!$B$30</f>
        <v>25</v>
      </c>
      <c r="Z152" s="21" t="n">
        <f aca="false">MAX(0,W152-Y152)</f>
        <v>975</v>
      </c>
      <c r="AA152" s="21" t="n">
        <f aca="false">MIN(F152,Z152)</f>
        <v>20</v>
      </c>
      <c r="AB152" s="21"/>
      <c r="AC152" s="21" t="str">
        <f aca="false">IF(AB152="","",IF(AB152&gt;AA152,"PASS",IF(AB152&lt;=AA152*0.85,"BID","ATTENZIONE")))</f>
        <v/>
      </c>
      <c r="AD152" s="31" t="n">
        <f aca="false">IF(I152="","",ROUND(100*(1-EXP(-I152/30)),0))</f>
        <v>41</v>
      </c>
      <c r="AE152" s="7" t="str">
        <f aca="false">IFERROR(INDEX('Stato Asta'!$G$9:$G$12,MATCH($B152,'Stato Asta'!$A$9:$A$12,0)),"")</f>
        <v>🔴 Non aspettare</v>
      </c>
    </row>
    <row r="153" customFormat="false" ht="14.25" hidden="false" customHeight="true" outlineLevel="0" collapsed="false">
      <c r="A153" s="21" t="n">
        <v>4657</v>
      </c>
      <c r="B153" s="21" t="s">
        <v>44</v>
      </c>
      <c r="C153" s="21" t="s">
        <v>221</v>
      </c>
      <c r="E153" s="26" t="str">
        <f aca="false">IF(COUNTIF('Info Strategia'!$D$2:$D$51,$C153)&gt;0,"SI","NO")</f>
        <v>NO</v>
      </c>
      <c r="F153" s="27" t="n">
        <f aca="false">IFERROR(ROUND(($G153+($H153-$G153)*'Info Strategia'!$B$6)*(1+IF($E153="SI",'Parametri Modello'!$B$7*'Info Strategia'!$B$6,0)),0),"")</f>
        <v>10</v>
      </c>
      <c r="G153" s="27" t="n">
        <f aca="false">IFERROR(ROUND((IF(OR(INDEX('Parametri Modello'!$C$39:$C$42,MATCH($B153,'Parametri Modello'!$A$39:$A$42,0))="",INDEX('Parametri Modello'!$C$39:$C$42,MATCH($B153,'Parametri Modello'!$A$39:$A$42,0))=0),0,($O153/INDEX('Parametri Modello'!$C$39:$C$42,MATCH($B153,'Parametri Modello'!$A$39:$A$42,0)))*(INDEX('Parametri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8</v>
      </c>
      <c r="H153" s="27" t="n">
        <f aca="false">IFERROR(ROUND((IF(OR(INDEX('Parametri Modello'!$C$39:$C$42,MATCH($B153,'Parametri Modello'!$A$39:$A$42,0))="",INDEX('Parametri Modello'!$C$39:$C$42,MATCH($B153,'Parametri Modello'!$A$39:$A$42,0))=0),0,($O153/INDEX('Parametri Modello'!$C$39:$C$42,MATCH($B153,'Parametri Modello'!$A$39:$A$42,0)))*(INDEX('Parametri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11</v>
      </c>
      <c r="I153" s="26" t="n">
        <f aca="false">IFERROR(INDEX('Input Statistiche 2025_26'!$F$3:$F$665,MATCH($A153,'Input Statistiche 2025_26'!$A$3:$A$665,0)),"")</f>
        <v>32</v>
      </c>
      <c r="J153" s="26" t="n">
        <f aca="false">IFERROR(IF($I153="","",MAX(0,38-$I153)),"")</f>
        <v>6</v>
      </c>
      <c r="K153" s="26" t="n">
        <f aca="false">IFERROR(INDEX('Input Statistiche 2025_26'!$I$3:$I$665,MATCH($A153,'Input Statistiche 2025_26'!$A$3:$A$665,0)),"")</f>
        <v>1</v>
      </c>
      <c r="L153" s="26" t="n">
        <f aca="false">IFERROR(INDEX('Input Statistiche 2025_26'!$O$3:$O$665,MATCH($A153,'Input Statistiche 2025_26'!$A$3:$A$665,0)),"")</f>
        <v>2</v>
      </c>
      <c r="M153" s="28"/>
      <c r="N153" s="27" t="n">
        <f aca="false">IFERROR(INDEX('Input Giocatori 2026_27'!$E$3:$E$493,MATCH($A153,'Input Giocatori 2026_27'!$A$3:$A$493,0)),"")</f>
        <v>8</v>
      </c>
      <c r="O153" s="27" t="n">
        <f aca="false">IFERROR(INDEX('Input Giocatori 2026_27'!$G$3:$G$493,MATCH($A153,'Input Giocatori 2026_27'!$A$3:$A$493,0)),"")</f>
        <v>21</v>
      </c>
      <c r="P153" s="26" t="str">
        <f aca="false">IFERROR(IF($O153="","",IF((1-(COUNTIFS($B$2:$B$492,$B153,$O$2:$O$492,"&gt;"&amp;$O153)+1-1)/COUNTIF($B$2:$B$492,$B153))&gt;=0.85,"Top",IF((1-(COUNTIFS($B$2:$B$492,$B153,$O$2:$O$492,"&gt;"&amp;$O153)+1-1)/COUNTIF($B$2:$B$492,$B153))&gt;=0.6,"Buono",IF((1-(COUNTIFS($B$2:$B$492,$B153,$O$2:$O$492,"&gt;"&amp;$O153)+1-1)/COUNTIF($B$2:$B$492,$B153))&gt;=0.3,"Nella Media","Scommessa/Riserva")))),"")</f>
        <v>Buono</v>
      </c>
      <c r="Q153" s="29" t="n">
        <f aca="false">IF($D153="",COUNTIF($D$2:$D153,""),"")</f>
        <v>152</v>
      </c>
      <c r="R153" s="29" t="str">
        <f aca="false">IF($D153='Info Lega'!$B$28,COUNTIFS($D$2:$D153,'Info Lega'!$B$28),"")</f>
        <v/>
      </c>
      <c r="S153" s="30" t="n">
        <f aca="false">IFERROR(INDEX('Input Statistiche 2025_26'!$G$3:$G$665,MATCH($A153,'Input Statistiche 2025_26'!$A$3:$A$665,0)),"")</f>
        <v>6.17</v>
      </c>
      <c r="T153" s="30" t="n">
        <f aca="false">IFERROR(INDEX('Input Statistiche 2025_26'!$H$3:$H$665,MATCH($A153,'Input Statistiche 2025_26'!$A$3:$A$665,0)),"")</f>
        <v>6.27</v>
      </c>
      <c r="U153" s="26" t="str">
        <f aca="false">IF(OR('La Mia Rosa'!$O$12="",$D153&lt;&gt;""),"",IF($F153&lt;='La Mia Rosa'!$O$12*'Parametri Modello'!$B$24,"OK",IF($F153&lt;='La Mia Rosa'!$O$12*'Parametri Modello'!$B$25,"Attenzione","Rischio Alto")))</f>
        <v>OK</v>
      </c>
      <c r="V153" s="26" t="n">
        <f aca="false">IFERROR(COUNTIFS($B$2:$B$492,$B153,$O$2:$O$492,"&gt;"&amp;$O153)+1,"")</f>
        <v>36</v>
      </c>
      <c r="W153" s="21" t="n">
        <f aca="false">'Info Lega'!$B$4-SUMIFS($M$2:$M$492,$D$2:$D$492,'Info Lega'!$B$28)</f>
        <v>1000</v>
      </c>
      <c r="X153" s="21" t="n">
        <f aca="false">('Info Lega'!$B$5-COUNTIFS($D$2:$D$492,'Info Lega'!$B$28,$B$2:$B$492,"P"))+('Info Lega'!$B$6-COUNTIFS($D$2:$D$492,'Info Lega'!$B$28,$B$2:$B$492,"D"))+('Info Lega'!$B$7-COUNTIFS($D$2:$D$492,'Info Lega'!$B$28,$B$2:$B$492,"C"))+('Info Lega'!$B$8-COUNTIFS($D$2:$D$492,'Info Lega'!$B$28,$B$2:$B$492,"A"))</f>
        <v>25</v>
      </c>
      <c r="Y153" s="21" t="n">
        <f aca="false">X153*'Parametri Modello'!$B$30</f>
        <v>25</v>
      </c>
      <c r="Z153" s="21" t="n">
        <f aca="false">MAX(0,W153-Y153)</f>
        <v>975</v>
      </c>
      <c r="AA153" s="21" t="n">
        <f aca="false">MIN(F153,Z153)</f>
        <v>10</v>
      </c>
      <c r="AB153" s="21"/>
      <c r="AC153" s="21" t="str">
        <f aca="false">IF(AB153="","",IF(AB153&gt;AA153,"PASS",IF(AB153&lt;=AA153*0.85,"BID","ATTENZIONE")))</f>
        <v/>
      </c>
      <c r="AD153" s="31" t="n">
        <f aca="false">IF(I153="","",ROUND(100*(1-EXP(-I153/30)),0))</f>
        <v>66</v>
      </c>
      <c r="AE153" s="7" t="str">
        <f aca="false">IFERROR(INDEX('Stato Asta'!$G$9:$G$12,MATCH($B153,'Stato Asta'!$A$9:$A$12,0)),"")</f>
        <v>🟡 Attesa rischiosa</v>
      </c>
    </row>
    <row r="154" customFormat="false" ht="14.25" hidden="false" customHeight="true" outlineLevel="0" collapsed="false">
      <c r="A154" s="21" t="n">
        <v>6664</v>
      </c>
      <c r="B154" s="21" t="s">
        <v>44</v>
      </c>
      <c r="C154" s="21" t="s">
        <v>224</v>
      </c>
      <c r="E154" s="26" t="str">
        <f aca="false">IF(COUNTIF('Info Strategia'!$D$2:$D$51,$C154)&gt;0,"SI","NO")</f>
        <v>NO</v>
      </c>
      <c r="F154" s="27" t="n">
        <f aca="false">IFERROR(ROUND(($G154+($H154-$G154)*'Info Strategia'!$B$6)*(1+IF($E154="SI",'Parametri Modello'!$B$7*'Info Strategia'!$B$6,0)),0),"")</f>
        <v>10</v>
      </c>
      <c r="G154" s="27" t="n">
        <f aca="false">IFERROR(ROUND((IF(OR(INDEX('Parametri Modello'!$C$39:$C$42,MATCH($B154,'Parametri Modello'!$A$39:$A$42,0))="",INDEX('Parametri Modello'!$C$39:$C$42,MATCH($B154,'Parametri Modello'!$A$39:$A$42,0))=0),0,($O154/INDEX('Parametri Modello'!$C$39:$C$42,MATCH($B154,'Parametri Modello'!$A$39:$A$42,0)))*(INDEX('Parametri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7</v>
      </c>
      <c r="H154" s="27" t="n">
        <f aca="false">IFERROR(ROUND((IF(OR(INDEX('Parametri Modello'!$C$39:$C$42,MATCH($B154,'Parametri Modello'!$A$39:$A$42,0))="",INDEX('Parametri Modello'!$C$39:$C$42,MATCH($B154,'Parametri Modello'!$A$39:$A$42,0))=0),0,($O154/INDEX('Parametri Modello'!$C$39:$C$42,MATCH($B154,'Parametri Modello'!$A$39:$A$42,0)))*(INDEX('Parametri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11</v>
      </c>
      <c r="I154" s="26" t="n">
        <f aca="false">IFERROR(INDEX('Input Statistiche 2025_26'!$F$3:$F$665,MATCH($A154,'Input Statistiche 2025_26'!$A$3:$A$665,0)),"")</f>
        <v>35</v>
      </c>
      <c r="J154" s="26" t="n">
        <f aca="false">IFERROR(IF($I154="","",MAX(0,38-$I154)),"")</f>
        <v>3</v>
      </c>
      <c r="K154" s="26" t="n">
        <f aca="false">IFERROR(INDEX('Input Statistiche 2025_26'!$I$3:$I$665,MATCH($A154,'Input Statistiche 2025_26'!$A$3:$A$665,0)),"")</f>
        <v>2</v>
      </c>
      <c r="L154" s="26" t="n">
        <f aca="false">IFERROR(INDEX('Input Statistiche 2025_26'!$O$3:$O$665,MATCH($A154,'Input Statistiche 2025_26'!$A$3:$A$665,0)),"")</f>
        <v>0</v>
      </c>
      <c r="M154" s="28"/>
      <c r="N154" s="27" t="n">
        <f aca="false">IFERROR(INDEX('Input Giocatori 2026_27'!$E$3:$E$493,MATCH($A154,'Input Giocatori 2026_27'!$A$3:$A$493,0)),"")</f>
        <v>8</v>
      </c>
      <c r="O154" s="27" t="n">
        <f aca="false">IFERROR(INDEX('Input Giocatori 2026_27'!$G$3:$G$493,MATCH($A154,'Input Giocatori 2026_27'!$A$3:$A$493,0)),"")</f>
        <v>21</v>
      </c>
      <c r="P154" s="26" t="str">
        <f aca="false">IFERROR(IF($O154="","",IF((1-(COUNTIFS($B$2:$B$492,$B154,$O$2:$O$492,"&gt;"&amp;$O154)+1-1)/COUNTIF($B$2:$B$492,$B154))&gt;=0.85,"Top",IF((1-(COUNTIFS($B$2:$B$492,$B154,$O$2:$O$492,"&gt;"&amp;$O154)+1-1)/COUNTIF($B$2:$B$492,$B154))&gt;=0.6,"Buono",IF((1-(COUNTIFS($B$2:$B$492,$B154,$O$2:$O$492,"&gt;"&amp;$O154)+1-1)/COUNTIF($B$2:$B$492,$B154))&gt;=0.3,"Nella Media","Scommessa/Riserva")))),"")</f>
        <v>Buono</v>
      </c>
      <c r="Q154" s="29" t="n">
        <f aca="false">IF($D154="",COUNTIF($D$2:$D154,""),"")</f>
        <v>153</v>
      </c>
      <c r="R154" s="29" t="str">
        <f aca="false">IF($D154='Info Lega'!$B$28,COUNTIFS($D$2:$D154,'Info Lega'!$B$28),"")</f>
        <v/>
      </c>
      <c r="S154" s="30" t="n">
        <f aca="false">IFERROR(INDEX('Input Statistiche 2025_26'!$G$3:$G$665,MATCH($A154,'Input Statistiche 2025_26'!$A$3:$A$665,0)),"")</f>
        <v>5.91</v>
      </c>
      <c r="T154" s="30" t="n">
        <f aca="false">IFERROR(INDEX('Input Statistiche 2025_26'!$H$3:$H$665,MATCH($A154,'Input Statistiche 2025_26'!$A$3:$A$665,0)),"")</f>
        <v>6.01</v>
      </c>
      <c r="U154" s="26" t="str">
        <f aca="false">IF(OR('La Mia Rosa'!$O$12="",$D154&lt;&gt;""),"",IF($F154&lt;='La Mia Rosa'!$O$12*'Parametri Modello'!$B$24,"OK",IF($F154&lt;='La Mia Rosa'!$O$12*'Parametri Modello'!$B$25,"Attenzione","Rischio Alto")))</f>
        <v>OK</v>
      </c>
      <c r="V154" s="26" t="n">
        <f aca="false">IFERROR(COUNTIFS($B$2:$B$492,$B154,$O$2:$O$492,"&gt;"&amp;$O154)+1,"")</f>
        <v>36</v>
      </c>
      <c r="W154" s="21" t="n">
        <f aca="false">'Info Lega'!$B$4-SUMIFS($M$2:$M$492,$D$2:$D$492,'Info Lega'!$B$28)</f>
        <v>1000</v>
      </c>
      <c r="X154" s="21" t="n">
        <f aca="false">('Info Lega'!$B$5-COUNTIFS($D$2:$D$492,'Info Lega'!$B$28,$B$2:$B$492,"P"))+('Info Lega'!$B$6-COUNTIFS($D$2:$D$492,'Info Lega'!$B$28,$B$2:$B$492,"D"))+('Info Lega'!$B$7-COUNTIFS($D$2:$D$492,'Info Lega'!$B$28,$B$2:$B$492,"C"))+('Info Lega'!$B$8-COUNTIFS($D$2:$D$492,'Info Lega'!$B$28,$B$2:$B$492,"A"))</f>
        <v>25</v>
      </c>
      <c r="Y154" s="21" t="n">
        <f aca="false">X154*'Parametri Modello'!$B$30</f>
        <v>25</v>
      </c>
      <c r="Z154" s="21" t="n">
        <f aca="false">MAX(0,W154-Y154)</f>
        <v>975</v>
      </c>
      <c r="AA154" s="21" t="n">
        <f aca="false">MIN(F154,Z154)</f>
        <v>10</v>
      </c>
      <c r="AB154" s="21"/>
      <c r="AC154" s="21" t="str">
        <f aca="false">IF(AB154="","",IF(AB154&gt;AA154,"PASS",IF(AB154&lt;=AA154*0.85,"BID","ATTENZIONE")))</f>
        <v/>
      </c>
      <c r="AD154" s="31" t="n">
        <f aca="false">IF(I154="","",ROUND(100*(1-EXP(-I154/30)),0))</f>
        <v>69</v>
      </c>
      <c r="AE154" s="7" t="str">
        <f aca="false">IFERROR(INDEX('Stato Asta'!$G$9:$G$12,MATCH($B154,'Stato Asta'!$A$9:$A$12,0)),"")</f>
        <v>🟡 Attesa rischiosa</v>
      </c>
    </row>
    <row r="155" customFormat="false" ht="14.25" hidden="false" customHeight="true" outlineLevel="0" collapsed="false">
      <c r="A155" s="21" t="n">
        <v>184</v>
      </c>
      <c r="B155" s="21" t="s">
        <v>45</v>
      </c>
      <c r="C155" s="21" t="s">
        <v>402</v>
      </c>
      <c r="E155" s="26" t="str">
        <f aca="false">IF(COUNTIF('Info Strategia'!$D$2:$D$51,$C155)&gt;0,"SI","NO")</f>
        <v>NO</v>
      </c>
      <c r="F155" s="27" t="n">
        <f aca="false">IFERROR(ROUND(($G155+($H155-$G155)*'Info Strategia'!$B$6)*(1+IF($E155="SI",'Parametri Modello'!$B$7*'Info Strategia'!$B$6,0)),0),"")</f>
        <v>12</v>
      </c>
      <c r="G155" s="27" t="n">
        <f aca="false">IFERROR(ROUND((IF(OR(INDEX('Parametri Modello'!$C$39:$C$42,MATCH($B155,'Parametri Modello'!$A$39:$A$42,0))="",INDEX('Parametri Modello'!$C$39:$C$42,MATCH($B155,'Parametri Modello'!$A$39:$A$42,0))=0),0,($O155/INDEX('Parametri Modello'!$C$39:$C$42,MATCH($B155,'Parametri Modello'!$A$39:$A$42,0)))*(INDEX('Parametri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8</v>
      </c>
      <c r="H155" s="27" t="n">
        <f aca="false">IFERROR(ROUND((IF(OR(INDEX('Parametri Modello'!$C$39:$C$42,MATCH($B155,'Parametri Modello'!$A$39:$A$42,0))="",INDEX('Parametri Modello'!$C$39:$C$42,MATCH($B155,'Parametri Modello'!$A$39:$A$42,0))=0),0,($O155/INDEX('Parametri Modello'!$C$39:$C$42,MATCH($B155,'Parametri Modello'!$A$39:$A$42,0)))*(INDEX('Parametri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13</v>
      </c>
      <c r="I155" s="26" t="n">
        <f aca="false">IFERROR(INDEX('Input Statistiche 2025_26'!$F$3:$F$665,MATCH($A155,'Input Statistiche 2025_26'!$A$3:$A$665,0)),"")</f>
        <v>24</v>
      </c>
      <c r="J155" s="26" t="n">
        <f aca="false">IFERROR(IF($I155="","",MAX(0,38-$I155)),"")</f>
        <v>14</v>
      </c>
      <c r="K155" s="26" t="n">
        <f aca="false">IFERROR(INDEX('Input Statistiche 2025_26'!$I$3:$I$665,MATCH($A155,'Input Statistiche 2025_26'!$A$3:$A$665,0)),"")</f>
        <v>4</v>
      </c>
      <c r="L155" s="26" t="n">
        <f aca="false">IFERROR(INDEX('Input Statistiche 2025_26'!$O$3:$O$665,MATCH($A155,'Input Statistiche 2025_26'!$A$3:$A$665,0)),"")</f>
        <v>2</v>
      </c>
      <c r="M155" s="28"/>
      <c r="N155" s="27" t="n">
        <f aca="false">IFERROR(INDEX('Input Giocatori 2026_27'!$E$3:$E$493,MATCH($A155,'Input Giocatori 2026_27'!$A$3:$A$493,0)),"")</f>
        <v>9</v>
      </c>
      <c r="O155" s="27" t="n">
        <f aca="false">IFERROR(INDEX('Input Giocatori 2026_27'!$G$3:$G$493,MATCH($A155,'Input Giocatori 2026_27'!$A$3:$A$493,0)),"")</f>
        <v>21</v>
      </c>
      <c r="P155" s="26" t="str">
        <f aca="false">IFERROR(IF($O155="","",IF((1-(COUNTIFS($B$2:$B$492,$B155,$O$2:$O$492,"&gt;"&amp;$O155)+1-1)/COUNTIF($B$2:$B$492,$B155))&gt;=0.85,"Top",IF((1-(COUNTIFS($B$2:$B$492,$B155,$O$2:$O$492,"&gt;"&amp;$O155)+1-1)/COUNTIF($B$2:$B$492,$B155))&gt;=0.6,"Buono",IF((1-(COUNTIFS($B$2:$B$492,$B155,$O$2:$O$492,"&gt;"&amp;$O155)+1-1)/COUNTIF($B$2:$B$492,$B155))&gt;=0.3,"Nella Media","Scommessa/Riserva")))),"")</f>
        <v>Buono</v>
      </c>
      <c r="Q155" s="29" t="n">
        <f aca="false">IF($D155="",COUNTIF($D$2:$D155,""),"")</f>
        <v>154</v>
      </c>
      <c r="R155" s="29" t="str">
        <f aca="false">IF($D155='Info Lega'!$B$28,COUNTIFS($D$2:$D155,'Info Lega'!$B$28),"")</f>
        <v/>
      </c>
      <c r="S155" s="30" t="n">
        <f aca="false">IFERROR(INDEX('Input Statistiche 2025_26'!$G$3:$G$665,MATCH($A155,'Input Statistiche 2025_26'!$A$3:$A$665,0)),"")</f>
        <v>6.04</v>
      </c>
      <c r="T155" s="30" t="n">
        <f aca="false">IFERROR(INDEX('Input Statistiche 2025_26'!$H$3:$H$665,MATCH($A155,'Input Statistiche 2025_26'!$A$3:$A$665,0)),"")</f>
        <v>6.56</v>
      </c>
      <c r="U155" s="26" t="str">
        <f aca="false">IF(OR('La Mia Rosa'!$O$12="",$D155&lt;&gt;""),"",IF($F155&lt;='La Mia Rosa'!$O$12*'Parametri Modello'!$B$24,"OK",IF($F155&lt;='La Mia Rosa'!$O$12*'Parametri Modello'!$B$25,"Attenzione","Rischio Alto")))</f>
        <v>OK</v>
      </c>
      <c r="V155" s="26" t="n">
        <f aca="false">IFERROR(COUNTIFS($B$2:$B$492,$B155,$O$2:$O$492,"&gt;"&amp;$O155)+1,"")</f>
        <v>58</v>
      </c>
      <c r="W155" s="21" t="n">
        <f aca="false">'Info Lega'!$B$4-SUMIFS($M$2:$M$492,$D$2:$D$492,'Info Lega'!$B$28)</f>
        <v>1000</v>
      </c>
      <c r="X155" s="21" t="n">
        <f aca="false">('Info Lega'!$B$5-COUNTIFS($D$2:$D$492,'Info Lega'!$B$28,$B$2:$B$492,"P"))+('Info Lega'!$B$6-COUNTIFS($D$2:$D$492,'Info Lega'!$B$28,$B$2:$B$492,"D"))+('Info Lega'!$B$7-COUNTIFS($D$2:$D$492,'Info Lega'!$B$28,$B$2:$B$492,"C"))+('Info Lega'!$B$8-COUNTIFS($D$2:$D$492,'Info Lega'!$B$28,$B$2:$B$492,"A"))</f>
        <v>25</v>
      </c>
      <c r="Y155" s="21" t="n">
        <f aca="false">X155*'Parametri Modello'!$B$30</f>
        <v>25</v>
      </c>
      <c r="Z155" s="21" t="n">
        <f aca="false">MAX(0,W155-Y155)</f>
        <v>975</v>
      </c>
      <c r="AA155" s="21" t="n">
        <f aca="false">MIN(F155,Z155)</f>
        <v>12</v>
      </c>
      <c r="AB155" s="21"/>
      <c r="AC155" s="21" t="str">
        <f aca="false">IF(AB155="","",IF(AB155&gt;AA155,"PASS",IF(AB155&lt;=AA155*0.85,"BID","ATTENZIONE")))</f>
        <v/>
      </c>
      <c r="AD155" s="31" t="n">
        <f aca="false">IF(I155="","",ROUND(100*(1-EXP(-I155/30)),0))</f>
        <v>55</v>
      </c>
      <c r="AE155" s="7" t="str">
        <f aca="false">IFERROR(INDEX('Stato Asta'!$G$9:$G$12,MATCH($B155,'Stato Asta'!$A$9:$A$12,0)),"")</f>
        <v>🟡 Attesa rischiosa</v>
      </c>
    </row>
    <row r="156" customFormat="false" ht="14.25" hidden="false" customHeight="true" outlineLevel="0" collapsed="false">
      <c r="A156" s="21" t="n">
        <v>5422</v>
      </c>
      <c r="B156" s="21" t="s">
        <v>45</v>
      </c>
      <c r="C156" s="21" t="s">
        <v>429</v>
      </c>
      <c r="E156" s="26" t="str">
        <f aca="false">IF(COUNTIF('Info Strategia'!$D$2:$D$51,$C156)&gt;0,"SI","NO")</f>
        <v>NO</v>
      </c>
      <c r="F156" s="27" t="n">
        <f aca="false">IFERROR(ROUND(($G156+($H156-$G156)*'Info Strategia'!$B$6)*(1+IF($E156="SI",'Parametri Modello'!$B$7*'Info Strategia'!$B$6,0)),0),"")</f>
        <v>12</v>
      </c>
      <c r="G156" s="27" t="n">
        <f aca="false">IFERROR(ROUND((IF(OR(INDEX('Parametri Modello'!$C$39:$C$42,MATCH($B156,'Parametri Modello'!$A$39:$A$42,0))="",INDEX('Parametri Modello'!$C$39:$C$42,MATCH($B156,'Parametri Modello'!$A$39:$A$42,0))=0),0,($O156/INDEX('Parametri Modello'!$C$39:$C$42,MATCH($B156,'Parametri Modello'!$A$39:$A$42,0)))*(INDEX('Parametri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8</v>
      </c>
      <c r="H156" s="27" t="n">
        <f aca="false">IFERROR(ROUND((IF(OR(INDEX('Parametri Modello'!$C$39:$C$42,MATCH($B156,'Parametri Modello'!$A$39:$A$42,0))="",INDEX('Parametri Modello'!$C$39:$C$42,MATCH($B156,'Parametri Modello'!$A$39:$A$42,0))=0),0,($O156/INDEX('Parametri Modello'!$C$39:$C$42,MATCH($B156,'Parametri Modello'!$A$39:$A$42,0)))*(INDEX('Parametri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13</v>
      </c>
      <c r="I156" s="26" t="n">
        <f aca="false">IFERROR(INDEX('Input Statistiche 2025_26'!$F$3:$F$665,MATCH($A156,'Input Statistiche 2025_26'!$A$3:$A$665,0)),"")</f>
        <v>31</v>
      </c>
      <c r="J156" s="26" t="n">
        <f aca="false">IFERROR(IF($I156="","",MAX(0,38-$I156)),"")</f>
        <v>7</v>
      </c>
      <c r="K156" s="26" t="n">
        <f aca="false">IFERROR(INDEX('Input Statistiche 2025_26'!$I$3:$I$665,MATCH($A156,'Input Statistiche 2025_26'!$A$3:$A$665,0)),"")</f>
        <v>2</v>
      </c>
      <c r="L156" s="26" t="n">
        <f aca="false">IFERROR(INDEX('Input Statistiche 2025_26'!$O$3:$O$665,MATCH($A156,'Input Statistiche 2025_26'!$A$3:$A$665,0)),"")</f>
        <v>5</v>
      </c>
      <c r="M156" s="28"/>
      <c r="N156" s="27" t="n">
        <f aca="false">IFERROR(INDEX('Input Giocatori 2026_27'!$E$3:$E$493,MATCH($A156,'Input Giocatori 2026_27'!$A$3:$A$493,0)),"")</f>
        <v>6</v>
      </c>
      <c r="O156" s="27" t="n">
        <f aca="false">IFERROR(INDEX('Input Giocatori 2026_27'!$G$3:$G$493,MATCH($A156,'Input Giocatori 2026_27'!$A$3:$A$493,0)),"")</f>
        <v>21</v>
      </c>
      <c r="P156" s="26" t="str">
        <f aca="false">IFERROR(IF($O156="","",IF((1-(COUNTIFS($B$2:$B$492,$B156,$O$2:$O$492,"&gt;"&amp;$O156)+1-1)/COUNTIF($B$2:$B$492,$B156))&gt;=0.85,"Top",IF((1-(COUNTIFS($B$2:$B$492,$B156,$O$2:$O$492,"&gt;"&amp;$O156)+1-1)/COUNTIF($B$2:$B$492,$B156))&gt;=0.6,"Buono",IF((1-(COUNTIFS($B$2:$B$492,$B156,$O$2:$O$492,"&gt;"&amp;$O156)+1-1)/COUNTIF($B$2:$B$492,$B156))&gt;=0.3,"Nella Media","Scommessa/Riserva")))),"")</f>
        <v>Buono</v>
      </c>
      <c r="Q156" s="29" t="n">
        <f aca="false">IF($D156="",COUNTIF($D$2:$D156,""),"")</f>
        <v>155</v>
      </c>
      <c r="R156" s="29" t="str">
        <f aca="false">IF($D156='Info Lega'!$B$28,COUNTIFS($D$2:$D156,'Info Lega'!$B$28),"")</f>
        <v/>
      </c>
      <c r="S156" s="30" t="n">
        <f aca="false">IFERROR(INDEX('Input Statistiche 2025_26'!$G$3:$G$665,MATCH($A156,'Input Statistiche 2025_26'!$A$3:$A$665,0)),"")</f>
        <v>6.1</v>
      </c>
      <c r="T156" s="30" t="n">
        <f aca="false">IFERROR(INDEX('Input Statistiche 2025_26'!$H$3:$H$665,MATCH($A156,'Input Statistiche 2025_26'!$A$3:$A$665,0)),"")</f>
        <v>6.4</v>
      </c>
      <c r="U156" s="26" t="str">
        <f aca="false">IF(OR('La Mia Rosa'!$O$12="",$D156&lt;&gt;""),"",IF($F156&lt;='La Mia Rosa'!$O$12*'Parametri Modello'!$B$24,"OK",IF($F156&lt;='La Mia Rosa'!$O$12*'Parametri Modello'!$B$25,"Attenzione","Rischio Alto")))</f>
        <v>OK</v>
      </c>
      <c r="V156" s="26" t="n">
        <f aca="false">IFERROR(COUNTIFS($B$2:$B$492,$B156,$O$2:$O$492,"&gt;"&amp;$O156)+1,"")</f>
        <v>58</v>
      </c>
      <c r="W156" s="21" t="n">
        <f aca="false">'Info Lega'!$B$4-SUMIFS($M$2:$M$492,$D$2:$D$492,'Info Lega'!$B$28)</f>
        <v>1000</v>
      </c>
      <c r="X156" s="21" t="n">
        <f aca="false">('Info Lega'!$B$5-COUNTIFS($D$2:$D$492,'Info Lega'!$B$28,$B$2:$B$492,"P"))+('Info Lega'!$B$6-COUNTIFS($D$2:$D$492,'Info Lega'!$B$28,$B$2:$B$492,"D"))+('Info Lega'!$B$7-COUNTIFS($D$2:$D$492,'Info Lega'!$B$28,$B$2:$B$492,"C"))+('Info Lega'!$B$8-COUNTIFS($D$2:$D$492,'Info Lega'!$B$28,$B$2:$B$492,"A"))</f>
        <v>25</v>
      </c>
      <c r="Y156" s="21" t="n">
        <f aca="false">X156*'Parametri Modello'!$B$30</f>
        <v>25</v>
      </c>
      <c r="Z156" s="21" t="n">
        <f aca="false">MAX(0,W156-Y156)</f>
        <v>975</v>
      </c>
      <c r="AA156" s="21" t="n">
        <f aca="false">MIN(F156,Z156)</f>
        <v>12</v>
      </c>
      <c r="AB156" s="21"/>
      <c r="AC156" s="21" t="str">
        <f aca="false">IF(AB156="","",IF(AB156&gt;AA156,"PASS",IF(AB156&lt;=AA156*0.85,"BID","ATTENZIONE")))</f>
        <v/>
      </c>
      <c r="AD156" s="31" t="n">
        <f aca="false">IF(I156="","",ROUND(100*(1-EXP(-I156/30)),0))</f>
        <v>64</v>
      </c>
      <c r="AE156" s="7" t="str">
        <f aca="false">IFERROR(INDEX('Stato Asta'!$G$9:$G$12,MATCH($B156,'Stato Asta'!$A$9:$A$12,0)),"")</f>
        <v>🟡 Attesa rischiosa</v>
      </c>
    </row>
    <row r="157" customFormat="false" ht="14.25" hidden="false" customHeight="true" outlineLevel="0" collapsed="false">
      <c r="A157" s="21" t="n">
        <v>6669</v>
      </c>
      <c r="B157" s="21" t="s">
        <v>46</v>
      </c>
      <c r="C157" s="21" t="s">
        <v>584</v>
      </c>
      <c r="E157" s="26" t="str">
        <f aca="false">IF(COUNTIF('Info Strategia'!$D$2:$D$51,$C157)&gt;0,"SI","NO")</f>
        <v>NO</v>
      </c>
      <c r="F157" s="27" t="n">
        <f aca="false">IFERROR(ROUND(($G157+($H157-$G157)*'Info Strategia'!$B$6)*(1+IF($E157="SI",'Parametri Modello'!$B$7*'Info Strategia'!$B$6,0)),0),"")</f>
        <v>19</v>
      </c>
      <c r="G157" s="27" t="n">
        <f aca="false">IFERROR(ROUND((IF(OR(INDEX('Parametri Modello'!$C$39:$C$42,MATCH($B157,'Parametri Modello'!$A$39:$A$42,0))="",INDEX('Parametri Modello'!$C$39:$C$42,MATCH($B157,'Parametri Modello'!$A$39:$A$42,0))=0),0,($O157/INDEX('Parametri Modello'!$C$39:$C$42,MATCH($B157,'Parametri Modello'!$A$39:$A$42,0)))*(INDEX('Parametri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12</v>
      </c>
      <c r="H157" s="27" t="n">
        <f aca="false">IFERROR(ROUND((IF(OR(INDEX('Parametri Modello'!$C$39:$C$42,MATCH($B157,'Parametri Modello'!$A$39:$A$42,0))="",INDEX('Parametri Modello'!$C$39:$C$42,MATCH($B157,'Parametri Modello'!$A$39:$A$42,0))=0),0,($O157/INDEX('Parametri Modello'!$C$39:$C$42,MATCH($B157,'Parametri Modello'!$A$39:$A$42,0)))*(INDEX('Parametri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22</v>
      </c>
      <c r="I157" s="26" t="n">
        <f aca="false">IFERROR(INDEX('Input Statistiche 2025_26'!$F$3:$F$665,MATCH($A157,'Input Statistiche 2025_26'!$A$3:$A$665,0)),"")</f>
        <v>27</v>
      </c>
      <c r="J157" s="26" t="n">
        <f aca="false">IFERROR(IF($I157="","",MAX(0,38-$I157)),"")</f>
        <v>11</v>
      </c>
      <c r="K157" s="26" t="n">
        <f aca="false">IFERROR(INDEX('Input Statistiche 2025_26'!$I$3:$I$665,MATCH($A157,'Input Statistiche 2025_26'!$A$3:$A$665,0)),"")</f>
        <v>5</v>
      </c>
      <c r="L157" s="26" t="n">
        <f aca="false">IFERROR(INDEX('Input Statistiche 2025_26'!$O$3:$O$665,MATCH($A157,'Input Statistiche 2025_26'!$A$3:$A$665,0)),"")</f>
        <v>4</v>
      </c>
      <c r="M157" s="28"/>
      <c r="N157" s="27" t="n">
        <f aca="false">IFERROR(INDEX('Input Giocatori 2026_27'!$E$3:$E$493,MATCH($A157,'Input Giocatori 2026_27'!$A$3:$A$493,0)),"")</f>
        <v>7</v>
      </c>
      <c r="O157" s="27" t="n">
        <f aca="false">IFERROR(INDEX('Input Giocatori 2026_27'!$G$3:$G$493,MATCH($A157,'Input Giocatori 2026_27'!$A$3:$A$493,0)),"")</f>
        <v>21</v>
      </c>
      <c r="P157" s="26" t="str">
        <f aca="false">IFERROR(IF($O157="","",IF((1-(COUNTIFS($B$2:$B$492,$B157,$O$2:$O$492,"&gt;"&amp;$O157)+1-1)/COUNTIF($B$2:$B$492,$B157))&gt;=0.85,"Top",IF((1-(COUNTIFS($B$2:$B$492,$B157,$O$2:$O$492,"&gt;"&amp;$O157)+1-1)/COUNTIF($B$2:$B$492,$B157))&gt;=0.6,"Buono",IF((1-(COUNTIFS($B$2:$B$492,$B157,$O$2:$O$492,"&gt;"&amp;$O157)+1-1)/COUNTIF($B$2:$B$492,$B157))&gt;=0.3,"Nella Media","Scommessa/Riserva")))),"")</f>
        <v>Nella Media</v>
      </c>
      <c r="Q157" s="29" t="n">
        <f aca="false">IF($D157="",COUNTIF($D$2:$D157,""),"")</f>
        <v>156</v>
      </c>
      <c r="R157" s="29" t="str">
        <f aca="false">IF($D157='Info Lega'!$B$28,COUNTIFS($D$2:$D157,'Info Lega'!$B$28),"")</f>
        <v/>
      </c>
      <c r="S157" s="30" t="n">
        <f aca="false">IFERROR(INDEX('Input Statistiche 2025_26'!$G$3:$G$665,MATCH($A157,'Input Statistiche 2025_26'!$A$3:$A$665,0)),"")</f>
        <v>6.15</v>
      </c>
      <c r="T157" s="30" t="n">
        <f aca="false">IFERROR(INDEX('Input Statistiche 2025_26'!$H$3:$H$665,MATCH($A157,'Input Statistiche 2025_26'!$A$3:$A$665,0)),"")</f>
        <v>6.83</v>
      </c>
      <c r="U157" s="26" t="str">
        <f aca="false">IF(OR('La Mia Rosa'!$O$12="",$D157&lt;&gt;""),"",IF($F157&lt;='La Mia Rosa'!$O$12*'Parametri Modello'!$B$24,"OK",IF($F157&lt;='La Mia Rosa'!$O$12*'Parametri Modello'!$B$25,"Attenzione","Rischio Alto")))</f>
        <v>OK</v>
      </c>
      <c r="V157" s="26" t="n">
        <f aca="false">IFERROR(COUNTIFS($B$2:$B$492,$B157,$O$2:$O$492,"&gt;"&amp;$O157)+1,"")</f>
        <v>47</v>
      </c>
      <c r="W157" s="21" t="n">
        <f aca="false">'Info Lega'!$B$4-SUMIFS($M$2:$M$492,$D$2:$D$492,'Info Lega'!$B$28)</f>
        <v>1000</v>
      </c>
      <c r="X157" s="21" t="n">
        <f aca="false">('Info Lega'!$B$5-COUNTIFS($D$2:$D$492,'Info Lega'!$B$28,$B$2:$B$492,"P"))+('Info Lega'!$B$6-COUNTIFS($D$2:$D$492,'Info Lega'!$B$28,$B$2:$B$492,"D"))+('Info Lega'!$B$7-COUNTIFS($D$2:$D$492,'Info Lega'!$B$28,$B$2:$B$492,"C"))+('Info Lega'!$B$8-COUNTIFS($D$2:$D$492,'Info Lega'!$B$28,$B$2:$B$492,"A"))</f>
        <v>25</v>
      </c>
      <c r="Y157" s="21" t="n">
        <f aca="false">X157*'Parametri Modello'!$B$30</f>
        <v>25</v>
      </c>
      <c r="Z157" s="21" t="n">
        <f aca="false">MAX(0,W157-Y157)</f>
        <v>975</v>
      </c>
      <c r="AA157" s="21" t="n">
        <f aca="false">MIN(F157,Z157)</f>
        <v>19</v>
      </c>
      <c r="AB157" s="21"/>
      <c r="AC157" s="21" t="str">
        <f aca="false">IF(AB157="","",IF(AB157&gt;AA157,"PASS",IF(AB157&lt;=AA157*0.85,"BID","ATTENZIONE")))</f>
        <v/>
      </c>
      <c r="AD157" s="31" t="n">
        <f aca="false">IF(I157="","",ROUND(100*(1-EXP(-I157/30)),0))</f>
        <v>59</v>
      </c>
      <c r="AE157" s="7" t="str">
        <f aca="false">IFERROR(INDEX('Stato Asta'!$G$9:$G$12,MATCH($B157,'Stato Asta'!$A$9:$A$12,0)),"")</f>
        <v>🔴 Non aspettare</v>
      </c>
    </row>
    <row r="158" customFormat="false" ht="14.25" hidden="false" customHeight="true" outlineLevel="0" collapsed="false">
      <c r="A158" s="21" t="n">
        <v>6641</v>
      </c>
      <c r="B158" s="21" t="s">
        <v>43</v>
      </c>
      <c r="C158" s="21" t="s">
        <v>142</v>
      </c>
      <c r="E158" s="26" t="str">
        <f aca="false">IF(COUNTIF('Info Strategia'!$D$2:$D$51,$C158)&gt;0,"SI","NO")</f>
        <v>NO</v>
      </c>
      <c r="F158" s="27" t="n">
        <f aca="false">IFERROR(ROUND(($G158+($H158-$G158)*'Info Strategia'!$B$6)*(1+IF($E158="SI",'Parametri Modello'!$B$7*'Info Strategia'!$B$6,0)),0),"")</f>
        <v>22</v>
      </c>
      <c r="G158" s="27" t="n">
        <f aca="false">IFERROR(ROUND((IF(OR(INDEX('Parametri Modello'!$C$39:$C$42,MATCH($B158,'Parametri Modello'!$A$39:$A$42,0))="",INDEX('Parametri Modello'!$C$39:$C$42,MATCH($B158,'Parametri Modello'!$A$39:$A$42,0))=0),0,($O158/INDEX('Parametri Modello'!$C$39:$C$42,MATCH($B158,'Parametri Modello'!$A$39:$A$42,0)))*(INDEX('Parametri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18</v>
      </c>
      <c r="H158" s="27" t="n">
        <f aca="false">IFERROR(ROUND((IF(OR(INDEX('Parametri Modello'!$C$39:$C$42,MATCH($B158,'Parametri Modello'!$A$39:$A$42,0))="",INDEX('Parametri Modello'!$C$39:$C$42,MATCH($B158,'Parametri Modello'!$A$39:$A$42,0))=0),0,($O158/INDEX('Parametri Modello'!$C$39:$C$42,MATCH($B158,'Parametri Modello'!$A$39:$A$42,0)))*(INDEX('Parametri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24</v>
      </c>
      <c r="I158" s="26" t="n">
        <f aca="false">IFERROR(INDEX('Input Statistiche 2025_26'!$F$3:$F$665,MATCH($A158,'Input Statistiche 2025_26'!$A$3:$A$665,0)),"")</f>
        <v>20</v>
      </c>
      <c r="J158" s="26" t="n">
        <f aca="false">IFERROR(IF($I158="","",MAX(0,38-$I158)),"")</f>
        <v>18</v>
      </c>
      <c r="K158" s="26" t="n">
        <f aca="false">IFERROR(INDEX('Input Statistiche 2025_26'!$I$3:$I$665,MATCH($A158,'Input Statistiche 2025_26'!$A$3:$A$665,0)),"")</f>
        <v>0</v>
      </c>
      <c r="L158" s="26" t="n">
        <f aca="false">IFERROR(INDEX('Input Statistiche 2025_26'!$O$3:$O$665,MATCH($A158,'Input Statistiche 2025_26'!$A$3:$A$665,0)),"")</f>
        <v>0</v>
      </c>
      <c r="M158" s="28"/>
      <c r="N158" s="27" t="n">
        <f aca="false">IFERROR(INDEX('Input Giocatori 2026_27'!$E$3:$E$493,MATCH($A158,'Input Giocatori 2026_27'!$A$3:$A$493,0)),"")</f>
        <v>7</v>
      </c>
      <c r="O158" s="27" t="n">
        <f aca="false">IFERROR(INDEX('Input Giocatori 2026_27'!$G$3:$G$493,MATCH($A158,'Input Giocatori 2026_27'!$A$3:$A$493,0)),"")</f>
        <v>20</v>
      </c>
      <c r="P158" s="26" t="str">
        <f aca="false">IFERROR(IF($O158="","",IF((1-(COUNTIFS($B$2:$B$492,$B158,$O$2:$O$492,"&gt;"&amp;$O158)+1-1)/COUNTIF($B$2:$B$492,$B158))&gt;=0.85,"Top",IF((1-(COUNTIFS($B$2:$B$492,$B158,$O$2:$O$492,"&gt;"&amp;$O158)+1-1)/COUNTIF($B$2:$B$492,$B158))&gt;=0.6,"Buono",IF((1-(COUNTIFS($B$2:$B$492,$B158,$O$2:$O$492,"&gt;"&amp;$O158)+1-1)/COUNTIF($B$2:$B$492,$B158))&gt;=0.3,"Nella Media","Scommessa/Riserva")))),"")</f>
        <v>Buono</v>
      </c>
      <c r="Q158" s="29" t="n">
        <f aca="false">IF($D158="",COUNTIF($D$2:$D158,""),"")</f>
        <v>157</v>
      </c>
      <c r="R158" s="29" t="str">
        <f aca="false">IF($D158='Info Lega'!$B$28,COUNTIFS($D$2:$D158,'Info Lega'!$B$28),"")</f>
        <v/>
      </c>
      <c r="S158" s="30" t="n">
        <f aca="false">IFERROR(INDEX('Input Statistiche 2025_26'!$G$3:$G$665,MATCH($A158,'Input Statistiche 2025_26'!$A$3:$A$665,0)),"")</f>
        <v>6.02</v>
      </c>
      <c r="T158" s="30" t="n">
        <f aca="false">IFERROR(INDEX('Input Statistiche 2025_26'!$H$3:$H$665,MATCH($A158,'Input Statistiche 2025_26'!$A$3:$A$665,0)),"")</f>
        <v>4.75</v>
      </c>
      <c r="U158" s="26" t="str">
        <f aca="false">IF(OR('La Mia Rosa'!$O$12="",$D158&lt;&gt;""),"",IF($F158&lt;='La Mia Rosa'!$O$12*'Parametri Modello'!$B$24,"OK",IF($F158&lt;='La Mia Rosa'!$O$12*'Parametri Modello'!$B$25,"Attenzione","Rischio Alto")))</f>
        <v>OK</v>
      </c>
      <c r="V158" s="26" t="n">
        <f aca="false">IFERROR(COUNTIFS($B$2:$B$492,$B158,$O$2:$O$492,"&gt;"&amp;$O158)+1,"")</f>
        <v>14</v>
      </c>
      <c r="W158" s="21" t="n">
        <f aca="false">'Info Lega'!$B$4-SUMIFS($M$2:$M$492,$D$2:$D$492,'Info Lega'!$B$28)</f>
        <v>1000</v>
      </c>
      <c r="X158" s="21" t="n">
        <f aca="false">('Info Lega'!$B$5-COUNTIFS($D$2:$D$492,'Info Lega'!$B$28,$B$2:$B$492,"P"))+('Info Lega'!$B$6-COUNTIFS($D$2:$D$492,'Info Lega'!$B$28,$B$2:$B$492,"D"))+('Info Lega'!$B$7-COUNTIFS($D$2:$D$492,'Info Lega'!$B$28,$B$2:$B$492,"C"))+('Info Lega'!$B$8-COUNTIFS($D$2:$D$492,'Info Lega'!$B$28,$B$2:$B$492,"A"))</f>
        <v>25</v>
      </c>
      <c r="Y158" s="21" t="n">
        <f aca="false">X158*'Parametri Modello'!$B$30</f>
        <v>25</v>
      </c>
      <c r="Z158" s="21" t="n">
        <f aca="false">MAX(0,W158-Y158)</f>
        <v>975</v>
      </c>
      <c r="AA158" s="21" t="n">
        <f aca="false">MIN(F158,Z158)</f>
        <v>22</v>
      </c>
      <c r="AB158" s="21"/>
      <c r="AC158" s="21" t="str">
        <f aca="false">IF(AB158="","",IF(AB158&gt;AA158,"PASS",IF(AB158&lt;=AA158*0.85,"BID","ATTENZIONE")))</f>
        <v/>
      </c>
      <c r="AD158" s="31" t="n">
        <f aca="false">IF(I158="","",ROUND(100*(1-EXP(-I158/30)),0))</f>
        <v>49</v>
      </c>
      <c r="AE158" s="7" t="str">
        <f aca="false">IFERROR(INDEX('Stato Asta'!$G$9:$G$12,MATCH($B158,'Stato Asta'!$A$9:$A$12,0)),"")</f>
        <v>🟡 Attesa rischiosa</v>
      </c>
    </row>
    <row r="159" customFormat="false" ht="14.25" hidden="false" customHeight="true" outlineLevel="0" collapsed="false">
      <c r="A159" s="21" t="n">
        <v>4210</v>
      </c>
      <c r="B159" s="21" t="s">
        <v>44</v>
      </c>
      <c r="C159" s="21" t="s">
        <v>217</v>
      </c>
      <c r="E159" s="26" t="str">
        <f aca="false">IF(COUNTIF('Info Strategia'!$D$2:$D$51,$C159)&gt;0,"SI","NO")</f>
        <v>NO</v>
      </c>
      <c r="F159" s="27" t="n">
        <f aca="false">IFERROR(ROUND(($G159+($H159-$G159)*'Info Strategia'!$B$6)*(1+IF($E159="SI",'Parametri Modello'!$B$7*'Info Strategia'!$B$6,0)),0),"")</f>
        <v>10</v>
      </c>
      <c r="G159" s="27" t="n">
        <f aca="false">IFERROR(ROUND((IF(OR(INDEX('Parametri Modello'!$C$39:$C$42,MATCH($B159,'Parametri Modello'!$A$39:$A$42,0))="",INDEX('Parametri Modello'!$C$39:$C$42,MATCH($B159,'Parametri Modello'!$A$39:$A$42,0))=0),0,($O159/INDEX('Parametri Modello'!$C$39:$C$42,MATCH($B159,'Parametri Modello'!$A$39:$A$42,0)))*(INDEX('Parametri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7</v>
      </c>
      <c r="H159" s="27" t="n">
        <f aca="false">IFERROR(ROUND((IF(OR(INDEX('Parametri Modello'!$C$39:$C$42,MATCH($B159,'Parametri Modello'!$A$39:$A$42,0))="",INDEX('Parametri Modello'!$C$39:$C$42,MATCH($B159,'Parametri Modello'!$A$39:$A$42,0))=0),0,($O159/INDEX('Parametri Modello'!$C$39:$C$42,MATCH($B159,'Parametri Modello'!$A$39:$A$42,0)))*(INDEX('Parametri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11</v>
      </c>
      <c r="I159" s="26" t="n">
        <f aca="false">IFERROR(INDEX('Input Statistiche 2025_26'!$F$3:$F$665,MATCH($A159,'Input Statistiche 2025_26'!$A$3:$A$665,0)),"")</f>
        <v>26</v>
      </c>
      <c r="J159" s="26" t="n">
        <f aca="false">IFERROR(IF($I159="","",MAX(0,38-$I159)),"")</f>
        <v>12</v>
      </c>
      <c r="K159" s="26" t="n">
        <f aca="false">IFERROR(INDEX('Input Statistiche 2025_26'!$I$3:$I$665,MATCH($A159,'Input Statistiche 2025_26'!$A$3:$A$665,0)),"")</f>
        <v>2</v>
      </c>
      <c r="L159" s="26" t="n">
        <f aca="false">IFERROR(INDEX('Input Statistiche 2025_26'!$O$3:$O$665,MATCH($A159,'Input Statistiche 2025_26'!$A$3:$A$665,0)),"")</f>
        <v>1</v>
      </c>
      <c r="M159" s="28"/>
      <c r="N159" s="27" t="n">
        <f aca="false">IFERROR(INDEX('Input Giocatori 2026_27'!$E$3:$E$493,MATCH($A159,'Input Giocatori 2026_27'!$A$3:$A$493,0)),"")</f>
        <v>8</v>
      </c>
      <c r="O159" s="27" t="n">
        <f aca="false">IFERROR(INDEX('Input Giocatori 2026_27'!$G$3:$G$493,MATCH($A159,'Input Giocatori 2026_27'!$A$3:$A$493,0)),"")</f>
        <v>20</v>
      </c>
      <c r="P159" s="26" t="str">
        <f aca="false">IFERROR(IF($O159="","",IF((1-(COUNTIFS($B$2:$B$492,$B159,$O$2:$O$492,"&gt;"&amp;$O159)+1-1)/COUNTIF($B$2:$B$492,$B159))&gt;=0.85,"Top",IF((1-(COUNTIFS($B$2:$B$492,$B159,$O$2:$O$492,"&gt;"&amp;$O159)+1-1)/COUNTIF($B$2:$B$492,$B159))&gt;=0.6,"Buono",IF((1-(COUNTIFS($B$2:$B$492,$B159,$O$2:$O$492,"&gt;"&amp;$O159)+1-1)/COUNTIF($B$2:$B$492,$B159))&gt;=0.3,"Nella Media","Scommessa/Riserva")))),"")</f>
        <v>Buono</v>
      </c>
      <c r="Q159" s="29" t="n">
        <f aca="false">IF($D159="",COUNTIF($D$2:$D159,""),"")</f>
        <v>158</v>
      </c>
      <c r="R159" s="29" t="str">
        <f aca="false">IF($D159='Info Lega'!$B$28,COUNTIFS($D$2:$D159,'Info Lega'!$B$28),"")</f>
        <v/>
      </c>
      <c r="S159" s="30" t="n">
        <f aca="false">IFERROR(INDEX('Input Statistiche 2025_26'!$G$3:$G$665,MATCH($A159,'Input Statistiche 2025_26'!$A$3:$A$665,0)),"")</f>
        <v>6</v>
      </c>
      <c r="T159" s="30" t="n">
        <f aca="false">IFERROR(INDEX('Input Statistiche 2025_26'!$H$3:$H$665,MATCH($A159,'Input Statistiche 2025_26'!$A$3:$A$665,0)),"")</f>
        <v>6.17</v>
      </c>
      <c r="U159" s="26" t="str">
        <f aca="false">IF(OR('La Mia Rosa'!$O$12="",$D159&lt;&gt;""),"",IF($F159&lt;='La Mia Rosa'!$O$12*'Parametri Modello'!$B$24,"OK",IF($F159&lt;='La Mia Rosa'!$O$12*'Parametri Modello'!$B$25,"Attenzione","Rischio Alto")))</f>
        <v>OK</v>
      </c>
      <c r="V159" s="26" t="n">
        <f aca="false">IFERROR(COUNTIFS($B$2:$B$492,$B159,$O$2:$O$492,"&gt;"&amp;$O159)+1,"")</f>
        <v>38</v>
      </c>
      <c r="W159" s="21" t="n">
        <f aca="false">'Info Lega'!$B$4-SUMIFS($M$2:$M$492,$D$2:$D$492,'Info Lega'!$B$28)</f>
        <v>1000</v>
      </c>
      <c r="X159" s="21" t="n">
        <f aca="false">('Info Lega'!$B$5-COUNTIFS($D$2:$D$492,'Info Lega'!$B$28,$B$2:$B$492,"P"))+('Info Lega'!$B$6-COUNTIFS($D$2:$D$492,'Info Lega'!$B$28,$B$2:$B$492,"D"))+('Info Lega'!$B$7-COUNTIFS($D$2:$D$492,'Info Lega'!$B$28,$B$2:$B$492,"C"))+('Info Lega'!$B$8-COUNTIFS($D$2:$D$492,'Info Lega'!$B$28,$B$2:$B$492,"A"))</f>
        <v>25</v>
      </c>
      <c r="Y159" s="21" t="n">
        <f aca="false">X159*'Parametri Modello'!$B$30</f>
        <v>25</v>
      </c>
      <c r="Z159" s="21" t="n">
        <f aca="false">MAX(0,W159-Y159)</f>
        <v>975</v>
      </c>
      <c r="AA159" s="21" t="n">
        <f aca="false">MIN(F159,Z159)</f>
        <v>10</v>
      </c>
      <c r="AB159" s="21"/>
      <c r="AC159" s="21" t="str">
        <f aca="false">IF(AB159="","",IF(AB159&gt;AA159,"PASS",IF(AB159&lt;=AA159*0.85,"BID","ATTENZIONE")))</f>
        <v/>
      </c>
      <c r="AD159" s="31" t="n">
        <f aca="false">IF(I159="","",ROUND(100*(1-EXP(-I159/30)),0))</f>
        <v>58</v>
      </c>
      <c r="AE159" s="7" t="str">
        <f aca="false">IFERROR(INDEX('Stato Asta'!$G$9:$G$12,MATCH($B159,'Stato Asta'!$A$9:$A$12,0)),"")</f>
        <v>🟡 Attesa rischiosa</v>
      </c>
    </row>
    <row r="160" customFormat="false" ht="14.25" hidden="false" customHeight="true" outlineLevel="0" collapsed="false">
      <c r="A160" s="21" t="n">
        <v>7529</v>
      </c>
      <c r="B160" s="21" t="s">
        <v>44</v>
      </c>
      <c r="C160" s="21" t="s">
        <v>226</v>
      </c>
      <c r="E160" s="26" t="str">
        <f aca="false">IF(COUNTIF('Info Strategia'!$D$2:$D$51,$C160)&gt;0,"SI","NO")</f>
        <v>NO</v>
      </c>
      <c r="F160" s="27" t="n">
        <f aca="false">IFERROR(ROUND(($G160+($H160-$G160)*'Info Strategia'!$B$6)*(1+IF($E160="SI",'Parametri Modello'!$B$7*'Info Strategia'!$B$6,0)),0),"")</f>
        <v>10</v>
      </c>
      <c r="G160" s="27" t="n">
        <f aca="false">IFERROR(ROUND((IF(OR(INDEX('Parametri Modello'!$C$39:$C$42,MATCH($B160,'Parametri Modello'!$A$39:$A$42,0))="",INDEX('Parametri Modello'!$C$39:$C$42,MATCH($B160,'Parametri Modello'!$A$39:$A$42,0))=0),0,($O160/INDEX('Parametri Modello'!$C$39:$C$42,MATCH($B160,'Parametri Modello'!$A$39:$A$42,0)))*(INDEX('Parametri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7</v>
      </c>
      <c r="H160" s="27" t="n">
        <f aca="false">IFERROR(ROUND((IF(OR(INDEX('Parametri Modello'!$C$39:$C$42,MATCH($B160,'Parametri Modello'!$A$39:$A$42,0))="",INDEX('Parametri Modello'!$C$39:$C$42,MATCH($B160,'Parametri Modello'!$A$39:$A$42,0))=0),0,($O160/INDEX('Parametri Modello'!$C$39:$C$42,MATCH($B160,'Parametri Modello'!$A$39:$A$42,0)))*(INDEX('Parametri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11</v>
      </c>
      <c r="I160" s="26" t="str">
        <f aca="false">IFERROR(INDEX('Input Statistiche 2025_26'!$F$3:$F$665,MATCH($A160,'Input Statistiche 2025_26'!$A$3:$A$665,0)),"")</f>
        <v/>
      </c>
      <c r="J160" s="26" t="str">
        <f aca="false">IFERROR(IF($I160="","",MAX(0,38-$I160)),"")</f>
        <v/>
      </c>
      <c r="K160" s="26" t="str">
        <f aca="false">IFERROR(INDEX('Input Statistiche 2025_26'!$I$3:$I$665,MATCH($A160,'Input Statistiche 2025_26'!$A$3:$A$665,0)),"")</f>
        <v/>
      </c>
      <c r="L160" s="26" t="str">
        <f aca="false">IFERROR(INDEX('Input Statistiche 2025_26'!$O$3:$O$665,MATCH($A160,'Input Statistiche 2025_26'!$A$3:$A$665,0)),"")</f>
        <v/>
      </c>
      <c r="M160" s="28"/>
      <c r="N160" s="27" t="n">
        <f aca="false">IFERROR(INDEX('Input Giocatori 2026_27'!$E$3:$E$493,MATCH($A160,'Input Giocatori 2026_27'!$A$3:$A$493,0)),"")</f>
        <v>8</v>
      </c>
      <c r="O160" s="27" t="n">
        <f aca="false">IFERROR(INDEX('Input Giocatori 2026_27'!$G$3:$G$493,MATCH($A160,'Input Giocatori 2026_27'!$A$3:$A$493,0)),"")</f>
        <v>20</v>
      </c>
      <c r="P160" s="26" t="str">
        <f aca="false">IFERROR(IF($O160="","",IF((1-(COUNTIFS($B$2:$B$492,$B160,$O$2:$O$492,"&gt;"&amp;$O160)+1-1)/COUNTIF($B$2:$B$492,$B160))&gt;=0.85,"Top",IF((1-(COUNTIFS($B$2:$B$492,$B160,$O$2:$O$492,"&gt;"&amp;$O160)+1-1)/COUNTIF($B$2:$B$492,$B160))&gt;=0.6,"Buono",IF((1-(COUNTIFS($B$2:$B$492,$B160,$O$2:$O$492,"&gt;"&amp;$O160)+1-1)/COUNTIF($B$2:$B$492,$B160))&gt;=0.3,"Nella Media","Scommessa/Riserva")))),"")</f>
        <v>Buono</v>
      </c>
      <c r="Q160" s="29" t="n">
        <f aca="false">IF($D160="",COUNTIF($D$2:$D160,""),"")</f>
        <v>159</v>
      </c>
      <c r="R160" s="29" t="str">
        <f aca="false">IF($D160='Info Lega'!$B$28,COUNTIFS($D$2:$D160,'Info Lega'!$B$28),"")</f>
        <v/>
      </c>
      <c r="S160" s="30" t="str">
        <f aca="false">IFERROR(INDEX('Input Statistiche 2025_26'!$G$3:$G$665,MATCH($A160,'Input Statistiche 2025_26'!$A$3:$A$665,0)),"")</f>
        <v/>
      </c>
      <c r="T160" s="30" t="str">
        <f aca="false">IFERROR(INDEX('Input Statistiche 2025_26'!$H$3:$H$665,MATCH($A160,'Input Statistiche 2025_26'!$A$3:$A$665,0)),"")</f>
        <v/>
      </c>
      <c r="U160" s="26" t="str">
        <f aca="false">IF(OR('La Mia Rosa'!$O$12="",$D160&lt;&gt;""),"",IF($F160&lt;='La Mia Rosa'!$O$12*'Parametri Modello'!$B$24,"OK",IF($F160&lt;='La Mia Rosa'!$O$12*'Parametri Modello'!$B$25,"Attenzione","Rischio Alto")))</f>
        <v>OK</v>
      </c>
      <c r="V160" s="26" t="n">
        <f aca="false">IFERROR(COUNTIFS($B$2:$B$492,$B160,$O$2:$O$492,"&gt;"&amp;$O160)+1,"")</f>
        <v>38</v>
      </c>
      <c r="W160" s="21" t="n">
        <f aca="false">'Info Lega'!$B$4-SUMIFS($M$2:$M$492,$D$2:$D$492,'Info Lega'!$B$28)</f>
        <v>1000</v>
      </c>
      <c r="X160" s="21" t="n">
        <f aca="false">('Info Lega'!$B$5-COUNTIFS($D$2:$D$492,'Info Lega'!$B$28,$B$2:$B$492,"P"))+('Info Lega'!$B$6-COUNTIFS($D$2:$D$492,'Info Lega'!$B$28,$B$2:$B$492,"D"))+('Info Lega'!$B$7-COUNTIFS($D$2:$D$492,'Info Lega'!$B$28,$B$2:$B$492,"C"))+('Info Lega'!$B$8-COUNTIFS($D$2:$D$492,'Info Lega'!$B$28,$B$2:$B$492,"A"))</f>
        <v>25</v>
      </c>
      <c r="Y160" s="21" t="n">
        <f aca="false">X160*'Parametri Modello'!$B$30</f>
        <v>25</v>
      </c>
      <c r="Z160" s="21" t="n">
        <f aca="false">MAX(0,W160-Y160)</f>
        <v>975</v>
      </c>
      <c r="AA160" s="21" t="n">
        <f aca="false">MIN(F160,Z160)</f>
        <v>10</v>
      </c>
      <c r="AB160" s="21"/>
      <c r="AC160" s="21" t="str">
        <f aca="false">IF(AB160="","",IF(AB160&gt;AA160,"PASS",IF(AB160&lt;=AA160*0.85,"BID","ATTENZIONE")))</f>
        <v/>
      </c>
      <c r="AD160" s="31" t="str">
        <f aca="false">IF(I160="","",ROUND(100*(1-EXP(-I160/30)),0))</f>
        <v/>
      </c>
      <c r="AE160" s="7" t="str">
        <f aca="false">IFERROR(INDEX('Stato Asta'!$G$9:$G$12,MATCH($B160,'Stato Asta'!$A$9:$A$12,0)),"")</f>
        <v>🟡 Attesa rischiosa</v>
      </c>
    </row>
    <row r="161" customFormat="false" ht="14.25" hidden="false" customHeight="true" outlineLevel="0" collapsed="false">
      <c r="A161" s="21" t="n">
        <v>4751</v>
      </c>
      <c r="B161" s="21" t="s">
        <v>44</v>
      </c>
      <c r="C161" s="21" t="s">
        <v>236</v>
      </c>
      <c r="E161" s="26" t="str">
        <f aca="false">IF(COUNTIF('Info Strategia'!$D$2:$D$51,$C161)&gt;0,"SI","NO")</f>
        <v>NO</v>
      </c>
      <c r="F161" s="27" t="n">
        <f aca="false">IFERROR(ROUND(($G161+($H161-$G161)*'Info Strategia'!$B$6)*(1+IF($E161="SI",'Parametri Modello'!$B$7*'Info Strategia'!$B$6,0)),0),"")</f>
        <v>10</v>
      </c>
      <c r="G161" s="27" t="n">
        <f aca="false">IFERROR(ROUND((IF(OR(INDEX('Parametri Modello'!$C$39:$C$42,MATCH($B161,'Parametri Modello'!$A$39:$A$42,0))="",INDEX('Parametri Modello'!$C$39:$C$42,MATCH($B161,'Parametri Modello'!$A$39:$A$42,0))=0),0,($O161/INDEX('Parametri Modello'!$C$39:$C$42,MATCH($B161,'Parametri Modello'!$A$39:$A$42,0)))*(INDEX('Parametri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7</v>
      </c>
      <c r="H161" s="27" t="n">
        <f aca="false">IFERROR(ROUND((IF(OR(INDEX('Parametri Modello'!$C$39:$C$42,MATCH($B161,'Parametri Modello'!$A$39:$A$42,0))="",INDEX('Parametri Modello'!$C$39:$C$42,MATCH($B161,'Parametri Modello'!$A$39:$A$42,0))=0),0,($O161/INDEX('Parametri Modello'!$C$39:$C$42,MATCH($B161,'Parametri Modello'!$A$39:$A$42,0)))*(INDEX('Parametri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11</v>
      </c>
      <c r="I161" s="26" t="n">
        <f aca="false">IFERROR(INDEX('Input Statistiche 2025_26'!$F$3:$F$665,MATCH($A161,'Input Statistiche 2025_26'!$A$3:$A$665,0)),"")</f>
        <v>32</v>
      </c>
      <c r="J161" s="26" t="n">
        <f aca="false">IFERROR(IF($I161="","",MAX(0,38-$I161)),"")</f>
        <v>6</v>
      </c>
      <c r="K161" s="26" t="n">
        <f aca="false">IFERROR(INDEX('Input Statistiche 2025_26'!$I$3:$I$665,MATCH($A161,'Input Statistiche 2025_26'!$A$3:$A$665,0)),"")</f>
        <v>0</v>
      </c>
      <c r="L161" s="26" t="n">
        <f aca="false">IFERROR(INDEX('Input Statistiche 2025_26'!$O$3:$O$665,MATCH($A161,'Input Statistiche 2025_26'!$A$3:$A$665,0)),"")</f>
        <v>1</v>
      </c>
      <c r="M161" s="28"/>
      <c r="N161" s="27" t="n">
        <f aca="false">IFERROR(INDEX('Input Giocatori 2026_27'!$E$3:$E$493,MATCH($A161,'Input Giocatori 2026_27'!$A$3:$A$493,0)),"")</f>
        <v>7</v>
      </c>
      <c r="O161" s="27" t="n">
        <f aca="false">IFERROR(INDEX('Input Giocatori 2026_27'!$G$3:$G$493,MATCH($A161,'Input Giocatori 2026_27'!$A$3:$A$493,0)),"")</f>
        <v>20</v>
      </c>
      <c r="P161" s="26" t="str">
        <f aca="false">IFERROR(IF($O161="","",IF((1-(COUNTIFS($B$2:$B$492,$B161,$O$2:$O$492,"&gt;"&amp;$O161)+1-1)/COUNTIF($B$2:$B$492,$B161))&gt;=0.85,"Top",IF((1-(COUNTIFS($B$2:$B$492,$B161,$O$2:$O$492,"&gt;"&amp;$O161)+1-1)/COUNTIF($B$2:$B$492,$B161))&gt;=0.6,"Buono",IF((1-(COUNTIFS($B$2:$B$492,$B161,$O$2:$O$492,"&gt;"&amp;$O161)+1-1)/COUNTIF($B$2:$B$492,$B161))&gt;=0.3,"Nella Media","Scommessa/Riserva")))),"")</f>
        <v>Buono</v>
      </c>
      <c r="Q161" s="29" t="n">
        <f aca="false">IF($D161="",COUNTIF($D$2:$D161,""),"")</f>
        <v>160</v>
      </c>
      <c r="R161" s="29" t="str">
        <f aca="false">IF($D161='Info Lega'!$B$28,COUNTIFS($D$2:$D161,'Info Lega'!$B$28),"")</f>
        <v/>
      </c>
      <c r="S161" s="30" t="n">
        <f aca="false">IFERROR(INDEX('Input Statistiche 2025_26'!$G$3:$G$665,MATCH($A161,'Input Statistiche 2025_26'!$A$3:$A$665,0)),"")</f>
        <v>5.97</v>
      </c>
      <c r="T161" s="30" t="n">
        <f aca="false">IFERROR(INDEX('Input Statistiche 2025_26'!$H$3:$H$665,MATCH($A161,'Input Statistiche 2025_26'!$A$3:$A$665,0)),"")</f>
        <v>5.88</v>
      </c>
      <c r="U161" s="26" t="str">
        <f aca="false">IF(OR('La Mia Rosa'!$O$12="",$D161&lt;&gt;""),"",IF($F161&lt;='La Mia Rosa'!$O$12*'Parametri Modello'!$B$24,"OK",IF($F161&lt;='La Mia Rosa'!$O$12*'Parametri Modello'!$B$25,"Attenzione","Rischio Alto")))</f>
        <v>OK</v>
      </c>
      <c r="V161" s="26" t="n">
        <f aca="false">IFERROR(COUNTIFS($B$2:$B$492,$B161,$O$2:$O$492,"&gt;"&amp;$O161)+1,"")</f>
        <v>38</v>
      </c>
      <c r="W161" s="21" t="n">
        <f aca="false">'Info Lega'!$B$4-SUMIFS($M$2:$M$492,$D$2:$D$492,'Info Lega'!$B$28)</f>
        <v>1000</v>
      </c>
      <c r="X161" s="21" t="n">
        <f aca="false">('Info Lega'!$B$5-COUNTIFS($D$2:$D$492,'Info Lega'!$B$28,$B$2:$B$492,"P"))+('Info Lega'!$B$6-COUNTIFS($D$2:$D$492,'Info Lega'!$B$28,$B$2:$B$492,"D"))+('Info Lega'!$B$7-COUNTIFS($D$2:$D$492,'Info Lega'!$B$28,$B$2:$B$492,"C"))+('Info Lega'!$B$8-COUNTIFS($D$2:$D$492,'Info Lega'!$B$28,$B$2:$B$492,"A"))</f>
        <v>25</v>
      </c>
      <c r="Y161" s="21" t="n">
        <f aca="false">X161*'Parametri Modello'!$B$30</f>
        <v>25</v>
      </c>
      <c r="Z161" s="21" t="n">
        <f aca="false">MAX(0,W161-Y161)</f>
        <v>975</v>
      </c>
      <c r="AA161" s="21" t="n">
        <f aca="false">MIN(F161,Z161)</f>
        <v>10</v>
      </c>
      <c r="AB161" s="21"/>
      <c r="AC161" s="21" t="str">
        <f aca="false">IF(AB161="","",IF(AB161&gt;AA161,"PASS",IF(AB161&lt;=AA161*0.85,"BID","ATTENZIONE")))</f>
        <v/>
      </c>
      <c r="AD161" s="31" t="n">
        <f aca="false">IF(I161="","",ROUND(100*(1-EXP(-I161/30)),0))</f>
        <v>66</v>
      </c>
      <c r="AE161" s="7" t="str">
        <f aca="false">IFERROR(INDEX('Stato Asta'!$G$9:$G$12,MATCH($B161,'Stato Asta'!$A$9:$A$12,0)),"")</f>
        <v>🟡 Attesa rischiosa</v>
      </c>
    </row>
    <row r="162" customFormat="false" ht="14.25" hidden="false" customHeight="true" outlineLevel="0" collapsed="false">
      <c r="A162" s="21" t="n">
        <v>2188</v>
      </c>
      <c r="B162" s="21" t="s">
        <v>44</v>
      </c>
      <c r="C162" s="21" t="s">
        <v>254</v>
      </c>
      <c r="E162" s="26" t="str">
        <f aca="false">IF(COUNTIF('Info Strategia'!$D$2:$D$51,$C162)&gt;0,"SI","NO")</f>
        <v>NO</v>
      </c>
      <c r="F162" s="27" t="n">
        <f aca="false">IFERROR(ROUND(($G162+($H162-$G162)*'Info Strategia'!$B$6)*(1+IF($E162="SI",'Parametri Modello'!$B$7*'Info Strategia'!$B$6,0)),0),"")</f>
        <v>10</v>
      </c>
      <c r="G162" s="27" t="n">
        <f aca="false">IFERROR(ROUND((IF(OR(INDEX('Parametri Modello'!$C$39:$C$42,MATCH($B162,'Parametri Modello'!$A$39:$A$42,0))="",INDEX('Parametri Modello'!$C$39:$C$42,MATCH($B162,'Parametri Modello'!$A$39:$A$42,0))=0),0,($O162/INDEX('Parametri Modello'!$C$39:$C$42,MATCH($B162,'Parametri Modello'!$A$39:$A$42,0)))*(INDEX('Parametri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7</v>
      </c>
      <c r="H162" s="27" t="n">
        <f aca="false">IFERROR(ROUND((IF(OR(INDEX('Parametri Modello'!$C$39:$C$42,MATCH($B162,'Parametri Modello'!$A$39:$A$42,0))="",INDEX('Parametri Modello'!$C$39:$C$42,MATCH($B162,'Parametri Modello'!$A$39:$A$42,0))=0),0,($O162/INDEX('Parametri Modello'!$C$39:$C$42,MATCH($B162,'Parametri Modello'!$A$39:$A$42,0)))*(INDEX('Parametri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11</v>
      </c>
      <c r="I162" s="26" t="n">
        <f aca="false">IFERROR(INDEX('Input Statistiche 2025_26'!$F$3:$F$665,MATCH($A162,'Input Statistiche 2025_26'!$A$3:$A$665,0)),"")</f>
        <v>33</v>
      </c>
      <c r="J162" s="26" t="n">
        <f aca="false">IFERROR(IF($I162="","",MAX(0,38-$I162)),"")</f>
        <v>5</v>
      </c>
      <c r="K162" s="26" t="n">
        <f aca="false">IFERROR(INDEX('Input Statistiche 2025_26'!$I$3:$I$665,MATCH($A162,'Input Statistiche 2025_26'!$A$3:$A$665,0)),"")</f>
        <v>1</v>
      </c>
      <c r="L162" s="26" t="n">
        <f aca="false">IFERROR(INDEX('Input Statistiche 2025_26'!$O$3:$O$665,MATCH($A162,'Input Statistiche 2025_26'!$A$3:$A$665,0)),"")</f>
        <v>2</v>
      </c>
      <c r="M162" s="28"/>
      <c r="N162" s="27" t="n">
        <f aca="false">IFERROR(INDEX('Input Giocatori 2026_27'!$E$3:$E$493,MATCH($A162,'Input Giocatori 2026_27'!$A$3:$A$493,0)),"")</f>
        <v>6</v>
      </c>
      <c r="O162" s="27" t="n">
        <f aca="false">IFERROR(INDEX('Input Giocatori 2026_27'!$G$3:$G$493,MATCH($A162,'Input Giocatori 2026_27'!$A$3:$A$493,0)),"")</f>
        <v>20</v>
      </c>
      <c r="P162" s="26" t="str">
        <f aca="false">IFERROR(IF($O162="","",IF((1-(COUNTIFS($B$2:$B$492,$B162,$O$2:$O$492,"&gt;"&amp;$O162)+1-1)/COUNTIF($B$2:$B$492,$B162))&gt;=0.85,"Top",IF((1-(COUNTIFS($B$2:$B$492,$B162,$O$2:$O$492,"&gt;"&amp;$O162)+1-1)/COUNTIF($B$2:$B$492,$B162))&gt;=0.6,"Buono",IF((1-(COUNTIFS($B$2:$B$492,$B162,$O$2:$O$492,"&gt;"&amp;$O162)+1-1)/COUNTIF($B$2:$B$492,$B162))&gt;=0.3,"Nella Media","Scommessa/Riserva")))),"")</f>
        <v>Buono</v>
      </c>
      <c r="Q162" s="29" t="n">
        <f aca="false">IF($D162="",COUNTIF($D$2:$D162,""),"")</f>
        <v>161</v>
      </c>
      <c r="R162" s="29" t="str">
        <f aca="false">IF($D162='Info Lega'!$B$28,COUNTIFS($D$2:$D162,'Info Lega'!$B$28),"")</f>
        <v/>
      </c>
      <c r="S162" s="30" t="n">
        <f aca="false">IFERROR(INDEX('Input Statistiche 2025_26'!$G$3:$G$665,MATCH($A162,'Input Statistiche 2025_26'!$A$3:$A$665,0)),"")</f>
        <v>5.86</v>
      </c>
      <c r="T162" s="30" t="n">
        <f aca="false">IFERROR(INDEX('Input Statistiche 2025_26'!$H$3:$H$665,MATCH($A162,'Input Statistiche 2025_26'!$A$3:$A$665,0)),"")</f>
        <v>5.97</v>
      </c>
      <c r="U162" s="26" t="str">
        <f aca="false">IF(OR('La Mia Rosa'!$O$12="",$D162&lt;&gt;""),"",IF($F162&lt;='La Mia Rosa'!$O$12*'Parametri Modello'!$B$24,"OK",IF($F162&lt;='La Mia Rosa'!$O$12*'Parametri Modello'!$B$25,"Attenzione","Rischio Alto")))</f>
        <v>OK</v>
      </c>
      <c r="V162" s="26" t="n">
        <f aca="false">IFERROR(COUNTIFS($B$2:$B$492,$B162,$O$2:$O$492,"&gt;"&amp;$O162)+1,"")</f>
        <v>38</v>
      </c>
      <c r="W162" s="21" t="n">
        <f aca="false">'Info Lega'!$B$4-SUMIFS($M$2:$M$492,$D$2:$D$492,'Info Lega'!$B$28)</f>
        <v>1000</v>
      </c>
      <c r="X162" s="21" t="n">
        <f aca="false">('Info Lega'!$B$5-COUNTIFS($D$2:$D$492,'Info Lega'!$B$28,$B$2:$B$492,"P"))+('Info Lega'!$B$6-COUNTIFS($D$2:$D$492,'Info Lega'!$B$28,$B$2:$B$492,"D"))+('Info Lega'!$B$7-COUNTIFS($D$2:$D$492,'Info Lega'!$B$28,$B$2:$B$492,"C"))+('Info Lega'!$B$8-COUNTIFS($D$2:$D$492,'Info Lega'!$B$28,$B$2:$B$492,"A"))</f>
        <v>25</v>
      </c>
      <c r="Y162" s="21" t="n">
        <f aca="false">X162*'Parametri Modello'!$B$30</f>
        <v>25</v>
      </c>
      <c r="Z162" s="21" t="n">
        <f aca="false">MAX(0,W162-Y162)</f>
        <v>975</v>
      </c>
      <c r="AA162" s="21" t="n">
        <f aca="false">MIN(F162,Z162)</f>
        <v>10</v>
      </c>
      <c r="AB162" s="21"/>
      <c r="AC162" s="21" t="str">
        <f aca="false">IF(AB162="","",IF(AB162&gt;AA162,"PASS",IF(AB162&lt;=AA162*0.85,"BID","ATTENZIONE")))</f>
        <v/>
      </c>
      <c r="AD162" s="31" t="n">
        <f aca="false">IF(I162="","",ROUND(100*(1-EXP(-I162/30)),0))</f>
        <v>67</v>
      </c>
      <c r="AE162" s="7" t="str">
        <f aca="false">IFERROR(INDEX('Stato Asta'!$G$9:$G$12,MATCH($B162,'Stato Asta'!$A$9:$A$12,0)),"")</f>
        <v>🟡 Attesa rischiosa</v>
      </c>
    </row>
    <row r="163" customFormat="false" ht="14.25" hidden="false" customHeight="true" outlineLevel="0" collapsed="false">
      <c r="A163" s="21" t="n">
        <v>6717</v>
      </c>
      <c r="B163" s="21" t="s">
        <v>45</v>
      </c>
      <c r="C163" s="21" t="s">
        <v>406</v>
      </c>
      <c r="E163" s="26" t="str">
        <f aca="false">IF(COUNTIF('Info Strategia'!$D$2:$D$51,$C163)&gt;0,"SI","NO")</f>
        <v>NO</v>
      </c>
      <c r="F163" s="27" t="n">
        <f aca="false">IFERROR(ROUND(($G163+($H163-$G163)*'Info Strategia'!$B$6)*(1+IF($E163="SI",'Parametri Modello'!$B$7*'Info Strategia'!$B$6,0)),0),"")</f>
        <v>12</v>
      </c>
      <c r="G163" s="27" t="n">
        <f aca="false">IFERROR(ROUND((IF(OR(INDEX('Parametri Modello'!$C$39:$C$42,MATCH($B163,'Parametri Modello'!$A$39:$A$42,0))="",INDEX('Parametri Modello'!$C$39:$C$42,MATCH($B163,'Parametri Modello'!$A$39:$A$42,0))=0),0,($O163/INDEX('Parametri Modello'!$C$39:$C$42,MATCH($B163,'Parametri Modello'!$A$39:$A$42,0)))*(INDEX('Parametri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8</v>
      </c>
      <c r="H163" s="27" t="n">
        <f aca="false">IFERROR(ROUND((IF(OR(INDEX('Parametri Modello'!$C$39:$C$42,MATCH($B163,'Parametri Modello'!$A$39:$A$42,0))="",INDEX('Parametri Modello'!$C$39:$C$42,MATCH($B163,'Parametri Modello'!$A$39:$A$42,0))=0),0,($O163/INDEX('Parametri Modello'!$C$39:$C$42,MATCH($B163,'Parametri Modello'!$A$39:$A$42,0)))*(INDEX('Parametri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13</v>
      </c>
      <c r="I163" s="26" t="n">
        <f aca="false">IFERROR(INDEX('Input Statistiche 2025_26'!$F$3:$F$665,MATCH($A163,'Input Statistiche 2025_26'!$A$3:$A$665,0)),"")</f>
        <v>35</v>
      </c>
      <c r="J163" s="26" t="n">
        <f aca="false">IFERROR(IF($I163="","",MAX(0,38-$I163)),"")</f>
        <v>3</v>
      </c>
      <c r="K163" s="26" t="n">
        <f aca="false">IFERROR(INDEX('Input Statistiche 2025_26'!$I$3:$I$665,MATCH($A163,'Input Statistiche 2025_26'!$A$3:$A$665,0)),"")</f>
        <v>6</v>
      </c>
      <c r="L163" s="26" t="n">
        <f aca="false">IFERROR(INDEX('Input Statistiche 2025_26'!$O$3:$O$665,MATCH($A163,'Input Statistiche 2025_26'!$A$3:$A$665,0)),"")</f>
        <v>0</v>
      </c>
      <c r="M163" s="28"/>
      <c r="N163" s="27" t="n">
        <f aca="false">IFERROR(INDEX('Input Giocatori 2026_27'!$E$3:$E$493,MATCH($A163,'Input Giocatori 2026_27'!$A$3:$A$493,0)),"")</f>
        <v>9</v>
      </c>
      <c r="O163" s="27" t="n">
        <f aca="false">IFERROR(INDEX('Input Giocatori 2026_27'!$G$3:$G$493,MATCH($A163,'Input Giocatori 2026_27'!$A$3:$A$493,0)),"")</f>
        <v>20</v>
      </c>
      <c r="P163" s="26" t="str">
        <f aca="false">IFERROR(IF($O163="","",IF((1-(COUNTIFS($B$2:$B$492,$B163,$O$2:$O$492,"&gt;"&amp;$O163)+1-1)/COUNTIF($B$2:$B$492,$B163))&gt;=0.85,"Top",IF((1-(COUNTIFS($B$2:$B$492,$B163,$O$2:$O$492,"&gt;"&amp;$O163)+1-1)/COUNTIF($B$2:$B$492,$B163))&gt;=0.6,"Buono",IF((1-(COUNTIFS($B$2:$B$492,$B163,$O$2:$O$492,"&gt;"&amp;$O163)+1-1)/COUNTIF($B$2:$B$492,$B163))&gt;=0.3,"Nella Media","Scommessa/Riserva")))),"")</f>
        <v>Buono</v>
      </c>
      <c r="Q163" s="29" t="n">
        <f aca="false">IF($D163="",COUNTIF($D$2:$D163,""),"")</f>
        <v>162</v>
      </c>
      <c r="R163" s="29" t="str">
        <f aca="false">IF($D163='Info Lega'!$B$28,COUNTIFS($D$2:$D163,'Info Lega'!$B$28),"")</f>
        <v/>
      </c>
      <c r="S163" s="30" t="n">
        <f aca="false">IFERROR(INDEX('Input Statistiche 2025_26'!$G$3:$G$665,MATCH($A163,'Input Statistiche 2025_26'!$A$3:$A$665,0)),"")</f>
        <v>6.19</v>
      </c>
      <c r="T163" s="30" t="n">
        <f aca="false">IFERROR(INDEX('Input Statistiche 2025_26'!$H$3:$H$665,MATCH($A163,'Input Statistiche 2025_26'!$A$3:$A$665,0)),"")</f>
        <v>6.63</v>
      </c>
      <c r="U163" s="26" t="str">
        <f aca="false">IF(OR('La Mia Rosa'!$O$12="",$D163&lt;&gt;""),"",IF($F163&lt;='La Mia Rosa'!$O$12*'Parametri Modello'!$B$24,"OK",IF($F163&lt;='La Mia Rosa'!$O$12*'Parametri Modello'!$B$25,"Attenzione","Rischio Alto")))</f>
        <v>OK</v>
      </c>
      <c r="V163" s="26" t="n">
        <f aca="false">IFERROR(COUNTIFS($B$2:$B$492,$B163,$O$2:$O$492,"&gt;"&amp;$O163)+1,"")</f>
        <v>60</v>
      </c>
      <c r="W163" s="21" t="n">
        <f aca="false">'Info Lega'!$B$4-SUMIFS($M$2:$M$492,$D$2:$D$492,'Info Lega'!$B$28)</f>
        <v>1000</v>
      </c>
      <c r="X163" s="21" t="n">
        <f aca="false">('Info Lega'!$B$5-COUNTIFS($D$2:$D$492,'Info Lega'!$B$28,$B$2:$B$492,"P"))+('Info Lega'!$B$6-COUNTIFS($D$2:$D$492,'Info Lega'!$B$28,$B$2:$B$492,"D"))+('Info Lega'!$B$7-COUNTIFS($D$2:$D$492,'Info Lega'!$B$28,$B$2:$B$492,"C"))+('Info Lega'!$B$8-COUNTIFS($D$2:$D$492,'Info Lega'!$B$28,$B$2:$B$492,"A"))</f>
        <v>25</v>
      </c>
      <c r="Y163" s="21" t="n">
        <f aca="false">X163*'Parametri Modello'!$B$30</f>
        <v>25</v>
      </c>
      <c r="Z163" s="21" t="n">
        <f aca="false">MAX(0,W163-Y163)</f>
        <v>975</v>
      </c>
      <c r="AA163" s="21" t="n">
        <f aca="false">MIN(F163,Z163)</f>
        <v>12</v>
      </c>
      <c r="AB163" s="21"/>
      <c r="AC163" s="21" t="str">
        <f aca="false">IF(AB163="","",IF(AB163&gt;AA163,"PASS",IF(AB163&lt;=AA163*0.85,"BID","ATTENZIONE")))</f>
        <v/>
      </c>
      <c r="AD163" s="31" t="n">
        <f aca="false">IF(I163="","",ROUND(100*(1-EXP(-I163/30)),0))</f>
        <v>69</v>
      </c>
      <c r="AE163" s="7" t="str">
        <f aca="false">IFERROR(INDEX('Stato Asta'!$G$9:$G$12,MATCH($B163,'Stato Asta'!$A$9:$A$12,0)),"")</f>
        <v>🟡 Attesa rischiosa</v>
      </c>
    </row>
    <row r="164" customFormat="false" ht="14.25" hidden="false" customHeight="true" outlineLevel="0" collapsed="false">
      <c r="A164" s="21" t="n">
        <v>2741</v>
      </c>
      <c r="B164" s="21" t="s">
        <v>45</v>
      </c>
      <c r="C164" s="21" t="s">
        <v>423</v>
      </c>
      <c r="E164" s="26" t="str">
        <f aca="false">IF(COUNTIF('Info Strategia'!$D$2:$D$51,$C164)&gt;0,"SI","NO")</f>
        <v>NO</v>
      </c>
      <c r="F164" s="27" t="n">
        <f aca="false">IFERROR(ROUND(($G164+($H164-$G164)*'Info Strategia'!$B$6)*(1+IF($E164="SI",'Parametri Modello'!$B$7*'Info Strategia'!$B$6,0)),0),"")</f>
        <v>11</v>
      </c>
      <c r="G164" s="27" t="n">
        <f aca="false">IFERROR(ROUND((IF(OR(INDEX('Parametri Modello'!$C$39:$C$42,MATCH($B164,'Parametri Modello'!$A$39:$A$42,0))="",INDEX('Parametri Modello'!$C$39:$C$42,MATCH($B164,'Parametri Modello'!$A$39:$A$42,0))=0),0,($O164/INDEX('Parametri Modello'!$C$39:$C$42,MATCH($B164,'Parametri Modello'!$A$39:$A$42,0)))*(INDEX('Parametri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7</v>
      </c>
      <c r="H164" s="27" t="n">
        <f aca="false">IFERROR(ROUND((IF(OR(INDEX('Parametri Modello'!$C$39:$C$42,MATCH($B164,'Parametri Modello'!$A$39:$A$42,0))="",INDEX('Parametri Modello'!$C$39:$C$42,MATCH($B164,'Parametri Modello'!$A$39:$A$42,0))=0),0,($O164/INDEX('Parametri Modello'!$C$39:$C$42,MATCH($B164,'Parametri Modello'!$A$39:$A$42,0)))*(INDEX('Parametri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12</v>
      </c>
      <c r="I164" s="26" t="str">
        <f aca="false">IFERROR(INDEX('Input Statistiche 2025_26'!$F$3:$F$665,MATCH($A164,'Input Statistiche 2025_26'!$A$3:$A$665,0)),"")</f>
        <v/>
      </c>
      <c r="J164" s="26" t="str">
        <f aca="false">IFERROR(IF($I164="","",MAX(0,38-$I164)),"")</f>
        <v/>
      </c>
      <c r="K164" s="26" t="str">
        <f aca="false">IFERROR(INDEX('Input Statistiche 2025_26'!$I$3:$I$665,MATCH($A164,'Input Statistiche 2025_26'!$A$3:$A$665,0)),"")</f>
        <v/>
      </c>
      <c r="L164" s="26" t="str">
        <f aca="false">IFERROR(INDEX('Input Statistiche 2025_26'!$O$3:$O$665,MATCH($A164,'Input Statistiche 2025_26'!$A$3:$A$665,0)),"")</f>
        <v/>
      </c>
      <c r="M164" s="28"/>
      <c r="N164" s="27" t="n">
        <f aca="false">IFERROR(INDEX('Input Giocatori 2026_27'!$E$3:$E$493,MATCH($A164,'Input Giocatori 2026_27'!$A$3:$A$493,0)),"")</f>
        <v>7</v>
      </c>
      <c r="O164" s="27" t="n">
        <f aca="false">IFERROR(INDEX('Input Giocatori 2026_27'!$G$3:$G$493,MATCH($A164,'Input Giocatori 2026_27'!$A$3:$A$493,0)),"")</f>
        <v>20</v>
      </c>
      <c r="P164" s="26" t="str">
        <f aca="false">IFERROR(IF($O164="","",IF((1-(COUNTIFS($B$2:$B$492,$B164,$O$2:$O$492,"&gt;"&amp;$O164)+1-1)/COUNTIF($B$2:$B$492,$B164))&gt;=0.85,"Top",IF((1-(COUNTIFS($B$2:$B$492,$B164,$O$2:$O$492,"&gt;"&amp;$O164)+1-1)/COUNTIF($B$2:$B$492,$B164))&gt;=0.6,"Buono",IF((1-(COUNTIFS($B$2:$B$492,$B164,$O$2:$O$492,"&gt;"&amp;$O164)+1-1)/COUNTIF($B$2:$B$492,$B164))&gt;=0.3,"Nella Media","Scommessa/Riserva")))),"")</f>
        <v>Buono</v>
      </c>
      <c r="Q164" s="29" t="n">
        <f aca="false">IF($D164="",COUNTIF($D$2:$D164,""),"")</f>
        <v>163</v>
      </c>
      <c r="R164" s="29" t="str">
        <f aca="false">IF($D164='Info Lega'!$B$28,COUNTIFS($D$2:$D164,'Info Lega'!$B$28),"")</f>
        <v/>
      </c>
      <c r="S164" s="30" t="str">
        <f aca="false">IFERROR(INDEX('Input Statistiche 2025_26'!$G$3:$G$665,MATCH($A164,'Input Statistiche 2025_26'!$A$3:$A$665,0)),"")</f>
        <v/>
      </c>
      <c r="T164" s="30" t="str">
        <f aca="false">IFERROR(INDEX('Input Statistiche 2025_26'!$H$3:$H$665,MATCH($A164,'Input Statistiche 2025_26'!$A$3:$A$665,0)),"")</f>
        <v/>
      </c>
      <c r="U164" s="26" t="str">
        <f aca="false">IF(OR('La Mia Rosa'!$O$12="",$D164&lt;&gt;""),"",IF($F164&lt;='La Mia Rosa'!$O$12*'Parametri Modello'!$B$24,"OK",IF($F164&lt;='La Mia Rosa'!$O$12*'Parametri Modello'!$B$25,"Attenzione","Rischio Alto")))</f>
        <v>OK</v>
      </c>
      <c r="V164" s="26" t="n">
        <f aca="false">IFERROR(COUNTIFS($B$2:$B$492,$B164,$O$2:$O$492,"&gt;"&amp;$O164)+1,"")</f>
        <v>60</v>
      </c>
      <c r="W164" s="21" t="n">
        <f aca="false">'Info Lega'!$B$4-SUMIFS($M$2:$M$492,$D$2:$D$492,'Info Lega'!$B$28)</f>
        <v>1000</v>
      </c>
      <c r="X164" s="21" t="n">
        <f aca="false">('Info Lega'!$B$5-COUNTIFS($D$2:$D$492,'Info Lega'!$B$28,$B$2:$B$492,"P"))+('Info Lega'!$B$6-COUNTIFS($D$2:$D$492,'Info Lega'!$B$28,$B$2:$B$492,"D"))+('Info Lega'!$B$7-COUNTIFS($D$2:$D$492,'Info Lega'!$B$28,$B$2:$B$492,"C"))+('Info Lega'!$B$8-COUNTIFS($D$2:$D$492,'Info Lega'!$B$28,$B$2:$B$492,"A"))</f>
        <v>25</v>
      </c>
      <c r="Y164" s="21" t="n">
        <f aca="false">X164*'Parametri Modello'!$B$30</f>
        <v>25</v>
      </c>
      <c r="Z164" s="21" t="n">
        <f aca="false">MAX(0,W164-Y164)</f>
        <v>975</v>
      </c>
      <c r="AA164" s="21" t="n">
        <f aca="false">MIN(F164,Z164)</f>
        <v>11</v>
      </c>
      <c r="AB164" s="21"/>
      <c r="AC164" s="21" t="str">
        <f aca="false">IF(AB164="","",IF(AB164&gt;AA164,"PASS",IF(AB164&lt;=AA164*0.85,"BID","ATTENZIONE")))</f>
        <v/>
      </c>
      <c r="AD164" s="31" t="str">
        <f aca="false">IF(I164="","",ROUND(100*(1-EXP(-I164/30)),0))</f>
        <v/>
      </c>
      <c r="AE164" s="7" t="str">
        <f aca="false">IFERROR(INDEX('Stato Asta'!$G$9:$G$12,MATCH($B164,'Stato Asta'!$A$9:$A$12,0)),"")</f>
        <v>🟡 Attesa rischiosa</v>
      </c>
    </row>
    <row r="165" customFormat="false" ht="14.25" hidden="false" customHeight="true" outlineLevel="0" collapsed="false">
      <c r="A165" s="21" t="n">
        <v>4287</v>
      </c>
      <c r="B165" s="21" t="s">
        <v>45</v>
      </c>
      <c r="C165" s="21" t="s">
        <v>424</v>
      </c>
      <c r="E165" s="26" t="str">
        <f aca="false">IF(COUNTIF('Info Strategia'!$D$2:$D$51,$C165)&gt;0,"SI","NO")</f>
        <v>NO</v>
      </c>
      <c r="F165" s="27" t="n">
        <f aca="false">IFERROR(ROUND(($G165+($H165-$G165)*'Info Strategia'!$B$6)*(1+IF($E165="SI",'Parametri Modello'!$B$7*'Info Strategia'!$B$6,0)),0),"")</f>
        <v>11</v>
      </c>
      <c r="G165" s="27" t="n">
        <f aca="false">IFERROR(ROUND((IF(OR(INDEX('Parametri Modello'!$C$39:$C$42,MATCH($B165,'Parametri Modello'!$A$39:$A$42,0))="",INDEX('Parametri Modello'!$C$39:$C$42,MATCH($B165,'Parametri Modello'!$A$39:$A$42,0))=0),0,($O165/INDEX('Parametri Modello'!$C$39:$C$42,MATCH($B165,'Parametri Modello'!$A$39:$A$42,0)))*(INDEX('Parametri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7</v>
      </c>
      <c r="H165" s="27" t="n">
        <f aca="false">IFERROR(ROUND((IF(OR(INDEX('Parametri Modello'!$C$39:$C$42,MATCH($B165,'Parametri Modello'!$A$39:$A$42,0))="",INDEX('Parametri Modello'!$C$39:$C$42,MATCH($B165,'Parametri Modello'!$A$39:$A$42,0))=0),0,($O165/INDEX('Parametri Modello'!$C$39:$C$42,MATCH($B165,'Parametri Modello'!$A$39:$A$42,0)))*(INDEX('Parametri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12</v>
      </c>
      <c r="I165" s="26" t="n">
        <f aca="false">IFERROR(INDEX('Input Statistiche 2025_26'!$F$3:$F$665,MATCH($A165,'Input Statistiche 2025_26'!$A$3:$A$665,0)),"")</f>
        <v>31</v>
      </c>
      <c r="J165" s="26" t="n">
        <f aca="false">IFERROR(IF($I165="","",MAX(0,38-$I165)),"")</f>
        <v>7</v>
      </c>
      <c r="K165" s="26" t="n">
        <f aca="false">IFERROR(INDEX('Input Statistiche 2025_26'!$I$3:$I$665,MATCH($A165,'Input Statistiche 2025_26'!$A$3:$A$665,0)),"")</f>
        <v>1</v>
      </c>
      <c r="L165" s="26" t="n">
        <f aca="false">IFERROR(INDEX('Input Statistiche 2025_26'!$O$3:$O$665,MATCH($A165,'Input Statistiche 2025_26'!$A$3:$A$665,0)),"")</f>
        <v>0</v>
      </c>
      <c r="M165" s="28"/>
      <c r="N165" s="27" t="n">
        <f aca="false">IFERROR(INDEX('Input Giocatori 2026_27'!$E$3:$E$493,MATCH($A165,'Input Giocatori 2026_27'!$A$3:$A$493,0)),"")</f>
        <v>7</v>
      </c>
      <c r="O165" s="27" t="n">
        <f aca="false">IFERROR(INDEX('Input Giocatori 2026_27'!$G$3:$G$493,MATCH($A165,'Input Giocatori 2026_27'!$A$3:$A$493,0)),"")</f>
        <v>20</v>
      </c>
      <c r="P165" s="26" t="str">
        <f aca="false">IFERROR(IF($O165="","",IF((1-(COUNTIFS($B$2:$B$492,$B165,$O$2:$O$492,"&gt;"&amp;$O165)+1-1)/COUNTIF($B$2:$B$492,$B165))&gt;=0.85,"Top",IF((1-(COUNTIFS($B$2:$B$492,$B165,$O$2:$O$492,"&gt;"&amp;$O165)+1-1)/COUNTIF($B$2:$B$492,$B165))&gt;=0.6,"Buono",IF((1-(COUNTIFS($B$2:$B$492,$B165,$O$2:$O$492,"&gt;"&amp;$O165)+1-1)/COUNTIF($B$2:$B$492,$B165))&gt;=0.3,"Nella Media","Scommessa/Riserva")))),"")</f>
        <v>Buono</v>
      </c>
      <c r="Q165" s="29" t="n">
        <f aca="false">IF($D165="",COUNTIF($D$2:$D165,""),"")</f>
        <v>164</v>
      </c>
      <c r="R165" s="29" t="str">
        <f aca="false">IF($D165='Info Lega'!$B$28,COUNTIFS($D$2:$D165,'Info Lega'!$B$28),"")</f>
        <v/>
      </c>
      <c r="S165" s="30" t="n">
        <f aca="false">IFERROR(INDEX('Input Statistiche 2025_26'!$G$3:$G$665,MATCH($A165,'Input Statistiche 2025_26'!$A$3:$A$665,0)),"")</f>
        <v>6.05</v>
      </c>
      <c r="T165" s="30" t="n">
        <f aca="false">IFERROR(INDEX('Input Statistiche 2025_26'!$H$3:$H$665,MATCH($A165,'Input Statistiche 2025_26'!$A$3:$A$665,0)),"")</f>
        <v>6.1</v>
      </c>
      <c r="U165" s="26" t="str">
        <f aca="false">IF(OR('La Mia Rosa'!$O$12="",$D165&lt;&gt;""),"",IF($F165&lt;='La Mia Rosa'!$O$12*'Parametri Modello'!$B$24,"OK",IF($F165&lt;='La Mia Rosa'!$O$12*'Parametri Modello'!$B$25,"Attenzione","Rischio Alto")))</f>
        <v>OK</v>
      </c>
      <c r="V165" s="26" t="n">
        <f aca="false">IFERROR(COUNTIFS($B$2:$B$492,$B165,$O$2:$O$492,"&gt;"&amp;$O165)+1,"")</f>
        <v>60</v>
      </c>
      <c r="W165" s="21" t="n">
        <f aca="false">'Info Lega'!$B$4-SUMIFS($M$2:$M$492,$D$2:$D$492,'Info Lega'!$B$28)</f>
        <v>1000</v>
      </c>
      <c r="X165" s="21" t="n">
        <f aca="false">('Info Lega'!$B$5-COUNTIFS($D$2:$D$492,'Info Lega'!$B$28,$B$2:$B$492,"P"))+('Info Lega'!$B$6-COUNTIFS($D$2:$D$492,'Info Lega'!$B$28,$B$2:$B$492,"D"))+('Info Lega'!$B$7-COUNTIFS($D$2:$D$492,'Info Lega'!$B$28,$B$2:$B$492,"C"))+('Info Lega'!$B$8-COUNTIFS($D$2:$D$492,'Info Lega'!$B$28,$B$2:$B$492,"A"))</f>
        <v>25</v>
      </c>
      <c r="Y165" s="21" t="n">
        <f aca="false">X165*'Parametri Modello'!$B$30</f>
        <v>25</v>
      </c>
      <c r="Z165" s="21" t="n">
        <f aca="false">MAX(0,W165-Y165)</f>
        <v>975</v>
      </c>
      <c r="AA165" s="21" t="n">
        <f aca="false">MIN(F165,Z165)</f>
        <v>11</v>
      </c>
      <c r="AB165" s="21"/>
      <c r="AC165" s="21" t="str">
        <f aca="false">IF(AB165="","",IF(AB165&gt;AA165,"PASS",IF(AB165&lt;=AA165*0.85,"BID","ATTENZIONE")))</f>
        <v/>
      </c>
      <c r="AD165" s="31" t="n">
        <f aca="false">IF(I165="","",ROUND(100*(1-EXP(-I165/30)),0))</f>
        <v>64</v>
      </c>
      <c r="AE165" s="7" t="str">
        <f aca="false">IFERROR(INDEX('Stato Asta'!$G$9:$G$12,MATCH($B165,'Stato Asta'!$A$9:$A$12,0)),"")</f>
        <v>🟡 Attesa rischiosa</v>
      </c>
    </row>
    <row r="166" customFormat="false" ht="14.25" hidden="false" customHeight="true" outlineLevel="0" collapsed="false">
      <c r="A166" s="21" t="n">
        <v>5036</v>
      </c>
      <c r="B166" s="21" t="s">
        <v>45</v>
      </c>
      <c r="C166" s="21" t="s">
        <v>433</v>
      </c>
      <c r="E166" s="26" t="str">
        <f aca="false">IF(COUNTIF('Info Strategia'!$D$2:$D$51,$C166)&gt;0,"SI","NO")</f>
        <v>NO</v>
      </c>
      <c r="F166" s="27" t="n">
        <f aca="false">IFERROR(ROUND(($G166+($H166-$G166)*'Info Strategia'!$B$6)*(1+IF($E166="SI",'Parametri Modello'!$B$7*'Info Strategia'!$B$6,0)),0),"")</f>
        <v>12</v>
      </c>
      <c r="G166" s="27" t="n">
        <f aca="false">IFERROR(ROUND((IF(OR(INDEX('Parametri Modello'!$C$39:$C$42,MATCH($B166,'Parametri Modello'!$A$39:$A$42,0))="",INDEX('Parametri Modello'!$C$39:$C$42,MATCH($B166,'Parametri Modello'!$A$39:$A$42,0))=0),0,($O166/INDEX('Parametri Modello'!$C$39:$C$42,MATCH($B166,'Parametri Modello'!$A$39:$A$42,0)))*(INDEX('Parametri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8</v>
      </c>
      <c r="H166" s="27" t="n">
        <f aca="false">IFERROR(ROUND((IF(OR(INDEX('Parametri Modello'!$C$39:$C$42,MATCH($B166,'Parametri Modello'!$A$39:$A$42,0))="",INDEX('Parametri Modello'!$C$39:$C$42,MATCH($B166,'Parametri Modello'!$A$39:$A$42,0))=0),0,($O166/INDEX('Parametri Modello'!$C$39:$C$42,MATCH($B166,'Parametri Modello'!$A$39:$A$42,0)))*(INDEX('Parametri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13</v>
      </c>
      <c r="I166" s="26" t="n">
        <f aca="false">IFERROR(INDEX('Input Statistiche 2025_26'!$F$3:$F$665,MATCH($A166,'Input Statistiche 2025_26'!$A$3:$A$665,0)),"")</f>
        <v>28</v>
      </c>
      <c r="J166" s="26" t="n">
        <f aca="false">IFERROR(IF($I166="","",MAX(0,38-$I166)),"")</f>
        <v>10</v>
      </c>
      <c r="K166" s="26" t="n">
        <f aca="false">IFERROR(INDEX('Input Statistiche 2025_26'!$I$3:$I$665,MATCH($A166,'Input Statistiche 2025_26'!$A$3:$A$665,0)),"")</f>
        <v>2</v>
      </c>
      <c r="L166" s="26" t="n">
        <f aca="false">IFERROR(INDEX('Input Statistiche 2025_26'!$O$3:$O$665,MATCH($A166,'Input Statistiche 2025_26'!$A$3:$A$665,0)),"")</f>
        <v>4</v>
      </c>
      <c r="M166" s="28"/>
      <c r="N166" s="27" t="n">
        <f aca="false">IFERROR(INDEX('Input Giocatori 2026_27'!$E$3:$E$493,MATCH($A166,'Input Giocatori 2026_27'!$A$3:$A$493,0)),"")</f>
        <v>6</v>
      </c>
      <c r="O166" s="27" t="n">
        <f aca="false">IFERROR(INDEX('Input Giocatori 2026_27'!$G$3:$G$493,MATCH($A166,'Input Giocatori 2026_27'!$A$3:$A$493,0)),"")</f>
        <v>20</v>
      </c>
      <c r="P166" s="26" t="str">
        <f aca="false">IFERROR(IF($O166="","",IF((1-(COUNTIFS($B$2:$B$492,$B166,$O$2:$O$492,"&gt;"&amp;$O166)+1-1)/COUNTIF($B$2:$B$492,$B166))&gt;=0.85,"Top",IF((1-(COUNTIFS($B$2:$B$492,$B166,$O$2:$O$492,"&gt;"&amp;$O166)+1-1)/COUNTIF($B$2:$B$492,$B166))&gt;=0.6,"Buono",IF((1-(COUNTIFS($B$2:$B$492,$B166,$O$2:$O$492,"&gt;"&amp;$O166)+1-1)/COUNTIF($B$2:$B$492,$B166))&gt;=0.3,"Nella Media","Scommessa/Riserva")))),"")</f>
        <v>Buono</v>
      </c>
      <c r="Q166" s="29" t="n">
        <f aca="false">IF($D166="",COUNTIF($D$2:$D166,""),"")</f>
        <v>165</v>
      </c>
      <c r="R166" s="29" t="str">
        <f aca="false">IF($D166='Info Lega'!$B$28,COUNTIFS($D$2:$D166,'Info Lega'!$B$28),"")</f>
        <v/>
      </c>
      <c r="S166" s="30" t="n">
        <f aca="false">IFERROR(INDEX('Input Statistiche 2025_26'!$G$3:$G$665,MATCH($A166,'Input Statistiche 2025_26'!$A$3:$A$665,0)),"")</f>
        <v>6.11</v>
      </c>
      <c r="T166" s="30" t="n">
        <f aca="false">IFERROR(INDEX('Input Statistiche 2025_26'!$H$3:$H$665,MATCH($A166,'Input Statistiche 2025_26'!$A$3:$A$665,0)),"")</f>
        <v>6.41</v>
      </c>
      <c r="U166" s="26" t="str">
        <f aca="false">IF(OR('La Mia Rosa'!$O$12="",$D166&lt;&gt;""),"",IF($F166&lt;='La Mia Rosa'!$O$12*'Parametri Modello'!$B$24,"OK",IF($F166&lt;='La Mia Rosa'!$O$12*'Parametri Modello'!$B$25,"Attenzione","Rischio Alto")))</f>
        <v>OK</v>
      </c>
      <c r="V166" s="26" t="n">
        <f aca="false">IFERROR(COUNTIFS($B$2:$B$492,$B166,$O$2:$O$492,"&gt;"&amp;$O166)+1,"")</f>
        <v>60</v>
      </c>
      <c r="W166" s="21" t="n">
        <f aca="false">'Info Lega'!$B$4-SUMIFS($M$2:$M$492,$D$2:$D$492,'Info Lega'!$B$28)</f>
        <v>1000</v>
      </c>
      <c r="X166" s="21" t="n">
        <f aca="false">('Info Lega'!$B$5-COUNTIFS($D$2:$D$492,'Info Lega'!$B$28,$B$2:$B$492,"P"))+('Info Lega'!$B$6-COUNTIFS($D$2:$D$492,'Info Lega'!$B$28,$B$2:$B$492,"D"))+('Info Lega'!$B$7-COUNTIFS($D$2:$D$492,'Info Lega'!$B$28,$B$2:$B$492,"C"))+('Info Lega'!$B$8-COUNTIFS($D$2:$D$492,'Info Lega'!$B$28,$B$2:$B$492,"A"))</f>
        <v>25</v>
      </c>
      <c r="Y166" s="21" t="n">
        <f aca="false">X166*'Parametri Modello'!$B$30</f>
        <v>25</v>
      </c>
      <c r="Z166" s="21" t="n">
        <f aca="false">MAX(0,W166-Y166)</f>
        <v>975</v>
      </c>
      <c r="AA166" s="21" t="n">
        <f aca="false">MIN(F166,Z166)</f>
        <v>12</v>
      </c>
      <c r="AB166" s="21"/>
      <c r="AC166" s="21" t="str">
        <f aca="false">IF(AB166="","",IF(AB166&gt;AA166,"PASS",IF(AB166&lt;=AA166*0.85,"BID","ATTENZIONE")))</f>
        <v/>
      </c>
      <c r="AD166" s="31" t="n">
        <f aca="false">IF(I166="","",ROUND(100*(1-EXP(-I166/30)),0))</f>
        <v>61</v>
      </c>
      <c r="AE166" s="7" t="str">
        <f aca="false">IFERROR(INDEX('Stato Asta'!$G$9:$G$12,MATCH($B166,'Stato Asta'!$A$9:$A$12,0)),"")</f>
        <v>🟡 Attesa rischiosa</v>
      </c>
    </row>
    <row r="167" customFormat="false" ht="14.25" hidden="false" customHeight="true" outlineLevel="0" collapsed="false">
      <c r="A167" s="21" t="n">
        <v>7464</v>
      </c>
      <c r="B167" s="21" t="s">
        <v>45</v>
      </c>
      <c r="C167" s="21" t="s">
        <v>435</v>
      </c>
      <c r="E167" s="26" t="str">
        <f aca="false">IF(COUNTIF('Info Strategia'!$D$2:$D$51,$C167)&gt;0,"SI","NO")</f>
        <v>NO</v>
      </c>
      <c r="F167" s="27" t="n">
        <f aca="false">IFERROR(ROUND(($G167+($H167-$G167)*'Info Strategia'!$B$6)*(1+IF($E167="SI",'Parametri Modello'!$B$7*'Info Strategia'!$B$6,0)),0),"")</f>
        <v>11</v>
      </c>
      <c r="G167" s="27" t="n">
        <f aca="false">IFERROR(ROUND((IF(OR(INDEX('Parametri Modello'!$C$39:$C$42,MATCH($B167,'Parametri Modello'!$A$39:$A$42,0))="",INDEX('Parametri Modello'!$C$39:$C$42,MATCH($B167,'Parametri Modello'!$A$39:$A$42,0))=0),0,($O167/INDEX('Parametri Modello'!$C$39:$C$42,MATCH($B167,'Parametri Modello'!$A$39:$A$42,0)))*(INDEX('Parametri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7</v>
      </c>
      <c r="H167" s="27" t="n">
        <f aca="false">IFERROR(ROUND((IF(OR(INDEX('Parametri Modello'!$C$39:$C$42,MATCH($B167,'Parametri Modello'!$A$39:$A$42,0))="",INDEX('Parametri Modello'!$C$39:$C$42,MATCH($B167,'Parametri Modello'!$A$39:$A$42,0))=0),0,($O167/INDEX('Parametri Modello'!$C$39:$C$42,MATCH($B167,'Parametri Modello'!$A$39:$A$42,0)))*(INDEX('Parametri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12</v>
      </c>
      <c r="I167" s="26" t="str">
        <f aca="false">IFERROR(INDEX('Input Statistiche 2025_26'!$F$3:$F$665,MATCH($A167,'Input Statistiche 2025_26'!$A$3:$A$665,0)),"")</f>
        <v/>
      </c>
      <c r="J167" s="26" t="str">
        <f aca="false">IFERROR(IF($I167="","",MAX(0,38-$I167)),"")</f>
        <v/>
      </c>
      <c r="K167" s="26" t="str">
        <f aca="false">IFERROR(INDEX('Input Statistiche 2025_26'!$I$3:$I$665,MATCH($A167,'Input Statistiche 2025_26'!$A$3:$A$665,0)),"")</f>
        <v/>
      </c>
      <c r="L167" s="26" t="str">
        <f aca="false">IFERROR(INDEX('Input Statistiche 2025_26'!$O$3:$O$665,MATCH($A167,'Input Statistiche 2025_26'!$A$3:$A$665,0)),"")</f>
        <v/>
      </c>
      <c r="M167" s="28"/>
      <c r="N167" s="27" t="n">
        <f aca="false">IFERROR(INDEX('Input Giocatori 2026_27'!$E$3:$E$493,MATCH($A167,'Input Giocatori 2026_27'!$A$3:$A$493,0)),"")</f>
        <v>6</v>
      </c>
      <c r="O167" s="27" t="n">
        <f aca="false">IFERROR(INDEX('Input Giocatori 2026_27'!$G$3:$G$493,MATCH($A167,'Input Giocatori 2026_27'!$A$3:$A$493,0)),"")</f>
        <v>20</v>
      </c>
      <c r="P167" s="26" t="str">
        <f aca="false">IFERROR(IF($O167="","",IF((1-(COUNTIFS($B$2:$B$492,$B167,$O$2:$O$492,"&gt;"&amp;$O167)+1-1)/COUNTIF($B$2:$B$492,$B167))&gt;=0.85,"Top",IF((1-(COUNTIFS($B$2:$B$492,$B167,$O$2:$O$492,"&gt;"&amp;$O167)+1-1)/COUNTIF($B$2:$B$492,$B167))&gt;=0.6,"Buono",IF((1-(COUNTIFS($B$2:$B$492,$B167,$O$2:$O$492,"&gt;"&amp;$O167)+1-1)/COUNTIF($B$2:$B$492,$B167))&gt;=0.3,"Nella Media","Scommessa/Riserva")))),"")</f>
        <v>Buono</v>
      </c>
      <c r="Q167" s="29" t="n">
        <f aca="false">IF($D167="",COUNTIF($D$2:$D167,""),"")</f>
        <v>166</v>
      </c>
      <c r="R167" s="29" t="str">
        <f aca="false">IF($D167='Info Lega'!$B$28,COUNTIFS($D$2:$D167,'Info Lega'!$B$28),"")</f>
        <v/>
      </c>
      <c r="S167" s="30" t="str">
        <f aca="false">IFERROR(INDEX('Input Statistiche 2025_26'!$G$3:$G$665,MATCH($A167,'Input Statistiche 2025_26'!$A$3:$A$665,0)),"")</f>
        <v/>
      </c>
      <c r="T167" s="30" t="str">
        <f aca="false">IFERROR(INDEX('Input Statistiche 2025_26'!$H$3:$H$665,MATCH($A167,'Input Statistiche 2025_26'!$A$3:$A$665,0)),"")</f>
        <v/>
      </c>
      <c r="U167" s="26" t="str">
        <f aca="false">IF(OR('La Mia Rosa'!$O$12="",$D167&lt;&gt;""),"",IF($F167&lt;='La Mia Rosa'!$O$12*'Parametri Modello'!$B$24,"OK",IF($F167&lt;='La Mia Rosa'!$O$12*'Parametri Modello'!$B$25,"Attenzione","Rischio Alto")))</f>
        <v>OK</v>
      </c>
      <c r="V167" s="26" t="n">
        <f aca="false">IFERROR(COUNTIFS($B$2:$B$492,$B167,$O$2:$O$492,"&gt;"&amp;$O167)+1,"")</f>
        <v>60</v>
      </c>
      <c r="W167" s="21" t="n">
        <f aca="false">'Info Lega'!$B$4-SUMIFS($M$2:$M$492,$D$2:$D$492,'Info Lega'!$B$28)</f>
        <v>1000</v>
      </c>
      <c r="X167" s="21" t="n">
        <f aca="false">('Info Lega'!$B$5-COUNTIFS($D$2:$D$492,'Info Lega'!$B$28,$B$2:$B$492,"P"))+('Info Lega'!$B$6-COUNTIFS($D$2:$D$492,'Info Lega'!$B$28,$B$2:$B$492,"D"))+('Info Lega'!$B$7-COUNTIFS($D$2:$D$492,'Info Lega'!$B$28,$B$2:$B$492,"C"))+('Info Lega'!$B$8-COUNTIFS($D$2:$D$492,'Info Lega'!$B$28,$B$2:$B$492,"A"))</f>
        <v>25</v>
      </c>
      <c r="Y167" s="21" t="n">
        <f aca="false">X167*'Parametri Modello'!$B$30</f>
        <v>25</v>
      </c>
      <c r="Z167" s="21" t="n">
        <f aca="false">MAX(0,W167-Y167)</f>
        <v>975</v>
      </c>
      <c r="AA167" s="21" t="n">
        <f aca="false">MIN(F167,Z167)</f>
        <v>11</v>
      </c>
      <c r="AB167" s="21"/>
      <c r="AC167" s="21" t="str">
        <f aca="false">IF(AB167="","",IF(AB167&gt;AA167,"PASS",IF(AB167&lt;=AA167*0.85,"BID","ATTENZIONE")))</f>
        <v/>
      </c>
      <c r="AD167" s="31" t="str">
        <f aca="false">IF(I167="","",ROUND(100*(1-EXP(-I167/30)),0))</f>
        <v/>
      </c>
      <c r="AE167" s="7" t="str">
        <f aca="false">IFERROR(INDEX('Stato Asta'!$G$9:$G$12,MATCH($B167,'Stato Asta'!$A$9:$A$12,0)),"")</f>
        <v>🟡 Attesa rischiosa</v>
      </c>
    </row>
    <row r="168" customFormat="false" ht="14.25" hidden="false" customHeight="true" outlineLevel="0" collapsed="false">
      <c r="A168" s="21" t="n">
        <v>6680</v>
      </c>
      <c r="B168" s="21" t="s">
        <v>45</v>
      </c>
      <c r="C168" s="21" t="s">
        <v>444</v>
      </c>
      <c r="E168" s="26" t="str">
        <f aca="false">IF(COUNTIF('Info Strategia'!$D$2:$D$51,$C168)&gt;0,"SI","NO")</f>
        <v>NO</v>
      </c>
      <c r="F168" s="27" t="n">
        <f aca="false">IFERROR(ROUND(($G168+($H168-$G168)*'Info Strategia'!$B$6)*(1+IF($E168="SI",'Parametri Modello'!$B$7*'Info Strategia'!$B$6,0)),0),"")</f>
        <v>11</v>
      </c>
      <c r="G168" s="27" t="n">
        <f aca="false">IFERROR(ROUND((IF(OR(INDEX('Parametri Modello'!$C$39:$C$42,MATCH($B168,'Parametri Modello'!$A$39:$A$42,0))="",INDEX('Parametri Modello'!$C$39:$C$42,MATCH($B168,'Parametri Modello'!$A$39:$A$42,0))=0),0,($O168/INDEX('Parametri Modello'!$C$39:$C$42,MATCH($B168,'Parametri Modello'!$A$39:$A$42,0)))*(INDEX('Parametri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7</v>
      </c>
      <c r="H168" s="27" t="n">
        <f aca="false">IFERROR(ROUND((IF(OR(INDEX('Parametri Modello'!$C$39:$C$42,MATCH($B168,'Parametri Modello'!$A$39:$A$42,0))="",INDEX('Parametri Modello'!$C$39:$C$42,MATCH($B168,'Parametri Modello'!$A$39:$A$42,0))=0),0,($O168/INDEX('Parametri Modello'!$C$39:$C$42,MATCH($B168,'Parametri Modello'!$A$39:$A$42,0)))*(INDEX('Parametri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12</v>
      </c>
      <c r="I168" s="26" t="n">
        <f aca="false">IFERROR(INDEX('Input Statistiche 2025_26'!$F$3:$F$665,MATCH($A168,'Input Statistiche 2025_26'!$A$3:$A$665,0)),"")</f>
        <v>36</v>
      </c>
      <c r="J168" s="26" t="n">
        <f aca="false">IFERROR(IF($I168="","",MAX(0,38-$I168)),"")</f>
        <v>2</v>
      </c>
      <c r="K168" s="26" t="n">
        <f aca="false">IFERROR(INDEX('Input Statistiche 2025_26'!$I$3:$I$665,MATCH($A168,'Input Statistiche 2025_26'!$A$3:$A$665,0)),"")</f>
        <v>1</v>
      </c>
      <c r="L168" s="26" t="n">
        <f aca="false">IFERROR(INDEX('Input Statistiche 2025_26'!$O$3:$O$665,MATCH($A168,'Input Statistiche 2025_26'!$A$3:$A$665,0)),"")</f>
        <v>0</v>
      </c>
      <c r="M168" s="28"/>
      <c r="N168" s="27" t="n">
        <f aca="false">IFERROR(INDEX('Input Giocatori 2026_27'!$E$3:$E$493,MATCH($A168,'Input Giocatori 2026_27'!$A$3:$A$493,0)),"")</f>
        <v>6</v>
      </c>
      <c r="O168" s="27" t="n">
        <f aca="false">IFERROR(INDEX('Input Giocatori 2026_27'!$G$3:$G$493,MATCH($A168,'Input Giocatori 2026_27'!$A$3:$A$493,0)),"")</f>
        <v>20</v>
      </c>
      <c r="P168" s="26" t="str">
        <f aca="false">IFERROR(IF($O168="","",IF((1-(COUNTIFS($B$2:$B$492,$B168,$O$2:$O$492,"&gt;"&amp;$O168)+1-1)/COUNTIF($B$2:$B$492,$B168))&gt;=0.85,"Top",IF((1-(COUNTIFS($B$2:$B$492,$B168,$O$2:$O$492,"&gt;"&amp;$O168)+1-1)/COUNTIF($B$2:$B$492,$B168))&gt;=0.6,"Buono",IF((1-(COUNTIFS($B$2:$B$492,$B168,$O$2:$O$492,"&gt;"&amp;$O168)+1-1)/COUNTIF($B$2:$B$492,$B168))&gt;=0.3,"Nella Media","Scommessa/Riserva")))),"")</f>
        <v>Buono</v>
      </c>
      <c r="Q168" s="29" t="n">
        <f aca="false">IF($D168="",COUNTIF($D$2:$D168,""),"")</f>
        <v>167</v>
      </c>
      <c r="R168" s="29" t="str">
        <f aca="false">IF($D168='Info Lega'!$B$28,COUNTIFS($D$2:$D168,'Info Lega'!$B$28),"")</f>
        <v/>
      </c>
      <c r="S168" s="30" t="n">
        <f aca="false">IFERROR(INDEX('Input Statistiche 2025_26'!$G$3:$G$665,MATCH($A168,'Input Statistiche 2025_26'!$A$3:$A$665,0)),"")</f>
        <v>5.96</v>
      </c>
      <c r="T168" s="30" t="n">
        <f aca="false">IFERROR(INDEX('Input Statistiche 2025_26'!$H$3:$H$665,MATCH($A168,'Input Statistiche 2025_26'!$A$3:$A$665,0)),"")</f>
        <v>5.96</v>
      </c>
      <c r="U168" s="26" t="str">
        <f aca="false">IF(OR('La Mia Rosa'!$O$12="",$D168&lt;&gt;""),"",IF($F168&lt;='La Mia Rosa'!$O$12*'Parametri Modello'!$B$24,"OK",IF($F168&lt;='La Mia Rosa'!$O$12*'Parametri Modello'!$B$25,"Attenzione","Rischio Alto")))</f>
        <v>OK</v>
      </c>
      <c r="V168" s="26" t="n">
        <f aca="false">IFERROR(COUNTIFS($B$2:$B$492,$B168,$O$2:$O$492,"&gt;"&amp;$O168)+1,"")</f>
        <v>60</v>
      </c>
      <c r="W168" s="21" t="n">
        <f aca="false">'Info Lega'!$B$4-SUMIFS($M$2:$M$492,$D$2:$D$492,'Info Lega'!$B$28)</f>
        <v>1000</v>
      </c>
      <c r="X168" s="21" t="n">
        <f aca="false">('Info Lega'!$B$5-COUNTIFS($D$2:$D$492,'Info Lega'!$B$28,$B$2:$B$492,"P"))+('Info Lega'!$B$6-COUNTIFS($D$2:$D$492,'Info Lega'!$B$28,$B$2:$B$492,"D"))+('Info Lega'!$B$7-COUNTIFS($D$2:$D$492,'Info Lega'!$B$28,$B$2:$B$492,"C"))+('Info Lega'!$B$8-COUNTIFS($D$2:$D$492,'Info Lega'!$B$28,$B$2:$B$492,"A"))</f>
        <v>25</v>
      </c>
      <c r="Y168" s="21" t="n">
        <f aca="false">X168*'Parametri Modello'!$B$30</f>
        <v>25</v>
      </c>
      <c r="Z168" s="21" t="n">
        <f aca="false">MAX(0,W168-Y168)</f>
        <v>975</v>
      </c>
      <c r="AA168" s="21" t="n">
        <f aca="false">MIN(F168,Z168)</f>
        <v>11</v>
      </c>
      <c r="AB168" s="21"/>
      <c r="AC168" s="21" t="str">
        <f aca="false">IF(AB168="","",IF(AB168&gt;AA168,"PASS",IF(AB168&lt;=AA168*0.85,"BID","ATTENZIONE")))</f>
        <v/>
      </c>
      <c r="AD168" s="31" t="n">
        <f aca="false">IF(I168="","",ROUND(100*(1-EXP(-I168/30)),0))</f>
        <v>70</v>
      </c>
      <c r="AE168" s="7" t="str">
        <f aca="false">IFERROR(INDEX('Stato Asta'!$G$9:$G$12,MATCH($B168,'Stato Asta'!$A$9:$A$12,0)),"")</f>
        <v>🟡 Attesa rischiosa</v>
      </c>
    </row>
    <row r="169" customFormat="false" ht="14.25" hidden="false" customHeight="true" outlineLevel="0" collapsed="false">
      <c r="A169" s="21" t="n">
        <v>6164</v>
      </c>
      <c r="B169" s="21" t="s">
        <v>46</v>
      </c>
      <c r="C169" s="21" t="s">
        <v>580</v>
      </c>
      <c r="E169" s="26" t="str">
        <f aca="false">IF(COUNTIF('Info Strategia'!$D$2:$D$51,$C169)&gt;0,"SI","NO")</f>
        <v>NO</v>
      </c>
      <c r="F169" s="27" t="n">
        <f aca="false">IFERROR(ROUND(($G169+($H169-$G169)*'Info Strategia'!$B$6)*(1+IF($E169="SI",'Parametri Modello'!$B$7*'Info Strategia'!$B$6,0)),0),"")</f>
        <v>17</v>
      </c>
      <c r="G169" s="27" t="n">
        <f aca="false">IFERROR(ROUND((IF(OR(INDEX('Parametri Modello'!$C$39:$C$42,MATCH($B169,'Parametri Modello'!$A$39:$A$42,0))="",INDEX('Parametri Modello'!$C$39:$C$42,MATCH($B169,'Parametri Modello'!$A$39:$A$42,0))=0),0,($O169/INDEX('Parametri Modello'!$C$39:$C$42,MATCH($B169,'Parametri Modello'!$A$39:$A$42,0)))*(INDEX('Parametri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11</v>
      </c>
      <c r="H169" s="27" t="n">
        <f aca="false">IFERROR(ROUND((IF(OR(INDEX('Parametri Modello'!$C$39:$C$42,MATCH($B169,'Parametri Modello'!$A$39:$A$42,0))="",INDEX('Parametri Modello'!$C$39:$C$42,MATCH($B169,'Parametri Modello'!$A$39:$A$42,0))=0),0,($O169/INDEX('Parametri Modello'!$C$39:$C$42,MATCH($B169,'Parametri Modello'!$A$39:$A$42,0)))*(INDEX('Parametri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20</v>
      </c>
      <c r="I169" s="26" t="n">
        <f aca="false">IFERROR(INDEX('Input Statistiche 2025_26'!$F$3:$F$665,MATCH($A169,'Input Statistiche 2025_26'!$A$3:$A$665,0)),"")</f>
        <v>31</v>
      </c>
      <c r="J169" s="26" t="n">
        <f aca="false">IFERROR(IF($I169="","",MAX(0,38-$I169)),"")</f>
        <v>7</v>
      </c>
      <c r="K169" s="26" t="n">
        <f aca="false">IFERROR(INDEX('Input Statistiche 2025_26'!$I$3:$I$665,MATCH($A169,'Input Statistiche 2025_26'!$A$3:$A$665,0)),"")</f>
        <v>5</v>
      </c>
      <c r="L169" s="26" t="n">
        <f aca="false">IFERROR(INDEX('Input Statistiche 2025_26'!$O$3:$O$665,MATCH($A169,'Input Statistiche 2025_26'!$A$3:$A$665,0)),"")</f>
        <v>1</v>
      </c>
      <c r="M169" s="28"/>
      <c r="N169" s="27" t="n">
        <f aca="false">IFERROR(INDEX('Input Giocatori 2026_27'!$E$3:$E$493,MATCH($A169,'Input Giocatori 2026_27'!$A$3:$A$493,0)),"")</f>
        <v>8</v>
      </c>
      <c r="O169" s="27" t="n">
        <f aca="false">IFERROR(INDEX('Input Giocatori 2026_27'!$G$3:$G$493,MATCH($A169,'Input Giocatori 2026_27'!$A$3:$A$493,0)),"")</f>
        <v>20</v>
      </c>
      <c r="P169" s="26" t="str">
        <f aca="false">IFERROR(IF($O169="","",IF((1-(COUNTIFS($B$2:$B$492,$B169,$O$2:$O$492,"&gt;"&amp;$O169)+1-1)/COUNTIF($B$2:$B$492,$B169))&gt;=0.85,"Top",IF((1-(COUNTIFS($B$2:$B$492,$B169,$O$2:$O$492,"&gt;"&amp;$O169)+1-1)/COUNTIF($B$2:$B$492,$B169))&gt;=0.6,"Buono",IF((1-(COUNTIFS($B$2:$B$492,$B169,$O$2:$O$492,"&gt;"&amp;$O169)+1-1)/COUNTIF($B$2:$B$492,$B169))&gt;=0.3,"Nella Media","Scommessa/Riserva")))),"")</f>
        <v>Nella Media</v>
      </c>
      <c r="Q169" s="29" t="n">
        <f aca="false">IF($D169="",COUNTIF($D$2:$D169,""),"")</f>
        <v>168</v>
      </c>
      <c r="R169" s="29" t="str">
        <f aca="false">IF($D169='Info Lega'!$B$28,COUNTIFS($D$2:$D169,'Info Lega'!$B$28),"")</f>
        <v/>
      </c>
      <c r="S169" s="30" t="n">
        <f aca="false">IFERROR(INDEX('Input Statistiche 2025_26'!$G$3:$G$665,MATCH($A169,'Input Statistiche 2025_26'!$A$3:$A$665,0)),"")</f>
        <v>5.95</v>
      </c>
      <c r="T169" s="30" t="n">
        <f aca="false">IFERROR(INDEX('Input Statistiche 2025_26'!$H$3:$H$665,MATCH($A169,'Input Statistiche 2025_26'!$A$3:$A$665,0)),"")</f>
        <v>6.39</v>
      </c>
      <c r="U169" s="26" t="str">
        <f aca="false">IF(OR('La Mia Rosa'!$O$12="",$D169&lt;&gt;""),"",IF($F169&lt;='La Mia Rosa'!$O$12*'Parametri Modello'!$B$24,"OK",IF($F169&lt;='La Mia Rosa'!$O$12*'Parametri Modello'!$B$25,"Attenzione","Rischio Alto")))</f>
        <v>OK</v>
      </c>
      <c r="V169" s="26" t="n">
        <f aca="false">IFERROR(COUNTIFS($B$2:$B$492,$B169,$O$2:$O$492,"&gt;"&amp;$O169)+1,"")</f>
        <v>48</v>
      </c>
      <c r="W169" s="21" t="n">
        <f aca="false">'Info Lega'!$B$4-SUMIFS($M$2:$M$492,$D$2:$D$492,'Info Lega'!$B$28)</f>
        <v>1000</v>
      </c>
      <c r="X169" s="21" t="n">
        <f aca="false">('Info Lega'!$B$5-COUNTIFS($D$2:$D$492,'Info Lega'!$B$28,$B$2:$B$492,"P"))+('Info Lega'!$B$6-COUNTIFS($D$2:$D$492,'Info Lega'!$B$28,$B$2:$B$492,"D"))+('Info Lega'!$B$7-COUNTIFS($D$2:$D$492,'Info Lega'!$B$28,$B$2:$B$492,"C"))+('Info Lega'!$B$8-COUNTIFS($D$2:$D$492,'Info Lega'!$B$28,$B$2:$B$492,"A"))</f>
        <v>25</v>
      </c>
      <c r="Y169" s="21" t="n">
        <f aca="false">X169*'Parametri Modello'!$B$30</f>
        <v>25</v>
      </c>
      <c r="Z169" s="21" t="n">
        <f aca="false">MAX(0,W169-Y169)</f>
        <v>975</v>
      </c>
      <c r="AA169" s="21" t="n">
        <f aca="false">MIN(F169,Z169)</f>
        <v>17</v>
      </c>
      <c r="AB169" s="21"/>
      <c r="AC169" s="21" t="str">
        <f aca="false">IF(AB169="","",IF(AB169&gt;AA169,"PASS",IF(AB169&lt;=AA169*0.85,"BID","ATTENZIONE")))</f>
        <v/>
      </c>
      <c r="AD169" s="31" t="n">
        <f aca="false">IF(I169="","",ROUND(100*(1-EXP(-I169/30)),0))</f>
        <v>64</v>
      </c>
      <c r="AE169" s="7" t="str">
        <f aca="false">IFERROR(INDEX('Stato Asta'!$G$9:$G$12,MATCH($B169,'Stato Asta'!$A$9:$A$12,0)),"")</f>
        <v>🔴 Non aspettare</v>
      </c>
    </row>
    <row r="170" customFormat="false" ht="14.25" hidden="false" customHeight="true" outlineLevel="0" collapsed="false">
      <c r="A170" s="21" t="n">
        <v>7449</v>
      </c>
      <c r="B170" s="21" t="s">
        <v>46</v>
      </c>
      <c r="C170" s="21" t="s">
        <v>582</v>
      </c>
      <c r="E170" s="26" t="str">
        <f aca="false">IF(COUNTIF('Info Strategia'!$D$2:$D$51,$C170)&gt;0,"SI","NO")</f>
        <v>NO</v>
      </c>
      <c r="F170" s="27" t="n">
        <f aca="false">IFERROR(ROUND(($G170+($H170-$G170)*'Info Strategia'!$B$6)*(1+IF($E170="SI",'Parametri Modello'!$B$7*'Info Strategia'!$B$6,0)),0),"")</f>
        <v>18</v>
      </c>
      <c r="G170" s="27" t="n">
        <f aca="false">IFERROR(ROUND((IF(OR(INDEX('Parametri Modello'!$C$39:$C$42,MATCH($B170,'Parametri Modello'!$A$39:$A$42,0))="",INDEX('Parametri Modello'!$C$39:$C$42,MATCH($B170,'Parametri Modello'!$A$39:$A$42,0))=0),0,($O170/INDEX('Parametri Modello'!$C$39:$C$42,MATCH($B170,'Parametri Modello'!$A$39:$A$42,0)))*(INDEX('Parametri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11</v>
      </c>
      <c r="H170" s="27" t="n">
        <f aca="false">IFERROR(ROUND((IF(OR(INDEX('Parametri Modello'!$C$39:$C$42,MATCH($B170,'Parametri Modello'!$A$39:$A$42,0))="",INDEX('Parametri Modello'!$C$39:$C$42,MATCH($B170,'Parametri Modello'!$A$39:$A$42,0))=0),0,($O170/INDEX('Parametri Modello'!$C$39:$C$42,MATCH($B170,'Parametri Modello'!$A$39:$A$42,0)))*(INDEX('Parametri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21</v>
      </c>
      <c r="I170" s="26" t="str">
        <f aca="false">IFERROR(INDEX('Input Statistiche 2025_26'!$F$3:$F$665,MATCH($A170,'Input Statistiche 2025_26'!$A$3:$A$665,0)),"")</f>
        <v/>
      </c>
      <c r="J170" s="26" t="str">
        <f aca="false">IFERROR(IF($I170="","",MAX(0,38-$I170)),"")</f>
        <v/>
      </c>
      <c r="K170" s="26" t="str">
        <f aca="false">IFERROR(INDEX('Input Statistiche 2025_26'!$I$3:$I$665,MATCH($A170,'Input Statistiche 2025_26'!$A$3:$A$665,0)),"")</f>
        <v/>
      </c>
      <c r="L170" s="26" t="str">
        <f aca="false">IFERROR(INDEX('Input Statistiche 2025_26'!$O$3:$O$665,MATCH($A170,'Input Statistiche 2025_26'!$A$3:$A$665,0)),"")</f>
        <v/>
      </c>
      <c r="M170" s="28"/>
      <c r="N170" s="27" t="n">
        <f aca="false">IFERROR(INDEX('Input Giocatori 2026_27'!$E$3:$E$493,MATCH($A170,'Input Giocatori 2026_27'!$A$3:$A$493,0)),"")</f>
        <v>8</v>
      </c>
      <c r="O170" s="27" t="n">
        <f aca="false">IFERROR(INDEX('Input Giocatori 2026_27'!$G$3:$G$493,MATCH($A170,'Input Giocatori 2026_27'!$A$3:$A$493,0)),"")</f>
        <v>20</v>
      </c>
      <c r="P170" s="26" t="str">
        <f aca="false">IFERROR(IF($O170="","",IF((1-(COUNTIFS($B$2:$B$492,$B170,$O$2:$O$492,"&gt;"&amp;$O170)+1-1)/COUNTIF($B$2:$B$492,$B170))&gt;=0.85,"Top",IF((1-(COUNTIFS($B$2:$B$492,$B170,$O$2:$O$492,"&gt;"&amp;$O170)+1-1)/COUNTIF($B$2:$B$492,$B170))&gt;=0.6,"Buono",IF((1-(COUNTIFS($B$2:$B$492,$B170,$O$2:$O$492,"&gt;"&amp;$O170)+1-1)/COUNTIF($B$2:$B$492,$B170))&gt;=0.3,"Nella Media","Scommessa/Riserva")))),"")</f>
        <v>Nella Media</v>
      </c>
      <c r="Q170" s="29" t="n">
        <f aca="false">IF($D170="",COUNTIF($D$2:$D170,""),"")</f>
        <v>169</v>
      </c>
      <c r="R170" s="29" t="str">
        <f aca="false">IF($D170='Info Lega'!$B$28,COUNTIFS($D$2:$D170,'Info Lega'!$B$28),"")</f>
        <v/>
      </c>
      <c r="S170" s="30" t="str">
        <f aca="false">IFERROR(INDEX('Input Statistiche 2025_26'!$G$3:$G$665,MATCH($A170,'Input Statistiche 2025_26'!$A$3:$A$665,0)),"")</f>
        <v/>
      </c>
      <c r="T170" s="30" t="str">
        <f aca="false">IFERROR(INDEX('Input Statistiche 2025_26'!$H$3:$H$665,MATCH($A170,'Input Statistiche 2025_26'!$A$3:$A$665,0)),"")</f>
        <v/>
      </c>
      <c r="U170" s="26" t="str">
        <f aca="false">IF(OR('La Mia Rosa'!$O$12="",$D170&lt;&gt;""),"",IF($F170&lt;='La Mia Rosa'!$O$12*'Parametri Modello'!$B$24,"OK",IF($F170&lt;='La Mia Rosa'!$O$12*'Parametri Modello'!$B$25,"Attenzione","Rischio Alto")))</f>
        <v>OK</v>
      </c>
      <c r="V170" s="26" t="n">
        <f aca="false">IFERROR(COUNTIFS($B$2:$B$492,$B170,$O$2:$O$492,"&gt;"&amp;$O170)+1,"")</f>
        <v>48</v>
      </c>
      <c r="W170" s="21" t="n">
        <f aca="false">'Info Lega'!$B$4-SUMIFS($M$2:$M$492,$D$2:$D$492,'Info Lega'!$B$28)</f>
        <v>1000</v>
      </c>
      <c r="X170" s="21" t="n">
        <f aca="false">('Info Lega'!$B$5-COUNTIFS($D$2:$D$492,'Info Lega'!$B$28,$B$2:$B$492,"P"))+('Info Lega'!$B$6-COUNTIFS($D$2:$D$492,'Info Lega'!$B$28,$B$2:$B$492,"D"))+('Info Lega'!$B$7-COUNTIFS($D$2:$D$492,'Info Lega'!$B$28,$B$2:$B$492,"C"))+('Info Lega'!$B$8-COUNTIFS($D$2:$D$492,'Info Lega'!$B$28,$B$2:$B$492,"A"))</f>
        <v>25</v>
      </c>
      <c r="Y170" s="21" t="n">
        <f aca="false">X170*'Parametri Modello'!$B$30</f>
        <v>25</v>
      </c>
      <c r="Z170" s="21" t="n">
        <f aca="false">MAX(0,W170-Y170)</f>
        <v>975</v>
      </c>
      <c r="AA170" s="21" t="n">
        <f aca="false">MIN(F170,Z170)</f>
        <v>18</v>
      </c>
      <c r="AB170" s="21"/>
      <c r="AC170" s="21" t="str">
        <f aca="false">IF(AB170="","",IF(AB170&gt;AA170,"PASS",IF(AB170&lt;=AA170*0.85,"BID","ATTENZIONE")))</f>
        <v/>
      </c>
      <c r="AD170" s="31" t="str">
        <f aca="false">IF(I170="","",ROUND(100*(1-EXP(-I170/30)),0))</f>
        <v/>
      </c>
      <c r="AE170" s="7" t="str">
        <f aca="false">IFERROR(INDEX('Stato Asta'!$G$9:$G$12,MATCH($B170,'Stato Asta'!$A$9:$A$12,0)),"")</f>
        <v>🔴 Non aspettare</v>
      </c>
    </row>
    <row r="171" customFormat="false" ht="14.25" hidden="false" customHeight="true" outlineLevel="0" collapsed="false">
      <c r="A171" s="21" t="n">
        <v>4994</v>
      </c>
      <c r="B171" s="21" t="s">
        <v>44</v>
      </c>
      <c r="C171" s="21" t="s">
        <v>227</v>
      </c>
      <c r="E171" s="26" t="str">
        <f aca="false">IF(COUNTIF('Info Strategia'!$D$2:$D$51,$C171)&gt;0,"SI","NO")</f>
        <v>NO</v>
      </c>
      <c r="F171" s="27" t="n">
        <f aca="false">IFERROR(ROUND(($G171+($H171-$G171)*'Info Strategia'!$B$6)*(1+IF($E171="SI",'Parametri Modello'!$B$7*'Info Strategia'!$B$6,0)),0),"")</f>
        <v>9</v>
      </c>
      <c r="G171" s="27" t="n">
        <f aca="false">IFERROR(ROUND((IF(OR(INDEX('Parametri Modello'!$C$39:$C$42,MATCH($B171,'Parametri Modello'!$A$39:$A$42,0))="",INDEX('Parametri Modello'!$C$39:$C$42,MATCH($B171,'Parametri Modello'!$A$39:$A$42,0))=0),0,($O171/INDEX('Parametri Modello'!$C$39:$C$42,MATCH($B171,'Parametri Modello'!$A$39:$A$42,0)))*(INDEX('Parametri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7</v>
      </c>
      <c r="H171" s="27" t="n">
        <f aca="false">IFERROR(ROUND((IF(OR(INDEX('Parametri Modello'!$C$39:$C$42,MATCH($B171,'Parametri Modello'!$A$39:$A$42,0))="",INDEX('Parametri Modello'!$C$39:$C$42,MATCH($B171,'Parametri Modello'!$A$39:$A$42,0))=0),0,($O171/INDEX('Parametri Modello'!$C$39:$C$42,MATCH($B171,'Parametri Modello'!$A$39:$A$42,0)))*(INDEX('Parametri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10</v>
      </c>
      <c r="I171" s="26" t="n">
        <f aca="false">IFERROR(INDEX('Input Statistiche 2025_26'!$F$3:$F$665,MATCH($A171,'Input Statistiche 2025_26'!$A$3:$A$665,0)),"")</f>
        <v>27</v>
      </c>
      <c r="J171" s="26" t="n">
        <f aca="false">IFERROR(IF($I171="","",MAX(0,38-$I171)),"")</f>
        <v>11</v>
      </c>
      <c r="K171" s="26" t="n">
        <f aca="false">IFERROR(INDEX('Input Statistiche 2025_26'!$I$3:$I$665,MATCH($A171,'Input Statistiche 2025_26'!$A$3:$A$665,0)),"")</f>
        <v>2</v>
      </c>
      <c r="L171" s="26" t="n">
        <f aca="false">IFERROR(INDEX('Input Statistiche 2025_26'!$O$3:$O$665,MATCH($A171,'Input Statistiche 2025_26'!$A$3:$A$665,0)),"")</f>
        <v>1</v>
      </c>
      <c r="M171" s="28"/>
      <c r="N171" s="27" t="n">
        <f aca="false">IFERROR(INDEX('Input Giocatori 2026_27'!$E$3:$E$493,MATCH($A171,'Input Giocatori 2026_27'!$A$3:$A$493,0)),"")</f>
        <v>8</v>
      </c>
      <c r="O171" s="27" t="n">
        <f aca="false">IFERROR(INDEX('Input Giocatori 2026_27'!$G$3:$G$493,MATCH($A171,'Input Giocatori 2026_27'!$A$3:$A$493,0)),"")</f>
        <v>19</v>
      </c>
      <c r="P171" s="26" t="str">
        <f aca="false">IFERROR(IF($O171="","",IF((1-(COUNTIFS($B$2:$B$492,$B171,$O$2:$O$492,"&gt;"&amp;$O171)+1-1)/COUNTIF($B$2:$B$492,$B171))&gt;=0.85,"Top",IF((1-(COUNTIFS($B$2:$B$492,$B171,$O$2:$O$492,"&gt;"&amp;$O171)+1-1)/COUNTIF($B$2:$B$492,$B171))&gt;=0.6,"Buono",IF((1-(COUNTIFS($B$2:$B$492,$B171,$O$2:$O$492,"&gt;"&amp;$O171)+1-1)/COUNTIF($B$2:$B$492,$B171))&gt;=0.3,"Nella Media","Scommessa/Riserva")))),"")</f>
        <v>Buono</v>
      </c>
      <c r="Q171" s="29" t="n">
        <f aca="false">IF($D171="",COUNTIF($D$2:$D171,""),"")</f>
        <v>170</v>
      </c>
      <c r="R171" s="29" t="str">
        <f aca="false">IF($D171='Info Lega'!$B$28,COUNTIFS($D$2:$D171,'Info Lega'!$B$28),"")</f>
        <v/>
      </c>
      <c r="S171" s="30" t="n">
        <f aca="false">IFERROR(INDEX('Input Statistiche 2025_26'!$G$3:$G$665,MATCH($A171,'Input Statistiche 2025_26'!$A$3:$A$665,0)),"")</f>
        <v>6.02</v>
      </c>
      <c r="T171" s="30" t="n">
        <f aca="false">IFERROR(INDEX('Input Statistiche 2025_26'!$H$3:$H$665,MATCH($A171,'Input Statistiche 2025_26'!$A$3:$A$665,0)),"")</f>
        <v>6.24</v>
      </c>
      <c r="U171" s="26" t="str">
        <f aca="false">IF(OR('La Mia Rosa'!$O$12="",$D171&lt;&gt;""),"",IF($F171&lt;='La Mia Rosa'!$O$12*'Parametri Modello'!$B$24,"OK",IF($F171&lt;='La Mia Rosa'!$O$12*'Parametri Modello'!$B$25,"Attenzione","Rischio Alto")))</f>
        <v>OK</v>
      </c>
      <c r="V171" s="26" t="n">
        <f aca="false">IFERROR(COUNTIFS($B$2:$B$492,$B171,$O$2:$O$492,"&gt;"&amp;$O171)+1,"")</f>
        <v>42</v>
      </c>
      <c r="W171" s="21" t="n">
        <f aca="false">'Info Lega'!$B$4-SUMIFS($M$2:$M$492,$D$2:$D$492,'Info Lega'!$B$28)</f>
        <v>1000</v>
      </c>
      <c r="X171" s="21" t="n">
        <f aca="false">('Info Lega'!$B$5-COUNTIFS($D$2:$D$492,'Info Lega'!$B$28,$B$2:$B$492,"P"))+('Info Lega'!$B$6-COUNTIFS($D$2:$D$492,'Info Lega'!$B$28,$B$2:$B$492,"D"))+('Info Lega'!$B$7-COUNTIFS($D$2:$D$492,'Info Lega'!$B$28,$B$2:$B$492,"C"))+('Info Lega'!$B$8-COUNTIFS($D$2:$D$492,'Info Lega'!$B$28,$B$2:$B$492,"A"))</f>
        <v>25</v>
      </c>
      <c r="Y171" s="21" t="n">
        <f aca="false">X171*'Parametri Modello'!$B$30</f>
        <v>25</v>
      </c>
      <c r="Z171" s="21" t="n">
        <f aca="false">MAX(0,W171-Y171)</f>
        <v>975</v>
      </c>
      <c r="AA171" s="21" t="n">
        <f aca="false">MIN(F171,Z171)</f>
        <v>9</v>
      </c>
      <c r="AB171" s="21"/>
      <c r="AC171" s="21" t="str">
        <f aca="false">IF(AB171="","",IF(AB171&gt;AA171,"PASS",IF(AB171&lt;=AA171*0.85,"BID","ATTENZIONE")))</f>
        <v/>
      </c>
      <c r="AD171" s="31" t="n">
        <f aca="false">IF(I171="","",ROUND(100*(1-EXP(-I171/30)),0))</f>
        <v>59</v>
      </c>
      <c r="AE171" s="7" t="str">
        <f aca="false">IFERROR(INDEX('Stato Asta'!$G$9:$G$12,MATCH($B171,'Stato Asta'!$A$9:$A$12,0)),"")</f>
        <v>🟡 Attesa rischiosa</v>
      </c>
    </row>
    <row r="172" customFormat="false" ht="14.25" hidden="false" customHeight="true" outlineLevel="0" collapsed="false">
      <c r="A172" s="21" t="n">
        <v>4433</v>
      </c>
      <c r="B172" s="21" t="s">
        <v>44</v>
      </c>
      <c r="C172" s="21" t="s">
        <v>246</v>
      </c>
      <c r="E172" s="26" t="str">
        <f aca="false">IF(COUNTIF('Info Strategia'!$D$2:$D$51,$C172)&gt;0,"SI","NO")</f>
        <v>NO</v>
      </c>
      <c r="F172" s="27" t="n">
        <f aca="false">IFERROR(ROUND(($G172+($H172-$G172)*'Info Strategia'!$B$6)*(1+IF($E172="SI",'Parametri Modello'!$B$7*'Info Strategia'!$B$6,0)),0),"")</f>
        <v>9</v>
      </c>
      <c r="G172" s="27" t="n">
        <f aca="false">IFERROR(ROUND((IF(OR(INDEX('Parametri Modello'!$C$39:$C$42,MATCH($B172,'Parametri Modello'!$A$39:$A$42,0))="",INDEX('Parametri Modello'!$C$39:$C$42,MATCH($B172,'Parametri Modello'!$A$39:$A$42,0))=0),0,($O172/INDEX('Parametri Modello'!$C$39:$C$42,MATCH($B172,'Parametri Modello'!$A$39:$A$42,0)))*(INDEX('Parametri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7</v>
      </c>
      <c r="H172" s="27" t="n">
        <f aca="false">IFERROR(ROUND((IF(OR(INDEX('Parametri Modello'!$C$39:$C$42,MATCH($B172,'Parametri Modello'!$A$39:$A$42,0))="",INDEX('Parametri Modello'!$C$39:$C$42,MATCH($B172,'Parametri Modello'!$A$39:$A$42,0))=0),0,($O172/INDEX('Parametri Modello'!$C$39:$C$42,MATCH($B172,'Parametri Modello'!$A$39:$A$42,0)))*(INDEX('Parametri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10</v>
      </c>
      <c r="I172" s="26" t="n">
        <f aca="false">IFERROR(INDEX('Input Statistiche 2025_26'!$F$3:$F$665,MATCH($A172,'Input Statistiche 2025_26'!$A$3:$A$665,0)),"")</f>
        <v>28</v>
      </c>
      <c r="J172" s="26" t="n">
        <f aca="false">IFERROR(IF($I172="","",MAX(0,38-$I172)),"")</f>
        <v>10</v>
      </c>
      <c r="K172" s="26" t="n">
        <f aca="false">IFERROR(INDEX('Input Statistiche 2025_26'!$I$3:$I$665,MATCH($A172,'Input Statistiche 2025_26'!$A$3:$A$665,0)),"")</f>
        <v>0</v>
      </c>
      <c r="L172" s="26" t="n">
        <f aca="false">IFERROR(INDEX('Input Statistiche 2025_26'!$O$3:$O$665,MATCH($A172,'Input Statistiche 2025_26'!$A$3:$A$665,0)),"")</f>
        <v>2</v>
      </c>
      <c r="M172" s="28"/>
      <c r="N172" s="27" t="n">
        <f aca="false">IFERROR(INDEX('Input Giocatori 2026_27'!$E$3:$E$493,MATCH($A172,'Input Giocatori 2026_27'!$A$3:$A$493,0)),"")</f>
        <v>6</v>
      </c>
      <c r="O172" s="27" t="n">
        <f aca="false">IFERROR(INDEX('Input Giocatori 2026_27'!$G$3:$G$493,MATCH($A172,'Input Giocatori 2026_27'!$A$3:$A$493,0)),"")</f>
        <v>19</v>
      </c>
      <c r="P172" s="26" t="str">
        <f aca="false">IFERROR(IF($O172="","",IF((1-(COUNTIFS($B$2:$B$492,$B172,$O$2:$O$492,"&gt;"&amp;$O172)+1-1)/COUNTIF($B$2:$B$492,$B172))&gt;=0.85,"Top",IF((1-(COUNTIFS($B$2:$B$492,$B172,$O$2:$O$492,"&gt;"&amp;$O172)+1-1)/COUNTIF($B$2:$B$492,$B172))&gt;=0.6,"Buono",IF((1-(COUNTIFS($B$2:$B$492,$B172,$O$2:$O$492,"&gt;"&amp;$O172)+1-1)/COUNTIF($B$2:$B$492,$B172))&gt;=0.3,"Nella Media","Scommessa/Riserva")))),"")</f>
        <v>Buono</v>
      </c>
      <c r="Q172" s="29" t="n">
        <f aca="false">IF($D172="",COUNTIF($D$2:$D172,""),"")</f>
        <v>171</v>
      </c>
      <c r="R172" s="29" t="str">
        <f aca="false">IF($D172='Info Lega'!$B$28,COUNTIFS($D$2:$D172,'Info Lega'!$B$28),"")</f>
        <v/>
      </c>
      <c r="S172" s="30" t="n">
        <f aca="false">IFERROR(INDEX('Input Statistiche 2025_26'!$G$3:$G$665,MATCH($A172,'Input Statistiche 2025_26'!$A$3:$A$665,0)),"")</f>
        <v>5.86</v>
      </c>
      <c r="T172" s="30" t="n">
        <f aca="false">IFERROR(INDEX('Input Statistiche 2025_26'!$H$3:$H$665,MATCH($A172,'Input Statistiche 2025_26'!$A$3:$A$665,0)),"")</f>
        <v>5.89</v>
      </c>
      <c r="U172" s="26" t="str">
        <f aca="false">IF(OR('La Mia Rosa'!$O$12="",$D172&lt;&gt;""),"",IF($F172&lt;='La Mia Rosa'!$O$12*'Parametri Modello'!$B$24,"OK",IF($F172&lt;='La Mia Rosa'!$O$12*'Parametri Modello'!$B$25,"Attenzione","Rischio Alto")))</f>
        <v>OK</v>
      </c>
      <c r="V172" s="26" t="n">
        <f aca="false">IFERROR(COUNTIFS($B$2:$B$492,$B172,$O$2:$O$492,"&gt;"&amp;$O172)+1,"")</f>
        <v>42</v>
      </c>
      <c r="W172" s="21" t="n">
        <f aca="false">'Info Lega'!$B$4-SUMIFS($M$2:$M$492,$D$2:$D$492,'Info Lega'!$B$28)</f>
        <v>1000</v>
      </c>
      <c r="X172" s="21" t="n">
        <f aca="false">('Info Lega'!$B$5-COUNTIFS($D$2:$D$492,'Info Lega'!$B$28,$B$2:$B$492,"P"))+('Info Lega'!$B$6-COUNTIFS($D$2:$D$492,'Info Lega'!$B$28,$B$2:$B$492,"D"))+('Info Lega'!$B$7-COUNTIFS($D$2:$D$492,'Info Lega'!$B$28,$B$2:$B$492,"C"))+('Info Lega'!$B$8-COUNTIFS($D$2:$D$492,'Info Lega'!$B$28,$B$2:$B$492,"A"))</f>
        <v>25</v>
      </c>
      <c r="Y172" s="21" t="n">
        <f aca="false">X172*'Parametri Modello'!$B$30</f>
        <v>25</v>
      </c>
      <c r="Z172" s="21" t="n">
        <f aca="false">MAX(0,W172-Y172)</f>
        <v>975</v>
      </c>
      <c r="AA172" s="21" t="n">
        <f aca="false">MIN(F172,Z172)</f>
        <v>9</v>
      </c>
      <c r="AB172" s="21"/>
      <c r="AC172" s="21" t="str">
        <f aca="false">IF(AB172="","",IF(AB172&gt;AA172,"PASS",IF(AB172&lt;=AA172*0.85,"BID","ATTENZIONE")))</f>
        <v/>
      </c>
      <c r="AD172" s="31" t="n">
        <f aca="false">IF(I172="","",ROUND(100*(1-EXP(-I172/30)),0))</f>
        <v>61</v>
      </c>
      <c r="AE172" s="7" t="str">
        <f aca="false">IFERROR(INDEX('Stato Asta'!$G$9:$G$12,MATCH($B172,'Stato Asta'!$A$9:$A$12,0)),"")</f>
        <v>🟡 Attesa rischiosa</v>
      </c>
    </row>
    <row r="173" customFormat="false" ht="14.25" hidden="false" customHeight="true" outlineLevel="0" collapsed="false">
      <c r="A173" s="21" t="n">
        <v>7410</v>
      </c>
      <c r="B173" s="21" t="s">
        <v>44</v>
      </c>
      <c r="C173" s="21" t="s">
        <v>249</v>
      </c>
      <c r="E173" s="26" t="str">
        <f aca="false">IF(COUNTIF('Info Strategia'!$D$2:$D$51,$C173)&gt;0,"SI","NO")</f>
        <v>NO</v>
      </c>
      <c r="F173" s="27" t="n">
        <f aca="false">IFERROR(ROUND(($G173+($H173-$G173)*'Info Strategia'!$B$6)*(1+IF($E173="SI",'Parametri Modello'!$B$7*'Info Strategia'!$B$6,0)),0),"")</f>
        <v>9</v>
      </c>
      <c r="G173" s="27" t="n">
        <f aca="false">IFERROR(ROUND((IF(OR(INDEX('Parametri Modello'!$C$39:$C$42,MATCH($B173,'Parametri Modello'!$A$39:$A$42,0))="",INDEX('Parametri Modello'!$C$39:$C$42,MATCH($B173,'Parametri Modello'!$A$39:$A$42,0))=0),0,($O173/INDEX('Parametri Modello'!$C$39:$C$42,MATCH($B173,'Parametri Modello'!$A$39:$A$42,0)))*(INDEX('Parametri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7</v>
      </c>
      <c r="H173" s="27" t="n">
        <f aca="false">IFERROR(ROUND((IF(OR(INDEX('Parametri Modello'!$C$39:$C$42,MATCH($B173,'Parametri Modello'!$A$39:$A$42,0))="",INDEX('Parametri Modello'!$C$39:$C$42,MATCH($B173,'Parametri Modello'!$A$39:$A$42,0))=0),0,($O173/INDEX('Parametri Modello'!$C$39:$C$42,MATCH($B173,'Parametri Modello'!$A$39:$A$42,0)))*(INDEX('Parametri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10</v>
      </c>
      <c r="I173" s="26" t="str">
        <f aca="false">IFERROR(INDEX('Input Statistiche 2025_26'!$F$3:$F$665,MATCH($A173,'Input Statistiche 2025_26'!$A$3:$A$665,0)),"")</f>
        <v/>
      </c>
      <c r="J173" s="26" t="str">
        <f aca="false">IFERROR(IF($I173="","",MAX(0,38-$I173)),"")</f>
        <v/>
      </c>
      <c r="K173" s="26" t="str">
        <f aca="false">IFERROR(INDEX('Input Statistiche 2025_26'!$I$3:$I$665,MATCH($A173,'Input Statistiche 2025_26'!$A$3:$A$665,0)),"")</f>
        <v/>
      </c>
      <c r="L173" s="26" t="str">
        <f aca="false">IFERROR(INDEX('Input Statistiche 2025_26'!$O$3:$O$665,MATCH($A173,'Input Statistiche 2025_26'!$A$3:$A$665,0)),"")</f>
        <v/>
      </c>
      <c r="M173" s="28"/>
      <c r="N173" s="27" t="n">
        <f aca="false">IFERROR(INDEX('Input Giocatori 2026_27'!$E$3:$E$493,MATCH($A173,'Input Giocatori 2026_27'!$A$3:$A$493,0)),"")</f>
        <v>6</v>
      </c>
      <c r="O173" s="27" t="n">
        <f aca="false">IFERROR(INDEX('Input Giocatori 2026_27'!$G$3:$G$493,MATCH($A173,'Input Giocatori 2026_27'!$A$3:$A$493,0)),"")</f>
        <v>19</v>
      </c>
      <c r="P173" s="26" t="str">
        <f aca="false">IFERROR(IF($O173="","",IF((1-(COUNTIFS($B$2:$B$492,$B173,$O$2:$O$492,"&gt;"&amp;$O173)+1-1)/COUNTIF($B$2:$B$492,$B173))&gt;=0.85,"Top",IF((1-(COUNTIFS($B$2:$B$492,$B173,$O$2:$O$492,"&gt;"&amp;$O173)+1-1)/COUNTIF($B$2:$B$492,$B173))&gt;=0.6,"Buono",IF((1-(COUNTIFS($B$2:$B$492,$B173,$O$2:$O$492,"&gt;"&amp;$O173)+1-1)/COUNTIF($B$2:$B$492,$B173))&gt;=0.3,"Nella Media","Scommessa/Riserva")))),"")</f>
        <v>Buono</v>
      </c>
      <c r="Q173" s="29" t="n">
        <f aca="false">IF($D173="",COUNTIF($D$2:$D173,""),"")</f>
        <v>172</v>
      </c>
      <c r="R173" s="29" t="str">
        <f aca="false">IF($D173='Info Lega'!$B$28,COUNTIFS($D$2:$D173,'Info Lega'!$B$28),"")</f>
        <v/>
      </c>
      <c r="S173" s="30" t="str">
        <f aca="false">IFERROR(INDEX('Input Statistiche 2025_26'!$G$3:$G$665,MATCH($A173,'Input Statistiche 2025_26'!$A$3:$A$665,0)),"")</f>
        <v/>
      </c>
      <c r="T173" s="30" t="str">
        <f aca="false">IFERROR(INDEX('Input Statistiche 2025_26'!$H$3:$H$665,MATCH($A173,'Input Statistiche 2025_26'!$A$3:$A$665,0)),"")</f>
        <v/>
      </c>
      <c r="U173" s="26" t="str">
        <f aca="false">IF(OR('La Mia Rosa'!$O$12="",$D173&lt;&gt;""),"",IF($F173&lt;='La Mia Rosa'!$O$12*'Parametri Modello'!$B$24,"OK",IF($F173&lt;='La Mia Rosa'!$O$12*'Parametri Modello'!$B$25,"Attenzione","Rischio Alto")))</f>
        <v>OK</v>
      </c>
      <c r="V173" s="26" t="n">
        <f aca="false">IFERROR(COUNTIFS($B$2:$B$492,$B173,$O$2:$O$492,"&gt;"&amp;$O173)+1,"")</f>
        <v>42</v>
      </c>
      <c r="W173" s="21" t="n">
        <f aca="false">'Info Lega'!$B$4-SUMIFS($M$2:$M$492,$D$2:$D$492,'Info Lega'!$B$28)</f>
        <v>1000</v>
      </c>
      <c r="X173" s="21" t="n">
        <f aca="false">('Info Lega'!$B$5-COUNTIFS($D$2:$D$492,'Info Lega'!$B$28,$B$2:$B$492,"P"))+('Info Lega'!$B$6-COUNTIFS($D$2:$D$492,'Info Lega'!$B$28,$B$2:$B$492,"D"))+('Info Lega'!$B$7-COUNTIFS($D$2:$D$492,'Info Lega'!$B$28,$B$2:$B$492,"C"))+('Info Lega'!$B$8-COUNTIFS($D$2:$D$492,'Info Lega'!$B$28,$B$2:$B$492,"A"))</f>
        <v>25</v>
      </c>
      <c r="Y173" s="21" t="n">
        <f aca="false">X173*'Parametri Modello'!$B$30</f>
        <v>25</v>
      </c>
      <c r="Z173" s="21" t="n">
        <f aca="false">MAX(0,W173-Y173)</f>
        <v>975</v>
      </c>
      <c r="AA173" s="21" t="n">
        <f aca="false">MIN(F173,Z173)</f>
        <v>9</v>
      </c>
      <c r="AB173" s="21"/>
      <c r="AC173" s="21" t="str">
        <f aca="false">IF(AB173="","",IF(AB173&gt;AA173,"PASS",IF(AB173&lt;=AA173*0.85,"BID","ATTENZIONE")))</f>
        <v/>
      </c>
      <c r="AD173" s="31" t="str">
        <f aca="false">IF(I173="","",ROUND(100*(1-EXP(-I173/30)),0))</f>
        <v/>
      </c>
      <c r="AE173" s="7" t="str">
        <f aca="false">IFERROR(INDEX('Stato Asta'!$G$9:$G$12,MATCH($B173,'Stato Asta'!$A$9:$A$12,0)),"")</f>
        <v>🟡 Attesa rischiosa</v>
      </c>
    </row>
    <row r="174" customFormat="false" ht="14.25" hidden="false" customHeight="true" outlineLevel="0" collapsed="false">
      <c r="A174" s="21" t="n">
        <v>6010</v>
      </c>
      <c r="B174" s="21" t="s">
        <v>45</v>
      </c>
      <c r="C174" s="21" t="s">
        <v>419</v>
      </c>
      <c r="E174" s="26" t="str">
        <f aca="false">IF(COUNTIF('Info Strategia'!$D$2:$D$51,$C174)&gt;0,"SI","NO")</f>
        <v>NO</v>
      </c>
      <c r="F174" s="27" t="n">
        <f aca="false">IFERROR(ROUND(($G174+($H174-$G174)*'Info Strategia'!$B$6)*(1+IF($E174="SI",'Parametri Modello'!$B$7*'Info Strategia'!$B$6,0)),0),"")</f>
        <v>11</v>
      </c>
      <c r="G174" s="27" t="n">
        <f aca="false">IFERROR(ROUND((IF(OR(INDEX('Parametri Modello'!$C$39:$C$42,MATCH($B174,'Parametri Modello'!$A$39:$A$42,0))="",INDEX('Parametri Modello'!$C$39:$C$42,MATCH($B174,'Parametri Modello'!$A$39:$A$42,0))=0),0,($O174/INDEX('Parametri Modello'!$C$39:$C$42,MATCH($B174,'Parametri Modello'!$A$39:$A$42,0)))*(INDEX('Parametri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7</v>
      </c>
      <c r="H174" s="27" t="n">
        <f aca="false">IFERROR(ROUND((IF(OR(INDEX('Parametri Modello'!$C$39:$C$42,MATCH($B174,'Parametri Modello'!$A$39:$A$42,0))="",INDEX('Parametri Modello'!$C$39:$C$42,MATCH($B174,'Parametri Modello'!$A$39:$A$42,0))=0),0,($O174/INDEX('Parametri Modello'!$C$39:$C$42,MATCH($B174,'Parametri Modello'!$A$39:$A$42,0)))*(INDEX('Parametri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12</v>
      </c>
      <c r="I174" s="26" t="n">
        <f aca="false">IFERROR(INDEX('Input Statistiche 2025_26'!$F$3:$F$665,MATCH($A174,'Input Statistiche 2025_26'!$A$3:$A$665,0)),"")</f>
        <v>12</v>
      </c>
      <c r="J174" s="26" t="n">
        <f aca="false">IFERROR(IF($I174="","",MAX(0,38-$I174)),"")</f>
        <v>26</v>
      </c>
      <c r="K174" s="26" t="n">
        <f aca="false">IFERROR(INDEX('Input Statistiche 2025_26'!$I$3:$I$665,MATCH($A174,'Input Statistiche 2025_26'!$A$3:$A$665,0)),"")</f>
        <v>0</v>
      </c>
      <c r="L174" s="26" t="n">
        <f aca="false">IFERROR(INDEX('Input Statistiche 2025_26'!$O$3:$O$665,MATCH($A174,'Input Statistiche 2025_26'!$A$3:$A$665,0)),"")</f>
        <v>0</v>
      </c>
      <c r="M174" s="28"/>
      <c r="N174" s="27" t="n">
        <f aca="false">IFERROR(INDEX('Input Giocatori 2026_27'!$E$3:$E$493,MATCH($A174,'Input Giocatori 2026_27'!$A$3:$A$493,0)),"")</f>
        <v>7</v>
      </c>
      <c r="O174" s="27" t="n">
        <f aca="false">IFERROR(INDEX('Input Giocatori 2026_27'!$G$3:$G$493,MATCH($A174,'Input Giocatori 2026_27'!$A$3:$A$493,0)),"")</f>
        <v>19</v>
      </c>
      <c r="P174" s="26" t="str">
        <f aca="false">IFERROR(IF($O174="","",IF((1-(COUNTIFS($B$2:$B$492,$B174,$O$2:$O$492,"&gt;"&amp;$O174)+1-1)/COUNTIF($B$2:$B$492,$B174))&gt;=0.85,"Top",IF((1-(COUNTIFS($B$2:$B$492,$B174,$O$2:$O$492,"&gt;"&amp;$O174)+1-1)/COUNTIF($B$2:$B$492,$B174))&gt;=0.6,"Buono",IF((1-(COUNTIFS($B$2:$B$492,$B174,$O$2:$O$492,"&gt;"&amp;$O174)+1-1)/COUNTIF($B$2:$B$492,$B174))&gt;=0.3,"Nella Media","Scommessa/Riserva")))),"")</f>
        <v>Buono</v>
      </c>
      <c r="Q174" s="29" t="n">
        <f aca="false">IF($D174="",COUNTIF($D$2:$D174,""),"")</f>
        <v>173</v>
      </c>
      <c r="R174" s="29" t="str">
        <f aca="false">IF($D174='Info Lega'!$B$28,COUNTIFS($D$2:$D174,'Info Lega'!$B$28),"")</f>
        <v/>
      </c>
      <c r="S174" s="30" t="n">
        <f aca="false">IFERROR(INDEX('Input Statistiche 2025_26'!$G$3:$G$665,MATCH($A174,'Input Statistiche 2025_26'!$A$3:$A$665,0)),"")</f>
        <v>5.88</v>
      </c>
      <c r="T174" s="30" t="n">
        <f aca="false">IFERROR(INDEX('Input Statistiche 2025_26'!$H$3:$H$665,MATCH($A174,'Input Statistiche 2025_26'!$A$3:$A$665,0)),"")</f>
        <v>5.83</v>
      </c>
      <c r="U174" s="26" t="str">
        <f aca="false">IF(OR('La Mia Rosa'!$O$12="",$D174&lt;&gt;""),"",IF($F174&lt;='La Mia Rosa'!$O$12*'Parametri Modello'!$B$24,"OK",IF($F174&lt;='La Mia Rosa'!$O$12*'Parametri Modello'!$B$25,"Attenzione","Rischio Alto")))</f>
        <v>OK</v>
      </c>
      <c r="V174" s="26" t="n">
        <f aca="false">IFERROR(COUNTIFS($B$2:$B$492,$B174,$O$2:$O$492,"&gt;"&amp;$O174)+1,"")</f>
        <v>66</v>
      </c>
      <c r="W174" s="21" t="n">
        <f aca="false">'Info Lega'!$B$4-SUMIFS($M$2:$M$492,$D$2:$D$492,'Info Lega'!$B$28)</f>
        <v>1000</v>
      </c>
      <c r="X174" s="21" t="n">
        <f aca="false">('Info Lega'!$B$5-COUNTIFS($D$2:$D$492,'Info Lega'!$B$28,$B$2:$B$492,"P"))+('Info Lega'!$B$6-COUNTIFS($D$2:$D$492,'Info Lega'!$B$28,$B$2:$B$492,"D"))+('Info Lega'!$B$7-COUNTIFS($D$2:$D$492,'Info Lega'!$B$28,$B$2:$B$492,"C"))+('Info Lega'!$B$8-COUNTIFS($D$2:$D$492,'Info Lega'!$B$28,$B$2:$B$492,"A"))</f>
        <v>25</v>
      </c>
      <c r="Y174" s="21" t="n">
        <f aca="false">X174*'Parametri Modello'!$B$30</f>
        <v>25</v>
      </c>
      <c r="Z174" s="21" t="n">
        <f aca="false">MAX(0,W174-Y174)</f>
        <v>975</v>
      </c>
      <c r="AA174" s="21" t="n">
        <f aca="false">MIN(F174,Z174)</f>
        <v>11</v>
      </c>
      <c r="AB174" s="21"/>
      <c r="AC174" s="21" t="str">
        <f aca="false">IF(AB174="","",IF(AB174&gt;AA174,"PASS",IF(AB174&lt;=AA174*0.85,"BID","ATTENZIONE")))</f>
        <v/>
      </c>
      <c r="AD174" s="31" t="n">
        <f aca="false">IF(I174="","",ROUND(100*(1-EXP(-I174/30)),0))</f>
        <v>33</v>
      </c>
      <c r="AE174" s="7" t="str">
        <f aca="false">IFERROR(INDEX('Stato Asta'!$G$9:$G$12,MATCH($B174,'Stato Asta'!$A$9:$A$12,0)),"")</f>
        <v>🟡 Attesa rischiosa</v>
      </c>
    </row>
    <row r="175" customFormat="false" ht="14.25" hidden="false" customHeight="true" outlineLevel="0" collapsed="false">
      <c r="A175" s="21" t="n">
        <v>5791</v>
      </c>
      <c r="B175" s="21" t="s">
        <v>45</v>
      </c>
      <c r="C175" s="21" t="s">
        <v>421</v>
      </c>
      <c r="E175" s="26" t="str">
        <f aca="false">IF(COUNTIF('Info Strategia'!$D$2:$D$51,$C175)&gt;0,"SI","NO")</f>
        <v>NO</v>
      </c>
      <c r="F175" s="27" t="n">
        <f aca="false">IFERROR(ROUND(($G175+($H175-$G175)*'Info Strategia'!$B$6)*(1+IF($E175="SI",'Parametri Modello'!$B$7*'Info Strategia'!$B$6,0)),0),"")</f>
        <v>11</v>
      </c>
      <c r="G175" s="27" t="n">
        <f aca="false">IFERROR(ROUND((IF(OR(INDEX('Parametri Modello'!$C$39:$C$42,MATCH($B175,'Parametri Modello'!$A$39:$A$42,0))="",INDEX('Parametri Modello'!$C$39:$C$42,MATCH($B175,'Parametri Modello'!$A$39:$A$42,0))=0),0,($O175/INDEX('Parametri Modello'!$C$39:$C$42,MATCH($B175,'Parametri Modello'!$A$39:$A$42,0)))*(INDEX('Parametri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7</v>
      </c>
      <c r="H175" s="27" t="n">
        <f aca="false">IFERROR(ROUND((IF(OR(INDEX('Parametri Modello'!$C$39:$C$42,MATCH($B175,'Parametri Modello'!$A$39:$A$42,0))="",INDEX('Parametri Modello'!$C$39:$C$42,MATCH($B175,'Parametri Modello'!$A$39:$A$42,0))=0),0,($O175/INDEX('Parametri Modello'!$C$39:$C$42,MATCH($B175,'Parametri Modello'!$A$39:$A$42,0)))*(INDEX('Parametri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12</v>
      </c>
      <c r="I175" s="26" t="n">
        <f aca="false">IFERROR(INDEX('Input Statistiche 2025_26'!$F$3:$F$665,MATCH($A175,'Input Statistiche 2025_26'!$A$3:$A$665,0)),"")</f>
        <v>36</v>
      </c>
      <c r="J175" s="26" t="n">
        <f aca="false">IFERROR(IF($I175="","",MAX(0,38-$I175)),"")</f>
        <v>2</v>
      </c>
      <c r="K175" s="26" t="n">
        <f aca="false">IFERROR(INDEX('Input Statistiche 2025_26'!$I$3:$I$665,MATCH($A175,'Input Statistiche 2025_26'!$A$3:$A$665,0)),"")</f>
        <v>1</v>
      </c>
      <c r="L175" s="26" t="n">
        <f aca="false">IFERROR(INDEX('Input Statistiche 2025_26'!$O$3:$O$665,MATCH($A175,'Input Statistiche 2025_26'!$A$3:$A$665,0)),"")</f>
        <v>0</v>
      </c>
      <c r="M175" s="28"/>
      <c r="N175" s="27" t="n">
        <f aca="false">IFERROR(INDEX('Input Giocatori 2026_27'!$E$3:$E$493,MATCH($A175,'Input Giocatori 2026_27'!$A$3:$A$493,0)),"")</f>
        <v>7</v>
      </c>
      <c r="O175" s="27" t="n">
        <f aca="false">IFERROR(INDEX('Input Giocatori 2026_27'!$G$3:$G$493,MATCH($A175,'Input Giocatori 2026_27'!$A$3:$A$493,0)),"")</f>
        <v>19</v>
      </c>
      <c r="P175" s="26" t="str">
        <f aca="false">IFERROR(IF($O175="","",IF((1-(COUNTIFS($B$2:$B$492,$B175,$O$2:$O$492,"&gt;"&amp;$O175)+1-1)/COUNTIF($B$2:$B$492,$B175))&gt;=0.85,"Top",IF((1-(COUNTIFS($B$2:$B$492,$B175,$O$2:$O$492,"&gt;"&amp;$O175)+1-1)/COUNTIF($B$2:$B$492,$B175))&gt;=0.6,"Buono",IF((1-(COUNTIFS($B$2:$B$492,$B175,$O$2:$O$492,"&gt;"&amp;$O175)+1-1)/COUNTIF($B$2:$B$492,$B175))&gt;=0.3,"Nella Media","Scommessa/Riserva")))),"")</f>
        <v>Buono</v>
      </c>
      <c r="Q175" s="29" t="n">
        <f aca="false">IF($D175="",COUNTIF($D$2:$D175,""),"")</f>
        <v>174</v>
      </c>
      <c r="R175" s="29" t="str">
        <f aca="false">IF($D175='Info Lega'!$B$28,COUNTIFS($D$2:$D175,'Info Lega'!$B$28),"")</f>
        <v/>
      </c>
      <c r="S175" s="30" t="n">
        <f aca="false">IFERROR(INDEX('Input Statistiche 2025_26'!$G$3:$G$665,MATCH($A175,'Input Statistiche 2025_26'!$A$3:$A$665,0)),"")</f>
        <v>5.96</v>
      </c>
      <c r="T175" s="30" t="n">
        <f aca="false">IFERROR(INDEX('Input Statistiche 2025_26'!$H$3:$H$665,MATCH($A175,'Input Statistiche 2025_26'!$A$3:$A$665,0)),"")</f>
        <v>5.97</v>
      </c>
      <c r="U175" s="26" t="str">
        <f aca="false">IF(OR('La Mia Rosa'!$O$12="",$D175&lt;&gt;""),"",IF($F175&lt;='La Mia Rosa'!$O$12*'Parametri Modello'!$B$24,"OK",IF($F175&lt;='La Mia Rosa'!$O$12*'Parametri Modello'!$B$25,"Attenzione","Rischio Alto")))</f>
        <v>OK</v>
      </c>
      <c r="V175" s="26" t="n">
        <f aca="false">IFERROR(COUNTIFS($B$2:$B$492,$B175,$O$2:$O$492,"&gt;"&amp;$O175)+1,"")</f>
        <v>66</v>
      </c>
      <c r="W175" s="21" t="n">
        <f aca="false">'Info Lega'!$B$4-SUMIFS($M$2:$M$492,$D$2:$D$492,'Info Lega'!$B$28)</f>
        <v>1000</v>
      </c>
      <c r="X175" s="21" t="n">
        <f aca="false">('Info Lega'!$B$5-COUNTIFS($D$2:$D$492,'Info Lega'!$B$28,$B$2:$B$492,"P"))+('Info Lega'!$B$6-COUNTIFS($D$2:$D$492,'Info Lega'!$B$28,$B$2:$B$492,"D"))+('Info Lega'!$B$7-COUNTIFS($D$2:$D$492,'Info Lega'!$B$28,$B$2:$B$492,"C"))+('Info Lega'!$B$8-COUNTIFS($D$2:$D$492,'Info Lega'!$B$28,$B$2:$B$492,"A"))</f>
        <v>25</v>
      </c>
      <c r="Y175" s="21" t="n">
        <f aca="false">X175*'Parametri Modello'!$B$30</f>
        <v>25</v>
      </c>
      <c r="Z175" s="21" t="n">
        <f aca="false">MAX(0,W175-Y175)</f>
        <v>975</v>
      </c>
      <c r="AA175" s="21" t="n">
        <f aca="false">MIN(F175,Z175)</f>
        <v>11</v>
      </c>
      <c r="AB175" s="21"/>
      <c r="AC175" s="21" t="str">
        <f aca="false">IF(AB175="","",IF(AB175&gt;AA175,"PASS",IF(AB175&lt;=AA175*0.85,"BID","ATTENZIONE")))</f>
        <v/>
      </c>
      <c r="AD175" s="31" t="n">
        <f aca="false">IF(I175="","",ROUND(100*(1-EXP(-I175/30)),0))</f>
        <v>70</v>
      </c>
      <c r="AE175" s="7" t="str">
        <f aca="false">IFERROR(INDEX('Stato Asta'!$G$9:$G$12,MATCH($B175,'Stato Asta'!$A$9:$A$12,0)),"")</f>
        <v>🟡 Attesa rischiosa</v>
      </c>
    </row>
    <row r="176" customFormat="false" ht="14.25" hidden="false" customHeight="true" outlineLevel="0" collapsed="false">
      <c r="A176" s="21" t="n">
        <v>6549</v>
      </c>
      <c r="B176" s="21" t="s">
        <v>45</v>
      </c>
      <c r="C176" s="21" t="s">
        <v>440</v>
      </c>
      <c r="E176" s="26" t="str">
        <f aca="false">IF(COUNTIF('Info Strategia'!$D$2:$D$51,$C176)&gt;0,"SI","NO")</f>
        <v>NO</v>
      </c>
      <c r="F176" s="27" t="n">
        <f aca="false">IFERROR(ROUND(($G176+($H176-$G176)*'Info Strategia'!$B$6)*(1+IF($E176="SI",'Parametri Modello'!$B$7*'Info Strategia'!$B$6,0)),0),"")</f>
        <v>11</v>
      </c>
      <c r="G176" s="27" t="n">
        <f aca="false">IFERROR(ROUND((IF(OR(INDEX('Parametri Modello'!$C$39:$C$42,MATCH($B176,'Parametri Modello'!$A$39:$A$42,0))="",INDEX('Parametri Modello'!$C$39:$C$42,MATCH($B176,'Parametri Modello'!$A$39:$A$42,0))=0),0,($O176/INDEX('Parametri Modello'!$C$39:$C$42,MATCH($B176,'Parametri Modello'!$A$39:$A$42,0)))*(INDEX('Parametri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7</v>
      </c>
      <c r="H176" s="27" t="n">
        <f aca="false">IFERROR(ROUND((IF(OR(INDEX('Parametri Modello'!$C$39:$C$42,MATCH($B176,'Parametri Modello'!$A$39:$A$42,0))="",INDEX('Parametri Modello'!$C$39:$C$42,MATCH($B176,'Parametri Modello'!$A$39:$A$42,0))=0),0,($O176/INDEX('Parametri Modello'!$C$39:$C$42,MATCH($B176,'Parametri Modello'!$A$39:$A$42,0)))*(INDEX('Parametri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12</v>
      </c>
      <c r="I176" s="26" t="n">
        <f aca="false">IFERROR(INDEX('Input Statistiche 2025_26'!$F$3:$F$665,MATCH($A176,'Input Statistiche 2025_26'!$A$3:$A$665,0)),"")</f>
        <v>37</v>
      </c>
      <c r="J176" s="26" t="n">
        <f aca="false">IFERROR(IF($I176="","",MAX(0,38-$I176)),"")</f>
        <v>1</v>
      </c>
      <c r="K176" s="26" t="n">
        <f aca="false">IFERROR(INDEX('Input Statistiche 2025_26'!$I$3:$I$665,MATCH($A176,'Input Statistiche 2025_26'!$A$3:$A$665,0)),"")</f>
        <v>1</v>
      </c>
      <c r="L176" s="26" t="n">
        <f aca="false">IFERROR(INDEX('Input Statistiche 2025_26'!$O$3:$O$665,MATCH($A176,'Input Statistiche 2025_26'!$A$3:$A$665,0)),"")</f>
        <v>1</v>
      </c>
      <c r="M176" s="28"/>
      <c r="N176" s="27" t="n">
        <f aca="false">IFERROR(INDEX('Input Giocatori 2026_27'!$E$3:$E$493,MATCH($A176,'Input Giocatori 2026_27'!$A$3:$A$493,0)),"")</f>
        <v>6</v>
      </c>
      <c r="O176" s="27" t="n">
        <f aca="false">IFERROR(INDEX('Input Giocatori 2026_27'!$G$3:$G$493,MATCH($A176,'Input Giocatori 2026_27'!$A$3:$A$493,0)),"")</f>
        <v>19</v>
      </c>
      <c r="P176" s="26" t="str">
        <f aca="false">IFERROR(IF($O176="","",IF((1-(COUNTIFS($B$2:$B$492,$B176,$O$2:$O$492,"&gt;"&amp;$O176)+1-1)/COUNTIF($B$2:$B$492,$B176))&gt;=0.85,"Top",IF((1-(COUNTIFS($B$2:$B$492,$B176,$O$2:$O$492,"&gt;"&amp;$O176)+1-1)/COUNTIF($B$2:$B$492,$B176))&gt;=0.6,"Buono",IF((1-(COUNTIFS($B$2:$B$492,$B176,$O$2:$O$492,"&gt;"&amp;$O176)+1-1)/COUNTIF($B$2:$B$492,$B176))&gt;=0.3,"Nella Media","Scommessa/Riserva")))),"")</f>
        <v>Buono</v>
      </c>
      <c r="Q176" s="29" t="n">
        <f aca="false">IF($D176="",COUNTIF($D$2:$D176,""),"")</f>
        <v>175</v>
      </c>
      <c r="R176" s="29" t="str">
        <f aca="false">IF($D176='Info Lega'!$B$28,COUNTIFS($D$2:$D176,'Info Lega'!$B$28),"")</f>
        <v/>
      </c>
      <c r="S176" s="30" t="n">
        <f aca="false">IFERROR(INDEX('Input Statistiche 2025_26'!$G$3:$G$665,MATCH($A176,'Input Statistiche 2025_26'!$A$3:$A$665,0)),"")</f>
        <v>5.8</v>
      </c>
      <c r="T176" s="30" t="n">
        <f aca="false">IFERROR(INDEX('Input Statistiche 2025_26'!$H$3:$H$665,MATCH($A176,'Input Statistiche 2025_26'!$A$3:$A$665,0)),"")</f>
        <v>5.85</v>
      </c>
      <c r="U176" s="26" t="str">
        <f aca="false">IF(OR('La Mia Rosa'!$O$12="",$D176&lt;&gt;""),"",IF($F176&lt;='La Mia Rosa'!$O$12*'Parametri Modello'!$B$24,"OK",IF($F176&lt;='La Mia Rosa'!$O$12*'Parametri Modello'!$B$25,"Attenzione","Rischio Alto")))</f>
        <v>OK</v>
      </c>
      <c r="V176" s="26" t="n">
        <f aca="false">IFERROR(COUNTIFS($B$2:$B$492,$B176,$O$2:$O$492,"&gt;"&amp;$O176)+1,"")</f>
        <v>66</v>
      </c>
      <c r="W176" s="21" t="n">
        <f aca="false">'Info Lega'!$B$4-SUMIFS($M$2:$M$492,$D$2:$D$492,'Info Lega'!$B$28)</f>
        <v>1000</v>
      </c>
      <c r="X176" s="21" t="n">
        <f aca="false">('Info Lega'!$B$5-COUNTIFS($D$2:$D$492,'Info Lega'!$B$28,$B$2:$B$492,"P"))+('Info Lega'!$B$6-COUNTIFS($D$2:$D$492,'Info Lega'!$B$28,$B$2:$B$492,"D"))+('Info Lega'!$B$7-COUNTIFS($D$2:$D$492,'Info Lega'!$B$28,$B$2:$B$492,"C"))+('Info Lega'!$B$8-COUNTIFS($D$2:$D$492,'Info Lega'!$B$28,$B$2:$B$492,"A"))</f>
        <v>25</v>
      </c>
      <c r="Y176" s="21" t="n">
        <f aca="false">X176*'Parametri Modello'!$B$30</f>
        <v>25</v>
      </c>
      <c r="Z176" s="21" t="n">
        <f aca="false">MAX(0,W176-Y176)</f>
        <v>975</v>
      </c>
      <c r="AA176" s="21" t="n">
        <f aca="false">MIN(F176,Z176)</f>
        <v>11</v>
      </c>
      <c r="AB176" s="21"/>
      <c r="AC176" s="21" t="str">
        <f aca="false">IF(AB176="","",IF(AB176&gt;AA176,"PASS",IF(AB176&lt;=AA176*0.85,"BID","ATTENZIONE")))</f>
        <v/>
      </c>
      <c r="AD176" s="31" t="n">
        <f aca="false">IF(I176="","",ROUND(100*(1-EXP(-I176/30)),0))</f>
        <v>71</v>
      </c>
      <c r="AE176" s="7" t="str">
        <f aca="false">IFERROR(INDEX('Stato Asta'!$G$9:$G$12,MATCH($B176,'Stato Asta'!$A$9:$A$12,0)),"")</f>
        <v>🟡 Attesa rischiosa</v>
      </c>
    </row>
    <row r="177" customFormat="false" ht="14.25" hidden="false" customHeight="true" outlineLevel="0" collapsed="false">
      <c r="A177" s="21" t="n">
        <v>5674</v>
      </c>
      <c r="B177" s="21" t="s">
        <v>45</v>
      </c>
      <c r="C177" s="21" t="s">
        <v>445</v>
      </c>
      <c r="E177" s="26" t="str">
        <f aca="false">IF(COUNTIF('Info Strategia'!$D$2:$D$51,$C177)&gt;0,"SI","NO")</f>
        <v>NO</v>
      </c>
      <c r="F177" s="27" t="n">
        <f aca="false">IFERROR(ROUND(($G177+($H177-$G177)*'Info Strategia'!$B$6)*(1+IF($E177="SI",'Parametri Modello'!$B$7*'Info Strategia'!$B$6,0)),0),"")</f>
        <v>11</v>
      </c>
      <c r="G177" s="27" t="n">
        <f aca="false">IFERROR(ROUND((IF(OR(INDEX('Parametri Modello'!$C$39:$C$42,MATCH($B177,'Parametri Modello'!$A$39:$A$42,0))="",INDEX('Parametri Modello'!$C$39:$C$42,MATCH($B177,'Parametri Modello'!$A$39:$A$42,0))=0),0,($O177/INDEX('Parametri Modello'!$C$39:$C$42,MATCH($B177,'Parametri Modello'!$A$39:$A$42,0)))*(INDEX('Parametri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7</v>
      </c>
      <c r="H177" s="27" t="n">
        <f aca="false">IFERROR(ROUND((IF(OR(INDEX('Parametri Modello'!$C$39:$C$42,MATCH($B177,'Parametri Modello'!$A$39:$A$42,0))="",INDEX('Parametri Modello'!$C$39:$C$42,MATCH($B177,'Parametri Modello'!$A$39:$A$42,0))=0),0,($O177/INDEX('Parametri Modello'!$C$39:$C$42,MATCH($B177,'Parametri Modello'!$A$39:$A$42,0)))*(INDEX('Parametri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12</v>
      </c>
      <c r="I177" s="26" t="n">
        <f aca="false">IFERROR(INDEX('Input Statistiche 2025_26'!$F$3:$F$665,MATCH($A177,'Input Statistiche 2025_26'!$A$3:$A$665,0)),"")</f>
        <v>23</v>
      </c>
      <c r="J177" s="26" t="n">
        <f aca="false">IFERROR(IF($I177="","",MAX(0,38-$I177)),"")</f>
        <v>15</v>
      </c>
      <c r="K177" s="26" t="n">
        <f aca="false">IFERROR(INDEX('Input Statistiche 2025_26'!$I$3:$I$665,MATCH($A177,'Input Statistiche 2025_26'!$A$3:$A$665,0)),"")</f>
        <v>2</v>
      </c>
      <c r="L177" s="26" t="n">
        <f aca="false">IFERROR(INDEX('Input Statistiche 2025_26'!$O$3:$O$665,MATCH($A177,'Input Statistiche 2025_26'!$A$3:$A$665,0)),"")</f>
        <v>3</v>
      </c>
      <c r="M177" s="28"/>
      <c r="N177" s="27" t="n">
        <f aca="false">IFERROR(INDEX('Input Giocatori 2026_27'!$E$3:$E$493,MATCH($A177,'Input Giocatori 2026_27'!$A$3:$A$493,0)),"")</f>
        <v>6</v>
      </c>
      <c r="O177" s="27" t="n">
        <f aca="false">IFERROR(INDEX('Input Giocatori 2026_27'!$G$3:$G$493,MATCH($A177,'Input Giocatori 2026_27'!$A$3:$A$493,0)),"")</f>
        <v>19</v>
      </c>
      <c r="P177" s="26" t="str">
        <f aca="false">IFERROR(IF($O177="","",IF((1-(COUNTIFS($B$2:$B$492,$B177,$O$2:$O$492,"&gt;"&amp;$O177)+1-1)/COUNTIF($B$2:$B$492,$B177))&gt;=0.85,"Top",IF((1-(COUNTIFS($B$2:$B$492,$B177,$O$2:$O$492,"&gt;"&amp;$O177)+1-1)/COUNTIF($B$2:$B$492,$B177))&gt;=0.6,"Buono",IF((1-(COUNTIFS($B$2:$B$492,$B177,$O$2:$O$492,"&gt;"&amp;$O177)+1-1)/COUNTIF($B$2:$B$492,$B177))&gt;=0.3,"Nella Media","Scommessa/Riserva")))),"")</f>
        <v>Buono</v>
      </c>
      <c r="Q177" s="29" t="n">
        <f aca="false">IF($D177="",COUNTIF($D$2:$D177,""),"")</f>
        <v>176</v>
      </c>
      <c r="R177" s="29" t="str">
        <f aca="false">IF($D177='Info Lega'!$B$28,COUNTIFS($D$2:$D177,'Info Lega'!$B$28),"")</f>
        <v/>
      </c>
      <c r="S177" s="30" t="n">
        <f aca="false">IFERROR(INDEX('Input Statistiche 2025_26'!$G$3:$G$665,MATCH($A177,'Input Statistiche 2025_26'!$A$3:$A$665,0)),"")</f>
        <v>6.09</v>
      </c>
      <c r="T177" s="30" t="n">
        <f aca="false">IFERROR(INDEX('Input Statistiche 2025_26'!$H$3:$H$665,MATCH($A177,'Input Statistiche 2025_26'!$A$3:$A$665,0)),"")</f>
        <v>6.43</v>
      </c>
      <c r="U177" s="26" t="str">
        <f aca="false">IF(OR('La Mia Rosa'!$O$12="",$D177&lt;&gt;""),"",IF($F177&lt;='La Mia Rosa'!$O$12*'Parametri Modello'!$B$24,"OK",IF($F177&lt;='La Mia Rosa'!$O$12*'Parametri Modello'!$B$25,"Attenzione","Rischio Alto")))</f>
        <v>OK</v>
      </c>
      <c r="V177" s="26" t="n">
        <f aca="false">IFERROR(COUNTIFS($B$2:$B$492,$B177,$O$2:$O$492,"&gt;"&amp;$O177)+1,"")</f>
        <v>66</v>
      </c>
      <c r="W177" s="21" t="n">
        <f aca="false">'Info Lega'!$B$4-SUMIFS($M$2:$M$492,$D$2:$D$492,'Info Lega'!$B$28)</f>
        <v>1000</v>
      </c>
      <c r="X177" s="21" t="n">
        <f aca="false">('Info Lega'!$B$5-COUNTIFS($D$2:$D$492,'Info Lega'!$B$28,$B$2:$B$492,"P"))+('Info Lega'!$B$6-COUNTIFS($D$2:$D$492,'Info Lega'!$B$28,$B$2:$B$492,"D"))+('Info Lega'!$B$7-COUNTIFS($D$2:$D$492,'Info Lega'!$B$28,$B$2:$B$492,"C"))+('Info Lega'!$B$8-COUNTIFS($D$2:$D$492,'Info Lega'!$B$28,$B$2:$B$492,"A"))</f>
        <v>25</v>
      </c>
      <c r="Y177" s="21" t="n">
        <f aca="false">X177*'Parametri Modello'!$B$30</f>
        <v>25</v>
      </c>
      <c r="Z177" s="21" t="n">
        <f aca="false">MAX(0,W177-Y177)</f>
        <v>975</v>
      </c>
      <c r="AA177" s="21" t="n">
        <f aca="false">MIN(F177,Z177)</f>
        <v>11</v>
      </c>
      <c r="AB177" s="21"/>
      <c r="AC177" s="21" t="str">
        <f aca="false">IF(AB177="","",IF(AB177&gt;AA177,"PASS",IF(AB177&lt;=AA177*0.85,"BID","ATTENZIONE")))</f>
        <v/>
      </c>
      <c r="AD177" s="31" t="n">
        <f aca="false">IF(I177="","",ROUND(100*(1-EXP(-I177/30)),0))</f>
        <v>54</v>
      </c>
      <c r="AE177" s="7" t="str">
        <f aca="false">IFERROR(INDEX('Stato Asta'!$G$9:$G$12,MATCH($B177,'Stato Asta'!$A$9:$A$12,0)),"")</f>
        <v>🟡 Attesa rischiosa</v>
      </c>
    </row>
    <row r="178" customFormat="false" ht="14.25" hidden="false" customHeight="true" outlineLevel="0" collapsed="false">
      <c r="A178" s="21" t="n">
        <v>2529</v>
      </c>
      <c r="B178" s="21" t="s">
        <v>45</v>
      </c>
      <c r="C178" s="21" t="s">
        <v>454</v>
      </c>
      <c r="E178" s="26" t="str">
        <f aca="false">IF(COUNTIF('Info Strategia'!$D$2:$D$51,$C178)&gt;0,"SI","NO")</f>
        <v>NO</v>
      </c>
      <c r="F178" s="27" t="n">
        <f aca="false">IFERROR(ROUND(($G178+($H178-$G178)*'Info Strategia'!$B$6)*(1+IF($E178="SI",'Parametri Modello'!$B$7*'Info Strategia'!$B$6,0)),0),"")</f>
        <v>11</v>
      </c>
      <c r="G178" s="27" t="n">
        <f aca="false">IFERROR(ROUND((IF(OR(INDEX('Parametri Modello'!$C$39:$C$42,MATCH($B178,'Parametri Modello'!$A$39:$A$42,0))="",INDEX('Parametri Modello'!$C$39:$C$42,MATCH($B178,'Parametri Modello'!$A$39:$A$42,0))=0),0,($O178/INDEX('Parametri Modello'!$C$39:$C$42,MATCH($B178,'Parametri Modello'!$A$39:$A$42,0)))*(INDEX('Parametri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7</v>
      </c>
      <c r="H178" s="27" t="n">
        <f aca="false">IFERROR(ROUND((IF(OR(INDEX('Parametri Modello'!$C$39:$C$42,MATCH($B178,'Parametri Modello'!$A$39:$A$42,0))="",INDEX('Parametri Modello'!$C$39:$C$42,MATCH($B178,'Parametri Modello'!$A$39:$A$42,0))=0),0,($O178/INDEX('Parametri Modello'!$C$39:$C$42,MATCH($B178,'Parametri Modello'!$A$39:$A$42,0)))*(INDEX('Parametri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12</v>
      </c>
      <c r="I178" s="26" t="n">
        <f aca="false">IFERROR(INDEX('Input Statistiche 2025_26'!$F$3:$F$665,MATCH($A178,'Input Statistiche 2025_26'!$A$3:$A$665,0)),"")</f>
        <v>28</v>
      </c>
      <c r="J178" s="26" t="n">
        <f aca="false">IFERROR(IF($I178="","",MAX(0,38-$I178)),"")</f>
        <v>10</v>
      </c>
      <c r="K178" s="26" t="n">
        <f aca="false">IFERROR(INDEX('Input Statistiche 2025_26'!$I$3:$I$665,MATCH($A178,'Input Statistiche 2025_26'!$A$3:$A$665,0)),"")</f>
        <v>4</v>
      </c>
      <c r="L178" s="26" t="n">
        <f aca="false">IFERROR(INDEX('Input Statistiche 2025_26'!$O$3:$O$665,MATCH($A178,'Input Statistiche 2025_26'!$A$3:$A$665,0)),"")</f>
        <v>1</v>
      </c>
      <c r="M178" s="28"/>
      <c r="N178" s="27" t="n">
        <f aca="false">IFERROR(INDEX('Input Giocatori 2026_27'!$E$3:$E$493,MATCH($A178,'Input Giocatori 2026_27'!$A$3:$A$493,0)),"")</f>
        <v>5</v>
      </c>
      <c r="O178" s="27" t="n">
        <f aca="false">IFERROR(INDEX('Input Giocatori 2026_27'!$G$3:$G$493,MATCH($A178,'Input Giocatori 2026_27'!$A$3:$A$493,0)),"")</f>
        <v>19</v>
      </c>
      <c r="P178" s="26" t="str">
        <f aca="false">IFERROR(IF($O178="","",IF((1-(COUNTIFS($B$2:$B$492,$B178,$O$2:$O$492,"&gt;"&amp;$O178)+1-1)/COUNTIF($B$2:$B$492,$B178))&gt;=0.85,"Top",IF((1-(COUNTIFS($B$2:$B$492,$B178,$O$2:$O$492,"&gt;"&amp;$O178)+1-1)/COUNTIF($B$2:$B$492,$B178))&gt;=0.6,"Buono",IF((1-(COUNTIFS($B$2:$B$492,$B178,$O$2:$O$492,"&gt;"&amp;$O178)+1-1)/COUNTIF($B$2:$B$492,$B178))&gt;=0.3,"Nella Media","Scommessa/Riserva")))),"")</f>
        <v>Buono</v>
      </c>
      <c r="Q178" s="29" t="n">
        <f aca="false">IF($D178="",COUNTIF($D$2:$D178,""),"")</f>
        <v>177</v>
      </c>
      <c r="R178" s="29" t="str">
        <f aca="false">IF($D178='Info Lega'!$B$28,COUNTIFS($D$2:$D178,'Info Lega'!$B$28),"")</f>
        <v/>
      </c>
      <c r="S178" s="30" t="n">
        <f aca="false">IFERROR(INDEX('Input Statistiche 2025_26'!$G$3:$G$665,MATCH($A178,'Input Statistiche 2025_26'!$A$3:$A$665,0)),"")</f>
        <v>6.21</v>
      </c>
      <c r="T178" s="30" t="n">
        <f aca="false">IFERROR(INDEX('Input Statistiche 2025_26'!$H$3:$H$665,MATCH($A178,'Input Statistiche 2025_26'!$A$3:$A$665,0)),"")</f>
        <v>6.59</v>
      </c>
      <c r="U178" s="26" t="str">
        <f aca="false">IF(OR('La Mia Rosa'!$O$12="",$D178&lt;&gt;""),"",IF($F178&lt;='La Mia Rosa'!$O$12*'Parametri Modello'!$B$24,"OK",IF($F178&lt;='La Mia Rosa'!$O$12*'Parametri Modello'!$B$25,"Attenzione","Rischio Alto")))</f>
        <v>OK</v>
      </c>
      <c r="V178" s="26" t="n">
        <f aca="false">IFERROR(COUNTIFS($B$2:$B$492,$B178,$O$2:$O$492,"&gt;"&amp;$O178)+1,"")</f>
        <v>66</v>
      </c>
      <c r="W178" s="21" t="n">
        <f aca="false">'Info Lega'!$B$4-SUMIFS($M$2:$M$492,$D$2:$D$492,'Info Lega'!$B$28)</f>
        <v>1000</v>
      </c>
      <c r="X178" s="21" t="n">
        <f aca="false">('Info Lega'!$B$5-COUNTIFS($D$2:$D$492,'Info Lega'!$B$28,$B$2:$B$492,"P"))+('Info Lega'!$B$6-COUNTIFS($D$2:$D$492,'Info Lega'!$B$28,$B$2:$B$492,"D"))+('Info Lega'!$B$7-COUNTIFS($D$2:$D$492,'Info Lega'!$B$28,$B$2:$B$492,"C"))+('Info Lega'!$B$8-COUNTIFS($D$2:$D$492,'Info Lega'!$B$28,$B$2:$B$492,"A"))</f>
        <v>25</v>
      </c>
      <c r="Y178" s="21" t="n">
        <f aca="false">X178*'Parametri Modello'!$B$30</f>
        <v>25</v>
      </c>
      <c r="Z178" s="21" t="n">
        <f aca="false">MAX(0,W178-Y178)</f>
        <v>975</v>
      </c>
      <c r="AA178" s="21" t="n">
        <f aca="false">MIN(F178,Z178)</f>
        <v>11</v>
      </c>
      <c r="AB178" s="21"/>
      <c r="AC178" s="21" t="str">
        <f aca="false">IF(AB178="","",IF(AB178&gt;AA178,"PASS",IF(AB178&lt;=AA178*0.85,"BID","ATTENZIONE")))</f>
        <v/>
      </c>
      <c r="AD178" s="31" t="n">
        <f aca="false">IF(I178="","",ROUND(100*(1-EXP(-I178/30)),0))</f>
        <v>61</v>
      </c>
      <c r="AE178" s="7" t="str">
        <f aca="false">IFERROR(INDEX('Stato Asta'!$G$9:$G$12,MATCH($B178,'Stato Asta'!$A$9:$A$12,0)),"")</f>
        <v>🟡 Attesa rischiosa</v>
      </c>
    </row>
    <row r="179" customFormat="false" ht="14.25" hidden="false" customHeight="true" outlineLevel="0" collapsed="false">
      <c r="A179" s="21" t="n">
        <v>6598</v>
      </c>
      <c r="B179" s="21" t="s">
        <v>46</v>
      </c>
      <c r="C179" s="21" t="s">
        <v>588</v>
      </c>
      <c r="E179" s="26" t="str">
        <f aca="false">IF(COUNTIF('Info Strategia'!$D$2:$D$51,$C179)&gt;0,"SI","NO")</f>
        <v>NO</v>
      </c>
      <c r="F179" s="27" t="n">
        <f aca="false">IFERROR(ROUND(($G179+($H179-$G179)*'Info Strategia'!$B$6)*(1+IF($E179="SI",'Parametri Modello'!$B$7*'Info Strategia'!$B$6,0)),0),"")</f>
        <v>17</v>
      </c>
      <c r="G179" s="27" t="n">
        <f aca="false">IFERROR(ROUND((IF(OR(INDEX('Parametri Modello'!$C$39:$C$42,MATCH($B179,'Parametri Modello'!$A$39:$A$42,0))="",INDEX('Parametri Modello'!$C$39:$C$42,MATCH($B179,'Parametri Modello'!$A$39:$A$42,0))=0),0,($O179/INDEX('Parametri Modello'!$C$39:$C$42,MATCH($B179,'Parametri Modello'!$A$39:$A$42,0)))*(INDEX('Parametri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11</v>
      </c>
      <c r="H179" s="27" t="n">
        <f aca="false">IFERROR(ROUND((IF(OR(INDEX('Parametri Modello'!$C$39:$C$42,MATCH($B179,'Parametri Modello'!$A$39:$A$42,0))="",INDEX('Parametri Modello'!$C$39:$C$42,MATCH($B179,'Parametri Modello'!$A$39:$A$42,0))=0),0,($O179/INDEX('Parametri Modello'!$C$39:$C$42,MATCH($B179,'Parametri Modello'!$A$39:$A$42,0)))*(INDEX('Parametri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20</v>
      </c>
      <c r="I179" s="26" t="str">
        <f aca="false">IFERROR(INDEX('Input Statistiche 2025_26'!$F$3:$F$665,MATCH($A179,'Input Statistiche 2025_26'!$A$3:$A$665,0)),"")</f>
        <v/>
      </c>
      <c r="J179" s="26" t="str">
        <f aca="false">IFERROR(IF($I179="","",MAX(0,38-$I179)),"")</f>
        <v/>
      </c>
      <c r="K179" s="26" t="str">
        <f aca="false">IFERROR(INDEX('Input Statistiche 2025_26'!$I$3:$I$665,MATCH($A179,'Input Statistiche 2025_26'!$A$3:$A$665,0)),"")</f>
        <v/>
      </c>
      <c r="L179" s="26" t="str">
        <f aca="false">IFERROR(INDEX('Input Statistiche 2025_26'!$O$3:$O$665,MATCH($A179,'Input Statistiche 2025_26'!$A$3:$A$665,0)),"")</f>
        <v/>
      </c>
      <c r="M179" s="28"/>
      <c r="N179" s="27" t="n">
        <f aca="false">IFERROR(INDEX('Input Giocatori 2026_27'!$E$3:$E$493,MATCH($A179,'Input Giocatori 2026_27'!$A$3:$A$493,0)),"")</f>
        <v>6</v>
      </c>
      <c r="O179" s="27" t="n">
        <f aca="false">IFERROR(INDEX('Input Giocatori 2026_27'!$G$3:$G$493,MATCH($A179,'Input Giocatori 2026_27'!$A$3:$A$493,0)),"")</f>
        <v>19</v>
      </c>
      <c r="P179" s="26" t="str">
        <f aca="false">IFERROR(IF($O179="","",IF((1-(COUNTIFS($B$2:$B$492,$B179,$O$2:$O$492,"&gt;"&amp;$O179)+1-1)/COUNTIF($B$2:$B$492,$B179))&gt;=0.85,"Top",IF((1-(COUNTIFS($B$2:$B$492,$B179,$O$2:$O$492,"&gt;"&amp;$O179)+1-1)/COUNTIF($B$2:$B$492,$B179))&gt;=0.6,"Buono",IF((1-(COUNTIFS($B$2:$B$492,$B179,$O$2:$O$492,"&gt;"&amp;$O179)+1-1)/COUNTIF($B$2:$B$492,$B179))&gt;=0.3,"Nella Media","Scommessa/Riserva")))),"")</f>
        <v>Nella Media</v>
      </c>
      <c r="Q179" s="29" t="n">
        <f aca="false">IF($D179="",COUNTIF($D$2:$D179,""),"")</f>
        <v>178</v>
      </c>
      <c r="R179" s="29" t="str">
        <f aca="false">IF($D179='Info Lega'!$B$28,COUNTIFS($D$2:$D179,'Info Lega'!$B$28),"")</f>
        <v/>
      </c>
      <c r="S179" s="30" t="str">
        <f aca="false">IFERROR(INDEX('Input Statistiche 2025_26'!$G$3:$G$665,MATCH($A179,'Input Statistiche 2025_26'!$A$3:$A$665,0)),"")</f>
        <v/>
      </c>
      <c r="T179" s="30" t="str">
        <f aca="false">IFERROR(INDEX('Input Statistiche 2025_26'!$H$3:$H$665,MATCH($A179,'Input Statistiche 2025_26'!$A$3:$A$665,0)),"")</f>
        <v/>
      </c>
      <c r="U179" s="26" t="str">
        <f aca="false">IF(OR('La Mia Rosa'!$O$12="",$D179&lt;&gt;""),"",IF($F179&lt;='La Mia Rosa'!$O$12*'Parametri Modello'!$B$24,"OK",IF($F179&lt;='La Mia Rosa'!$O$12*'Parametri Modello'!$B$25,"Attenzione","Rischio Alto")))</f>
        <v>OK</v>
      </c>
      <c r="V179" s="26" t="n">
        <f aca="false">IFERROR(COUNTIFS($B$2:$B$492,$B179,$O$2:$O$492,"&gt;"&amp;$O179)+1,"")</f>
        <v>50</v>
      </c>
      <c r="W179" s="21" t="n">
        <f aca="false">'Info Lega'!$B$4-SUMIFS($M$2:$M$492,$D$2:$D$492,'Info Lega'!$B$28)</f>
        <v>1000</v>
      </c>
      <c r="X179" s="21" t="n">
        <f aca="false">('Info Lega'!$B$5-COUNTIFS($D$2:$D$492,'Info Lega'!$B$28,$B$2:$B$492,"P"))+('Info Lega'!$B$6-COUNTIFS($D$2:$D$492,'Info Lega'!$B$28,$B$2:$B$492,"D"))+('Info Lega'!$B$7-COUNTIFS($D$2:$D$492,'Info Lega'!$B$28,$B$2:$B$492,"C"))+('Info Lega'!$B$8-COUNTIFS($D$2:$D$492,'Info Lega'!$B$28,$B$2:$B$492,"A"))</f>
        <v>25</v>
      </c>
      <c r="Y179" s="21" t="n">
        <f aca="false">X179*'Parametri Modello'!$B$30</f>
        <v>25</v>
      </c>
      <c r="Z179" s="21" t="n">
        <f aca="false">MAX(0,W179-Y179)</f>
        <v>975</v>
      </c>
      <c r="AA179" s="21" t="n">
        <f aca="false">MIN(F179,Z179)</f>
        <v>17</v>
      </c>
      <c r="AB179" s="21"/>
      <c r="AC179" s="21" t="str">
        <f aca="false">IF(AB179="","",IF(AB179&gt;AA179,"PASS",IF(AB179&lt;=AA179*0.85,"BID","ATTENZIONE")))</f>
        <v/>
      </c>
      <c r="AD179" s="31" t="str">
        <f aca="false">IF(I179="","",ROUND(100*(1-EXP(-I179/30)),0))</f>
        <v/>
      </c>
      <c r="AE179" s="7" t="str">
        <f aca="false">IFERROR(INDEX('Stato Asta'!$G$9:$G$12,MATCH($B179,'Stato Asta'!$A$9:$A$12,0)),"")</f>
        <v>🔴 Non aspettare</v>
      </c>
    </row>
    <row r="180" customFormat="false" ht="14.25" hidden="false" customHeight="true" outlineLevel="0" collapsed="false">
      <c r="A180" s="21" t="n">
        <v>7332</v>
      </c>
      <c r="B180" s="21" t="s">
        <v>43</v>
      </c>
      <c r="C180" s="21" t="s">
        <v>136</v>
      </c>
      <c r="E180" s="26" t="str">
        <f aca="false">IF(COUNTIF('Info Strategia'!$D$2:$D$51,$C180)&gt;0,"SI","NO")</f>
        <v>NO</v>
      </c>
      <c r="F180" s="27" t="n">
        <f aca="false">IFERROR(ROUND(($G180+($H180-$G180)*'Info Strategia'!$B$6)*(1+IF($E180="SI",'Parametri Modello'!$B$7*'Info Strategia'!$B$6,0)),0),"")</f>
        <v>20</v>
      </c>
      <c r="G180" s="27" t="n">
        <f aca="false">IFERROR(ROUND((IF(OR(INDEX('Parametri Modello'!$C$39:$C$42,MATCH($B180,'Parametri Modello'!$A$39:$A$42,0))="",INDEX('Parametri Modello'!$C$39:$C$42,MATCH($B180,'Parametri Modello'!$A$39:$A$42,0))=0),0,($O180/INDEX('Parametri Modello'!$C$39:$C$42,MATCH($B180,'Parametri Modello'!$A$39:$A$42,0)))*(INDEX('Parametri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16</v>
      </c>
      <c r="H180" s="27" t="n">
        <f aca="false">IFERROR(ROUND((IF(OR(INDEX('Parametri Modello'!$C$39:$C$42,MATCH($B180,'Parametri Modello'!$A$39:$A$42,0))="",INDEX('Parametri Modello'!$C$39:$C$42,MATCH($B180,'Parametri Modello'!$A$39:$A$42,0))=0),0,($O180/INDEX('Parametri Modello'!$C$39:$C$42,MATCH($B180,'Parametri Modello'!$A$39:$A$42,0)))*(INDEX('Parametri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22</v>
      </c>
      <c r="I180" s="26" t="n">
        <f aca="false">IFERROR(INDEX('Input Statistiche 2025_26'!$F$3:$F$665,MATCH($A180,'Input Statistiche 2025_26'!$A$3:$A$665,0)),"")</f>
        <v>16</v>
      </c>
      <c r="J180" s="26" t="n">
        <f aca="false">IFERROR(IF($I180="","",MAX(0,38-$I180)),"")</f>
        <v>22</v>
      </c>
      <c r="K180" s="26" t="n">
        <f aca="false">IFERROR(INDEX('Input Statistiche 2025_26'!$I$3:$I$665,MATCH($A180,'Input Statistiche 2025_26'!$A$3:$A$665,0)),"")</f>
        <v>0</v>
      </c>
      <c r="L180" s="26" t="n">
        <f aca="false">IFERROR(INDEX('Input Statistiche 2025_26'!$O$3:$O$665,MATCH($A180,'Input Statistiche 2025_26'!$A$3:$A$665,0)),"")</f>
        <v>0</v>
      </c>
      <c r="M180" s="28"/>
      <c r="N180" s="27" t="n">
        <f aca="false">IFERROR(INDEX('Input Giocatori 2026_27'!$E$3:$E$493,MATCH($A180,'Input Giocatori 2026_27'!$A$3:$A$493,0)),"")</f>
        <v>8</v>
      </c>
      <c r="O180" s="27" t="n">
        <f aca="false">IFERROR(INDEX('Input Giocatori 2026_27'!$G$3:$G$493,MATCH($A180,'Input Giocatori 2026_27'!$A$3:$A$493,0)),"")</f>
        <v>18</v>
      </c>
      <c r="P180" s="26" t="str">
        <f aca="false">IFERROR(IF($O180="","",IF((1-(COUNTIFS($B$2:$B$492,$B180,$O$2:$O$492,"&gt;"&amp;$O180)+1-1)/COUNTIF($B$2:$B$492,$B180))&gt;=0.85,"Top",IF((1-(COUNTIFS($B$2:$B$492,$B180,$O$2:$O$492,"&gt;"&amp;$O180)+1-1)/COUNTIF($B$2:$B$492,$B180))&gt;=0.6,"Buono",IF((1-(COUNTIFS($B$2:$B$492,$B180,$O$2:$O$492,"&gt;"&amp;$O180)+1-1)/COUNTIF($B$2:$B$492,$B180))&gt;=0.3,"Nella Media","Scommessa/Riserva")))),"")</f>
        <v>Buono</v>
      </c>
      <c r="Q180" s="29" t="n">
        <f aca="false">IF($D180="",COUNTIF($D$2:$D180,""),"")</f>
        <v>179</v>
      </c>
      <c r="R180" s="29" t="str">
        <f aca="false">IF($D180='Info Lega'!$B$28,COUNTIFS($D$2:$D180,'Info Lega'!$B$28),"")</f>
        <v/>
      </c>
      <c r="S180" s="30" t="n">
        <f aca="false">IFERROR(INDEX('Input Statistiche 2025_26'!$G$3:$G$665,MATCH($A180,'Input Statistiche 2025_26'!$A$3:$A$665,0)),"")</f>
        <v>6.06</v>
      </c>
      <c r="T180" s="30" t="n">
        <f aca="false">IFERROR(INDEX('Input Statistiche 2025_26'!$H$3:$H$665,MATCH($A180,'Input Statistiche 2025_26'!$A$3:$A$665,0)),"")</f>
        <v>4.78</v>
      </c>
      <c r="U180" s="26" t="str">
        <f aca="false">IF(OR('La Mia Rosa'!$O$12="",$D180&lt;&gt;""),"",IF($F180&lt;='La Mia Rosa'!$O$12*'Parametri Modello'!$B$24,"OK",IF($F180&lt;='La Mia Rosa'!$O$12*'Parametri Modello'!$B$25,"Attenzione","Rischio Alto")))</f>
        <v>OK</v>
      </c>
      <c r="V180" s="26" t="n">
        <f aca="false">IFERROR(COUNTIFS($B$2:$B$492,$B180,$O$2:$O$492,"&gt;"&amp;$O180)+1,"")</f>
        <v>15</v>
      </c>
      <c r="W180" s="21" t="n">
        <f aca="false">'Info Lega'!$B$4-SUMIFS($M$2:$M$492,$D$2:$D$492,'Info Lega'!$B$28)</f>
        <v>1000</v>
      </c>
      <c r="X180" s="21" t="n">
        <f aca="false">('Info Lega'!$B$5-COUNTIFS($D$2:$D$492,'Info Lega'!$B$28,$B$2:$B$492,"P"))+('Info Lega'!$B$6-COUNTIFS($D$2:$D$492,'Info Lega'!$B$28,$B$2:$B$492,"D"))+('Info Lega'!$B$7-COUNTIFS($D$2:$D$492,'Info Lega'!$B$28,$B$2:$B$492,"C"))+('Info Lega'!$B$8-COUNTIFS($D$2:$D$492,'Info Lega'!$B$28,$B$2:$B$492,"A"))</f>
        <v>25</v>
      </c>
      <c r="Y180" s="21" t="n">
        <f aca="false">X180*'Parametri Modello'!$B$30</f>
        <v>25</v>
      </c>
      <c r="Z180" s="21" t="n">
        <f aca="false">MAX(0,W180-Y180)</f>
        <v>975</v>
      </c>
      <c r="AA180" s="21" t="n">
        <f aca="false">MIN(F180,Z180)</f>
        <v>20</v>
      </c>
      <c r="AB180" s="21"/>
      <c r="AC180" s="21" t="str">
        <f aca="false">IF(AB180="","",IF(AB180&gt;AA180,"PASS",IF(AB180&lt;=AA180*0.85,"BID","ATTENZIONE")))</f>
        <v/>
      </c>
      <c r="AD180" s="31" t="n">
        <f aca="false">IF(I180="","",ROUND(100*(1-EXP(-I180/30)),0))</f>
        <v>41</v>
      </c>
      <c r="AE180" s="7" t="str">
        <f aca="false">IFERROR(INDEX('Stato Asta'!$G$9:$G$12,MATCH($B180,'Stato Asta'!$A$9:$A$12,0)),"")</f>
        <v>🟡 Attesa rischiosa</v>
      </c>
    </row>
    <row r="181" customFormat="false" ht="14.25" hidden="false" customHeight="true" outlineLevel="0" collapsed="false">
      <c r="A181" s="21" t="n">
        <v>6042</v>
      </c>
      <c r="B181" s="21" t="s">
        <v>44</v>
      </c>
      <c r="C181" s="21" t="s">
        <v>215</v>
      </c>
      <c r="E181" s="26" t="str">
        <f aca="false">IF(COUNTIF('Info Strategia'!$D$2:$D$51,$C181)&gt;0,"SI","NO")</f>
        <v>NO</v>
      </c>
      <c r="F181" s="27" t="n">
        <f aca="false">IFERROR(ROUND(($G181+($H181-$G181)*'Info Strategia'!$B$6)*(1+IF($E181="SI",'Parametri Modello'!$B$7*'Info Strategia'!$B$6,0)),0),"")</f>
        <v>9</v>
      </c>
      <c r="G181" s="27" t="n">
        <f aca="false">IFERROR(ROUND((IF(OR(INDEX('Parametri Modello'!$C$39:$C$42,MATCH($B181,'Parametri Modello'!$A$39:$A$42,0))="",INDEX('Parametri Modello'!$C$39:$C$42,MATCH($B181,'Parametri Modello'!$A$39:$A$42,0))=0),0,($O181/INDEX('Parametri Modello'!$C$39:$C$42,MATCH($B181,'Parametri Modello'!$A$39:$A$42,0)))*(INDEX('Parametri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6</v>
      </c>
      <c r="H181" s="27" t="n">
        <f aca="false">IFERROR(ROUND((IF(OR(INDEX('Parametri Modello'!$C$39:$C$42,MATCH($B181,'Parametri Modello'!$A$39:$A$42,0))="",INDEX('Parametri Modello'!$C$39:$C$42,MATCH($B181,'Parametri Modello'!$A$39:$A$42,0))=0),0,($O181/INDEX('Parametri Modello'!$C$39:$C$42,MATCH($B181,'Parametri Modello'!$A$39:$A$42,0)))*(INDEX('Parametri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10</v>
      </c>
      <c r="I181" s="26" t="n">
        <f aca="false">IFERROR(INDEX('Input Statistiche 2025_26'!$F$3:$F$665,MATCH($A181,'Input Statistiche 2025_26'!$A$3:$A$665,0)),"")</f>
        <v>28</v>
      </c>
      <c r="J181" s="26" t="n">
        <f aca="false">IFERROR(IF($I181="","",MAX(0,38-$I181)),"")</f>
        <v>10</v>
      </c>
      <c r="K181" s="26" t="n">
        <f aca="false">IFERROR(INDEX('Input Statistiche 2025_26'!$I$3:$I$665,MATCH($A181,'Input Statistiche 2025_26'!$A$3:$A$665,0)),"")</f>
        <v>1</v>
      </c>
      <c r="L181" s="26" t="n">
        <f aca="false">IFERROR(INDEX('Input Statistiche 2025_26'!$O$3:$O$665,MATCH($A181,'Input Statistiche 2025_26'!$A$3:$A$665,0)),"")</f>
        <v>0</v>
      </c>
      <c r="M181" s="28"/>
      <c r="N181" s="27" t="n">
        <f aca="false">IFERROR(INDEX('Input Giocatori 2026_27'!$E$3:$E$493,MATCH($A181,'Input Giocatori 2026_27'!$A$3:$A$493,0)),"")</f>
        <v>8</v>
      </c>
      <c r="O181" s="27" t="n">
        <f aca="false">IFERROR(INDEX('Input Giocatori 2026_27'!$G$3:$G$493,MATCH($A181,'Input Giocatori 2026_27'!$A$3:$A$493,0)),"")</f>
        <v>18</v>
      </c>
      <c r="P181" s="26" t="str">
        <f aca="false">IFERROR(IF($O181="","",IF((1-(COUNTIFS($B$2:$B$492,$B181,$O$2:$O$492,"&gt;"&amp;$O181)+1-1)/COUNTIF($B$2:$B$492,$B181))&gt;=0.85,"Top",IF((1-(COUNTIFS($B$2:$B$492,$B181,$O$2:$O$492,"&gt;"&amp;$O181)+1-1)/COUNTIF($B$2:$B$492,$B181))&gt;=0.6,"Buono",IF((1-(COUNTIFS($B$2:$B$492,$B181,$O$2:$O$492,"&gt;"&amp;$O181)+1-1)/COUNTIF($B$2:$B$492,$B181))&gt;=0.3,"Nella Media","Scommessa/Riserva")))),"")</f>
        <v>Buono</v>
      </c>
      <c r="Q181" s="29" t="n">
        <f aca="false">IF($D181="",COUNTIF($D$2:$D181,""),"")</f>
        <v>180</v>
      </c>
      <c r="R181" s="29" t="str">
        <f aca="false">IF($D181='Info Lega'!$B$28,COUNTIFS($D$2:$D181,'Info Lega'!$B$28),"")</f>
        <v/>
      </c>
      <c r="S181" s="30" t="n">
        <f aca="false">IFERROR(INDEX('Input Statistiche 2025_26'!$G$3:$G$665,MATCH($A181,'Input Statistiche 2025_26'!$A$3:$A$665,0)),"")</f>
        <v>5.88</v>
      </c>
      <c r="T181" s="30" t="n">
        <f aca="false">IFERROR(INDEX('Input Statistiche 2025_26'!$H$3:$H$665,MATCH($A181,'Input Statistiche 2025_26'!$A$3:$A$665,0)),"")</f>
        <v>5.89</v>
      </c>
      <c r="U181" s="26" t="str">
        <f aca="false">IF(OR('La Mia Rosa'!$O$12="",$D181&lt;&gt;""),"",IF($F181&lt;='La Mia Rosa'!$O$12*'Parametri Modello'!$B$24,"OK",IF($F181&lt;='La Mia Rosa'!$O$12*'Parametri Modello'!$B$25,"Attenzione","Rischio Alto")))</f>
        <v>OK</v>
      </c>
      <c r="V181" s="26" t="n">
        <f aca="false">IFERROR(COUNTIFS($B$2:$B$492,$B181,$O$2:$O$492,"&gt;"&amp;$O181)+1,"")</f>
        <v>45</v>
      </c>
      <c r="W181" s="21" t="n">
        <f aca="false">'Info Lega'!$B$4-SUMIFS($M$2:$M$492,$D$2:$D$492,'Info Lega'!$B$28)</f>
        <v>1000</v>
      </c>
      <c r="X181" s="21" t="n">
        <f aca="false">('Info Lega'!$B$5-COUNTIFS($D$2:$D$492,'Info Lega'!$B$28,$B$2:$B$492,"P"))+('Info Lega'!$B$6-COUNTIFS($D$2:$D$492,'Info Lega'!$B$28,$B$2:$B$492,"D"))+('Info Lega'!$B$7-COUNTIFS($D$2:$D$492,'Info Lega'!$B$28,$B$2:$B$492,"C"))+('Info Lega'!$B$8-COUNTIFS($D$2:$D$492,'Info Lega'!$B$28,$B$2:$B$492,"A"))</f>
        <v>25</v>
      </c>
      <c r="Y181" s="21" t="n">
        <f aca="false">X181*'Parametri Modello'!$B$30</f>
        <v>25</v>
      </c>
      <c r="Z181" s="21" t="n">
        <f aca="false">MAX(0,W181-Y181)</f>
        <v>975</v>
      </c>
      <c r="AA181" s="21" t="n">
        <f aca="false">MIN(F181,Z181)</f>
        <v>9</v>
      </c>
      <c r="AB181" s="21"/>
      <c r="AC181" s="21" t="str">
        <f aca="false">IF(AB181="","",IF(AB181&gt;AA181,"PASS",IF(AB181&lt;=AA181*0.85,"BID","ATTENZIONE")))</f>
        <v/>
      </c>
      <c r="AD181" s="31" t="n">
        <f aca="false">IF(I181="","",ROUND(100*(1-EXP(-I181/30)),0))</f>
        <v>61</v>
      </c>
      <c r="AE181" s="7" t="str">
        <f aca="false">IFERROR(INDEX('Stato Asta'!$G$9:$G$12,MATCH($B181,'Stato Asta'!$A$9:$A$12,0)),"")</f>
        <v>🟡 Attesa rischiosa</v>
      </c>
    </row>
    <row r="182" customFormat="false" ht="14.25" hidden="false" customHeight="true" outlineLevel="0" collapsed="false">
      <c r="A182" s="21" t="n">
        <v>2724</v>
      </c>
      <c r="B182" s="21" t="s">
        <v>44</v>
      </c>
      <c r="C182" s="21" t="s">
        <v>237</v>
      </c>
      <c r="E182" s="26" t="str">
        <f aca="false">IF(COUNTIF('Info Strategia'!$D$2:$D$51,$C182)&gt;0,"SI","NO")</f>
        <v>NO</v>
      </c>
      <c r="F182" s="27" t="n">
        <f aca="false">IFERROR(ROUND(($G182+($H182-$G182)*'Info Strategia'!$B$6)*(1+IF($E182="SI",'Parametri Modello'!$B$7*'Info Strategia'!$B$6,0)),0),"")</f>
        <v>9</v>
      </c>
      <c r="G182" s="27" t="n">
        <f aca="false">IFERROR(ROUND((IF(OR(INDEX('Parametri Modello'!$C$39:$C$42,MATCH($B182,'Parametri Modello'!$A$39:$A$42,0))="",INDEX('Parametri Modello'!$C$39:$C$42,MATCH($B182,'Parametri Modello'!$A$39:$A$42,0))=0),0,($O182/INDEX('Parametri Modello'!$C$39:$C$42,MATCH($B182,'Parametri Modello'!$A$39:$A$42,0)))*(INDEX('Parametri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6</v>
      </c>
      <c r="H182" s="27" t="n">
        <f aca="false">IFERROR(ROUND((IF(OR(INDEX('Parametri Modello'!$C$39:$C$42,MATCH($B182,'Parametri Modello'!$A$39:$A$42,0))="",INDEX('Parametri Modello'!$C$39:$C$42,MATCH($B182,'Parametri Modello'!$A$39:$A$42,0))=0),0,($O182/INDEX('Parametri Modello'!$C$39:$C$42,MATCH($B182,'Parametri Modello'!$A$39:$A$42,0)))*(INDEX('Parametri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10</v>
      </c>
      <c r="I182" s="26" t="n">
        <f aca="false">IFERROR(INDEX('Input Statistiche 2025_26'!$F$3:$F$665,MATCH($A182,'Input Statistiche 2025_26'!$A$3:$A$665,0)),"")</f>
        <v>32</v>
      </c>
      <c r="J182" s="26" t="n">
        <f aca="false">IFERROR(IF($I182="","",MAX(0,38-$I182)),"")</f>
        <v>6</v>
      </c>
      <c r="K182" s="26" t="n">
        <f aca="false">IFERROR(INDEX('Input Statistiche 2025_26'!$I$3:$I$665,MATCH($A182,'Input Statistiche 2025_26'!$A$3:$A$665,0)),"")</f>
        <v>0</v>
      </c>
      <c r="L182" s="26" t="n">
        <f aca="false">IFERROR(INDEX('Input Statistiche 2025_26'!$O$3:$O$665,MATCH($A182,'Input Statistiche 2025_26'!$A$3:$A$665,0)),"")</f>
        <v>1</v>
      </c>
      <c r="M182" s="28"/>
      <c r="N182" s="27" t="n">
        <f aca="false">IFERROR(INDEX('Input Giocatori 2026_27'!$E$3:$E$493,MATCH($A182,'Input Giocatori 2026_27'!$A$3:$A$493,0)),"")</f>
        <v>7</v>
      </c>
      <c r="O182" s="27" t="n">
        <f aca="false">IFERROR(INDEX('Input Giocatori 2026_27'!$G$3:$G$493,MATCH($A182,'Input Giocatori 2026_27'!$A$3:$A$493,0)),"")</f>
        <v>18</v>
      </c>
      <c r="P182" s="26" t="str">
        <f aca="false">IFERROR(IF($O182="","",IF((1-(COUNTIFS($B$2:$B$492,$B182,$O$2:$O$492,"&gt;"&amp;$O182)+1-1)/COUNTIF($B$2:$B$492,$B182))&gt;=0.85,"Top",IF((1-(COUNTIFS($B$2:$B$492,$B182,$O$2:$O$492,"&gt;"&amp;$O182)+1-1)/COUNTIF($B$2:$B$492,$B182))&gt;=0.6,"Buono",IF((1-(COUNTIFS($B$2:$B$492,$B182,$O$2:$O$492,"&gt;"&amp;$O182)+1-1)/COUNTIF($B$2:$B$492,$B182))&gt;=0.3,"Nella Media","Scommessa/Riserva")))),"")</f>
        <v>Buono</v>
      </c>
      <c r="Q182" s="29" t="n">
        <f aca="false">IF($D182="",COUNTIF($D$2:$D182,""),"")</f>
        <v>181</v>
      </c>
      <c r="R182" s="29" t="str">
        <f aca="false">IF($D182='Info Lega'!$B$28,COUNTIFS($D$2:$D182,'Info Lega'!$B$28),"")</f>
        <v/>
      </c>
      <c r="S182" s="30" t="n">
        <f aca="false">IFERROR(INDEX('Input Statistiche 2025_26'!$G$3:$G$665,MATCH($A182,'Input Statistiche 2025_26'!$A$3:$A$665,0)),"")</f>
        <v>5.89</v>
      </c>
      <c r="T182" s="30" t="n">
        <f aca="false">IFERROR(INDEX('Input Statistiche 2025_26'!$H$3:$H$665,MATCH($A182,'Input Statistiche 2025_26'!$A$3:$A$665,0)),"")</f>
        <v>5.88</v>
      </c>
      <c r="U182" s="26" t="str">
        <f aca="false">IF(OR('La Mia Rosa'!$O$12="",$D182&lt;&gt;""),"",IF($F182&lt;='La Mia Rosa'!$O$12*'Parametri Modello'!$B$24,"OK",IF($F182&lt;='La Mia Rosa'!$O$12*'Parametri Modello'!$B$25,"Attenzione","Rischio Alto")))</f>
        <v>OK</v>
      </c>
      <c r="V182" s="26" t="n">
        <f aca="false">IFERROR(COUNTIFS($B$2:$B$492,$B182,$O$2:$O$492,"&gt;"&amp;$O182)+1,"")</f>
        <v>45</v>
      </c>
      <c r="W182" s="21" t="n">
        <f aca="false">'Info Lega'!$B$4-SUMIFS($M$2:$M$492,$D$2:$D$492,'Info Lega'!$B$28)</f>
        <v>1000</v>
      </c>
      <c r="X182" s="21" t="n">
        <f aca="false">('Info Lega'!$B$5-COUNTIFS($D$2:$D$492,'Info Lega'!$B$28,$B$2:$B$492,"P"))+('Info Lega'!$B$6-COUNTIFS($D$2:$D$492,'Info Lega'!$B$28,$B$2:$B$492,"D"))+('Info Lega'!$B$7-COUNTIFS($D$2:$D$492,'Info Lega'!$B$28,$B$2:$B$492,"C"))+('Info Lega'!$B$8-COUNTIFS($D$2:$D$492,'Info Lega'!$B$28,$B$2:$B$492,"A"))</f>
        <v>25</v>
      </c>
      <c r="Y182" s="21" t="n">
        <f aca="false">X182*'Parametri Modello'!$B$30</f>
        <v>25</v>
      </c>
      <c r="Z182" s="21" t="n">
        <f aca="false">MAX(0,W182-Y182)</f>
        <v>975</v>
      </c>
      <c r="AA182" s="21" t="n">
        <f aca="false">MIN(F182,Z182)</f>
        <v>9</v>
      </c>
      <c r="AB182" s="21"/>
      <c r="AC182" s="21" t="str">
        <f aca="false">IF(AB182="","",IF(AB182&gt;AA182,"PASS",IF(AB182&lt;=AA182*0.85,"BID","ATTENZIONE")))</f>
        <v/>
      </c>
      <c r="AD182" s="31" t="n">
        <f aca="false">IF(I182="","",ROUND(100*(1-EXP(-I182/30)),0))</f>
        <v>66</v>
      </c>
      <c r="AE182" s="7" t="str">
        <f aca="false">IFERROR(INDEX('Stato Asta'!$G$9:$G$12,MATCH($B182,'Stato Asta'!$A$9:$A$12,0)),"")</f>
        <v>🟡 Attesa rischiosa</v>
      </c>
    </row>
    <row r="183" customFormat="false" ht="14.25" hidden="false" customHeight="true" outlineLevel="0" collapsed="false">
      <c r="A183" s="21" t="n">
        <v>6642</v>
      </c>
      <c r="B183" s="21" t="s">
        <v>44</v>
      </c>
      <c r="C183" s="21" t="s">
        <v>239</v>
      </c>
      <c r="E183" s="26" t="str">
        <f aca="false">IF(COUNTIF('Info Strategia'!$D$2:$D$51,$C183)&gt;0,"SI","NO")</f>
        <v>NO</v>
      </c>
      <c r="F183" s="27" t="n">
        <f aca="false">IFERROR(ROUND(($G183+($H183-$G183)*'Info Strategia'!$B$6)*(1+IF($E183="SI",'Parametri Modello'!$B$7*'Info Strategia'!$B$6,0)),0),"")</f>
        <v>9</v>
      </c>
      <c r="G183" s="27" t="n">
        <f aca="false">IFERROR(ROUND((IF(OR(INDEX('Parametri Modello'!$C$39:$C$42,MATCH($B183,'Parametri Modello'!$A$39:$A$42,0))="",INDEX('Parametri Modello'!$C$39:$C$42,MATCH($B183,'Parametri Modello'!$A$39:$A$42,0))=0),0,($O183/INDEX('Parametri Modello'!$C$39:$C$42,MATCH($B183,'Parametri Modello'!$A$39:$A$42,0)))*(INDEX('Parametri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6</v>
      </c>
      <c r="H183" s="27" t="n">
        <f aca="false">IFERROR(ROUND((IF(OR(INDEX('Parametri Modello'!$C$39:$C$42,MATCH($B183,'Parametri Modello'!$A$39:$A$42,0))="",INDEX('Parametri Modello'!$C$39:$C$42,MATCH($B183,'Parametri Modello'!$A$39:$A$42,0))=0),0,($O183/INDEX('Parametri Modello'!$C$39:$C$42,MATCH($B183,'Parametri Modello'!$A$39:$A$42,0)))*(INDEX('Parametri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10</v>
      </c>
      <c r="I183" s="26" t="n">
        <f aca="false">IFERROR(INDEX('Input Statistiche 2025_26'!$F$3:$F$665,MATCH($A183,'Input Statistiche 2025_26'!$A$3:$A$665,0)),"")</f>
        <v>35</v>
      </c>
      <c r="J183" s="26" t="n">
        <f aca="false">IFERROR(IF($I183="","",MAX(0,38-$I183)),"")</f>
        <v>3</v>
      </c>
      <c r="K183" s="26" t="n">
        <f aca="false">IFERROR(INDEX('Input Statistiche 2025_26'!$I$3:$I$665,MATCH($A183,'Input Statistiche 2025_26'!$A$3:$A$665,0)),"")</f>
        <v>1</v>
      </c>
      <c r="L183" s="26" t="n">
        <f aca="false">IFERROR(INDEX('Input Statistiche 2025_26'!$O$3:$O$665,MATCH($A183,'Input Statistiche 2025_26'!$A$3:$A$665,0)),"")</f>
        <v>1</v>
      </c>
      <c r="M183" s="28"/>
      <c r="N183" s="27" t="n">
        <f aca="false">IFERROR(INDEX('Input Giocatori 2026_27'!$E$3:$E$493,MATCH($A183,'Input Giocatori 2026_27'!$A$3:$A$493,0)),"")</f>
        <v>7</v>
      </c>
      <c r="O183" s="27" t="n">
        <f aca="false">IFERROR(INDEX('Input Giocatori 2026_27'!$G$3:$G$493,MATCH($A183,'Input Giocatori 2026_27'!$A$3:$A$493,0)),"")</f>
        <v>18</v>
      </c>
      <c r="P183" s="26" t="str">
        <f aca="false">IFERROR(IF($O183="","",IF((1-(COUNTIFS($B$2:$B$492,$B183,$O$2:$O$492,"&gt;"&amp;$O183)+1-1)/COUNTIF($B$2:$B$492,$B183))&gt;=0.85,"Top",IF((1-(COUNTIFS($B$2:$B$492,$B183,$O$2:$O$492,"&gt;"&amp;$O183)+1-1)/COUNTIF($B$2:$B$492,$B183))&gt;=0.6,"Buono",IF((1-(COUNTIFS($B$2:$B$492,$B183,$O$2:$O$492,"&gt;"&amp;$O183)+1-1)/COUNTIF($B$2:$B$492,$B183))&gt;=0.3,"Nella Media","Scommessa/Riserva")))),"")</f>
        <v>Buono</v>
      </c>
      <c r="Q183" s="29" t="n">
        <f aca="false">IF($D183="",COUNTIF($D$2:$D183,""),"")</f>
        <v>182</v>
      </c>
      <c r="R183" s="29" t="str">
        <f aca="false">IF($D183='Info Lega'!$B$28,COUNTIFS($D$2:$D183,'Info Lega'!$B$28),"")</f>
        <v/>
      </c>
      <c r="S183" s="30" t="n">
        <f aca="false">IFERROR(INDEX('Input Statistiche 2025_26'!$G$3:$G$665,MATCH($A183,'Input Statistiche 2025_26'!$A$3:$A$665,0)),"")</f>
        <v>5.84</v>
      </c>
      <c r="T183" s="30" t="n">
        <f aca="false">IFERROR(INDEX('Input Statistiche 2025_26'!$H$3:$H$665,MATCH($A183,'Input Statistiche 2025_26'!$A$3:$A$665,0)),"")</f>
        <v>5.91</v>
      </c>
      <c r="U183" s="26" t="str">
        <f aca="false">IF(OR('La Mia Rosa'!$O$12="",$D183&lt;&gt;""),"",IF($F183&lt;='La Mia Rosa'!$O$12*'Parametri Modello'!$B$24,"OK",IF($F183&lt;='La Mia Rosa'!$O$12*'Parametri Modello'!$B$25,"Attenzione","Rischio Alto")))</f>
        <v>OK</v>
      </c>
      <c r="V183" s="26" t="n">
        <f aca="false">IFERROR(COUNTIFS($B$2:$B$492,$B183,$O$2:$O$492,"&gt;"&amp;$O183)+1,"")</f>
        <v>45</v>
      </c>
      <c r="W183" s="21" t="n">
        <f aca="false">'Info Lega'!$B$4-SUMIFS($M$2:$M$492,$D$2:$D$492,'Info Lega'!$B$28)</f>
        <v>1000</v>
      </c>
      <c r="X183" s="21" t="n">
        <f aca="false">('Info Lega'!$B$5-COUNTIFS($D$2:$D$492,'Info Lega'!$B$28,$B$2:$B$492,"P"))+('Info Lega'!$B$6-COUNTIFS($D$2:$D$492,'Info Lega'!$B$28,$B$2:$B$492,"D"))+('Info Lega'!$B$7-COUNTIFS($D$2:$D$492,'Info Lega'!$B$28,$B$2:$B$492,"C"))+('Info Lega'!$B$8-COUNTIFS($D$2:$D$492,'Info Lega'!$B$28,$B$2:$B$492,"A"))</f>
        <v>25</v>
      </c>
      <c r="Y183" s="21" t="n">
        <f aca="false">X183*'Parametri Modello'!$B$30</f>
        <v>25</v>
      </c>
      <c r="Z183" s="21" t="n">
        <f aca="false">MAX(0,W183-Y183)</f>
        <v>975</v>
      </c>
      <c r="AA183" s="21" t="n">
        <f aca="false">MIN(F183,Z183)</f>
        <v>9</v>
      </c>
      <c r="AB183" s="21"/>
      <c r="AC183" s="21" t="str">
        <f aca="false">IF(AB183="","",IF(AB183&gt;AA183,"PASS",IF(AB183&lt;=AA183*0.85,"BID","ATTENZIONE")))</f>
        <v/>
      </c>
      <c r="AD183" s="31" t="n">
        <f aca="false">IF(I183="","",ROUND(100*(1-EXP(-I183/30)),0))</f>
        <v>69</v>
      </c>
      <c r="AE183" s="7" t="str">
        <f aca="false">IFERROR(INDEX('Stato Asta'!$G$9:$G$12,MATCH($B183,'Stato Asta'!$A$9:$A$12,0)),"")</f>
        <v>🟡 Attesa rischiosa</v>
      </c>
    </row>
    <row r="184" customFormat="false" ht="14.25" hidden="false" customHeight="true" outlineLevel="0" collapsed="false">
      <c r="A184" s="21" t="n">
        <v>5010</v>
      </c>
      <c r="B184" s="21" t="s">
        <v>44</v>
      </c>
      <c r="C184" s="21" t="s">
        <v>240</v>
      </c>
      <c r="E184" s="26" t="str">
        <f aca="false">IF(COUNTIF('Info Strategia'!$D$2:$D$51,$C184)&gt;0,"SI","NO")</f>
        <v>NO</v>
      </c>
      <c r="F184" s="27" t="n">
        <f aca="false">IFERROR(ROUND(($G184+($H184-$G184)*'Info Strategia'!$B$6)*(1+IF($E184="SI",'Parametri Modello'!$B$7*'Info Strategia'!$B$6,0)),0),"")</f>
        <v>9</v>
      </c>
      <c r="G184" s="27" t="n">
        <f aca="false">IFERROR(ROUND((IF(OR(INDEX('Parametri Modello'!$C$39:$C$42,MATCH($B184,'Parametri Modello'!$A$39:$A$42,0))="",INDEX('Parametri Modello'!$C$39:$C$42,MATCH($B184,'Parametri Modello'!$A$39:$A$42,0))=0),0,($O184/INDEX('Parametri Modello'!$C$39:$C$42,MATCH($B184,'Parametri Modello'!$A$39:$A$42,0)))*(INDEX('Parametri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6</v>
      </c>
      <c r="H184" s="27" t="n">
        <f aca="false">IFERROR(ROUND((IF(OR(INDEX('Parametri Modello'!$C$39:$C$42,MATCH($B184,'Parametri Modello'!$A$39:$A$42,0))="",INDEX('Parametri Modello'!$C$39:$C$42,MATCH($B184,'Parametri Modello'!$A$39:$A$42,0))=0),0,($O184/INDEX('Parametri Modello'!$C$39:$C$42,MATCH($B184,'Parametri Modello'!$A$39:$A$42,0)))*(INDEX('Parametri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10</v>
      </c>
      <c r="I184" s="26" t="n">
        <f aca="false">IFERROR(INDEX('Input Statistiche 2025_26'!$F$3:$F$665,MATCH($A184,'Input Statistiche 2025_26'!$A$3:$A$665,0)),"")</f>
        <v>24</v>
      </c>
      <c r="J184" s="26" t="n">
        <f aca="false">IFERROR(IF($I184="","",MAX(0,38-$I184)),"")</f>
        <v>14</v>
      </c>
      <c r="K184" s="26" t="n">
        <f aca="false">IFERROR(INDEX('Input Statistiche 2025_26'!$I$3:$I$665,MATCH($A184,'Input Statistiche 2025_26'!$A$3:$A$665,0)),"")</f>
        <v>0</v>
      </c>
      <c r="L184" s="26" t="n">
        <f aca="false">IFERROR(INDEX('Input Statistiche 2025_26'!$O$3:$O$665,MATCH($A184,'Input Statistiche 2025_26'!$A$3:$A$665,0)),"")</f>
        <v>2</v>
      </c>
      <c r="M184" s="28"/>
      <c r="N184" s="27" t="n">
        <f aca="false">IFERROR(INDEX('Input Giocatori 2026_27'!$E$3:$E$493,MATCH($A184,'Input Giocatori 2026_27'!$A$3:$A$493,0)),"")</f>
        <v>7</v>
      </c>
      <c r="O184" s="27" t="n">
        <f aca="false">IFERROR(INDEX('Input Giocatori 2026_27'!$G$3:$G$493,MATCH($A184,'Input Giocatori 2026_27'!$A$3:$A$493,0)),"")</f>
        <v>18</v>
      </c>
      <c r="P184" s="26" t="str">
        <f aca="false">IFERROR(IF($O184="","",IF((1-(COUNTIFS($B$2:$B$492,$B184,$O$2:$O$492,"&gt;"&amp;$O184)+1-1)/COUNTIF($B$2:$B$492,$B184))&gt;=0.85,"Top",IF((1-(COUNTIFS($B$2:$B$492,$B184,$O$2:$O$492,"&gt;"&amp;$O184)+1-1)/COUNTIF($B$2:$B$492,$B184))&gt;=0.6,"Buono",IF((1-(COUNTIFS($B$2:$B$492,$B184,$O$2:$O$492,"&gt;"&amp;$O184)+1-1)/COUNTIF($B$2:$B$492,$B184))&gt;=0.3,"Nella Media","Scommessa/Riserva")))),"")</f>
        <v>Buono</v>
      </c>
      <c r="Q184" s="29" t="n">
        <f aca="false">IF($D184="",COUNTIF($D$2:$D184,""),"")</f>
        <v>183</v>
      </c>
      <c r="R184" s="29" t="str">
        <f aca="false">IF($D184='Info Lega'!$B$28,COUNTIFS($D$2:$D184,'Info Lega'!$B$28),"")</f>
        <v/>
      </c>
      <c r="S184" s="30" t="n">
        <f aca="false">IFERROR(INDEX('Input Statistiche 2025_26'!$G$3:$G$665,MATCH($A184,'Input Statistiche 2025_26'!$A$3:$A$665,0)),"")</f>
        <v>5.92</v>
      </c>
      <c r="T184" s="30" t="n">
        <f aca="false">IFERROR(INDEX('Input Statistiche 2025_26'!$H$3:$H$665,MATCH($A184,'Input Statistiche 2025_26'!$A$3:$A$665,0)),"")</f>
        <v>5.9</v>
      </c>
      <c r="U184" s="26" t="str">
        <f aca="false">IF(OR('La Mia Rosa'!$O$12="",$D184&lt;&gt;""),"",IF($F184&lt;='La Mia Rosa'!$O$12*'Parametri Modello'!$B$24,"OK",IF($F184&lt;='La Mia Rosa'!$O$12*'Parametri Modello'!$B$25,"Attenzione","Rischio Alto")))</f>
        <v>OK</v>
      </c>
      <c r="V184" s="26" t="n">
        <f aca="false">IFERROR(COUNTIFS($B$2:$B$492,$B184,$O$2:$O$492,"&gt;"&amp;$O184)+1,"")</f>
        <v>45</v>
      </c>
      <c r="W184" s="21" t="n">
        <f aca="false">'Info Lega'!$B$4-SUMIFS($M$2:$M$492,$D$2:$D$492,'Info Lega'!$B$28)</f>
        <v>1000</v>
      </c>
      <c r="X184" s="21" t="n">
        <f aca="false">('Info Lega'!$B$5-COUNTIFS($D$2:$D$492,'Info Lega'!$B$28,$B$2:$B$492,"P"))+('Info Lega'!$B$6-COUNTIFS($D$2:$D$492,'Info Lega'!$B$28,$B$2:$B$492,"D"))+('Info Lega'!$B$7-COUNTIFS($D$2:$D$492,'Info Lega'!$B$28,$B$2:$B$492,"C"))+('Info Lega'!$B$8-COUNTIFS($D$2:$D$492,'Info Lega'!$B$28,$B$2:$B$492,"A"))</f>
        <v>25</v>
      </c>
      <c r="Y184" s="21" t="n">
        <f aca="false">X184*'Parametri Modello'!$B$30</f>
        <v>25</v>
      </c>
      <c r="Z184" s="21" t="n">
        <f aca="false">MAX(0,W184-Y184)</f>
        <v>975</v>
      </c>
      <c r="AA184" s="21" t="n">
        <f aca="false">MIN(F184,Z184)</f>
        <v>9</v>
      </c>
      <c r="AB184" s="21"/>
      <c r="AC184" s="21" t="str">
        <f aca="false">IF(AB184="","",IF(AB184&gt;AA184,"PASS",IF(AB184&lt;=AA184*0.85,"BID","ATTENZIONE")))</f>
        <v/>
      </c>
      <c r="AD184" s="31" t="n">
        <f aca="false">IF(I184="","",ROUND(100*(1-EXP(-I184/30)),0))</f>
        <v>55</v>
      </c>
      <c r="AE184" s="7" t="str">
        <f aca="false">IFERROR(INDEX('Stato Asta'!$G$9:$G$12,MATCH($B184,'Stato Asta'!$A$9:$A$12,0)),"")</f>
        <v>🟡 Attesa rischiosa</v>
      </c>
    </row>
    <row r="185" customFormat="false" ht="14.25" hidden="false" customHeight="true" outlineLevel="0" collapsed="false">
      <c r="A185" s="21" t="n">
        <v>6867</v>
      </c>
      <c r="B185" s="21" t="s">
        <v>44</v>
      </c>
      <c r="C185" s="21" t="s">
        <v>247</v>
      </c>
      <c r="E185" s="26" t="str">
        <f aca="false">IF(COUNTIF('Info Strategia'!$D$2:$D$51,$C185)&gt;0,"SI","NO")</f>
        <v>NO</v>
      </c>
      <c r="F185" s="27" t="n">
        <f aca="false">IFERROR(ROUND(($G185+($H185-$G185)*'Info Strategia'!$B$6)*(1+IF($E185="SI",'Parametri Modello'!$B$7*'Info Strategia'!$B$6,0)),0),"")</f>
        <v>9</v>
      </c>
      <c r="G185" s="27" t="n">
        <f aca="false">IFERROR(ROUND((IF(OR(INDEX('Parametri Modello'!$C$39:$C$42,MATCH($B185,'Parametri Modello'!$A$39:$A$42,0))="",INDEX('Parametri Modello'!$C$39:$C$42,MATCH($B185,'Parametri Modello'!$A$39:$A$42,0))=0),0,($O185/INDEX('Parametri Modello'!$C$39:$C$42,MATCH($B185,'Parametri Modello'!$A$39:$A$42,0)))*(INDEX('Parametri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6</v>
      </c>
      <c r="H185" s="27" t="n">
        <f aca="false">IFERROR(ROUND((IF(OR(INDEX('Parametri Modello'!$C$39:$C$42,MATCH($B185,'Parametri Modello'!$A$39:$A$42,0))="",INDEX('Parametri Modello'!$C$39:$C$42,MATCH($B185,'Parametri Modello'!$A$39:$A$42,0))=0),0,($O185/INDEX('Parametri Modello'!$C$39:$C$42,MATCH($B185,'Parametri Modello'!$A$39:$A$42,0)))*(INDEX('Parametri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10</v>
      </c>
      <c r="I185" s="26" t="n">
        <f aca="false">IFERROR(INDEX('Input Statistiche 2025_26'!$F$3:$F$665,MATCH($A185,'Input Statistiche 2025_26'!$A$3:$A$665,0)),"")</f>
        <v>26</v>
      </c>
      <c r="J185" s="26" t="n">
        <f aca="false">IFERROR(IF($I185="","",MAX(0,38-$I185)),"")</f>
        <v>12</v>
      </c>
      <c r="K185" s="26" t="n">
        <f aca="false">IFERROR(INDEX('Input Statistiche 2025_26'!$I$3:$I$665,MATCH($A185,'Input Statistiche 2025_26'!$A$3:$A$665,0)),"")</f>
        <v>1</v>
      </c>
      <c r="L185" s="26" t="n">
        <f aca="false">IFERROR(INDEX('Input Statistiche 2025_26'!$O$3:$O$665,MATCH($A185,'Input Statistiche 2025_26'!$A$3:$A$665,0)),"")</f>
        <v>3</v>
      </c>
      <c r="M185" s="28"/>
      <c r="N185" s="27" t="n">
        <f aca="false">IFERROR(INDEX('Input Giocatori 2026_27'!$E$3:$E$493,MATCH($A185,'Input Giocatori 2026_27'!$A$3:$A$493,0)),"")</f>
        <v>6</v>
      </c>
      <c r="O185" s="27" t="n">
        <f aca="false">IFERROR(INDEX('Input Giocatori 2026_27'!$G$3:$G$493,MATCH($A185,'Input Giocatori 2026_27'!$A$3:$A$493,0)),"")</f>
        <v>18</v>
      </c>
      <c r="P185" s="26" t="str">
        <f aca="false">IFERROR(IF($O185="","",IF((1-(COUNTIFS($B$2:$B$492,$B185,$O$2:$O$492,"&gt;"&amp;$O185)+1-1)/COUNTIF($B$2:$B$492,$B185))&gt;=0.85,"Top",IF((1-(COUNTIFS($B$2:$B$492,$B185,$O$2:$O$492,"&gt;"&amp;$O185)+1-1)/COUNTIF($B$2:$B$492,$B185))&gt;=0.6,"Buono",IF((1-(COUNTIFS($B$2:$B$492,$B185,$O$2:$O$492,"&gt;"&amp;$O185)+1-1)/COUNTIF($B$2:$B$492,$B185))&gt;=0.3,"Nella Media","Scommessa/Riserva")))),"")</f>
        <v>Buono</v>
      </c>
      <c r="Q185" s="29" t="n">
        <f aca="false">IF($D185="",COUNTIF($D$2:$D185,""),"")</f>
        <v>184</v>
      </c>
      <c r="R185" s="29" t="str">
        <f aca="false">IF($D185='Info Lega'!$B$28,COUNTIFS($D$2:$D185,'Info Lega'!$B$28),"")</f>
        <v/>
      </c>
      <c r="S185" s="30" t="n">
        <f aca="false">IFERROR(INDEX('Input Statistiche 2025_26'!$G$3:$G$665,MATCH($A185,'Input Statistiche 2025_26'!$A$3:$A$665,0)),"")</f>
        <v>6.06</v>
      </c>
      <c r="T185" s="30" t="n">
        <f aca="false">IFERROR(INDEX('Input Statistiche 2025_26'!$H$3:$H$665,MATCH($A185,'Input Statistiche 2025_26'!$A$3:$A$665,0)),"")</f>
        <v>6.23</v>
      </c>
      <c r="U185" s="26" t="str">
        <f aca="false">IF(OR('La Mia Rosa'!$O$12="",$D185&lt;&gt;""),"",IF($F185&lt;='La Mia Rosa'!$O$12*'Parametri Modello'!$B$24,"OK",IF($F185&lt;='La Mia Rosa'!$O$12*'Parametri Modello'!$B$25,"Attenzione","Rischio Alto")))</f>
        <v>OK</v>
      </c>
      <c r="V185" s="26" t="n">
        <f aca="false">IFERROR(COUNTIFS($B$2:$B$492,$B185,$O$2:$O$492,"&gt;"&amp;$O185)+1,"")</f>
        <v>45</v>
      </c>
      <c r="W185" s="21" t="n">
        <f aca="false">'Info Lega'!$B$4-SUMIFS($M$2:$M$492,$D$2:$D$492,'Info Lega'!$B$28)</f>
        <v>1000</v>
      </c>
      <c r="X185" s="21" t="n">
        <f aca="false">('Info Lega'!$B$5-COUNTIFS($D$2:$D$492,'Info Lega'!$B$28,$B$2:$B$492,"P"))+('Info Lega'!$B$6-COUNTIFS($D$2:$D$492,'Info Lega'!$B$28,$B$2:$B$492,"D"))+('Info Lega'!$B$7-COUNTIFS($D$2:$D$492,'Info Lega'!$B$28,$B$2:$B$492,"C"))+('Info Lega'!$B$8-COUNTIFS($D$2:$D$492,'Info Lega'!$B$28,$B$2:$B$492,"A"))</f>
        <v>25</v>
      </c>
      <c r="Y185" s="21" t="n">
        <f aca="false">X185*'Parametri Modello'!$B$30</f>
        <v>25</v>
      </c>
      <c r="Z185" s="21" t="n">
        <f aca="false">MAX(0,W185-Y185)</f>
        <v>975</v>
      </c>
      <c r="AA185" s="21" t="n">
        <f aca="false">MIN(F185,Z185)</f>
        <v>9</v>
      </c>
      <c r="AB185" s="21"/>
      <c r="AC185" s="21" t="str">
        <f aca="false">IF(AB185="","",IF(AB185&gt;AA185,"PASS",IF(AB185&lt;=AA185*0.85,"BID","ATTENZIONE")))</f>
        <v/>
      </c>
      <c r="AD185" s="31" t="n">
        <f aca="false">IF(I185="","",ROUND(100*(1-EXP(-I185/30)),0))</f>
        <v>58</v>
      </c>
      <c r="AE185" s="7" t="str">
        <f aca="false">IFERROR(INDEX('Stato Asta'!$G$9:$G$12,MATCH($B185,'Stato Asta'!$A$9:$A$12,0)),"")</f>
        <v>🟡 Attesa rischiosa</v>
      </c>
    </row>
    <row r="186" customFormat="false" ht="14.25" hidden="false" customHeight="true" outlineLevel="0" collapsed="false">
      <c r="A186" s="21" t="n">
        <v>7294</v>
      </c>
      <c r="B186" s="21" t="s">
        <v>44</v>
      </c>
      <c r="C186" s="21" t="s">
        <v>248</v>
      </c>
      <c r="E186" s="26" t="str">
        <f aca="false">IF(COUNTIF('Info Strategia'!$D$2:$D$51,$C186)&gt;0,"SI","NO")</f>
        <v>NO</v>
      </c>
      <c r="F186" s="27" t="n">
        <f aca="false">IFERROR(ROUND(($G186+($H186-$G186)*'Info Strategia'!$B$6)*(1+IF($E186="SI",'Parametri Modello'!$B$7*'Info Strategia'!$B$6,0)),0),"")</f>
        <v>9</v>
      </c>
      <c r="G186" s="27" t="n">
        <f aca="false">IFERROR(ROUND((IF(OR(INDEX('Parametri Modello'!$C$39:$C$42,MATCH($B186,'Parametri Modello'!$A$39:$A$42,0))="",INDEX('Parametri Modello'!$C$39:$C$42,MATCH($B186,'Parametri Modello'!$A$39:$A$42,0))=0),0,($O186/INDEX('Parametri Modello'!$C$39:$C$42,MATCH($B186,'Parametri Modello'!$A$39:$A$42,0)))*(INDEX('Parametri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6</v>
      </c>
      <c r="H186" s="27" t="n">
        <f aca="false">IFERROR(ROUND((IF(OR(INDEX('Parametri Modello'!$C$39:$C$42,MATCH($B186,'Parametri Modello'!$A$39:$A$42,0))="",INDEX('Parametri Modello'!$C$39:$C$42,MATCH($B186,'Parametri Modello'!$A$39:$A$42,0))=0),0,($O186/INDEX('Parametri Modello'!$C$39:$C$42,MATCH($B186,'Parametri Modello'!$A$39:$A$42,0)))*(INDEX('Parametri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10</v>
      </c>
      <c r="I186" s="26" t="str">
        <f aca="false">IFERROR(INDEX('Input Statistiche 2025_26'!$F$3:$F$665,MATCH($A186,'Input Statistiche 2025_26'!$A$3:$A$665,0)),"")</f>
        <v/>
      </c>
      <c r="J186" s="26" t="str">
        <f aca="false">IFERROR(IF($I186="","",MAX(0,38-$I186)),"")</f>
        <v/>
      </c>
      <c r="K186" s="26" t="str">
        <f aca="false">IFERROR(INDEX('Input Statistiche 2025_26'!$I$3:$I$665,MATCH($A186,'Input Statistiche 2025_26'!$A$3:$A$665,0)),"")</f>
        <v/>
      </c>
      <c r="L186" s="26" t="str">
        <f aca="false">IFERROR(INDEX('Input Statistiche 2025_26'!$O$3:$O$665,MATCH($A186,'Input Statistiche 2025_26'!$A$3:$A$665,0)),"")</f>
        <v/>
      </c>
      <c r="M186" s="28"/>
      <c r="N186" s="27" t="n">
        <f aca="false">IFERROR(INDEX('Input Giocatori 2026_27'!$E$3:$E$493,MATCH($A186,'Input Giocatori 2026_27'!$A$3:$A$493,0)),"")</f>
        <v>6</v>
      </c>
      <c r="O186" s="27" t="n">
        <f aca="false">IFERROR(INDEX('Input Giocatori 2026_27'!$G$3:$G$493,MATCH($A186,'Input Giocatori 2026_27'!$A$3:$A$493,0)),"")</f>
        <v>18</v>
      </c>
      <c r="P186" s="26" t="str">
        <f aca="false">IFERROR(IF($O186="","",IF((1-(COUNTIFS($B$2:$B$492,$B186,$O$2:$O$492,"&gt;"&amp;$O186)+1-1)/COUNTIF($B$2:$B$492,$B186))&gt;=0.85,"Top",IF((1-(COUNTIFS($B$2:$B$492,$B186,$O$2:$O$492,"&gt;"&amp;$O186)+1-1)/COUNTIF($B$2:$B$492,$B186))&gt;=0.6,"Buono",IF((1-(COUNTIFS($B$2:$B$492,$B186,$O$2:$O$492,"&gt;"&amp;$O186)+1-1)/COUNTIF($B$2:$B$492,$B186))&gt;=0.3,"Nella Media","Scommessa/Riserva")))),"")</f>
        <v>Buono</v>
      </c>
      <c r="Q186" s="29" t="n">
        <f aca="false">IF($D186="",COUNTIF($D$2:$D186,""),"")</f>
        <v>185</v>
      </c>
      <c r="R186" s="29" t="str">
        <f aca="false">IF($D186='Info Lega'!$B$28,COUNTIFS($D$2:$D186,'Info Lega'!$B$28),"")</f>
        <v/>
      </c>
      <c r="S186" s="30" t="str">
        <f aca="false">IFERROR(INDEX('Input Statistiche 2025_26'!$G$3:$G$665,MATCH($A186,'Input Statistiche 2025_26'!$A$3:$A$665,0)),"")</f>
        <v/>
      </c>
      <c r="T186" s="30" t="str">
        <f aca="false">IFERROR(INDEX('Input Statistiche 2025_26'!$H$3:$H$665,MATCH($A186,'Input Statistiche 2025_26'!$A$3:$A$665,0)),"")</f>
        <v/>
      </c>
      <c r="U186" s="26" t="str">
        <f aca="false">IF(OR('La Mia Rosa'!$O$12="",$D186&lt;&gt;""),"",IF($F186&lt;='La Mia Rosa'!$O$12*'Parametri Modello'!$B$24,"OK",IF($F186&lt;='La Mia Rosa'!$O$12*'Parametri Modello'!$B$25,"Attenzione","Rischio Alto")))</f>
        <v>OK</v>
      </c>
      <c r="V186" s="26" t="n">
        <f aca="false">IFERROR(COUNTIFS($B$2:$B$492,$B186,$O$2:$O$492,"&gt;"&amp;$O186)+1,"")</f>
        <v>45</v>
      </c>
      <c r="W186" s="21" t="n">
        <f aca="false">'Info Lega'!$B$4-SUMIFS($M$2:$M$492,$D$2:$D$492,'Info Lega'!$B$28)</f>
        <v>1000</v>
      </c>
      <c r="X186" s="21" t="n">
        <f aca="false">('Info Lega'!$B$5-COUNTIFS($D$2:$D$492,'Info Lega'!$B$28,$B$2:$B$492,"P"))+('Info Lega'!$B$6-COUNTIFS($D$2:$D$492,'Info Lega'!$B$28,$B$2:$B$492,"D"))+('Info Lega'!$B$7-COUNTIFS($D$2:$D$492,'Info Lega'!$B$28,$B$2:$B$492,"C"))+('Info Lega'!$B$8-COUNTIFS($D$2:$D$492,'Info Lega'!$B$28,$B$2:$B$492,"A"))</f>
        <v>25</v>
      </c>
      <c r="Y186" s="21" t="n">
        <f aca="false">X186*'Parametri Modello'!$B$30</f>
        <v>25</v>
      </c>
      <c r="Z186" s="21" t="n">
        <f aca="false">MAX(0,W186-Y186)</f>
        <v>975</v>
      </c>
      <c r="AA186" s="21" t="n">
        <f aca="false">MIN(F186,Z186)</f>
        <v>9</v>
      </c>
      <c r="AB186" s="21"/>
      <c r="AC186" s="21" t="str">
        <f aca="false">IF(AB186="","",IF(AB186&gt;AA186,"PASS",IF(AB186&lt;=AA186*0.85,"BID","ATTENZIONE")))</f>
        <v/>
      </c>
      <c r="AD186" s="31" t="str">
        <f aca="false">IF(I186="","",ROUND(100*(1-EXP(-I186/30)),0))</f>
        <v/>
      </c>
      <c r="AE186" s="7" t="str">
        <f aca="false">IFERROR(INDEX('Stato Asta'!$G$9:$G$12,MATCH($B186,'Stato Asta'!$A$9:$A$12,0)),"")</f>
        <v>🟡 Attesa rischiosa</v>
      </c>
    </row>
    <row r="187" customFormat="false" ht="14.25" hidden="false" customHeight="true" outlineLevel="0" collapsed="false">
      <c r="A187" s="21" t="n">
        <v>4177</v>
      </c>
      <c r="B187" s="21" t="s">
        <v>44</v>
      </c>
      <c r="C187" s="21" t="s">
        <v>252</v>
      </c>
      <c r="E187" s="26" t="str">
        <f aca="false">IF(COUNTIF('Info Strategia'!$D$2:$D$51,$C187)&gt;0,"SI","NO")</f>
        <v>NO</v>
      </c>
      <c r="F187" s="27" t="n">
        <f aca="false">IFERROR(ROUND(($G187+($H187-$G187)*'Info Strategia'!$B$6)*(1+IF($E187="SI",'Parametri Modello'!$B$7*'Info Strategia'!$B$6,0)),0),"")</f>
        <v>9</v>
      </c>
      <c r="G187" s="27" t="n">
        <f aca="false">IFERROR(ROUND((IF(OR(INDEX('Parametri Modello'!$C$39:$C$42,MATCH($B187,'Parametri Modello'!$A$39:$A$42,0))="",INDEX('Parametri Modello'!$C$39:$C$42,MATCH($B187,'Parametri Modello'!$A$39:$A$42,0))=0),0,($O187/INDEX('Parametri Modello'!$C$39:$C$42,MATCH($B187,'Parametri Modello'!$A$39:$A$42,0)))*(INDEX('Parametri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6</v>
      </c>
      <c r="H187" s="27" t="n">
        <f aca="false">IFERROR(ROUND((IF(OR(INDEX('Parametri Modello'!$C$39:$C$42,MATCH($B187,'Parametri Modello'!$A$39:$A$42,0))="",INDEX('Parametri Modello'!$C$39:$C$42,MATCH($B187,'Parametri Modello'!$A$39:$A$42,0))=0),0,($O187/INDEX('Parametri Modello'!$C$39:$C$42,MATCH($B187,'Parametri Modello'!$A$39:$A$42,0)))*(INDEX('Parametri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10</v>
      </c>
      <c r="I187" s="26" t="n">
        <f aca="false">IFERROR(INDEX('Input Statistiche 2025_26'!$F$3:$F$665,MATCH($A187,'Input Statistiche 2025_26'!$A$3:$A$665,0)),"")</f>
        <v>1</v>
      </c>
      <c r="J187" s="26" t="n">
        <f aca="false">IFERROR(IF($I187="","",MAX(0,38-$I187)),"")</f>
        <v>37</v>
      </c>
      <c r="K187" s="26" t="n">
        <f aca="false">IFERROR(INDEX('Input Statistiche 2025_26'!$I$3:$I$665,MATCH($A187,'Input Statistiche 2025_26'!$A$3:$A$665,0)),"")</f>
        <v>0</v>
      </c>
      <c r="L187" s="26" t="n">
        <f aca="false">IFERROR(INDEX('Input Statistiche 2025_26'!$O$3:$O$665,MATCH($A187,'Input Statistiche 2025_26'!$A$3:$A$665,0)),"")</f>
        <v>0</v>
      </c>
      <c r="M187" s="28"/>
      <c r="N187" s="27" t="n">
        <f aca="false">IFERROR(INDEX('Input Giocatori 2026_27'!$E$3:$E$493,MATCH($A187,'Input Giocatori 2026_27'!$A$3:$A$493,0)),"")</f>
        <v>6</v>
      </c>
      <c r="O187" s="27" t="n">
        <f aca="false">IFERROR(INDEX('Input Giocatori 2026_27'!$G$3:$G$493,MATCH($A187,'Input Giocatori 2026_27'!$A$3:$A$493,0)),"")</f>
        <v>18</v>
      </c>
      <c r="P187" s="26" t="str">
        <f aca="false">IFERROR(IF($O187="","",IF((1-(COUNTIFS($B$2:$B$492,$B187,$O$2:$O$492,"&gt;"&amp;$O187)+1-1)/COUNTIF($B$2:$B$492,$B187))&gt;=0.85,"Top",IF((1-(COUNTIFS($B$2:$B$492,$B187,$O$2:$O$492,"&gt;"&amp;$O187)+1-1)/COUNTIF($B$2:$B$492,$B187))&gt;=0.6,"Buono",IF((1-(COUNTIFS($B$2:$B$492,$B187,$O$2:$O$492,"&gt;"&amp;$O187)+1-1)/COUNTIF($B$2:$B$492,$B187))&gt;=0.3,"Nella Media","Scommessa/Riserva")))),"")</f>
        <v>Buono</v>
      </c>
      <c r="Q187" s="29" t="n">
        <f aca="false">IF($D187="",COUNTIF($D$2:$D187,""),"")</f>
        <v>186</v>
      </c>
      <c r="R187" s="29" t="str">
        <f aca="false">IF($D187='Info Lega'!$B$28,COUNTIFS($D$2:$D187,'Info Lega'!$B$28),"")</f>
        <v/>
      </c>
      <c r="S187" s="30" t="n">
        <f aca="false">IFERROR(INDEX('Input Statistiche 2025_26'!$G$3:$G$665,MATCH($A187,'Input Statistiche 2025_26'!$A$3:$A$665,0)),"")</f>
        <v>6.5</v>
      </c>
      <c r="T187" s="30" t="n">
        <f aca="false">IFERROR(INDEX('Input Statistiche 2025_26'!$H$3:$H$665,MATCH($A187,'Input Statistiche 2025_26'!$A$3:$A$665,0)),"")</f>
        <v>6.5</v>
      </c>
      <c r="U187" s="26" t="str">
        <f aca="false">IF(OR('La Mia Rosa'!$O$12="",$D187&lt;&gt;""),"",IF($F187&lt;='La Mia Rosa'!$O$12*'Parametri Modello'!$B$24,"OK",IF($F187&lt;='La Mia Rosa'!$O$12*'Parametri Modello'!$B$25,"Attenzione","Rischio Alto")))</f>
        <v>OK</v>
      </c>
      <c r="V187" s="26" t="n">
        <f aca="false">IFERROR(COUNTIFS($B$2:$B$492,$B187,$O$2:$O$492,"&gt;"&amp;$O187)+1,"")</f>
        <v>45</v>
      </c>
      <c r="W187" s="21" t="n">
        <f aca="false">'Info Lega'!$B$4-SUMIFS($M$2:$M$492,$D$2:$D$492,'Info Lega'!$B$28)</f>
        <v>1000</v>
      </c>
      <c r="X187" s="21" t="n">
        <f aca="false">('Info Lega'!$B$5-COUNTIFS($D$2:$D$492,'Info Lega'!$B$28,$B$2:$B$492,"P"))+('Info Lega'!$B$6-COUNTIFS($D$2:$D$492,'Info Lega'!$B$28,$B$2:$B$492,"D"))+('Info Lega'!$B$7-COUNTIFS($D$2:$D$492,'Info Lega'!$B$28,$B$2:$B$492,"C"))+('Info Lega'!$B$8-COUNTIFS($D$2:$D$492,'Info Lega'!$B$28,$B$2:$B$492,"A"))</f>
        <v>25</v>
      </c>
      <c r="Y187" s="21" t="n">
        <f aca="false">X187*'Parametri Modello'!$B$30</f>
        <v>25</v>
      </c>
      <c r="Z187" s="21" t="n">
        <f aca="false">MAX(0,W187-Y187)</f>
        <v>975</v>
      </c>
      <c r="AA187" s="21" t="n">
        <f aca="false">MIN(F187,Z187)</f>
        <v>9</v>
      </c>
      <c r="AB187" s="21"/>
      <c r="AC187" s="21" t="str">
        <f aca="false">IF(AB187="","",IF(AB187&gt;AA187,"PASS",IF(AB187&lt;=AA187*0.85,"BID","ATTENZIONE")))</f>
        <v/>
      </c>
      <c r="AD187" s="31" t="n">
        <f aca="false">IF(I187="","",ROUND(100*(1-EXP(-I187/30)),0))</f>
        <v>3</v>
      </c>
      <c r="AE187" s="7" t="str">
        <f aca="false">IFERROR(INDEX('Stato Asta'!$G$9:$G$12,MATCH($B187,'Stato Asta'!$A$9:$A$12,0)),"")</f>
        <v>🟡 Attesa rischiosa</v>
      </c>
    </row>
    <row r="188" customFormat="false" ht="14.25" hidden="false" customHeight="true" outlineLevel="0" collapsed="false">
      <c r="A188" s="21" t="n">
        <v>6663</v>
      </c>
      <c r="B188" s="21" t="s">
        <v>44</v>
      </c>
      <c r="C188" s="21" t="s">
        <v>258</v>
      </c>
      <c r="E188" s="26" t="str">
        <f aca="false">IF(COUNTIF('Info Strategia'!$D$2:$D$51,$C188)&gt;0,"SI","NO")</f>
        <v>NO</v>
      </c>
      <c r="F188" s="27" t="n">
        <f aca="false">IFERROR(ROUND(($G188+($H188-$G188)*'Info Strategia'!$B$6)*(1+IF($E188="SI",'Parametri Modello'!$B$7*'Info Strategia'!$B$6,0)),0),"")</f>
        <v>9</v>
      </c>
      <c r="G188" s="27" t="n">
        <f aca="false">IFERROR(ROUND((IF(OR(INDEX('Parametri Modello'!$C$39:$C$42,MATCH($B188,'Parametri Modello'!$A$39:$A$42,0))="",INDEX('Parametri Modello'!$C$39:$C$42,MATCH($B188,'Parametri Modello'!$A$39:$A$42,0))=0),0,($O188/INDEX('Parametri Modello'!$C$39:$C$42,MATCH($B188,'Parametri Modello'!$A$39:$A$42,0)))*(INDEX('Parametri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6</v>
      </c>
      <c r="H188" s="27" t="n">
        <f aca="false">IFERROR(ROUND((IF(OR(INDEX('Parametri Modello'!$C$39:$C$42,MATCH($B188,'Parametri Modello'!$A$39:$A$42,0))="",INDEX('Parametri Modello'!$C$39:$C$42,MATCH($B188,'Parametri Modello'!$A$39:$A$42,0))=0),0,($O188/INDEX('Parametri Modello'!$C$39:$C$42,MATCH($B188,'Parametri Modello'!$A$39:$A$42,0)))*(INDEX('Parametri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10</v>
      </c>
      <c r="I188" s="26" t="n">
        <f aca="false">IFERROR(INDEX('Input Statistiche 2025_26'!$F$3:$F$665,MATCH($A188,'Input Statistiche 2025_26'!$A$3:$A$665,0)),"")</f>
        <v>31</v>
      </c>
      <c r="J188" s="26" t="n">
        <f aca="false">IFERROR(IF($I188="","",MAX(0,38-$I188)),"")</f>
        <v>7</v>
      </c>
      <c r="K188" s="26" t="n">
        <f aca="false">IFERROR(INDEX('Input Statistiche 2025_26'!$I$3:$I$665,MATCH($A188,'Input Statistiche 2025_26'!$A$3:$A$665,0)),"")</f>
        <v>1</v>
      </c>
      <c r="L188" s="26" t="n">
        <f aca="false">IFERROR(INDEX('Input Statistiche 2025_26'!$O$3:$O$665,MATCH($A188,'Input Statistiche 2025_26'!$A$3:$A$665,0)),"")</f>
        <v>0</v>
      </c>
      <c r="M188" s="28"/>
      <c r="N188" s="27" t="n">
        <f aca="false">IFERROR(INDEX('Input Giocatori 2026_27'!$E$3:$E$493,MATCH($A188,'Input Giocatori 2026_27'!$A$3:$A$493,0)),"")</f>
        <v>6</v>
      </c>
      <c r="O188" s="27" t="n">
        <f aca="false">IFERROR(INDEX('Input Giocatori 2026_27'!$G$3:$G$493,MATCH($A188,'Input Giocatori 2026_27'!$A$3:$A$493,0)),"")</f>
        <v>18</v>
      </c>
      <c r="P188" s="26" t="str">
        <f aca="false">IFERROR(IF($O188="","",IF((1-(COUNTIFS($B$2:$B$492,$B188,$O$2:$O$492,"&gt;"&amp;$O188)+1-1)/COUNTIF($B$2:$B$492,$B188))&gt;=0.85,"Top",IF((1-(COUNTIFS($B$2:$B$492,$B188,$O$2:$O$492,"&gt;"&amp;$O188)+1-1)/COUNTIF($B$2:$B$492,$B188))&gt;=0.6,"Buono",IF((1-(COUNTIFS($B$2:$B$492,$B188,$O$2:$O$492,"&gt;"&amp;$O188)+1-1)/COUNTIF($B$2:$B$492,$B188))&gt;=0.3,"Nella Media","Scommessa/Riserva")))),"")</f>
        <v>Buono</v>
      </c>
      <c r="Q188" s="29" t="n">
        <f aca="false">IF($D188="",COUNTIF($D$2:$D188,""),"")</f>
        <v>187</v>
      </c>
      <c r="R188" s="29" t="str">
        <f aca="false">IF($D188='Info Lega'!$B$28,COUNTIFS($D$2:$D188,'Info Lega'!$B$28),"")</f>
        <v/>
      </c>
      <c r="S188" s="30" t="n">
        <f aca="false">IFERROR(INDEX('Input Statistiche 2025_26'!$G$3:$G$665,MATCH($A188,'Input Statistiche 2025_26'!$A$3:$A$665,0)),"")</f>
        <v>5.92</v>
      </c>
      <c r="T188" s="30" t="n">
        <f aca="false">IFERROR(INDEX('Input Statistiche 2025_26'!$H$3:$H$665,MATCH($A188,'Input Statistiche 2025_26'!$A$3:$A$665,0)),"")</f>
        <v>5.92</v>
      </c>
      <c r="U188" s="26" t="str">
        <f aca="false">IF(OR('La Mia Rosa'!$O$12="",$D188&lt;&gt;""),"",IF($F188&lt;='La Mia Rosa'!$O$12*'Parametri Modello'!$B$24,"OK",IF($F188&lt;='La Mia Rosa'!$O$12*'Parametri Modello'!$B$25,"Attenzione","Rischio Alto")))</f>
        <v>OK</v>
      </c>
      <c r="V188" s="26" t="n">
        <f aca="false">IFERROR(COUNTIFS($B$2:$B$492,$B188,$O$2:$O$492,"&gt;"&amp;$O188)+1,"")</f>
        <v>45</v>
      </c>
      <c r="W188" s="21" t="n">
        <f aca="false">'Info Lega'!$B$4-SUMIFS($M$2:$M$492,$D$2:$D$492,'Info Lega'!$B$28)</f>
        <v>1000</v>
      </c>
      <c r="X188" s="21" t="n">
        <f aca="false">('Info Lega'!$B$5-COUNTIFS($D$2:$D$492,'Info Lega'!$B$28,$B$2:$B$492,"P"))+('Info Lega'!$B$6-COUNTIFS($D$2:$D$492,'Info Lega'!$B$28,$B$2:$B$492,"D"))+('Info Lega'!$B$7-COUNTIFS($D$2:$D$492,'Info Lega'!$B$28,$B$2:$B$492,"C"))+('Info Lega'!$B$8-COUNTIFS($D$2:$D$492,'Info Lega'!$B$28,$B$2:$B$492,"A"))</f>
        <v>25</v>
      </c>
      <c r="Y188" s="21" t="n">
        <f aca="false">X188*'Parametri Modello'!$B$30</f>
        <v>25</v>
      </c>
      <c r="Z188" s="21" t="n">
        <f aca="false">MAX(0,W188-Y188)</f>
        <v>975</v>
      </c>
      <c r="AA188" s="21" t="n">
        <f aca="false">MIN(F188,Z188)</f>
        <v>9</v>
      </c>
      <c r="AB188" s="21"/>
      <c r="AC188" s="21" t="str">
        <f aca="false">IF(AB188="","",IF(AB188&gt;AA188,"PASS",IF(AB188&lt;=AA188*0.85,"BID","ATTENZIONE")))</f>
        <v/>
      </c>
      <c r="AD188" s="31" t="n">
        <f aca="false">IF(I188="","",ROUND(100*(1-EXP(-I188/30)),0))</f>
        <v>64</v>
      </c>
      <c r="AE188" s="7" t="str">
        <f aca="false">IFERROR(INDEX('Stato Asta'!$G$9:$G$12,MATCH($B188,'Stato Asta'!$A$9:$A$12,0)),"")</f>
        <v>🟡 Attesa rischiosa</v>
      </c>
    </row>
    <row r="189" customFormat="false" ht="14.25" hidden="false" customHeight="true" outlineLevel="0" collapsed="false">
      <c r="A189" s="21" t="n">
        <v>5858</v>
      </c>
      <c r="B189" s="21" t="s">
        <v>45</v>
      </c>
      <c r="C189" s="21" t="s">
        <v>418</v>
      </c>
      <c r="E189" s="26" t="str">
        <f aca="false">IF(COUNTIF('Info Strategia'!$D$2:$D$51,$C189)&gt;0,"SI","NO")</f>
        <v>NO</v>
      </c>
      <c r="F189" s="27" t="n">
        <f aca="false">IFERROR(ROUND(($G189+($H189-$G189)*'Info Strategia'!$B$6)*(1+IF($E189="SI",'Parametri Modello'!$B$7*'Info Strategia'!$B$6,0)),0),"")</f>
        <v>10</v>
      </c>
      <c r="G189" s="27" t="n">
        <f aca="false">IFERROR(ROUND((IF(OR(INDEX('Parametri Modello'!$C$39:$C$42,MATCH($B189,'Parametri Modello'!$A$39:$A$42,0))="",INDEX('Parametri Modello'!$C$39:$C$42,MATCH($B189,'Parametri Modello'!$A$39:$A$42,0))=0),0,($O189/INDEX('Parametri Modello'!$C$39:$C$42,MATCH($B189,'Parametri Modello'!$A$39:$A$42,0)))*(INDEX('Parametri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7</v>
      </c>
      <c r="H189" s="27" t="n">
        <f aca="false">IFERROR(ROUND((IF(OR(INDEX('Parametri Modello'!$C$39:$C$42,MATCH($B189,'Parametri Modello'!$A$39:$A$42,0))="",INDEX('Parametri Modello'!$C$39:$C$42,MATCH($B189,'Parametri Modello'!$A$39:$A$42,0))=0),0,($O189/INDEX('Parametri Modello'!$C$39:$C$42,MATCH($B189,'Parametri Modello'!$A$39:$A$42,0)))*(INDEX('Parametri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11</v>
      </c>
      <c r="I189" s="26" t="n">
        <f aca="false">IFERROR(INDEX('Input Statistiche 2025_26'!$F$3:$F$665,MATCH($A189,'Input Statistiche 2025_26'!$A$3:$A$665,0)),"")</f>
        <v>23</v>
      </c>
      <c r="J189" s="26" t="n">
        <f aca="false">IFERROR(IF($I189="","",MAX(0,38-$I189)),"")</f>
        <v>15</v>
      </c>
      <c r="K189" s="26" t="n">
        <f aca="false">IFERROR(INDEX('Input Statistiche 2025_26'!$I$3:$I$665,MATCH($A189,'Input Statistiche 2025_26'!$A$3:$A$665,0)),"")</f>
        <v>1</v>
      </c>
      <c r="L189" s="26" t="n">
        <f aca="false">IFERROR(INDEX('Input Statistiche 2025_26'!$O$3:$O$665,MATCH($A189,'Input Statistiche 2025_26'!$A$3:$A$665,0)),"")</f>
        <v>0</v>
      </c>
      <c r="M189" s="28"/>
      <c r="N189" s="27" t="n">
        <f aca="false">IFERROR(INDEX('Input Giocatori 2026_27'!$E$3:$E$493,MATCH($A189,'Input Giocatori 2026_27'!$A$3:$A$493,0)),"")</f>
        <v>7</v>
      </c>
      <c r="O189" s="27" t="n">
        <f aca="false">IFERROR(INDEX('Input Giocatori 2026_27'!$G$3:$G$493,MATCH($A189,'Input Giocatori 2026_27'!$A$3:$A$493,0)),"")</f>
        <v>18</v>
      </c>
      <c r="P189" s="26" t="str">
        <f aca="false">IFERROR(IF($O189="","",IF((1-(COUNTIFS($B$2:$B$492,$B189,$O$2:$O$492,"&gt;"&amp;$O189)+1-1)/COUNTIF($B$2:$B$492,$B189))&gt;=0.85,"Top",IF((1-(COUNTIFS($B$2:$B$492,$B189,$O$2:$O$492,"&gt;"&amp;$O189)+1-1)/COUNTIF($B$2:$B$492,$B189))&gt;=0.6,"Buono",IF((1-(COUNTIFS($B$2:$B$492,$B189,$O$2:$O$492,"&gt;"&amp;$O189)+1-1)/COUNTIF($B$2:$B$492,$B189))&gt;=0.3,"Nella Media","Scommessa/Riserva")))),"")</f>
        <v>Nella Media</v>
      </c>
      <c r="Q189" s="29" t="n">
        <f aca="false">IF($D189="",COUNTIF($D$2:$D189,""),"")</f>
        <v>188</v>
      </c>
      <c r="R189" s="29" t="str">
        <f aca="false">IF($D189='Info Lega'!$B$28,COUNTIFS($D$2:$D189,'Info Lega'!$B$28),"")</f>
        <v/>
      </c>
      <c r="S189" s="30" t="n">
        <f aca="false">IFERROR(INDEX('Input Statistiche 2025_26'!$G$3:$G$665,MATCH($A189,'Input Statistiche 2025_26'!$A$3:$A$665,0)),"")</f>
        <v>5.8</v>
      </c>
      <c r="T189" s="30" t="n">
        <f aca="false">IFERROR(INDEX('Input Statistiche 2025_26'!$H$3:$H$665,MATCH($A189,'Input Statistiche 2025_26'!$A$3:$A$665,0)),"")</f>
        <v>5.78</v>
      </c>
      <c r="U189" s="26" t="str">
        <f aca="false">IF(OR('La Mia Rosa'!$O$12="",$D189&lt;&gt;""),"",IF($F189&lt;='La Mia Rosa'!$O$12*'Parametri Modello'!$B$24,"OK",IF($F189&lt;='La Mia Rosa'!$O$12*'Parametri Modello'!$B$25,"Attenzione","Rischio Alto")))</f>
        <v>OK</v>
      </c>
      <c r="V189" s="26" t="n">
        <f aca="false">IFERROR(COUNTIFS($B$2:$B$492,$B189,$O$2:$O$492,"&gt;"&amp;$O189)+1,"")</f>
        <v>71</v>
      </c>
      <c r="W189" s="21" t="n">
        <f aca="false">'Info Lega'!$B$4-SUMIFS($M$2:$M$492,$D$2:$D$492,'Info Lega'!$B$28)</f>
        <v>1000</v>
      </c>
      <c r="X189" s="21" t="n">
        <f aca="false">('Info Lega'!$B$5-COUNTIFS($D$2:$D$492,'Info Lega'!$B$28,$B$2:$B$492,"P"))+('Info Lega'!$B$6-COUNTIFS($D$2:$D$492,'Info Lega'!$B$28,$B$2:$B$492,"D"))+('Info Lega'!$B$7-COUNTIFS($D$2:$D$492,'Info Lega'!$B$28,$B$2:$B$492,"C"))+('Info Lega'!$B$8-COUNTIFS($D$2:$D$492,'Info Lega'!$B$28,$B$2:$B$492,"A"))</f>
        <v>25</v>
      </c>
      <c r="Y189" s="21" t="n">
        <f aca="false">X189*'Parametri Modello'!$B$30</f>
        <v>25</v>
      </c>
      <c r="Z189" s="21" t="n">
        <f aca="false">MAX(0,W189-Y189)</f>
        <v>975</v>
      </c>
      <c r="AA189" s="21" t="n">
        <f aca="false">MIN(F189,Z189)</f>
        <v>10</v>
      </c>
      <c r="AB189" s="21"/>
      <c r="AC189" s="21" t="str">
        <f aca="false">IF(AB189="","",IF(AB189&gt;AA189,"PASS",IF(AB189&lt;=AA189*0.85,"BID","ATTENZIONE")))</f>
        <v/>
      </c>
      <c r="AD189" s="31" t="n">
        <f aca="false">IF(I189="","",ROUND(100*(1-EXP(-I189/30)),0))</f>
        <v>54</v>
      </c>
      <c r="AE189" s="7" t="str">
        <f aca="false">IFERROR(INDEX('Stato Asta'!$G$9:$G$12,MATCH($B189,'Stato Asta'!$A$9:$A$12,0)),"")</f>
        <v>🟡 Attesa rischiosa</v>
      </c>
    </row>
    <row r="190" customFormat="false" ht="14.25" hidden="false" customHeight="true" outlineLevel="0" collapsed="false">
      <c r="A190" s="21" t="n">
        <v>6020</v>
      </c>
      <c r="B190" s="21" t="s">
        <v>45</v>
      </c>
      <c r="C190" s="21" t="s">
        <v>436</v>
      </c>
      <c r="E190" s="26" t="str">
        <f aca="false">IF(COUNTIF('Info Strategia'!$D$2:$D$51,$C190)&gt;0,"SI","NO")</f>
        <v>NO</v>
      </c>
      <c r="F190" s="27" t="n">
        <f aca="false">IFERROR(ROUND(($G190+($H190-$G190)*'Info Strategia'!$B$6)*(1+IF($E190="SI",'Parametri Modello'!$B$7*'Info Strategia'!$B$6,0)),0),"")</f>
        <v>10</v>
      </c>
      <c r="G190" s="27" t="n">
        <f aca="false">IFERROR(ROUND((IF(OR(INDEX('Parametri Modello'!$C$39:$C$42,MATCH($B190,'Parametri Modello'!$A$39:$A$42,0))="",INDEX('Parametri Modello'!$C$39:$C$42,MATCH($B190,'Parametri Modello'!$A$39:$A$42,0))=0),0,($O190/INDEX('Parametri Modello'!$C$39:$C$42,MATCH($B190,'Parametri Modello'!$A$39:$A$42,0)))*(INDEX('Parametri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7</v>
      </c>
      <c r="H190" s="27" t="n">
        <f aca="false">IFERROR(ROUND((IF(OR(INDEX('Parametri Modello'!$C$39:$C$42,MATCH($B190,'Parametri Modello'!$A$39:$A$42,0))="",INDEX('Parametri Modello'!$C$39:$C$42,MATCH($B190,'Parametri Modello'!$A$39:$A$42,0))=0),0,($O190/INDEX('Parametri Modello'!$C$39:$C$42,MATCH($B190,'Parametri Modello'!$A$39:$A$42,0)))*(INDEX('Parametri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11</v>
      </c>
      <c r="I190" s="26" t="n">
        <f aca="false">IFERROR(INDEX('Input Statistiche 2025_26'!$F$3:$F$665,MATCH($A190,'Input Statistiche 2025_26'!$A$3:$A$665,0)),"")</f>
        <v>35</v>
      </c>
      <c r="J190" s="26" t="n">
        <f aca="false">IFERROR(IF($I190="","",MAX(0,38-$I190)),"")</f>
        <v>3</v>
      </c>
      <c r="K190" s="26" t="n">
        <f aca="false">IFERROR(INDEX('Input Statistiche 2025_26'!$I$3:$I$665,MATCH($A190,'Input Statistiche 2025_26'!$A$3:$A$665,0)),"")</f>
        <v>1</v>
      </c>
      <c r="L190" s="26" t="n">
        <f aca="false">IFERROR(INDEX('Input Statistiche 2025_26'!$O$3:$O$665,MATCH($A190,'Input Statistiche 2025_26'!$A$3:$A$665,0)),"")</f>
        <v>1</v>
      </c>
      <c r="M190" s="28"/>
      <c r="N190" s="27" t="n">
        <f aca="false">IFERROR(INDEX('Input Giocatori 2026_27'!$E$3:$E$493,MATCH($A190,'Input Giocatori 2026_27'!$A$3:$A$493,0)),"")</f>
        <v>6</v>
      </c>
      <c r="O190" s="27" t="n">
        <f aca="false">IFERROR(INDEX('Input Giocatori 2026_27'!$G$3:$G$493,MATCH($A190,'Input Giocatori 2026_27'!$A$3:$A$493,0)),"")</f>
        <v>18</v>
      </c>
      <c r="P190" s="26" t="str">
        <f aca="false">IFERROR(IF($O190="","",IF((1-(COUNTIFS($B$2:$B$492,$B190,$O$2:$O$492,"&gt;"&amp;$O190)+1-1)/COUNTIF($B$2:$B$492,$B190))&gt;=0.85,"Top",IF((1-(COUNTIFS($B$2:$B$492,$B190,$O$2:$O$492,"&gt;"&amp;$O190)+1-1)/COUNTIF($B$2:$B$492,$B190))&gt;=0.6,"Buono",IF((1-(COUNTIFS($B$2:$B$492,$B190,$O$2:$O$492,"&gt;"&amp;$O190)+1-1)/COUNTIF($B$2:$B$492,$B190))&gt;=0.3,"Nella Media","Scommessa/Riserva")))),"")</f>
        <v>Nella Media</v>
      </c>
      <c r="Q190" s="29" t="n">
        <f aca="false">IF($D190="",COUNTIF($D$2:$D190,""),"")</f>
        <v>189</v>
      </c>
      <c r="R190" s="29" t="str">
        <f aca="false">IF($D190='Info Lega'!$B$28,COUNTIFS($D$2:$D190,'Info Lega'!$B$28),"")</f>
        <v/>
      </c>
      <c r="S190" s="30" t="n">
        <f aca="false">IFERROR(INDEX('Input Statistiche 2025_26'!$G$3:$G$665,MATCH($A190,'Input Statistiche 2025_26'!$A$3:$A$665,0)),"")</f>
        <v>5.84</v>
      </c>
      <c r="T190" s="30" t="n">
        <f aca="false">IFERROR(INDEX('Input Statistiche 2025_26'!$H$3:$H$665,MATCH($A190,'Input Statistiche 2025_26'!$A$3:$A$665,0)),"")</f>
        <v>5.91</v>
      </c>
      <c r="U190" s="26" t="str">
        <f aca="false">IF(OR('La Mia Rosa'!$O$12="",$D190&lt;&gt;""),"",IF($F190&lt;='La Mia Rosa'!$O$12*'Parametri Modello'!$B$24,"OK",IF($F190&lt;='La Mia Rosa'!$O$12*'Parametri Modello'!$B$25,"Attenzione","Rischio Alto")))</f>
        <v>OK</v>
      </c>
      <c r="V190" s="26" t="n">
        <f aca="false">IFERROR(COUNTIFS($B$2:$B$492,$B190,$O$2:$O$492,"&gt;"&amp;$O190)+1,"")</f>
        <v>71</v>
      </c>
      <c r="W190" s="21" t="n">
        <f aca="false">'Info Lega'!$B$4-SUMIFS($M$2:$M$492,$D$2:$D$492,'Info Lega'!$B$28)</f>
        <v>1000</v>
      </c>
      <c r="X190" s="21" t="n">
        <f aca="false">('Info Lega'!$B$5-COUNTIFS($D$2:$D$492,'Info Lega'!$B$28,$B$2:$B$492,"P"))+('Info Lega'!$B$6-COUNTIFS($D$2:$D$492,'Info Lega'!$B$28,$B$2:$B$492,"D"))+('Info Lega'!$B$7-COUNTIFS($D$2:$D$492,'Info Lega'!$B$28,$B$2:$B$492,"C"))+('Info Lega'!$B$8-COUNTIFS($D$2:$D$492,'Info Lega'!$B$28,$B$2:$B$492,"A"))</f>
        <v>25</v>
      </c>
      <c r="Y190" s="21" t="n">
        <f aca="false">X190*'Parametri Modello'!$B$30</f>
        <v>25</v>
      </c>
      <c r="Z190" s="21" t="n">
        <f aca="false">MAX(0,W190-Y190)</f>
        <v>975</v>
      </c>
      <c r="AA190" s="21" t="n">
        <f aca="false">MIN(F190,Z190)</f>
        <v>10</v>
      </c>
      <c r="AB190" s="21"/>
      <c r="AC190" s="21" t="str">
        <f aca="false">IF(AB190="","",IF(AB190&gt;AA190,"PASS",IF(AB190&lt;=AA190*0.85,"BID","ATTENZIONE")))</f>
        <v/>
      </c>
      <c r="AD190" s="31" t="n">
        <f aca="false">IF(I190="","",ROUND(100*(1-EXP(-I190/30)),0))</f>
        <v>69</v>
      </c>
      <c r="AE190" s="7" t="str">
        <f aca="false">IFERROR(INDEX('Stato Asta'!$G$9:$G$12,MATCH($B190,'Stato Asta'!$A$9:$A$12,0)),"")</f>
        <v>🟡 Attesa rischiosa</v>
      </c>
    </row>
    <row r="191" customFormat="false" ht="14.25" hidden="false" customHeight="true" outlineLevel="0" collapsed="false">
      <c r="A191" s="21" t="n">
        <v>5761</v>
      </c>
      <c r="B191" s="21" t="s">
        <v>45</v>
      </c>
      <c r="C191" s="21" t="s">
        <v>437</v>
      </c>
      <c r="E191" s="26" t="str">
        <f aca="false">IF(COUNTIF('Info Strategia'!$D$2:$D$51,$C191)&gt;0,"SI","NO")</f>
        <v>NO</v>
      </c>
      <c r="F191" s="27" t="n">
        <f aca="false">IFERROR(ROUND(($G191+($H191-$G191)*'Info Strategia'!$B$6)*(1+IF($E191="SI",'Parametri Modello'!$B$7*'Info Strategia'!$B$6,0)),0),"")</f>
        <v>10</v>
      </c>
      <c r="G191" s="27" t="n">
        <f aca="false">IFERROR(ROUND((IF(OR(INDEX('Parametri Modello'!$C$39:$C$42,MATCH($B191,'Parametri Modello'!$A$39:$A$42,0))="",INDEX('Parametri Modello'!$C$39:$C$42,MATCH($B191,'Parametri Modello'!$A$39:$A$42,0))=0),0,($O191/INDEX('Parametri Modello'!$C$39:$C$42,MATCH($B191,'Parametri Modello'!$A$39:$A$42,0)))*(INDEX('Parametri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7</v>
      </c>
      <c r="H191" s="27" t="n">
        <f aca="false">IFERROR(ROUND((IF(OR(INDEX('Parametri Modello'!$C$39:$C$42,MATCH($B191,'Parametri Modello'!$A$39:$A$42,0))="",INDEX('Parametri Modello'!$C$39:$C$42,MATCH($B191,'Parametri Modello'!$A$39:$A$42,0))=0),0,($O191/INDEX('Parametri Modello'!$C$39:$C$42,MATCH($B191,'Parametri Modello'!$A$39:$A$42,0)))*(INDEX('Parametri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11</v>
      </c>
      <c r="I191" s="26" t="n">
        <f aca="false">IFERROR(INDEX('Input Statistiche 2025_26'!$F$3:$F$665,MATCH($A191,'Input Statistiche 2025_26'!$A$3:$A$665,0)),"")</f>
        <v>12</v>
      </c>
      <c r="J191" s="26" t="n">
        <f aca="false">IFERROR(IF($I191="","",MAX(0,38-$I191)),"")</f>
        <v>26</v>
      </c>
      <c r="K191" s="26" t="n">
        <f aca="false">IFERROR(INDEX('Input Statistiche 2025_26'!$I$3:$I$665,MATCH($A191,'Input Statistiche 2025_26'!$A$3:$A$665,0)),"")</f>
        <v>0</v>
      </c>
      <c r="L191" s="26" t="n">
        <f aca="false">IFERROR(INDEX('Input Statistiche 2025_26'!$O$3:$O$665,MATCH($A191,'Input Statistiche 2025_26'!$A$3:$A$665,0)),"")</f>
        <v>0</v>
      </c>
      <c r="M191" s="28"/>
      <c r="N191" s="27" t="n">
        <f aca="false">IFERROR(INDEX('Input Giocatori 2026_27'!$E$3:$E$493,MATCH($A191,'Input Giocatori 2026_27'!$A$3:$A$493,0)),"")</f>
        <v>6</v>
      </c>
      <c r="O191" s="27" t="n">
        <f aca="false">IFERROR(INDEX('Input Giocatori 2026_27'!$G$3:$G$493,MATCH($A191,'Input Giocatori 2026_27'!$A$3:$A$493,0)),"")</f>
        <v>18</v>
      </c>
      <c r="P191" s="26" t="str">
        <f aca="false">IFERROR(IF($O191="","",IF((1-(COUNTIFS($B$2:$B$492,$B191,$O$2:$O$492,"&gt;"&amp;$O191)+1-1)/COUNTIF($B$2:$B$492,$B191))&gt;=0.85,"Top",IF((1-(COUNTIFS($B$2:$B$492,$B191,$O$2:$O$492,"&gt;"&amp;$O191)+1-1)/COUNTIF($B$2:$B$492,$B191))&gt;=0.6,"Buono",IF((1-(COUNTIFS($B$2:$B$492,$B191,$O$2:$O$492,"&gt;"&amp;$O191)+1-1)/COUNTIF($B$2:$B$492,$B191))&gt;=0.3,"Nella Media","Scommessa/Riserva")))),"")</f>
        <v>Nella Media</v>
      </c>
      <c r="Q191" s="29" t="n">
        <f aca="false">IF($D191="",COUNTIF($D$2:$D191,""),"")</f>
        <v>190</v>
      </c>
      <c r="R191" s="29" t="str">
        <f aca="false">IF($D191='Info Lega'!$B$28,COUNTIFS($D$2:$D191,'Info Lega'!$B$28),"")</f>
        <v/>
      </c>
      <c r="S191" s="30" t="n">
        <f aca="false">IFERROR(INDEX('Input Statistiche 2025_26'!$G$3:$G$665,MATCH($A191,'Input Statistiche 2025_26'!$A$3:$A$665,0)),"")</f>
        <v>5.96</v>
      </c>
      <c r="T191" s="30" t="n">
        <f aca="false">IFERROR(INDEX('Input Statistiche 2025_26'!$H$3:$H$665,MATCH($A191,'Input Statistiche 2025_26'!$A$3:$A$665,0)),"")</f>
        <v>5.96</v>
      </c>
      <c r="U191" s="26" t="str">
        <f aca="false">IF(OR('La Mia Rosa'!$O$12="",$D191&lt;&gt;""),"",IF($F191&lt;='La Mia Rosa'!$O$12*'Parametri Modello'!$B$24,"OK",IF($F191&lt;='La Mia Rosa'!$O$12*'Parametri Modello'!$B$25,"Attenzione","Rischio Alto")))</f>
        <v>OK</v>
      </c>
      <c r="V191" s="26" t="n">
        <f aca="false">IFERROR(COUNTIFS($B$2:$B$492,$B191,$O$2:$O$492,"&gt;"&amp;$O191)+1,"")</f>
        <v>71</v>
      </c>
      <c r="W191" s="21" t="n">
        <f aca="false">'Info Lega'!$B$4-SUMIFS($M$2:$M$492,$D$2:$D$492,'Info Lega'!$B$28)</f>
        <v>1000</v>
      </c>
      <c r="X191" s="21" t="n">
        <f aca="false">('Info Lega'!$B$5-COUNTIFS($D$2:$D$492,'Info Lega'!$B$28,$B$2:$B$492,"P"))+('Info Lega'!$B$6-COUNTIFS($D$2:$D$492,'Info Lega'!$B$28,$B$2:$B$492,"D"))+('Info Lega'!$B$7-COUNTIFS($D$2:$D$492,'Info Lega'!$B$28,$B$2:$B$492,"C"))+('Info Lega'!$B$8-COUNTIFS($D$2:$D$492,'Info Lega'!$B$28,$B$2:$B$492,"A"))</f>
        <v>25</v>
      </c>
      <c r="Y191" s="21" t="n">
        <f aca="false">X191*'Parametri Modello'!$B$30</f>
        <v>25</v>
      </c>
      <c r="Z191" s="21" t="n">
        <f aca="false">MAX(0,W191-Y191)</f>
        <v>975</v>
      </c>
      <c r="AA191" s="21" t="n">
        <f aca="false">MIN(F191,Z191)</f>
        <v>10</v>
      </c>
      <c r="AB191" s="21"/>
      <c r="AC191" s="21" t="str">
        <f aca="false">IF(AB191="","",IF(AB191&gt;AA191,"PASS",IF(AB191&lt;=AA191*0.85,"BID","ATTENZIONE")))</f>
        <v/>
      </c>
      <c r="AD191" s="31" t="n">
        <f aca="false">IF(I191="","",ROUND(100*(1-EXP(-I191/30)),0))</f>
        <v>33</v>
      </c>
      <c r="AE191" s="7" t="str">
        <f aca="false">IFERROR(INDEX('Stato Asta'!$G$9:$G$12,MATCH($B191,'Stato Asta'!$A$9:$A$12,0)),"")</f>
        <v>🟡 Attesa rischiosa</v>
      </c>
    </row>
    <row r="192" customFormat="false" ht="14.25" hidden="false" customHeight="true" outlineLevel="0" collapsed="false">
      <c r="A192" s="21" t="n">
        <v>4349</v>
      </c>
      <c r="B192" s="21" t="s">
        <v>45</v>
      </c>
      <c r="C192" s="21" t="s">
        <v>443</v>
      </c>
      <c r="E192" s="26" t="str">
        <f aca="false">IF(COUNTIF('Info Strategia'!$D$2:$D$51,$C192)&gt;0,"SI","NO")</f>
        <v>NO</v>
      </c>
      <c r="F192" s="27" t="n">
        <f aca="false">IFERROR(ROUND(($G192+($H192-$G192)*'Info Strategia'!$B$6)*(1+IF($E192="SI",'Parametri Modello'!$B$7*'Info Strategia'!$B$6,0)),0),"")</f>
        <v>10</v>
      </c>
      <c r="G192" s="27" t="n">
        <f aca="false">IFERROR(ROUND((IF(OR(INDEX('Parametri Modello'!$C$39:$C$42,MATCH($B192,'Parametri Modello'!$A$39:$A$42,0))="",INDEX('Parametri Modello'!$C$39:$C$42,MATCH($B192,'Parametri Modello'!$A$39:$A$42,0))=0),0,($O192/INDEX('Parametri Modello'!$C$39:$C$42,MATCH($B192,'Parametri Modello'!$A$39:$A$42,0)))*(INDEX('Parametri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7</v>
      </c>
      <c r="H192" s="27" t="n">
        <f aca="false">IFERROR(ROUND((IF(OR(INDEX('Parametri Modello'!$C$39:$C$42,MATCH($B192,'Parametri Modello'!$A$39:$A$42,0))="",INDEX('Parametri Modello'!$C$39:$C$42,MATCH($B192,'Parametri Modello'!$A$39:$A$42,0))=0),0,($O192/INDEX('Parametri Modello'!$C$39:$C$42,MATCH($B192,'Parametri Modello'!$A$39:$A$42,0)))*(INDEX('Parametri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11</v>
      </c>
      <c r="I192" s="26" t="n">
        <f aca="false">IFERROR(INDEX('Input Statistiche 2025_26'!$F$3:$F$665,MATCH($A192,'Input Statistiche 2025_26'!$A$3:$A$665,0)),"")</f>
        <v>23</v>
      </c>
      <c r="J192" s="26" t="n">
        <f aca="false">IFERROR(IF($I192="","",MAX(0,38-$I192)),"")</f>
        <v>15</v>
      </c>
      <c r="K192" s="26" t="n">
        <f aca="false">IFERROR(INDEX('Input Statistiche 2025_26'!$I$3:$I$665,MATCH($A192,'Input Statistiche 2025_26'!$A$3:$A$665,0)),"")</f>
        <v>0</v>
      </c>
      <c r="L192" s="26" t="n">
        <f aca="false">IFERROR(INDEX('Input Statistiche 2025_26'!$O$3:$O$665,MATCH($A192,'Input Statistiche 2025_26'!$A$3:$A$665,0)),"")</f>
        <v>4</v>
      </c>
      <c r="M192" s="28"/>
      <c r="N192" s="27" t="n">
        <f aca="false">IFERROR(INDEX('Input Giocatori 2026_27'!$E$3:$E$493,MATCH($A192,'Input Giocatori 2026_27'!$A$3:$A$493,0)),"")</f>
        <v>6</v>
      </c>
      <c r="O192" s="27" t="n">
        <f aca="false">IFERROR(INDEX('Input Giocatori 2026_27'!$G$3:$G$493,MATCH($A192,'Input Giocatori 2026_27'!$A$3:$A$493,0)),"")</f>
        <v>18</v>
      </c>
      <c r="P192" s="26" t="str">
        <f aca="false">IFERROR(IF($O192="","",IF((1-(COUNTIFS($B$2:$B$492,$B192,$O$2:$O$492,"&gt;"&amp;$O192)+1-1)/COUNTIF($B$2:$B$492,$B192))&gt;=0.85,"Top",IF((1-(COUNTIFS($B$2:$B$492,$B192,$O$2:$O$492,"&gt;"&amp;$O192)+1-1)/COUNTIF($B$2:$B$492,$B192))&gt;=0.6,"Buono",IF((1-(COUNTIFS($B$2:$B$492,$B192,$O$2:$O$492,"&gt;"&amp;$O192)+1-1)/COUNTIF($B$2:$B$492,$B192))&gt;=0.3,"Nella Media","Scommessa/Riserva")))),"")</f>
        <v>Nella Media</v>
      </c>
      <c r="Q192" s="29" t="n">
        <f aca="false">IF($D192="",COUNTIF($D$2:$D192,""),"")</f>
        <v>191</v>
      </c>
      <c r="R192" s="29" t="str">
        <f aca="false">IF($D192='Info Lega'!$B$28,COUNTIFS($D$2:$D192,'Info Lega'!$B$28),"")</f>
        <v/>
      </c>
      <c r="S192" s="30" t="n">
        <f aca="false">IFERROR(INDEX('Input Statistiche 2025_26'!$G$3:$G$665,MATCH($A192,'Input Statistiche 2025_26'!$A$3:$A$665,0)),"")</f>
        <v>5.89</v>
      </c>
      <c r="T192" s="30" t="n">
        <f aca="false">IFERROR(INDEX('Input Statistiche 2025_26'!$H$3:$H$665,MATCH($A192,'Input Statistiche 2025_26'!$A$3:$A$665,0)),"")</f>
        <v>6.02</v>
      </c>
      <c r="U192" s="26" t="str">
        <f aca="false">IF(OR('La Mia Rosa'!$O$12="",$D192&lt;&gt;""),"",IF($F192&lt;='La Mia Rosa'!$O$12*'Parametri Modello'!$B$24,"OK",IF($F192&lt;='La Mia Rosa'!$O$12*'Parametri Modello'!$B$25,"Attenzione","Rischio Alto")))</f>
        <v>OK</v>
      </c>
      <c r="V192" s="26" t="n">
        <f aca="false">IFERROR(COUNTIFS($B$2:$B$492,$B192,$O$2:$O$492,"&gt;"&amp;$O192)+1,"")</f>
        <v>71</v>
      </c>
      <c r="W192" s="21" t="n">
        <f aca="false">'Info Lega'!$B$4-SUMIFS($M$2:$M$492,$D$2:$D$492,'Info Lega'!$B$28)</f>
        <v>1000</v>
      </c>
      <c r="X192" s="21" t="n">
        <f aca="false">('Info Lega'!$B$5-COUNTIFS($D$2:$D$492,'Info Lega'!$B$28,$B$2:$B$492,"P"))+('Info Lega'!$B$6-COUNTIFS($D$2:$D$492,'Info Lega'!$B$28,$B$2:$B$492,"D"))+('Info Lega'!$B$7-COUNTIFS($D$2:$D$492,'Info Lega'!$B$28,$B$2:$B$492,"C"))+('Info Lega'!$B$8-COUNTIFS($D$2:$D$492,'Info Lega'!$B$28,$B$2:$B$492,"A"))</f>
        <v>25</v>
      </c>
      <c r="Y192" s="21" t="n">
        <f aca="false">X192*'Parametri Modello'!$B$30</f>
        <v>25</v>
      </c>
      <c r="Z192" s="21" t="n">
        <f aca="false">MAX(0,W192-Y192)</f>
        <v>975</v>
      </c>
      <c r="AA192" s="21" t="n">
        <f aca="false">MIN(F192,Z192)</f>
        <v>10</v>
      </c>
      <c r="AB192" s="21"/>
      <c r="AC192" s="21" t="str">
        <f aca="false">IF(AB192="","",IF(AB192&gt;AA192,"PASS",IF(AB192&lt;=AA192*0.85,"BID","ATTENZIONE")))</f>
        <v/>
      </c>
      <c r="AD192" s="31" t="n">
        <f aca="false">IF(I192="","",ROUND(100*(1-EXP(-I192/30)),0))</f>
        <v>54</v>
      </c>
      <c r="AE192" s="7" t="str">
        <f aca="false">IFERROR(INDEX('Stato Asta'!$G$9:$G$12,MATCH($B192,'Stato Asta'!$A$9:$A$12,0)),"")</f>
        <v>🟡 Attesa rischiosa</v>
      </c>
    </row>
    <row r="193" customFormat="false" ht="14.25" hidden="false" customHeight="true" outlineLevel="0" collapsed="false">
      <c r="A193" s="21" t="n">
        <v>6984</v>
      </c>
      <c r="B193" s="21" t="s">
        <v>45</v>
      </c>
      <c r="C193" s="21" t="s">
        <v>461</v>
      </c>
      <c r="E193" s="26" t="str">
        <f aca="false">IF(COUNTIF('Info Strategia'!$D$2:$D$51,$C193)&gt;0,"SI","NO")</f>
        <v>NO</v>
      </c>
      <c r="F193" s="27" t="n">
        <f aca="false">IFERROR(ROUND(($G193+($H193-$G193)*'Info Strategia'!$B$6)*(1+IF($E193="SI",'Parametri Modello'!$B$7*'Info Strategia'!$B$6,0)),0),"")</f>
        <v>10</v>
      </c>
      <c r="G193" s="27" t="n">
        <f aca="false">IFERROR(ROUND((IF(OR(INDEX('Parametri Modello'!$C$39:$C$42,MATCH($B193,'Parametri Modello'!$A$39:$A$42,0))="",INDEX('Parametri Modello'!$C$39:$C$42,MATCH($B193,'Parametri Modello'!$A$39:$A$42,0))=0),0,($O193/INDEX('Parametri Modello'!$C$39:$C$42,MATCH($B193,'Parametri Modello'!$A$39:$A$42,0)))*(INDEX('Parametri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7</v>
      </c>
      <c r="H193" s="27" t="n">
        <f aca="false">IFERROR(ROUND((IF(OR(INDEX('Parametri Modello'!$C$39:$C$42,MATCH($B193,'Parametri Modello'!$A$39:$A$42,0))="",INDEX('Parametri Modello'!$C$39:$C$42,MATCH($B193,'Parametri Modello'!$A$39:$A$42,0))=0),0,($O193/INDEX('Parametri Modello'!$C$39:$C$42,MATCH($B193,'Parametri Modello'!$A$39:$A$42,0)))*(INDEX('Parametri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11</v>
      </c>
      <c r="I193" s="26" t="n">
        <f aca="false">IFERROR(INDEX('Input Statistiche 2025_26'!$F$3:$F$665,MATCH($A193,'Input Statistiche 2025_26'!$A$3:$A$665,0)),"")</f>
        <v>15</v>
      </c>
      <c r="J193" s="26" t="n">
        <f aca="false">IFERROR(IF($I193="","",MAX(0,38-$I193)),"")</f>
        <v>23</v>
      </c>
      <c r="K193" s="26" t="n">
        <f aca="false">IFERROR(INDEX('Input Statistiche 2025_26'!$I$3:$I$665,MATCH($A193,'Input Statistiche 2025_26'!$A$3:$A$665,0)),"")</f>
        <v>0</v>
      </c>
      <c r="L193" s="26" t="n">
        <f aca="false">IFERROR(INDEX('Input Statistiche 2025_26'!$O$3:$O$665,MATCH($A193,'Input Statistiche 2025_26'!$A$3:$A$665,0)),"")</f>
        <v>0</v>
      </c>
      <c r="M193" s="28"/>
      <c r="N193" s="27" t="n">
        <f aca="false">IFERROR(INDEX('Input Giocatori 2026_27'!$E$3:$E$493,MATCH($A193,'Input Giocatori 2026_27'!$A$3:$A$493,0)),"")</f>
        <v>5</v>
      </c>
      <c r="O193" s="27" t="n">
        <f aca="false">IFERROR(INDEX('Input Giocatori 2026_27'!$G$3:$G$493,MATCH($A193,'Input Giocatori 2026_27'!$A$3:$A$493,0)),"")</f>
        <v>18</v>
      </c>
      <c r="P193" s="26" t="str">
        <f aca="false">IFERROR(IF($O193="","",IF((1-(COUNTIFS($B$2:$B$492,$B193,$O$2:$O$492,"&gt;"&amp;$O193)+1-1)/COUNTIF($B$2:$B$492,$B193))&gt;=0.85,"Top",IF((1-(COUNTIFS($B$2:$B$492,$B193,$O$2:$O$492,"&gt;"&amp;$O193)+1-1)/COUNTIF($B$2:$B$492,$B193))&gt;=0.6,"Buono",IF((1-(COUNTIFS($B$2:$B$492,$B193,$O$2:$O$492,"&gt;"&amp;$O193)+1-1)/COUNTIF($B$2:$B$492,$B193))&gt;=0.3,"Nella Media","Scommessa/Riserva")))),"")</f>
        <v>Nella Media</v>
      </c>
      <c r="Q193" s="29" t="n">
        <f aca="false">IF($D193="",COUNTIF($D$2:$D193,""),"")</f>
        <v>192</v>
      </c>
      <c r="R193" s="29" t="str">
        <f aca="false">IF($D193='Info Lega'!$B$28,COUNTIFS($D$2:$D193,'Info Lega'!$B$28),"")</f>
        <v/>
      </c>
      <c r="S193" s="30" t="n">
        <f aca="false">IFERROR(INDEX('Input Statistiche 2025_26'!$G$3:$G$665,MATCH($A193,'Input Statistiche 2025_26'!$A$3:$A$665,0)),"")</f>
        <v>5.7</v>
      </c>
      <c r="T193" s="30" t="n">
        <f aca="false">IFERROR(INDEX('Input Statistiche 2025_26'!$H$3:$H$665,MATCH($A193,'Input Statistiche 2025_26'!$A$3:$A$665,0)),"")</f>
        <v>5.63</v>
      </c>
      <c r="U193" s="26" t="str">
        <f aca="false">IF(OR('La Mia Rosa'!$O$12="",$D193&lt;&gt;""),"",IF($F193&lt;='La Mia Rosa'!$O$12*'Parametri Modello'!$B$24,"OK",IF($F193&lt;='La Mia Rosa'!$O$12*'Parametri Modello'!$B$25,"Attenzione","Rischio Alto")))</f>
        <v>OK</v>
      </c>
      <c r="V193" s="26" t="n">
        <f aca="false">IFERROR(COUNTIFS($B$2:$B$492,$B193,$O$2:$O$492,"&gt;"&amp;$O193)+1,"")</f>
        <v>71</v>
      </c>
      <c r="W193" s="21" t="n">
        <f aca="false">'Info Lega'!$B$4-SUMIFS($M$2:$M$492,$D$2:$D$492,'Info Lega'!$B$28)</f>
        <v>1000</v>
      </c>
      <c r="X193" s="21" t="n">
        <f aca="false">('Info Lega'!$B$5-COUNTIFS($D$2:$D$492,'Info Lega'!$B$28,$B$2:$B$492,"P"))+('Info Lega'!$B$6-COUNTIFS($D$2:$D$492,'Info Lega'!$B$28,$B$2:$B$492,"D"))+('Info Lega'!$B$7-COUNTIFS($D$2:$D$492,'Info Lega'!$B$28,$B$2:$B$492,"C"))+('Info Lega'!$B$8-COUNTIFS($D$2:$D$492,'Info Lega'!$B$28,$B$2:$B$492,"A"))</f>
        <v>25</v>
      </c>
      <c r="Y193" s="21" t="n">
        <f aca="false">X193*'Parametri Modello'!$B$30</f>
        <v>25</v>
      </c>
      <c r="Z193" s="21" t="n">
        <f aca="false">MAX(0,W193-Y193)</f>
        <v>975</v>
      </c>
      <c r="AA193" s="21" t="n">
        <f aca="false">MIN(F193,Z193)</f>
        <v>10</v>
      </c>
      <c r="AB193" s="21"/>
      <c r="AC193" s="21" t="str">
        <f aca="false">IF(AB193="","",IF(AB193&gt;AA193,"PASS",IF(AB193&lt;=AA193*0.85,"BID","ATTENZIONE")))</f>
        <v/>
      </c>
      <c r="AD193" s="31" t="n">
        <f aca="false">IF(I193="","",ROUND(100*(1-EXP(-I193/30)),0))</f>
        <v>39</v>
      </c>
      <c r="AE193" s="7" t="str">
        <f aca="false">IFERROR(INDEX('Stato Asta'!$G$9:$G$12,MATCH($B193,'Stato Asta'!$A$9:$A$12,0)),"")</f>
        <v>🟡 Attesa rischiosa</v>
      </c>
    </row>
    <row r="194" customFormat="false" ht="14.25" hidden="false" customHeight="true" outlineLevel="0" collapsed="false">
      <c r="A194" s="21" t="n">
        <v>7060</v>
      </c>
      <c r="B194" s="21" t="s">
        <v>45</v>
      </c>
      <c r="C194" s="21" t="s">
        <v>466</v>
      </c>
      <c r="E194" s="26" t="str">
        <f aca="false">IF(COUNTIF('Info Strategia'!$D$2:$D$51,$C194)&gt;0,"SI","NO")</f>
        <v>NO</v>
      </c>
      <c r="F194" s="27" t="n">
        <f aca="false">IFERROR(ROUND(($G194+($H194-$G194)*'Info Strategia'!$B$6)*(1+IF($E194="SI",'Parametri Modello'!$B$7*'Info Strategia'!$B$6,0)),0),"")</f>
        <v>10</v>
      </c>
      <c r="G194" s="27" t="n">
        <f aca="false">IFERROR(ROUND((IF(OR(INDEX('Parametri Modello'!$C$39:$C$42,MATCH($B194,'Parametri Modello'!$A$39:$A$42,0))="",INDEX('Parametri Modello'!$C$39:$C$42,MATCH($B194,'Parametri Modello'!$A$39:$A$42,0))=0),0,($O194/INDEX('Parametri Modello'!$C$39:$C$42,MATCH($B194,'Parametri Modello'!$A$39:$A$42,0)))*(INDEX('Parametri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7</v>
      </c>
      <c r="H194" s="27" t="n">
        <f aca="false">IFERROR(ROUND((IF(OR(INDEX('Parametri Modello'!$C$39:$C$42,MATCH($B194,'Parametri Modello'!$A$39:$A$42,0))="",INDEX('Parametri Modello'!$C$39:$C$42,MATCH($B194,'Parametri Modello'!$A$39:$A$42,0))=0),0,($O194/INDEX('Parametri Modello'!$C$39:$C$42,MATCH($B194,'Parametri Modello'!$A$39:$A$42,0)))*(INDEX('Parametri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11</v>
      </c>
      <c r="I194" s="26" t="str">
        <f aca="false">IFERROR(INDEX('Input Statistiche 2025_26'!$F$3:$F$665,MATCH($A194,'Input Statistiche 2025_26'!$A$3:$A$665,0)),"")</f>
        <v/>
      </c>
      <c r="J194" s="26" t="str">
        <f aca="false">IFERROR(IF($I194="","",MAX(0,38-$I194)),"")</f>
        <v/>
      </c>
      <c r="K194" s="26" t="str">
        <f aca="false">IFERROR(INDEX('Input Statistiche 2025_26'!$I$3:$I$665,MATCH($A194,'Input Statistiche 2025_26'!$A$3:$A$665,0)),"")</f>
        <v/>
      </c>
      <c r="L194" s="26" t="str">
        <f aca="false">IFERROR(INDEX('Input Statistiche 2025_26'!$O$3:$O$665,MATCH($A194,'Input Statistiche 2025_26'!$A$3:$A$665,0)),"")</f>
        <v/>
      </c>
      <c r="M194" s="28"/>
      <c r="N194" s="27" t="n">
        <f aca="false">IFERROR(INDEX('Input Giocatori 2026_27'!$E$3:$E$493,MATCH($A194,'Input Giocatori 2026_27'!$A$3:$A$493,0)),"")</f>
        <v>5</v>
      </c>
      <c r="O194" s="27" t="n">
        <f aca="false">IFERROR(INDEX('Input Giocatori 2026_27'!$G$3:$G$493,MATCH($A194,'Input Giocatori 2026_27'!$A$3:$A$493,0)),"")</f>
        <v>18</v>
      </c>
      <c r="P194" s="26" t="str">
        <f aca="false">IFERROR(IF($O194="","",IF((1-(COUNTIFS($B$2:$B$492,$B194,$O$2:$O$492,"&gt;"&amp;$O194)+1-1)/COUNTIF($B$2:$B$492,$B194))&gt;=0.85,"Top",IF((1-(COUNTIFS($B$2:$B$492,$B194,$O$2:$O$492,"&gt;"&amp;$O194)+1-1)/COUNTIF($B$2:$B$492,$B194))&gt;=0.6,"Buono",IF((1-(COUNTIFS($B$2:$B$492,$B194,$O$2:$O$492,"&gt;"&amp;$O194)+1-1)/COUNTIF($B$2:$B$492,$B194))&gt;=0.3,"Nella Media","Scommessa/Riserva")))),"")</f>
        <v>Nella Media</v>
      </c>
      <c r="Q194" s="29" t="n">
        <f aca="false">IF($D194="",COUNTIF($D$2:$D194,""),"")</f>
        <v>193</v>
      </c>
      <c r="R194" s="29" t="str">
        <f aca="false">IF($D194='Info Lega'!$B$28,COUNTIFS($D$2:$D194,'Info Lega'!$B$28),"")</f>
        <v/>
      </c>
      <c r="S194" s="30" t="str">
        <f aca="false">IFERROR(INDEX('Input Statistiche 2025_26'!$G$3:$G$665,MATCH($A194,'Input Statistiche 2025_26'!$A$3:$A$665,0)),"")</f>
        <v/>
      </c>
      <c r="T194" s="30" t="str">
        <f aca="false">IFERROR(INDEX('Input Statistiche 2025_26'!$H$3:$H$665,MATCH($A194,'Input Statistiche 2025_26'!$A$3:$A$665,0)),"")</f>
        <v/>
      </c>
      <c r="U194" s="26" t="str">
        <f aca="false">IF(OR('La Mia Rosa'!$O$12="",$D194&lt;&gt;""),"",IF($F194&lt;='La Mia Rosa'!$O$12*'Parametri Modello'!$B$24,"OK",IF($F194&lt;='La Mia Rosa'!$O$12*'Parametri Modello'!$B$25,"Attenzione","Rischio Alto")))</f>
        <v>OK</v>
      </c>
      <c r="V194" s="26" t="n">
        <f aca="false">IFERROR(COUNTIFS($B$2:$B$492,$B194,$O$2:$O$492,"&gt;"&amp;$O194)+1,"")</f>
        <v>71</v>
      </c>
      <c r="W194" s="21" t="n">
        <f aca="false">'Info Lega'!$B$4-SUMIFS($M$2:$M$492,$D$2:$D$492,'Info Lega'!$B$28)</f>
        <v>1000</v>
      </c>
      <c r="X194" s="21" t="n">
        <f aca="false">('Info Lega'!$B$5-COUNTIFS($D$2:$D$492,'Info Lega'!$B$28,$B$2:$B$492,"P"))+('Info Lega'!$B$6-COUNTIFS($D$2:$D$492,'Info Lega'!$B$28,$B$2:$B$492,"D"))+('Info Lega'!$B$7-COUNTIFS($D$2:$D$492,'Info Lega'!$B$28,$B$2:$B$492,"C"))+('Info Lega'!$B$8-COUNTIFS($D$2:$D$492,'Info Lega'!$B$28,$B$2:$B$492,"A"))</f>
        <v>25</v>
      </c>
      <c r="Y194" s="21" t="n">
        <f aca="false">X194*'Parametri Modello'!$B$30</f>
        <v>25</v>
      </c>
      <c r="Z194" s="21" t="n">
        <f aca="false">MAX(0,W194-Y194)</f>
        <v>975</v>
      </c>
      <c r="AA194" s="21" t="n">
        <f aca="false">MIN(F194,Z194)</f>
        <v>10</v>
      </c>
      <c r="AB194" s="21"/>
      <c r="AC194" s="21" t="str">
        <f aca="false">IF(AB194="","",IF(AB194&gt;AA194,"PASS",IF(AB194&lt;=AA194*0.85,"BID","ATTENZIONE")))</f>
        <v/>
      </c>
      <c r="AD194" s="31" t="str">
        <f aca="false">IF(I194="","",ROUND(100*(1-EXP(-I194/30)),0))</f>
        <v/>
      </c>
      <c r="AE194" s="7" t="str">
        <f aca="false">IFERROR(INDEX('Stato Asta'!$G$9:$G$12,MATCH($B194,'Stato Asta'!$A$9:$A$12,0)),"")</f>
        <v>🟡 Attesa rischiosa</v>
      </c>
    </row>
    <row r="195" customFormat="false" ht="14.25" hidden="false" customHeight="true" outlineLevel="0" collapsed="false">
      <c r="A195" s="21" t="n">
        <v>6271</v>
      </c>
      <c r="B195" s="21" t="s">
        <v>45</v>
      </c>
      <c r="C195" s="21" t="s">
        <v>488</v>
      </c>
      <c r="E195" s="26" t="str">
        <f aca="false">IF(COUNTIF('Info Strategia'!$D$2:$D$51,$C195)&gt;0,"SI","NO")</f>
        <v>NO</v>
      </c>
      <c r="F195" s="27" t="n">
        <f aca="false">IFERROR(ROUND(($G195+($H195-$G195)*'Info Strategia'!$B$6)*(1+IF($E195="SI",'Parametri Modello'!$B$7*'Info Strategia'!$B$6,0)),0),"")</f>
        <v>10</v>
      </c>
      <c r="G195" s="27" t="n">
        <f aca="false">IFERROR(ROUND((IF(OR(INDEX('Parametri Modello'!$C$39:$C$42,MATCH($B195,'Parametri Modello'!$A$39:$A$42,0))="",INDEX('Parametri Modello'!$C$39:$C$42,MATCH($B195,'Parametri Modello'!$A$39:$A$42,0))=0),0,($O195/INDEX('Parametri Modello'!$C$39:$C$42,MATCH($B195,'Parametri Modello'!$A$39:$A$42,0)))*(INDEX('Parametri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7</v>
      </c>
      <c r="H195" s="27" t="n">
        <f aca="false">IFERROR(ROUND((IF(OR(INDEX('Parametri Modello'!$C$39:$C$42,MATCH($B195,'Parametri Modello'!$A$39:$A$42,0))="",INDEX('Parametri Modello'!$C$39:$C$42,MATCH($B195,'Parametri Modello'!$A$39:$A$42,0))=0),0,($O195/INDEX('Parametri Modello'!$C$39:$C$42,MATCH($B195,'Parametri Modello'!$A$39:$A$42,0)))*(INDEX('Parametri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11</v>
      </c>
      <c r="I195" s="26" t="n">
        <f aca="false">IFERROR(INDEX('Input Statistiche 2025_26'!$F$3:$F$665,MATCH($A195,'Input Statistiche 2025_26'!$A$3:$A$665,0)),"")</f>
        <v>21</v>
      </c>
      <c r="J195" s="26" t="n">
        <f aca="false">IFERROR(IF($I195="","",MAX(0,38-$I195)),"")</f>
        <v>17</v>
      </c>
      <c r="K195" s="26" t="n">
        <f aca="false">IFERROR(INDEX('Input Statistiche 2025_26'!$I$3:$I$665,MATCH($A195,'Input Statistiche 2025_26'!$A$3:$A$665,0)),"")</f>
        <v>1</v>
      </c>
      <c r="L195" s="26" t="n">
        <f aca="false">IFERROR(INDEX('Input Statistiche 2025_26'!$O$3:$O$665,MATCH($A195,'Input Statistiche 2025_26'!$A$3:$A$665,0)),"")</f>
        <v>2</v>
      </c>
      <c r="M195" s="28"/>
      <c r="N195" s="27" t="n">
        <f aca="false">IFERROR(INDEX('Input Giocatori 2026_27'!$E$3:$E$493,MATCH($A195,'Input Giocatori 2026_27'!$A$3:$A$493,0)),"")</f>
        <v>4</v>
      </c>
      <c r="O195" s="27" t="n">
        <f aca="false">IFERROR(INDEX('Input Giocatori 2026_27'!$G$3:$G$493,MATCH($A195,'Input Giocatori 2026_27'!$A$3:$A$493,0)),"")</f>
        <v>18</v>
      </c>
      <c r="P195" s="26" t="str">
        <f aca="false">IFERROR(IF($O195="","",IF((1-(COUNTIFS($B$2:$B$492,$B195,$O$2:$O$492,"&gt;"&amp;$O195)+1-1)/COUNTIF($B$2:$B$492,$B195))&gt;=0.85,"Top",IF((1-(COUNTIFS($B$2:$B$492,$B195,$O$2:$O$492,"&gt;"&amp;$O195)+1-1)/COUNTIF($B$2:$B$492,$B195))&gt;=0.6,"Buono",IF((1-(COUNTIFS($B$2:$B$492,$B195,$O$2:$O$492,"&gt;"&amp;$O195)+1-1)/COUNTIF($B$2:$B$492,$B195))&gt;=0.3,"Nella Media","Scommessa/Riserva")))),"")</f>
        <v>Nella Media</v>
      </c>
      <c r="Q195" s="29" t="n">
        <f aca="false">IF($D195="",COUNTIF($D$2:$D195,""),"")</f>
        <v>194</v>
      </c>
      <c r="R195" s="29" t="str">
        <f aca="false">IF($D195='Info Lega'!$B$28,COUNTIFS($D$2:$D195,'Info Lega'!$B$28),"")</f>
        <v/>
      </c>
      <c r="S195" s="30" t="n">
        <f aca="false">IFERROR(INDEX('Input Statistiche 2025_26'!$G$3:$G$665,MATCH($A195,'Input Statistiche 2025_26'!$A$3:$A$665,0)),"")</f>
        <v>5.98</v>
      </c>
      <c r="T195" s="30" t="n">
        <f aca="false">IFERROR(INDEX('Input Statistiche 2025_26'!$H$3:$H$665,MATCH($A195,'Input Statistiche 2025_26'!$A$3:$A$665,0)),"")</f>
        <v>6.1</v>
      </c>
      <c r="U195" s="26" t="str">
        <f aca="false">IF(OR('La Mia Rosa'!$O$12="",$D195&lt;&gt;""),"",IF($F195&lt;='La Mia Rosa'!$O$12*'Parametri Modello'!$B$24,"OK",IF($F195&lt;='La Mia Rosa'!$O$12*'Parametri Modello'!$B$25,"Attenzione","Rischio Alto")))</f>
        <v>OK</v>
      </c>
      <c r="V195" s="26" t="n">
        <f aca="false">IFERROR(COUNTIFS($B$2:$B$492,$B195,$O$2:$O$492,"&gt;"&amp;$O195)+1,"")</f>
        <v>71</v>
      </c>
      <c r="W195" s="21" t="n">
        <f aca="false">'Info Lega'!$B$4-SUMIFS($M$2:$M$492,$D$2:$D$492,'Info Lega'!$B$28)</f>
        <v>1000</v>
      </c>
      <c r="X195" s="21" t="n">
        <f aca="false">('Info Lega'!$B$5-COUNTIFS($D$2:$D$492,'Info Lega'!$B$28,$B$2:$B$492,"P"))+('Info Lega'!$B$6-COUNTIFS($D$2:$D$492,'Info Lega'!$B$28,$B$2:$B$492,"D"))+('Info Lega'!$B$7-COUNTIFS($D$2:$D$492,'Info Lega'!$B$28,$B$2:$B$492,"C"))+('Info Lega'!$B$8-COUNTIFS($D$2:$D$492,'Info Lega'!$B$28,$B$2:$B$492,"A"))</f>
        <v>25</v>
      </c>
      <c r="Y195" s="21" t="n">
        <f aca="false">X195*'Parametri Modello'!$B$30</f>
        <v>25</v>
      </c>
      <c r="Z195" s="21" t="n">
        <f aca="false">MAX(0,W195-Y195)</f>
        <v>975</v>
      </c>
      <c r="AA195" s="21" t="n">
        <f aca="false">MIN(F195,Z195)</f>
        <v>10</v>
      </c>
      <c r="AB195" s="21"/>
      <c r="AC195" s="21" t="str">
        <f aca="false">IF(AB195="","",IF(AB195&gt;AA195,"PASS",IF(AB195&lt;=AA195*0.85,"BID","ATTENZIONE")))</f>
        <v/>
      </c>
      <c r="AD195" s="31" t="n">
        <f aca="false">IF(I195="","",ROUND(100*(1-EXP(-I195/30)),0))</f>
        <v>50</v>
      </c>
      <c r="AE195" s="7" t="str">
        <f aca="false">IFERROR(INDEX('Stato Asta'!$G$9:$G$12,MATCH($B195,'Stato Asta'!$A$9:$A$12,0)),"")</f>
        <v>🟡 Attesa rischiosa</v>
      </c>
    </row>
    <row r="196" customFormat="false" ht="14.25" hidden="false" customHeight="true" outlineLevel="0" collapsed="false">
      <c r="A196" s="21" t="n">
        <v>7252</v>
      </c>
      <c r="B196" s="21" t="s">
        <v>46</v>
      </c>
      <c r="C196" s="21" t="s">
        <v>585</v>
      </c>
      <c r="E196" s="26" t="str">
        <f aca="false">IF(COUNTIF('Info Strategia'!$D$2:$D$51,$C196)&gt;0,"SI","NO")</f>
        <v>NO</v>
      </c>
      <c r="F196" s="27" t="n">
        <f aca="false">IFERROR(ROUND(($G196+($H196-$G196)*'Info Strategia'!$B$6)*(1+IF($E196="SI",'Parametri Modello'!$B$7*'Info Strategia'!$B$6,0)),0),"")</f>
        <v>16</v>
      </c>
      <c r="G196" s="27" t="n">
        <f aca="false">IFERROR(ROUND((IF(OR(INDEX('Parametri Modello'!$C$39:$C$42,MATCH($B196,'Parametri Modello'!$A$39:$A$42,0))="",INDEX('Parametri Modello'!$C$39:$C$42,MATCH($B196,'Parametri Modello'!$A$39:$A$42,0))=0),0,($O196/INDEX('Parametri Modello'!$C$39:$C$42,MATCH($B196,'Parametri Modello'!$A$39:$A$42,0)))*(INDEX('Parametri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10</v>
      </c>
      <c r="H196" s="27" t="n">
        <f aca="false">IFERROR(ROUND((IF(OR(INDEX('Parametri Modello'!$C$39:$C$42,MATCH($B196,'Parametri Modello'!$A$39:$A$42,0))="",INDEX('Parametri Modello'!$C$39:$C$42,MATCH($B196,'Parametri Modello'!$A$39:$A$42,0))=0),0,($O196/INDEX('Parametri Modello'!$C$39:$C$42,MATCH($B196,'Parametri Modello'!$A$39:$A$42,0)))*(INDEX('Parametri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18</v>
      </c>
      <c r="I196" s="26" t="n">
        <f aca="false">IFERROR(INDEX('Input Statistiche 2025_26'!$F$3:$F$665,MATCH($A196,'Input Statistiche 2025_26'!$A$3:$A$665,0)),"")</f>
        <v>30</v>
      </c>
      <c r="J196" s="26" t="n">
        <f aca="false">IFERROR(IF($I196="","",MAX(0,38-$I196)),"")</f>
        <v>8</v>
      </c>
      <c r="K196" s="26" t="n">
        <f aca="false">IFERROR(INDEX('Input Statistiche 2025_26'!$I$3:$I$665,MATCH($A196,'Input Statistiche 2025_26'!$A$3:$A$665,0)),"")</f>
        <v>4</v>
      </c>
      <c r="L196" s="26" t="n">
        <f aca="false">IFERROR(INDEX('Input Statistiche 2025_26'!$O$3:$O$665,MATCH($A196,'Input Statistiche 2025_26'!$A$3:$A$665,0)),"")</f>
        <v>0</v>
      </c>
      <c r="M196" s="28"/>
      <c r="N196" s="27" t="n">
        <f aca="false">IFERROR(INDEX('Input Giocatori 2026_27'!$E$3:$E$493,MATCH($A196,'Input Giocatori 2026_27'!$A$3:$A$493,0)),"")</f>
        <v>7</v>
      </c>
      <c r="O196" s="27" t="n">
        <f aca="false">IFERROR(INDEX('Input Giocatori 2026_27'!$G$3:$G$493,MATCH($A196,'Input Giocatori 2026_27'!$A$3:$A$493,0)),"")</f>
        <v>18</v>
      </c>
      <c r="P196" s="26" t="str">
        <f aca="false">IFERROR(IF($O196="","",IF((1-(COUNTIFS($B$2:$B$492,$B196,$O$2:$O$492,"&gt;"&amp;$O196)+1-1)/COUNTIF($B$2:$B$492,$B196))&gt;=0.85,"Top",IF((1-(COUNTIFS($B$2:$B$492,$B196,$O$2:$O$492,"&gt;"&amp;$O196)+1-1)/COUNTIF($B$2:$B$492,$B196))&gt;=0.6,"Buono",IF((1-(COUNTIFS($B$2:$B$492,$B196,$O$2:$O$492,"&gt;"&amp;$O196)+1-1)/COUNTIF($B$2:$B$492,$B196))&gt;=0.3,"Nella Media","Scommessa/Riserva")))),"")</f>
        <v>Nella Media</v>
      </c>
      <c r="Q196" s="29" t="n">
        <f aca="false">IF($D196="",COUNTIF($D$2:$D196,""),"")</f>
        <v>195</v>
      </c>
      <c r="R196" s="29" t="str">
        <f aca="false">IF($D196='Info Lega'!$B$28,COUNTIFS($D$2:$D196,'Info Lega'!$B$28),"")</f>
        <v/>
      </c>
      <c r="S196" s="30" t="n">
        <f aca="false">IFERROR(INDEX('Input Statistiche 2025_26'!$G$3:$G$665,MATCH($A196,'Input Statistiche 2025_26'!$A$3:$A$665,0)),"")</f>
        <v>5.73</v>
      </c>
      <c r="T196" s="30" t="n">
        <f aca="false">IFERROR(INDEX('Input Statistiche 2025_26'!$H$3:$H$665,MATCH($A196,'Input Statistiche 2025_26'!$A$3:$A$665,0)),"")</f>
        <v>6.12</v>
      </c>
      <c r="U196" s="26" t="str">
        <f aca="false">IF(OR('La Mia Rosa'!$O$12="",$D196&lt;&gt;""),"",IF($F196&lt;='La Mia Rosa'!$O$12*'Parametri Modello'!$B$24,"OK",IF($F196&lt;='La Mia Rosa'!$O$12*'Parametri Modello'!$B$25,"Attenzione","Rischio Alto")))</f>
        <v>OK</v>
      </c>
      <c r="V196" s="26" t="n">
        <f aca="false">IFERROR(COUNTIFS($B$2:$B$492,$B196,$O$2:$O$492,"&gt;"&amp;$O196)+1,"")</f>
        <v>51</v>
      </c>
      <c r="W196" s="21" t="n">
        <f aca="false">'Info Lega'!$B$4-SUMIFS($M$2:$M$492,$D$2:$D$492,'Info Lega'!$B$28)</f>
        <v>1000</v>
      </c>
      <c r="X196" s="21" t="n">
        <f aca="false">('Info Lega'!$B$5-COUNTIFS($D$2:$D$492,'Info Lega'!$B$28,$B$2:$B$492,"P"))+('Info Lega'!$B$6-COUNTIFS($D$2:$D$492,'Info Lega'!$B$28,$B$2:$B$492,"D"))+('Info Lega'!$B$7-COUNTIFS($D$2:$D$492,'Info Lega'!$B$28,$B$2:$B$492,"C"))+('Info Lega'!$B$8-COUNTIFS($D$2:$D$492,'Info Lega'!$B$28,$B$2:$B$492,"A"))</f>
        <v>25</v>
      </c>
      <c r="Y196" s="21" t="n">
        <f aca="false">X196*'Parametri Modello'!$B$30</f>
        <v>25</v>
      </c>
      <c r="Z196" s="21" t="n">
        <f aca="false">MAX(0,W196-Y196)</f>
        <v>975</v>
      </c>
      <c r="AA196" s="21" t="n">
        <f aca="false">MIN(F196,Z196)</f>
        <v>16</v>
      </c>
      <c r="AB196" s="21"/>
      <c r="AC196" s="21" t="str">
        <f aca="false">IF(AB196="","",IF(AB196&gt;AA196,"PASS",IF(AB196&lt;=AA196*0.85,"BID","ATTENZIONE")))</f>
        <v/>
      </c>
      <c r="AD196" s="31" t="n">
        <f aca="false">IF(I196="","",ROUND(100*(1-EXP(-I196/30)),0))</f>
        <v>63</v>
      </c>
      <c r="AE196" s="7" t="str">
        <f aca="false">IFERROR(INDEX('Stato Asta'!$G$9:$G$12,MATCH($B196,'Stato Asta'!$A$9:$A$12,0)),"")</f>
        <v>🔴 Non aspettare</v>
      </c>
    </row>
    <row r="197" customFormat="false" ht="14.25" hidden="false" customHeight="true" outlineLevel="0" collapsed="false">
      <c r="A197" s="21" t="n">
        <v>608</v>
      </c>
      <c r="B197" s="21" t="s">
        <v>46</v>
      </c>
      <c r="C197" s="21" t="s">
        <v>586</v>
      </c>
      <c r="E197" s="26" t="str">
        <f aca="false">IF(COUNTIF('Info Strategia'!$D$2:$D$51,$C197)&gt;0,"SI","NO")</f>
        <v>NO</v>
      </c>
      <c r="F197" s="27" t="n">
        <f aca="false">IFERROR(ROUND(($G197+($H197-$G197)*'Info Strategia'!$B$6)*(1+IF($E197="SI",'Parametri Modello'!$B$7*'Info Strategia'!$B$6,0)),0),"")</f>
        <v>16</v>
      </c>
      <c r="G197" s="27" t="n">
        <f aca="false">IFERROR(ROUND((IF(OR(INDEX('Parametri Modello'!$C$39:$C$42,MATCH($B197,'Parametri Modello'!$A$39:$A$42,0))="",INDEX('Parametri Modello'!$C$39:$C$42,MATCH($B197,'Parametri Modello'!$A$39:$A$42,0))=0),0,($O197/INDEX('Parametri Modello'!$C$39:$C$42,MATCH($B197,'Parametri Modello'!$A$39:$A$42,0)))*(INDEX('Parametri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10</v>
      </c>
      <c r="H197" s="27" t="n">
        <f aca="false">IFERROR(ROUND((IF(OR(INDEX('Parametri Modello'!$C$39:$C$42,MATCH($B197,'Parametri Modello'!$A$39:$A$42,0))="",INDEX('Parametri Modello'!$C$39:$C$42,MATCH($B197,'Parametri Modello'!$A$39:$A$42,0))=0),0,($O197/INDEX('Parametri Modello'!$C$39:$C$42,MATCH($B197,'Parametri Modello'!$A$39:$A$42,0)))*(INDEX('Parametri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18</v>
      </c>
      <c r="I197" s="26" t="n">
        <f aca="false">IFERROR(INDEX('Input Statistiche 2025_26'!$F$3:$F$665,MATCH($A197,'Input Statistiche 2025_26'!$A$3:$A$665,0)),"")</f>
        <v>23</v>
      </c>
      <c r="J197" s="26" t="n">
        <f aca="false">IFERROR(IF($I197="","",MAX(0,38-$I197)),"")</f>
        <v>15</v>
      </c>
      <c r="K197" s="26" t="n">
        <f aca="false">IFERROR(INDEX('Input Statistiche 2025_26'!$I$3:$I$665,MATCH($A197,'Input Statistiche 2025_26'!$A$3:$A$665,0)),"")</f>
        <v>3</v>
      </c>
      <c r="L197" s="26" t="n">
        <f aca="false">IFERROR(INDEX('Input Statistiche 2025_26'!$O$3:$O$665,MATCH($A197,'Input Statistiche 2025_26'!$A$3:$A$665,0)),"")</f>
        <v>1</v>
      </c>
      <c r="M197" s="28"/>
      <c r="N197" s="27" t="n">
        <f aca="false">IFERROR(INDEX('Input Giocatori 2026_27'!$E$3:$E$493,MATCH($A197,'Input Giocatori 2026_27'!$A$3:$A$493,0)),"")</f>
        <v>7</v>
      </c>
      <c r="O197" s="27" t="n">
        <f aca="false">IFERROR(INDEX('Input Giocatori 2026_27'!$G$3:$G$493,MATCH($A197,'Input Giocatori 2026_27'!$A$3:$A$493,0)),"")</f>
        <v>18</v>
      </c>
      <c r="P197" s="26" t="str">
        <f aca="false">IFERROR(IF($O197="","",IF((1-(COUNTIFS($B$2:$B$492,$B197,$O$2:$O$492,"&gt;"&amp;$O197)+1-1)/COUNTIF($B$2:$B$492,$B197))&gt;=0.85,"Top",IF((1-(COUNTIFS($B$2:$B$492,$B197,$O$2:$O$492,"&gt;"&amp;$O197)+1-1)/COUNTIF($B$2:$B$492,$B197))&gt;=0.6,"Buono",IF((1-(COUNTIFS($B$2:$B$492,$B197,$O$2:$O$492,"&gt;"&amp;$O197)+1-1)/COUNTIF($B$2:$B$492,$B197))&gt;=0.3,"Nella Media","Scommessa/Riserva")))),"")</f>
        <v>Nella Media</v>
      </c>
      <c r="Q197" s="29" t="n">
        <f aca="false">IF($D197="",COUNTIF($D$2:$D197,""),"")</f>
        <v>196</v>
      </c>
      <c r="R197" s="29" t="str">
        <f aca="false">IF($D197='Info Lega'!$B$28,COUNTIFS($D$2:$D197,'Info Lega'!$B$28),"")</f>
        <v/>
      </c>
      <c r="S197" s="30" t="n">
        <f aca="false">IFERROR(INDEX('Input Statistiche 2025_26'!$G$3:$G$665,MATCH($A197,'Input Statistiche 2025_26'!$A$3:$A$665,0)),"")</f>
        <v>5.83</v>
      </c>
      <c r="T197" s="30" t="n">
        <f aca="false">IFERROR(INDEX('Input Statistiche 2025_26'!$H$3:$H$665,MATCH($A197,'Input Statistiche 2025_26'!$A$3:$A$665,0)),"")</f>
        <v>6.13</v>
      </c>
      <c r="U197" s="26" t="str">
        <f aca="false">IF(OR('La Mia Rosa'!$O$12="",$D197&lt;&gt;""),"",IF($F197&lt;='La Mia Rosa'!$O$12*'Parametri Modello'!$B$24,"OK",IF($F197&lt;='La Mia Rosa'!$O$12*'Parametri Modello'!$B$25,"Attenzione","Rischio Alto")))</f>
        <v>OK</v>
      </c>
      <c r="V197" s="26" t="n">
        <f aca="false">IFERROR(COUNTIFS($B$2:$B$492,$B197,$O$2:$O$492,"&gt;"&amp;$O197)+1,"")</f>
        <v>51</v>
      </c>
      <c r="W197" s="21" t="n">
        <f aca="false">'Info Lega'!$B$4-SUMIFS($M$2:$M$492,$D$2:$D$492,'Info Lega'!$B$28)</f>
        <v>1000</v>
      </c>
      <c r="X197" s="21" t="n">
        <f aca="false">('Info Lega'!$B$5-COUNTIFS($D$2:$D$492,'Info Lega'!$B$28,$B$2:$B$492,"P"))+('Info Lega'!$B$6-COUNTIFS($D$2:$D$492,'Info Lega'!$B$28,$B$2:$B$492,"D"))+('Info Lega'!$B$7-COUNTIFS($D$2:$D$492,'Info Lega'!$B$28,$B$2:$B$492,"C"))+('Info Lega'!$B$8-COUNTIFS($D$2:$D$492,'Info Lega'!$B$28,$B$2:$B$492,"A"))</f>
        <v>25</v>
      </c>
      <c r="Y197" s="21" t="n">
        <f aca="false">X197*'Parametri Modello'!$B$30</f>
        <v>25</v>
      </c>
      <c r="Z197" s="21" t="n">
        <f aca="false">MAX(0,W197-Y197)</f>
        <v>975</v>
      </c>
      <c r="AA197" s="21" t="n">
        <f aca="false">MIN(F197,Z197)</f>
        <v>16</v>
      </c>
      <c r="AB197" s="21"/>
      <c r="AC197" s="21" t="str">
        <f aca="false">IF(AB197="","",IF(AB197&gt;AA197,"PASS",IF(AB197&lt;=AA197*0.85,"BID","ATTENZIONE")))</f>
        <v/>
      </c>
      <c r="AD197" s="31" t="n">
        <f aca="false">IF(I197="","",ROUND(100*(1-EXP(-I197/30)),0))</f>
        <v>54</v>
      </c>
      <c r="AE197" s="7" t="str">
        <f aca="false">IFERROR(INDEX('Stato Asta'!$G$9:$G$12,MATCH($B197,'Stato Asta'!$A$9:$A$12,0)),"")</f>
        <v>🔴 Non aspettare</v>
      </c>
    </row>
    <row r="198" customFormat="false" ht="14.25" hidden="false" customHeight="true" outlineLevel="0" collapsed="false">
      <c r="A198" s="21" t="n">
        <v>6519</v>
      </c>
      <c r="B198" s="21" t="s">
        <v>46</v>
      </c>
      <c r="C198" s="21" t="s">
        <v>594</v>
      </c>
      <c r="E198" s="26" t="str">
        <f aca="false">IF(COUNTIF('Info Strategia'!$D$2:$D$51,$C198)&gt;0,"SI","NO")</f>
        <v>NO</v>
      </c>
      <c r="F198" s="27" t="n">
        <f aca="false">IFERROR(ROUND(($G198+($H198-$G198)*'Info Strategia'!$B$6)*(1+IF($E198="SI",'Parametri Modello'!$B$7*'Info Strategia'!$B$6,0)),0),"")</f>
        <v>16</v>
      </c>
      <c r="G198" s="27" t="n">
        <f aca="false">IFERROR(ROUND((IF(OR(INDEX('Parametri Modello'!$C$39:$C$42,MATCH($B198,'Parametri Modello'!$A$39:$A$42,0))="",INDEX('Parametri Modello'!$C$39:$C$42,MATCH($B198,'Parametri Modello'!$A$39:$A$42,0))=0),0,($O198/INDEX('Parametri Modello'!$C$39:$C$42,MATCH($B198,'Parametri Modello'!$A$39:$A$42,0)))*(INDEX('Parametri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10</v>
      </c>
      <c r="H198" s="27" t="n">
        <f aca="false">IFERROR(ROUND((IF(OR(INDEX('Parametri Modello'!$C$39:$C$42,MATCH($B198,'Parametri Modello'!$A$39:$A$42,0))="",INDEX('Parametri Modello'!$C$39:$C$42,MATCH($B198,'Parametri Modello'!$A$39:$A$42,0))=0),0,($O198/INDEX('Parametri Modello'!$C$39:$C$42,MATCH($B198,'Parametri Modello'!$A$39:$A$42,0)))*(INDEX('Parametri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18</v>
      </c>
      <c r="I198" s="26" t="n">
        <f aca="false">IFERROR(INDEX('Input Statistiche 2025_26'!$F$3:$F$665,MATCH($A198,'Input Statistiche 2025_26'!$A$3:$A$665,0)),"")</f>
        <v>18</v>
      </c>
      <c r="J198" s="26" t="n">
        <f aca="false">IFERROR(IF($I198="","",MAX(0,38-$I198)),"")</f>
        <v>20</v>
      </c>
      <c r="K198" s="26" t="n">
        <f aca="false">IFERROR(INDEX('Input Statistiche 2025_26'!$I$3:$I$665,MATCH($A198,'Input Statistiche 2025_26'!$A$3:$A$665,0)),"")</f>
        <v>1</v>
      </c>
      <c r="L198" s="26" t="n">
        <f aca="false">IFERROR(INDEX('Input Statistiche 2025_26'!$O$3:$O$665,MATCH($A198,'Input Statistiche 2025_26'!$A$3:$A$665,0)),"")</f>
        <v>0</v>
      </c>
      <c r="M198" s="28"/>
      <c r="N198" s="27" t="n">
        <f aca="false">IFERROR(INDEX('Input Giocatori 2026_27'!$E$3:$E$493,MATCH($A198,'Input Giocatori 2026_27'!$A$3:$A$493,0)),"")</f>
        <v>5</v>
      </c>
      <c r="O198" s="27" t="n">
        <f aca="false">IFERROR(INDEX('Input Giocatori 2026_27'!$G$3:$G$493,MATCH($A198,'Input Giocatori 2026_27'!$A$3:$A$493,0)),"")</f>
        <v>18</v>
      </c>
      <c r="P198" s="26" t="str">
        <f aca="false">IFERROR(IF($O198="","",IF((1-(COUNTIFS($B$2:$B$492,$B198,$O$2:$O$492,"&gt;"&amp;$O198)+1-1)/COUNTIF($B$2:$B$492,$B198))&gt;=0.85,"Top",IF((1-(COUNTIFS($B$2:$B$492,$B198,$O$2:$O$492,"&gt;"&amp;$O198)+1-1)/COUNTIF($B$2:$B$492,$B198))&gt;=0.6,"Buono",IF((1-(COUNTIFS($B$2:$B$492,$B198,$O$2:$O$492,"&gt;"&amp;$O198)+1-1)/COUNTIF($B$2:$B$492,$B198))&gt;=0.3,"Nella Media","Scommessa/Riserva")))),"")</f>
        <v>Nella Media</v>
      </c>
      <c r="Q198" s="29" t="n">
        <f aca="false">IF($D198="",COUNTIF($D$2:$D198,""),"")</f>
        <v>197</v>
      </c>
      <c r="R198" s="29" t="str">
        <f aca="false">IF($D198='Info Lega'!$B$28,COUNTIFS($D$2:$D198,'Info Lega'!$B$28),"")</f>
        <v/>
      </c>
      <c r="S198" s="30" t="n">
        <f aca="false">IFERROR(INDEX('Input Statistiche 2025_26'!$G$3:$G$665,MATCH($A198,'Input Statistiche 2025_26'!$A$3:$A$665,0)),"")</f>
        <v>5.67</v>
      </c>
      <c r="T198" s="30" t="n">
        <f aca="false">IFERROR(INDEX('Input Statistiche 2025_26'!$H$3:$H$665,MATCH($A198,'Input Statistiche 2025_26'!$A$3:$A$665,0)),"")</f>
        <v>5.64</v>
      </c>
      <c r="U198" s="26" t="str">
        <f aca="false">IF(OR('La Mia Rosa'!$O$12="",$D198&lt;&gt;""),"",IF($F198&lt;='La Mia Rosa'!$O$12*'Parametri Modello'!$B$24,"OK",IF($F198&lt;='La Mia Rosa'!$O$12*'Parametri Modello'!$B$25,"Attenzione","Rischio Alto")))</f>
        <v>OK</v>
      </c>
      <c r="V198" s="26" t="n">
        <f aca="false">IFERROR(COUNTIFS($B$2:$B$492,$B198,$O$2:$O$492,"&gt;"&amp;$O198)+1,"")</f>
        <v>51</v>
      </c>
      <c r="W198" s="21" t="n">
        <f aca="false">'Info Lega'!$B$4-SUMIFS($M$2:$M$492,$D$2:$D$492,'Info Lega'!$B$28)</f>
        <v>1000</v>
      </c>
      <c r="X198" s="21" t="n">
        <f aca="false">('Info Lega'!$B$5-COUNTIFS($D$2:$D$492,'Info Lega'!$B$28,$B$2:$B$492,"P"))+('Info Lega'!$B$6-COUNTIFS($D$2:$D$492,'Info Lega'!$B$28,$B$2:$B$492,"D"))+('Info Lega'!$B$7-COUNTIFS($D$2:$D$492,'Info Lega'!$B$28,$B$2:$B$492,"C"))+('Info Lega'!$B$8-COUNTIFS($D$2:$D$492,'Info Lega'!$B$28,$B$2:$B$492,"A"))</f>
        <v>25</v>
      </c>
      <c r="Y198" s="21" t="n">
        <f aca="false">X198*'Parametri Modello'!$B$30</f>
        <v>25</v>
      </c>
      <c r="Z198" s="21" t="n">
        <f aca="false">MAX(0,W198-Y198)</f>
        <v>975</v>
      </c>
      <c r="AA198" s="21" t="n">
        <f aca="false">MIN(F198,Z198)</f>
        <v>16</v>
      </c>
      <c r="AB198" s="21"/>
      <c r="AC198" s="21" t="str">
        <f aca="false">IF(AB198="","",IF(AB198&gt;AA198,"PASS",IF(AB198&lt;=AA198*0.85,"BID","ATTENZIONE")))</f>
        <v/>
      </c>
      <c r="AD198" s="31" t="n">
        <f aca="false">IF(I198="","",ROUND(100*(1-EXP(-I198/30)),0))</f>
        <v>45</v>
      </c>
      <c r="AE198" s="7" t="str">
        <f aca="false">IFERROR(INDEX('Stato Asta'!$G$9:$G$12,MATCH($B198,'Stato Asta'!$A$9:$A$12,0)),"")</f>
        <v>🔴 Non aspettare</v>
      </c>
    </row>
    <row r="199" customFormat="false" ht="14.25" hidden="false" customHeight="true" outlineLevel="0" collapsed="false">
      <c r="A199" s="21" t="n">
        <v>5882</v>
      </c>
      <c r="B199" s="21" t="s">
        <v>46</v>
      </c>
      <c r="C199" s="21" t="s">
        <v>595</v>
      </c>
      <c r="E199" s="26" t="str">
        <f aca="false">IF(COUNTIF('Info Strategia'!$D$2:$D$51,$C199)&gt;0,"SI","NO")</f>
        <v>NO</v>
      </c>
      <c r="F199" s="27" t="n">
        <f aca="false">IFERROR(ROUND(($G199+($H199-$G199)*'Info Strategia'!$B$6)*(1+IF($E199="SI",'Parametri Modello'!$B$7*'Info Strategia'!$B$6,0)),0),"")</f>
        <v>16</v>
      </c>
      <c r="G199" s="27" t="n">
        <f aca="false">IFERROR(ROUND((IF(OR(INDEX('Parametri Modello'!$C$39:$C$42,MATCH($B199,'Parametri Modello'!$A$39:$A$42,0))="",INDEX('Parametri Modello'!$C$39:$C$42,MATCH($B199,'Parametri Modello'!$A$39:$A$42,0))=0),0,($O199/INDEX('Parametri Modello'!$C$39:$C$42,MATCH($B199,'Parametri Modello'!$A$39:$A$42,0)))*(INDEX('Parametri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10</v>
      </c>
      <c r="H199" s="27" t="n">
        <f aca="false">IFERROR(ROUND((IF(OR(INDEX('Parametri Modello'!$C$39:$C$42,MATCH($B199,'Parametri Modello'!$A$39:$A$42,0))="",INDEX('Parametri Modello'!$C$39:$C$42,MATCH($B199,'Parametri Modello'!$A$39:$A$42,0))=0),0,($O199/INDEX('Parametri Modello'!$C$39:$C$42,MATCH($B199,'Parametri Modello'!$A$39:$A$42,0)))*(INDEX('Parametri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19</v>
      </c>
      <c r="I199" s="26" t="str">
        <f aca="false">IFERROR(INDEX('Input Statistiche 2025_26'!$F$3:$F$665,MATCH($A199,'Input Statistiche 2025_26'!$A$3:$A$665,0)),"")</f>
        <v/>
      </c>
      <c r="J199" s="26" t="str">
        <f aca="false">IFERROR(IF($I199="","",MAX(0,38-$I199)),"")</f>
        <v/>
      </c>
      <c r="K199" s="26" t="str">
        <f aca="false">IFERROR(INDEX('Input Statistiche 2025_26'!$I$3:$I$665,MATCH($A199,'Input Statistiche 2025_26'!$A$3:$A$665,0)),"")</f>
        <v/>
      </c>
      <c r="L199" s="26" t="str">
        <f aca="false">IFERROR(INDEX('Input Statistiche 2025_26'!$O$3:$O$665,MATCH($A199,'Input Statistiche 2025_26'!$A$3:$A$665,0)),"")</f>
        <v/>
      </c>
      <c r="M199" s="28"/>
      <c r="N199" s="27" t="n">
        <f aca="false">IFERROR(INDEX('Input Giocatori 2026_27'!$E$3:$E$493,MATCH($A199,'Input Giocatori 2026_27'!$A$3:$A$493,0)),"")</f>
        <v>5</v>
      </c>
      <c r="O199" s="27" t="n">
        <f aca="false">IFERROR(INDEX('Input Giocatori 2026_27'!$G$3:$G$493,MATCH($A199,'Input Giocatori 2026_27'!$A$3:$A$493,0)),"")</f>
        <v>18</v>
      </c>
      <c r="P199" s="26" t="str">
        <f aca="false">IFERROR(IF($O199="","",IF((1-(COUNTIFS($B$2:$B$492,$B199,$O$2:$O$492,"&gt;"&amp;$O199)+1-1)/COUNTIF($B$2:$B$492,$B199))&gt;=0.85,"Top",IF((1-(COUNTIFS($B$2:$B$492,$B199,$O$2:$O$492,"&gt;"&amp;$O199)+1-1)/COUNTIF($B$2:$B$492,$B199))&gt;=0.6,"Buono",IF((1-(COUNTIFS($B$2:$B$492,$B199,$O$2:$O$492,"&gt;"&amp;$O199)+1-1)/COUNTIF($B$2:$B$492,$B199))&gt;=0.3,"Nella Media","Scommessa/Riserva")))),"")</f>
        <v>Nella Media</v>
      </c>
      <c r="Q199" s="29" t="n">
        <f aca="false">IF($D199="",COUNTIF($D$2:$D199,""),"")</f>
        <v>198</v>
      </c>
      <c r="R199" s="29" t="str">
        <f aca="false">IF($D199='Info Lega'!$B$28,COUNTIFS($D$2:$D199,'Info Lega'!$B$28),"")</f>
        <v/>
      </c>
      <c r="S199" s="30" t="str">
        <f aca="false">IFERROR(INDEX('Input Statistiche 2025_26'!$G$3:$G$665,MATCH($A199,'Input Statistiche 2025_26'!$A$3:$A$665,0)),"")</f>
        <v/>
      </c>
      <c r="T199" s="30" t="str">
        <f aca="false">IFERROR(INDEX('Input Statistiche 2025_26'!$H$3:$H$665,MATCH($A199,'Input Statistiche 2025_26'!$A$3:$A$665,0)),"")</f>
        <v/>
      </c>
      <c r="U199" s="26" t="str">
        <f aca="false">IF(OR('La Mia Rosa'!$O$12="",$D199&lt;&gt;""),"",IF($F199&lt;='La Mia Rosa'!$O$12*'Parametri Modello'!$B$24,"OK",IF($F199&lt;='La Mia Rosa'!$O$12*'Parametri Modello'!$B$25,"Attenzione","Rischio Alto")))</f>
        <v>OK</v>
      </c>
      <c r="V199" s="26" t="n">
        <f aca="false">IFERROR(COUNTIFS($B$2:$B$492,$B199,$O$2:$O$492,"&gt;"&amp;$O199)+1,"")</f>
        <v>51</v>
      </c>
      <c r="W199" s="21" t="n">
        <f aca="false">'Info Lega'!$B$4-SUMIFS($M$2:$M$492,$D$2:$D$492,'Info Lega'!$B$28)</f>
        <v>1000</v>
      </c>
      <c r="X199" s="21" t="n">
        <f aca="false">('Info Lega'!$B$5-COUNTIFS($D$2:$D$492,'Info Lega'!$B$28,$B$2:$B$492,"P"))+('Info Lega'!$B$6-COUNTIFS($D$2:$D$492,'Info Lega'!$B$28,$B$2:$B$492,"D"))+('Info Lega'!$B$7-COUNTIFS($D$2:$D$492,'Info Lega'!$B$28,$B$2:$B$492,"C"))+('Info Lega'!$B$8-COUNTIFS($D$2:$D$492,'Info Lega'!$B$28,$B$2:$B$492,"A"))</f>
        <v>25</v>
      </c>
      <c r="Y199" s="21" t="n">
        <f aca="false">X199*'Parametri Modello'!$B$30</f>
        <v>25</v>
      </c>
      <c r="Z199" s="21" t="n">
        <f aca="false">MAX(0,W199-Y199)</f>
        <v>975</v>
      </c>
      <c r="AA199" s="21" t="n">
        <f aca="false">MIN(F199,Z199)</f>
        <v>16</v>
      </c>
      <c r="AB199" s="21"/>
      <c r="AC199" s="21" t="str">
        <f aca="false">IF(AB199="","",IF(AB199&gt;AA199,"PASS",IF(AB199&lt;=AA199*0.85,"BID","ATTENZIONE")))</f>
        <v/>
      </c>
      <c r="AD199" s="31" t="str">
        <f aca="false">IF(I199="","",ROUND(100*(1-EXP(-I199/30)),0))</f>
        <v/>
      </c>
      <c r="AE199" s="7" t="str">
        <f aca="false">IFERROR(INDEX('Stato Asta'!$G$9:$G$12,MATCH($B199,'Stato Asta'!$A$9:$A$12,0)),"")</f>
        <v>🔴 Non aspettare</v>
      </c>
    </row>
    <row r="200" customFormat="false" ht="14.25" hidden="false" customHeight="true" outlineLevel="0" collapsed="false">
      <c r="A200" s="21" t="n">
        <v>6989</v>
      </c>
      <c r="B200" s="21" t="s">
        <v>44</v>
      </c>
      <c r="C200" s="21" t="s">
        <v>234</v>
      </c>
      <c r="E200" s="26" t="str">
        <f aca="false">IF(COUNTIF('Info Strategia'!$D$2:$D$51,$C200)&gt;0,"SI","NO")</f>
        <v>NO</v>
      </c>
      <c r="F200" s="27" t="n">
        <f aca="false">IFERROR(ROUND(($G200+($H200-$G200)*'Info Strategia'!$B$6)*(1+IF($E200="SI",'Parametri Modello'!$B$7*'Info Strategia'!$B$6,0)),0),"")</f>
        <v>8</v>
      </c>
      <c r="G200" s="27" t="n">
        <f aca="false">IFERROR(ROUND((IF(OR(INDEX('Parametri Modello'!$C$39:$C$42,MATCH($B200,'Parametri Modello'!$A$39:$A$42,0))="",INDEX('Parametri Modello'!$C$39:$C$42,MATCH($B200,'Parametri Modello'!$A$39:$A$42,0))=0),0,($O200/INDEX('Parametri Modello'!$C$39:$C$42,MATCH($B200,'Parametri Modello'!$A$39:$A$42,0)))*(INDEX('Parametri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6</v>
      </c>
      <c r="H200" s="27" t="n">
        <f aca="false">IFERROR(ROUND((IF(OR(INDEX('Parametri Modello'!$C$39:$C$42,MATCH($B200,'Parametri Modello'!$A$39:$A$42,0))="",INDEX('Parametri Modello'!$C$39:$C$42,MATCH($B200,'Parametri Modello'!$A$39:$A$42,0))=0),0,($O200/INDEX('Parametri Modello'!$C$39:$C$42,MATCH($B200,'Parametri Modello'!$A$39:$A$42,0)))*(INDEX('Parametri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9</v>
      </c>
      <c r="I200" s="26" t="n">
        <f aca="false">IFERROR(INDEX('Input Statistiche 2025_26'!$F$3:$F$665,MATCH($A200,'Input Statistiche 2025_26'!$A$3:$A$665,0)),"")</f>
        <v>36</v>
      </c>
      <c r="J200" s="26" t="n">
        <f aca="false">IFERROR(IF($I200="","",MAX(0,38-$I200)),"")</f>
        <v>2</v>
      </c>
      <c r="K200" s="26" t="n">
        <f aca="false">IFERROR(INDEX('Input Statistiche 2025_26'!$I$3:$I$665,MATCH($A200,'Input Statistiche 2025_26'!$A$3:$A$665,0)),"")</f>
        <v>2</v>
      </c>
      <c r="L200" s="26" t="n">
        <f aca="false">IFERROR(INDEX('Input Statistiche 2025_26'!$O$3:$O$665,MATCH($A200,'Input Statistiche 2025_26'!$A$3:$A$665,0)),"")</f>
        <v>0</v>
      </c>
      <c r="M200" s="28"/>
      <c r="N200" s="27" t="n">
        <f aca="false">IFERROR(INDEX('Input Giocatori 2026_27'!$E$3:$E$493,MATCH($A200,'Input Giocatori 2026_27'!$A$3:$A$493,0)),"")</f>
        <v>7</v>
      </c>
      <c r="O200" s="27" t="n">
        <f aca="false">IFERROR(INDEX('Input Giocatori 2026_27'!$G$3:$G$493,MATCH($A200,'Input Giocatori 2026_27'!$A$3:$A$493,0)),"")</f>
        <v>17</v>
      </c>
      <c r="P200" s="26" t="str">
        <f aca="false">IFERROR(IF($O200="","",IF((1-(COUNTIFS($B$2:$B$492,$B200,$O$2:$O$492,"&gt;"&amp;$O200)+1-1)/COUNTIF($B$2:$B$492,$B200))&gt;=0.85,"Top",IF((1-(COUNTIFS($B$2:$B$492,$B200,$O$2:$O$492,"&gt;"&amp;$O200)+1-1)/COUNTIF($B$2:$B$492,$B200))&gt;=0.6,"Buono",IF((1-(COUNTIFS($B$2:$B$492,$B200,$O$2:$O$492,"&gt;"&amp;$O200)+1-1)/COUNTIF($B$2:$B$492,$B200))&gt;=0.3,"Nella Media","Scommessa/Riserva")))),"")</f>
        <v>Buono</v>
      </c>
      <c r="Q200" s="29" t="n">
        <f aca="false">IF($D200="",COUNTIF($D$2:$D200,""),"")</f>
        <v>199</v>
      </c>
      <c r="R200" s="29" t="str">
        <f aca="false">IF($D200='Info Lega'!$B$28,COUNTIFS($D$2:$D200,'Info Lega'!$B$28),"")</f>
        <v/>
      </c>
      <c r="S200" s="30" t="n">
        <f aca="false">IFERROR(INDEX('Input Statistiche 2025_26'!$G$3:$G$665,MATCH($A200,'Input Statistiche 2025_26'!$A$3:$A$665,0)),"")</f>
        <v>6</v>
      </c>
      <c r="T200" s="30" t="n">
        <f aca="false">IFERROR(INDEX('Input Statistiche 2025_26'!$H$3:$H$665,MATCH($A200,'Input Statistiche 2025_26'!$A$3:$A$665,0)),"")</f>
        <v>6.01</v>
      </c>
      <c r="U200" s="26" t="str">
        <f aca="false">IF(OR('La Mia Rosa'!$O$12="",$D200&lt;&gt;""),"",IF($F200&lt;='La Mia Rosa'!$O$12*'Parametri Modello'!$B$24,"OK",IF($F200&lt;='La Mia Rosa'!$O$12*'Parametri Modello'!$B$25,"Attenzione","Rischio Alto")))</f>
        <v>OK</v>
      </c>
      <c r="V200" s="26" t="n">
        <f aca="false">IFERROR(COUNTIFS($B$2:$B$492,$B200,$O$2:$O$492,"&gt;"&amp;$O200)+1,"")</f>
        <v>53</v>
      </c>
      <c r="W200" s="21" t="n">
        <f aca="false">'Info Lega'!$B$4-SUMIFS($M$2:$M$492,$D$2:$D$492,'Info Lega'!$B$28)</f>
        <v>1000</v>
      </c>
      <c r="X200" s="21" t="n">
        <f aca="false">('Info Lega'!$B$5-COUNTIFS($D$2:$D$492,'Info Lega'!$B$28,$B$2:$B$492,"P"))+('Info Lega'!$B$6-COUNTIFS($D$2:$D$492,'Info Lega'!$B$28,$B$2:$B$492,"D"))+('Info Lega'!$B$7-COUNTIFS($D$2:$D$492,'Info Lega'!$B$28,$B$2:$B$492,"C"))+('Info Lega'!$B$8-COUNTIFS($D$2:$D$492,'Info Lega'!$B$28,$B$2:$B$492,"A"))</f>
        <v>25</v>
      </c>
      <c r="Y200" s="21" t="n">
        <f aca="false">X200*'Parametri Modello'!$B$30</f>
        <v>25</v>
      </c>
      <c r="Z200" s="21" t="n">
        <f aca="false">MAX(0,W200-Y200)</f>
        <v>975</v>
      </c>
      <c r="AA200" s="21" t="n">
        <f aca="false">MIN(F200,Z200)</f>
        <v>8</v>
      </c>
      <c r="AB200" s="21"/>
      <c r="AC200" s="21" t="str">
        <f aca="false">IF(AB200="","",IF(AB200&gt;AA200,"PASS",IF(AB200&lt;=AA200*0.85,"BID","ATTENZIONE")))</f>
        <v/>
      </c>
      <c r="AD200" s="31" t="n">
        <f aca="false">IF(I200="","",ROUND(100*(1-EXP(-I200/30)),0))</f>
        <v>70</v>
      </c>
      <c r="AE200" s="7" t="str">
        <f aca="false">IFERROR(INDEX('Stato Asta'!$G$9:$G$12,MATCH($B200,'Stato Asta'!$A$9:$A$12,0)),"")</f>
        <v>🟡 Attesa rischiosa</v>
      </c>
    </row>
    <row r="201" customFormat="false" ht="14.25" hidden="false" customHeight="true" outlineLevel="0" collapsed="false">
      <c r="A201" s="21" t="n">
        <v>7219</v>
      </c>
      <c r="B201" s="21" t="s">
        <v>44</v>
      </c>
      <c r="C201" s="21" t="s">
        <v>244</v>
      </c>
      <c r="E201" s="26" t="str">
        <f aca="false">IF(COUNTIF('Info Strategia'!$D$2:$D$51,$C201)&gt;0,"SI","NO")</f>
        <v>NO</v>
      </c>
      <c r="F201" s="27" t="n">
        <f aca="false">IFERROR(ROUND(($G201+($H201-$G201)*'Info Strategia'!$B$6)*(1+IF($E201="SI",'Parametri Modello'!$B$7*'Info Strategia'!$B$6,0)),0),"")</f>
        <v>8</v>
      </c>
      <c r="G201" s="27" t="n">
        <f aca="false">IFERROR(ROUND((IF(OR(INDEX('Parametri Modello'!$C$39:$C$42,MATCH($B201,'Parametri Modello'!$A$39:$A$42,0))="",INDEX('Parametri Modello'!$C$39:$C$42,MATCH($B201,'Parametri Modello'!$A$39:$A$42,0))=0),0,($O201/INDEX('Parametri Modello'!$C$39:$C$42,MATCH($B201,'Parametri Modello'!$A$39:$A$42,0)))*(INDEX('Parametri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6</v>
      </c>
      <c r="H201" s="27" t="n">
        <f aca="false">IFERROR(ROUND((IF(OR(INDEX('Parametri Modello'!$C$39:$C$42,MATCH($B201,'Parametri Modello'!$A$39:$A$42,0))="",INDEX('Parametri Modello'!$C$39:$C$42,MATCH($B201,'Parametri Modello'!$A$39:$A$42,0))=0),0,($O201/INDEX('Parametri Modello'!$C$39:$C$42,MATCH($B201,'Parametri Modello'!$A$39:$A$42,0)))*(INDEX('Parametri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9</v>
      </c>
      <c r="I201" s="26" t="n">
        <f aca="false">IFERROR(INDEX('Input Statistiche 2025_26'!$F$3:$F$665,MATCH($A201,'Input Statistiche 2025_26'!$A$3:$A$665,0)),"")</f>
        <v>22</v>
      </c>
      <c r="J201" s="26" t="n">
        <f aca="false">IFERROR(IF($I201="","",MAX(0,38-$I201)),"")</f>
        <v>16</v>
      </c>
      <c r="K201" s="26" t="n">
        <f aca="false">IFERROR(INDEX('Input Statistiche 2025_26'!$I$3:$I$665,MATCH($A201,'Input Statistiche 2025_26'!$A$3:$A$665,0)),"")</f>
        <v>0</v>
      </c>
      <c r="L201" s="26" t="n">
        <f aca="false">IFERROR(INDEX('Input Statistiche 2025_26'!$O$3:$O$665,MATCH($A201,'Input Statistiche 2025_26'!$A$3:$A$665,0)),"")</f>
        <v>3</v>
      </c>
      <c r="M201" s="28"/>
      <c r="N201" s="27" t="n">
        <f aca="false">IFERROR(INDEX('Input Giocatori 2026_27'!$E$3:$E$493,MATCH($A201,'Input Giocatori 2026_27'!$A$3:$A$493,0)),"")</f>
        <v>6</v>
      </c>
      <c r="O201" s="27" t="n">
        <f aca="false">IFERROR(INDEX('Input Giocatori 2026_27'!$G$3:$G$493,MATCH($A201,'Input Giocatori 2026_27'!$A$3:$A$493,0)),"")</f>
        <v>17</v>
      </c>
      <c r="P201" s="26" t="str">
        <f aca="false">IFERROR(IF($O201="","",IF((1-(COUNTIFS($B$2:$B$492,$B201,$O$2:$O$492,"&gt;"&amp;$O201)+1-1)/COUNTIF($B$2:$B$492,$B201))&gt;=0.85,"Top",IF((1-(COUNTIFS($B$2:$B$492,$B201,$O$2:$O$492,"&gt;"&amp;$O201)+1-1)/COUNTIF($B$2:$B$492,$B201))&gt;=0.6,"Buono",IF((1-(COUNTIFS($B$2:$B$492,$B201,$O$2:$O$492,"&gt;"&amp;$O201)+1-1)/COUNTIF($B$2:$B$492,$B201))&gt;=0.3,"Nella Media","Scommessa/Riserva")))),"")</f>
        <v>Buono</v>
      </c>
      <c r="Q201" s="29" t="n">
        <f aca="false">IF($D201="",COUNTIF($D$2:$D201,""),"")</f>
        <v>200</v>
      </c>
      <c r="R201" s="29" t="str">
        <f aca="false">IF($D201='Info Lega'!$B$28,COUNTIFS($D$2:$D201,'Info Lega'!$B$28),"")</f>
        <v/>
      </c>
      <c r="S201" s="30" t="n">
        <f aca="false">IFERROR(INDEX('Input Statistiche 2025_26'!$G$3:$G$665,MATCH($A201,'Input Statistiche 2025_26'!$A$3:$A$665,0)),"")</f>
        <v>6.09</v>
      </c>
      <c r="T201" s="30" t="n">
        <f aca="false">IFERROR(INDEX('Input Statistiche 2025_26'!$H$3:$H$665,MATCH($A201,'Input Statistiche 2025_26'!$A$3:$A$665,0)),"")</f>
        <v>6.16</v>
      </c>
      <c r="U201" s="26" t="str">
        <f aca="false">IF(OR('La Mia Rosa'!$O$12="",$D201&lt;&gt;""),"",IF($F201&lt;='La Mia Rosa'!$O$12*'Parametri Modello'!$B$24,"OK",IF($F201&lt;='La Mia Rosa'!$O$12*'Parametri Modello'!$B$25,"Attenzione","Rischio Alto")))</f>
        <v>OK</v>
      </c>
      <c r="V201" s="26" t="n">
        <f aca="false">IFERROR(COUNTIFS($B$2:$B$492,$B201,$O$2:$O$492,"&gt;"&amp;$O201)+1,"")</f>
        <v>53</v>
      </c>
      <c r="W201" s="21" t="n">
        <f aca="false">'Info Lega'!$B$4-SUMIFS($M$2:$M$492,$D$2:$D$492,'Info Lega'!$B$28)</f>
        <v>1000</v>
      </c>
      <c r="X201" s="21" t="n">
        <f aca="false">('Info Lega'!$B$5-COUNTIFS($D$2:$D$492,'Info Lega'!$B$28,$B$2:$B$492,"P"))+('Info Lega'!$B$6-COUNTIFS($D$2:$D$492,'Info Lega'!$B$28,$B$2:$B$492,"D"))+('Info Lega'!$B$7-COUNTIFS($D$2:$D$492,'Info Lega'!$B$28,$B$2:$B$492,"C"))+('Info Lega'!$B$8-COUNTIFS($D$2:$D$492,'Info Lega'!$B$28,$B$2:$B$492,"A"))</f>
        <v>25</v>
      </c>
      <c r="Y201" s="21" t="n">
        <f aca="false">X201*'Parametri Modello'!$B$30</f>
        <v>25</v>
      </c>
      <c r="Z201" s="21" t="n">
        <f aca="false">MAX(0,W201-Y201)</f>
        <v>975</v>
      </c>
      <c r="AA201" s="21" t="n">
        <f aca="false">MIN(F201,Z201)</f>
        <v>8</v>
      </c>
      <c r="AB201" s="21"/>
      <c r="AC201" s="21" t="str">
        <f aca="false">IF(AB201="","",IF(AB201&gt;AA201,"PASS",IF(AB201&lt;=AA201*0.85,"BID","ATTENZIONE")))</f>
        <v/>
      </c>
      <c r="AD201" s="31" t="n">
        <f aca="false">IF(I201="","",ROUND(100*(1-EXP(-I201/30)),0))</f>
        <v>52</v>
      </c>
      <c r="AE201" s="7" t="str">
        <f aca="false">IFERROR(INDEX('Stato Asta'!$G$9:$G$12,MATCH($B201,'Stato Asta'!$A$9:$A$12,0)),"")</f>
        <v>🟡 Attesa rischiosa</v>
      </c>
    </row>
    <row r="202" customFormat="false" ht="14.25" hidden="false" customHeight="true" outlineLevel="0" collapsed="false">
      <c r="A202" s="21" t="n">
        <v>5620</v>
      </c>
      <c r="B202" s="21" t="s">
        <v>44</v>
      </c>
      <c r="C202" s="21" t="s">
        <v>253</v>
      </c>
      <c r="E202" s="26" t="str">
        <f aca="false">IF(COUNTIF('Info Strategia'!$D$2:$D$51,$C202)&gt;0,"SI","NO")</f>
        <v>NO</v>
      </c>
      <c r="F202" s="27" t="n">
        <f aca="false">IFERROR(ROUND(($G202+($H202-$G202)*'Info Strategia'!$B$6)*(1+IF($E202="SI",'Parametri Modello'!$B$7*'Info Strategia'!$B$6,0)),0),"")</f>
        <v>8</v>
      </c>
      <c r="G202" s="27" t="n">
        <f aca="false">IFERROR(ROUND((IF(OR(INDEX('Parametri Modello'!$C$39:$C$42,MATCH($B202,'Parametri Modello'!$A$39:$A$42,0))="",INDEX('Parametri Modello'!$C$39:$C$42,MATCH($B202,'Parametri Modello'!$A$39:$A$42,0))=0),0,($O202/INDEX('Parametri Modello'!$C$39:$C$42,MATCH($B202,'Parametri Modello'!$A$39:$A$42,0)))*(INDEX('Parametri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6</v>
      </c>
      <c r="H202" s="27" t="n">
        <f aca="false">IFERROR(ROUND((IF(OR(INDEX('Parametri Modello'!$C$39:$C$42,MATCH($B202,'Parametri Modello'!$A$39:$A$42,0))="",INDEX('Parametri Modello'!$C$39:$C$42,MATCH($B202,'Parametri Modello'!$A$39:$A$42,0))=0),0,($O202/INDEX('Parametri Modello'!$C$39:$C$42,MATCH($B202,'Parametri Modello'!$A$39:$A$42,0)))*(INDEX('Parametri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9</v>
      </c>
      <c r="I202" s="26" t="n">
        <f aca="false">IFERROR(INDEX('Input Statistiche 2025_26'!$F$3:$F$665,MATCH($A202,'Input Statistiche 2025_26'!$A$3:$A$665,0)),"")</f>
        <v>22</v>
      </c>
      <c r="J202" s="26" t="n">
        <f aca="false">IFERROR(IF($I202="","",MAX(0,38-$I202)),"")</f>
        <v>16</v>
      </c>
      <c r="K202" s="26" t="n">
        <f aca="false">IFERROR(INDEX('Input Statistiche 2025_26'!$I$3:$I$665,MATCH($A202,'Input Statistiche 2025_26'!$A$3:$A$665,0)),"")</f>
        <v>0</v>
      </c>
      <c r="L202" s="26" t="n">
        <f aca="false">IFERROR(INDEX('Input Statistiche 2025_26'!$O$3:$O$665,MATCH($A202,'Input Statistiche 2025_26'!$A$3:$A$665,0)),"")</f>
        <v>0</v>
      </c>
      <c r="M202" s="28"/>
      <c r="N202" s="27" t="n">
        <f aca="false">IFERROR(INDEX('Input Giocatori 2026_27'!$E$3:$E$493,MATCH($A202,'Input Giocatori 2026_27'!$A$3:$A$493,0)),"")</f>
        <v>6</v>
      </c>
      <c r="O202" s="27" t="n">
        <f aca="false">IFERROR(INDEX('Input Giocatori 2026_27'!$G$3:$G$493,MATCH($A202,'Input Giocatori 2026_27'!$A$3:$A$493,0)),"")</f>
        <v>17</v>
      </c>
      <c r="P202" s="26" t="str">
        <f aca="false">IFERROR(IF($O202="","",IF((1-(COUNTIFS($B$2:$B$492,$B202,$O$2:$O$492,"&gt;"&amp;$O202)+1-1)/COUNTIF($B$2:$B$492,$B202))&gt;=0.85,"Top",IF((1-(COUNTIFS($B$2:$B$492,$B202,$O$2:$O$492,"&gt;"&amp;$O202)+1-1)/COUNTIF($B$2:$B$492,$B202))&gt;=0.6,"Buono",IF((1-(COUNTIFS($B$2:$B$492,$B202,$O$2:$O$492,"&gt;"&amp;$O202)+1-1)/COUNTIF($B$2:$B$492,$B202))&gt;=0.3,"Nella Media","Scommessa/Riserva")))),"")</f>
        <v>Buono</v>
      </c>
      <c r="Q202" s="29" t="n">
        <f aca="false">IF($D202="",COUNTIF($D$2:$D202,""),"")</f>
        <v>201</v>
      </c>
      <c r="R202" s="29" t="str">
        <f aca="false">IF($D202='Info Lega'!$B$28,COUNTIFS($D$2:$D202,'Info Lega'!$B$28),"")</f>
        <v/>
      </c>
      <c r="S202" s="30" t="n">
        <f aca="false">IFERROR(INDEX('Input Statistiche 2025_26'!$G$3:$G$665,MATCH($A202,'Input Statistiche 2025_26'!$A$3:$A$665,0)),"")</f>
        <v>5.91</v>
      </c>
      <c r="T202" s="30" t="n">
        <f aca="false">IFERROR(INDEX('Input Statistiche 2025_26'!$H$3:$H$665,MATCH($A202,'Input Statistiche 2025_26'!$A$3:$A$665,0)),"")</f>
        <v>5.8</v>
      </c>
      <c r="U202" s="26" t="str">
        <f aca="false">IF(OR('La Mia Rosa'!$O$12="",$D202&lt;&gt;""),"",IF($F202&lt;='La Mia Rosa'!$O$12*'Parametri Modello'!$B$24,"OK",IF($F202&lt;='La Mia Rosa'!$O$12*'Parametri Modello'!$B$25,"Attenzione","Rischio Alto")))</f>
        <v>OK</v>
      </c>
      <c r="V202" s="26" t="n">
        <f aca="false">IFERROR(COUNTIFS($B$2:$B$492,$B202,$O$2:$O$492,"&gt;"&amp;$O202)+1,"")</f>
        <v>53</v>
      </c>
      <c r="W202" s="21" t="n">
        <f aca="false">'Info Lega'!$B$4-SUMIFS($M$2:$M$492,$D$2:$D$492,'Info Lega'!$B$28)</f>
        <v>1000</v>
      </c>
      <c r="X202" s="21" t="n">
        <f aca="false">('Info Lega'!$B$5-COUNTIFS($D$2:$D$492,'Info Lega'!$B$28,$B$2:$B$492,"P"))+('Info Lega'!$B$6-COUNTIFS($D$2:$D$492,'Info Lega'!$B$28,$B$2:$B$492,"D"))+('Info Lega'!$B$7-COUNTIFS($D$2:$D$492,'Info Lega'!$B$28,$B$2:$B$492,"C"))+('Info Lega'!$B$8-COUNTIFS($D$2:$D$492,'Info Lega'!$B$28,$B$2:$B$492,"A"))</f>
        <v>25</v>
      </c>
      <c r="Y202" s="21" t="n">
        <f aca="false">X202*'Parametri Modello'!$B$30</f>
        <v>25</v>
      </c>
      <c r="Z202" s="21" t="n">
        <f aca="false">MAX(0,W202-Y202)</f>
        <v>975</v>
      </c>
      <c r="AA202" s="21" t="n">
        <f aca="false">MIN(F202,Z202)</f>
        <v>8</v>
      </c>
      <c r="AB202" s="21"/>
      <c r="AC202" s="21" t="str">
        <f aca="false">IF(AB202="","",IF(AB202&gt;AA202,"PASS",IF(AB202&lt;=AA202*0.85,"BID","ATTENZIONE")))</f>
        <v/>
      </c>
      <c r="AD202" s="31" t="n">
        <f aca="false">IF(I202="","",ROUND(100*(1-EXP(-I202/30)),0))</f>
        <v>52</v>
      </c>
      <c r="AE202" s="7" t="str">
        <f aca="false">IFERROR(INDEX('Stato Asta'!$G$9:$G$12,MATCH($B202,'Stato Asta'!$A$9:$A$12,0)),"")</f>
        <v>🟡 Attesa rischiosa</v>
      </c>
    </row>
    <row r="203" customFormat="false" ht="14.25" hidden="false" customHeight="true" outlineLevel="0" collapsed="false">
      <c r="A203" s="21" t="n">
        <v>6190</v>
      </c>
      <c r="B203" s="21" t="s">
        <v>45</v>
      </c>
      <c r="C203" s="21" t="s">
        <v>462</v>
      </c>
      <c r="E203" s="26" t="str">
        <f aca="false">IF(COUNTIF('Info Strategia'!$D$2:$D$51,$C203)&gt;0,"SI","NO")</f>
        <v>NO</v>
      </c>
      <c r="F203" s="27" t="n">
        <f aca="false">IFERROR(ROUND(($G203+($H203-$G203)*'Info Strategia'!$B$6)*(1+IF($E203="SI",'Parametri Modello'!$B$7*'Info Strategia'!$B$6,0)),0),"")</f>
        <v>10</v>
      </c>
      <c r="G203" s="27" t="n">
        <f aca="false">IFERROR(ROUND((IF(OR(INDEX('Parametri Modello'!$C$39:$C$42,MATCH($B203,'Parametri Modello'!$A$39:$A$42,0))="",INDEX('Parametri Modello'!$C$39:$C$42,MATCH($B203,'Parametri Modello'!$A$39:$A$42,0))=0),0,($O203/INDEX('Parametri Modello'!$C$39:$C$42,MATCH($B203,'Parametri Modello'!$A$39:$A$42,0)))*(INDEX('Parametri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6</v>
      </c>
      <c r="H203" s="27" t="n">
        <f aca="false">IFERROR(ROUND((IF(OR(INDEX('Parametri Modello'!$C$39:$C$42,MATCH($B203,'Parametri Modello'!$A$39:$A$42,0))="",INDEX('Parametri Modello'!$C$39:$C$42,MATCH($B203,'Parametri Modello'!$A$39:$A$42,0))=0),0,($O203/INDEX('Parametri Modello'!$C$39:$C$42,MATCH($B203,'Parametri Modello'!$A$39:$A$42,0)))*(INDEX('Parametri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11</v>
      </c>
      <c r="I203" s="26" t="n">
        <f aca="false">IFERROR(INDEX('Input Statistiche 2025_26'!$F$3:$F$665,MATCH($A203,'Input Statistiche 2025_26'!$A$3:$A$665,0)),"")</f>
        <v>22</v>
      </c>
      <c r="J203" s="26" t="n">
        <f aca="false">IFERROR(IF($I203="","",MAX(0,38-$I203)),"")</f>
        <v>16</v>
      </c>
      <c r="K203" s="26" t="n">
        <f aca="false">IFERROR(INDEX('Input Statistiche 2025_26'!$I$3:$I$665,MATCH($A203,'Input Statistiche 2025_26'!$A$3:$A$665,0)),"")</f>
        <v>2</v>
      </c>
      <c r="L203" s="26" t="n">
        <f aca="false">IFERROR(INDEX('Input Statistiche 2025_26'!$O$3:$O$665,MATCH($A203,'Input Statistiche 2025_26'!$A$3:$A$665,0)),"")</f>
        <v>4</v>
      </c>
      <c r="M203" s="28"/>
      <c r="N203" s="27" t="n">
        <f aca="false">IFERROR(INDEX('Input Giocatori 2026_27'!$E$3:$E$493,MATCH($A203,'Input Giocatori 2026_27'!$A$3:$A$493,0)),"")</f>
        <v>5</v>
      </c>
      <c r="O203" s="27" t="n">
        <f aca="false">IFERROR(INDEX('Input Giocatori 2026_27'!$G$3:$G$493,MATCH($A203,'Input Giocatori 2026_27'!$A$3:$A$493,0)),"")</f>
        <v>17</v>
      </c>
      <c r="P203" s="26" t="str">
        <f aca="false">IFERROR(IF($O203="","",IF((1-(COUNTIFS($B$2:$B$492,$B203,$O$2:$O$492,"&gt;"&amp;$O203)+1-1)/COUNTIF($B$2:$B$492,$B203))&gt;=0.85,"Top",IF((1-(COUNTIFS($B$2:$B$492,$B203,$O$2:$O$492,"&gt;"&amp;$O203)+1-1)/COUNTIF($B$2:$B$492,$B203))&gt;=0.6,"Buono",IF((1-(COUNTIFS($B$2:$B$492,$B203,$O$2:$O$492,"&gt;"&amp;$O203)+1-1)/COUNTIF($B$2:$B$492,$B203))&gt;=0.3,"Nella Media","Scommessa/Riserva")))),"")</f>
        <v>Nella Media</v>
      </c>
      <c r="Q203" s="29" t="n">
        <f aca="false">IF($D203="",COUNTIF($D$2:$D203,""),"")</f>
        <v>202</v>
      </c>
      <c r="R203" s="29" t="str">
        <f aca="false">IF($D203='Info Lega'!$B$28,COUNTIFS($D$2:$D203,'Info Lega'!$B$28),"")</f>
        <v/>
      </c>
      <c r="S203" s="30" t="n">
        <f aca="false">IFERROR(INDEX('Input Statistiche 2025_26'!$G$3:$G$665,MATCH($A203,'Input Statistiche 2025_26'!$A$3:$A$665,0)),"")</f>
        <v>6.09</v>
      </c>
      <c r="T203" s="30" t="n">
        <f aca="false">IFERROR(INDEX('Input Statistiche 2025_26'!$H$3:$H$665,MATCH($A203,'Input Statistiche 2025_26'!$A$3:$A$665,0)),"")</f>
        <v>6.48</v>
      </c>
      <c r="U203" s="26" t="str">
        <f aca="false">IF(OR('La Mia Rosa'!$O$12="",$D203&lt;&gt;""),"",IF($F203&lt;='La Mia Rosa'!$O$12*'Parametri Modello'!$B$24,"OK",IF($F203&lt;='La Mia Rosa'!$O$12*'Parametri Modello'!$B$25,"Attenzione","Rischio Alto")))</f>
        <v>OK</v>
      </c>
      <c r="V203" s="26" t="n">
        <f aca="false">IFERROR(COUNTIFS($B$2:$B$492,$B203,$O$2:$O$492,"&gt;"&amp;$O203)+1,"")</f>
        <v>78</v>
      </c>
      <c r="W203" s="21" t="n">
        <f aca="false">'Info Lega'!$B$4-SUMIFS($M$2:$M$492,$D$2:$D$492,'Info Lega'!$B$28)</f>
        <v>1000</v>
      </c>
      <c r="X203" s="21" t="n">
        <f aca="false">('Info Lega'!$B$5-COUNTIFS($D$2:$D$492,'Info Lega'!$B$28,$B$2:$B$492,"P"))+('Info Lega'!$B$6-COUNTIFS($D$2:$D$492,'Info Lega'!$B$28,$B$2:$B$492,"D"))+('Info Lega'!$B$7-COUNTIFS($D$2:$D$492,'Info Lega'!$B$28,$B$2:$B$492,"C"))+('Info Lega'!$B$8-COUNTIFS($D$2:$D$492,'Info Lega'!$B$28,$B$2:$B$492,"A"))</f>
        <v>25</v>
      </c>
      <c r="Y203" s="21" t="n">
        <f aca="false">X203*'Parametri Modello'!$B$30</f>
        <v>25</v>
      </c>
      <c r="Z203" s="21" t="n">
        <f aca="false">MAX(0,W203-Y203)</f>
        <v>975</v>
      </c>
      <c r="AA203" s="21" t="n">
        <f aca="false">MIN(F203,Z203)</f>
        <v>10</v>
      </c>
      <c r="AB203" s="21"/>
      <c r="AC203" s="21" t="str">
        <f aca="false">IF(AB203="","",IF(AB203&gt;AA203,"PASS",IF(AB203&lt;=AA203*0.85,"BID","ATTENZIONE")))</f>
        <v/>
      </c>
      <c r="AD203" s="31" t="n">
        <f aca="false">IF(I203="","",ROUND(100*(1-EXP(-I203/30)),0))</f>
        <v>52</v>
      </c>
      <c r="AE203" s="7" t="str">
        <f aca="false">IFERROR(INDEX('Stato Asta'!$G$9:$G$12,MATCH($B203,'Stato Asta'!$A$9:$A$12,0)),"")</f>
        <v>🟡 Attesa rischiosa</v>
      </c>
    </row>
    <row r="204" customFormat="false" ht="14.25" hidden="false" customHeight="true" outlineLevel="0" collapsed="false">
      <c r="A204" s="21" t="n">
        <v>6556</v>
      </c>
      <c r="B204" s="21" t="s">
        <v>46</v>
      </c>
      <c r="C204" s="21" t="s">
        <v>590</v>
      </c>
      <c r="E204" s="26" t="str">
        <f aca="false">IF(COUNTIF('Info Strategia'!$D$2:$D$51,$C204)&gt;0,"SI","NO")</f>
        <v>NO</v>
      </c>
      <c r="F204" s="27" t="n">
        <f aca="false">IFERROR(ROUND(($G204+($H204-$G204)*'Info Strategia'!$B$6)*(1+IF($E204="SI",'Parametri Modello'!$B$7*'Info Strategia'!$B$6,0)),0),"")</f>
        <v>15</v>
      </c>
      <c r="G204" s="27" t="n">
        <f aca="false">IFERROR(ROUND((IF(OR(INDEX('Parametri Modello'!$C$39:$C$42,MATCH($B204,'Parametri Modello'!$A$39:$A$42,0))="",INDEX('Parametri Modello'!$C$39:$C$42,MATCH($B204,'Parametri Modello'!$A$39:$A$42,0))=0),0,($O204/INDEX('Parametri Modello'!$C$39:$C$42,MATCH($B204,'Parametri Modello'!$A$39:$A$42,0)))*(INDEX('Parametri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9</v>
      </c>
      <c r="H204" s="27" t="n">
        <f aca="false">IFERROR(ROUND((IF(OR(INDEX('Parametri Modello'!$C$39:$C$42,MATCH($B204,'Parametri Modello'!$A$39:$A$42,0))="",INDEX('Parametri Modello'!$C$39:$C$42,MATCH($B204,'Parametri Modello'!$A$39:$A$42,0))=0),0,($O204/INDEX('Parametri Modello'!$C$39:$C$42,MATCH($B204,'Parametri Modello'!$A$39:$A$42,0)))*(INDEX('Parametri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17</v>
      </c>
      <c r="I204" s="26" t="n">
        <f aca="false">IFERROR(INDEX('Input Statistiche 2025_26'!$F$3:$F$665,MATCH($A204,'Input Statistiche 2025_26'!$A$3:$A$665,0)),"")</f>
        <v>23</v>
      </c>
      <c r="J204" s="26" t="n">
        <f aca="false">IFERROR(IF($I204="","",MAX(0,38-$I204)),"")</f>
        <v>15</v>
      </c>
      <c r="K204" s="26" t="n">
        <f aca="false">IFERROR(INDEX('Input Statistiche 2025_26'!$I$3:$I$665,MATCH($A204,'Input Statistiche 2025_26'!$A$3:$A$665,0)),"")</f>
        <v>4</v>
      </c>
      <c r="L204" s="26" t="n">
        <f aca="false">IFERROR(INDEX('Input Statistiche 2025_26'!$O$3:$O$665,MATCH($A204,'Input Statistiche 2025_26'!$A$3:$A$665,0)),"")</f>
        <v>2</v>
      </c>
      <c r="M204" s="28"/>
      <c r="N204" s="27" t="n">
        <f aca="false">IFERROR(INDEX('Input Giocatori 2026_27'!$E$3:$E$493,MATCH($A204,'Input Giocatori 2026_27'!$A$3:$A$493,0)),"")</f>
        <v>6</v>
      </c>
      <c r="O204" s="27" t="n">
        <f aca="false">IFERROR(INDEX('Input Giocatori 2026_27'!$G$3:$G$493,MATCH($A204,'Input Giocatori 2026_27'!$A$3:$A$493,0)),"")</f>
        <v>17</v>
      </c>
      <c r="P204" s="26" t="str">
        <f aca="false">IFERROR(IF($O204="","",IF((1-(COUNTIFS($B$2:$B$492,$B204,$O$2:$O$492,"&gt;"&amp;$O204)+1-1)/COUNTIF($B$2:$B$492,$B204))&gt;=0.85,"Top",IF((1-(COUNTIFS($B$2:$B$492,$B204,$O$2:$O$492,"&gt;"&amp;$O204)+1-1)/COUNTIF($B$2:$B$492,$B204))&gt;=0.6,"Buono",IF((1-(COUNTIFS($B$2:$B$492,$B204,$O$2:$O$492,"&gt;"&amp;$O204)+1-1)/COUNTIF($B$2:$B$492,$B204))&gt;=0.3,"Nella Media","Scommessa/Riserva")))),"")</f>
        <v>Nella Media</v>
      </c>
      <c r="Q204" s="29" t="n">
        <f aca="false">IF($D204="",COUNTIF($D$2:$D204,""),"")</f>
        <v>203</v>
      </c>
      <c r="R204" s="29" t="str">
        <f aca="false">IF($D204='Info Lega'!$B$28,COUNTIFS($D$2:$D204,'Info Lega'!$B$28),"")</f>
        <v/>
      </c>
      <c r="S204" s="30" t="n">
        <f aca="false">IFERROR(INDEX('Input Statistiche 2025_26'!$G$3:$G$665,MATCH($A204,'Input Statistiche 2025_26'!$A$3:$A$665,0)),"")</f>
        <v>6.02</v>
      </c>
      <c r="T204" s="30" t="n">
        <f aca="false">IFERROR(INDEX('Input Statistiche 2025_26'!$H$3:$H$665,MATCH($A204,'Input Statistiche 2025_26'!$A$3:$A$665,0)),"")</f>
        <v>6.5</v>
      </c>
      <c r="U204" s="26" t="str">
        <f aca="false">IF(OR('La Mia Rosa'!$O$12="",$D204&lt;&gt;""),"",IF($F204&lt;='La Mia Rosa'!$O$12*'Parametri Modello'!$B$24,"OK",IF($F204&lt;='La Mia Rosa'!$O$12*'Parametri Modello'!$B$25,"Attenzione","Rischio Alto")))</f>
        <v>OK</v>
      </c>
      <c r="V204" s="26" t="n">
        <f aca="false">IFERROR(COUNTIFS($B$2:$B$492,$B204,$O$2:$O$492,"&gt;"&amp;$O204)+1,"")</f>
        <v>55</v>
      </c>
      <c r="W204" s="21" t="n">
        <f aca="false">'Info Lega'!$B$4-SUMIFS($M$2:$M$492,$D$2:$D$492,'Info Lega'!$B$28)</f>
        <v>1000</v>
      </c>
      <c r="X204" s="21" t="n">
        <f aca="false">('Info Lega'!$B$5-COUNTIFS($D$2:$D$492,'Info Lega'!$B$28,$B$2:$B$492,"P"))+('Info Lega'!$B$6-COUNTIFS($D$2:$D$492,'Info Lega'!$B$28,$B$2:$B$492,"D"))+('Info Lega'!$B$7-COUNTIFS($D$2:$D$492,'Info Lega'!$B$28,$B$2:$B$492,"C"))+('Info Lega'!$B$8-COUNTIFS($D$2:$D$492,'Info Lega'!$B$28,$B$2:$B$492,"A"))</f>
        <v>25</v>
      </c>
      <c r="Y204" s="21" t="n">
        <f aca="false">X204*'Parametri Modello'!$B$30</f>
        <v>25</v>
      </c>
      <c r="Z204" s="21" t="n">
        <f aca="false">MAX(0,W204-Y204)</f>
        <v>975</v>
      </c>
      <c r="AA204" s="21" t="n">
        <f aca="false">MIN(F204,Z204)</f>
        <v>15</v>
      </c>
      <c r="AB204" s="21"/>
      <c r="AC204" s="21" t="str">
        <f aca="false">IF(AB204="","",IF(AB204&gt;AA204,"PASS",IF(AB204&lt;=AA204*0.85,"BID","ATTENZIONE")))</f>
        <v/>
      </c>
      <c r="AD204" s="31" t="n">
        <f aca="false">IF(I204="","",ROUND(100*(1-EXP(-I204/30)),0))</f>
        <v>54</v>
      </c>
      <c r="AE204" s="7" t="str">
        <f aca="false">IFERROR(INDEX('Stato Asta'!$G$9:$G$12,MATCH($B204,'Stato Asta'!$A$9:$A$12,0)),"")</f>
        <v>🔴 Non aspettare</v>
      </c>
    </row>
    <row r="205" customFormat="false" ht="14.25" hidden="false" customHeight="true" outlineLevel="0" collapsed="false">
      <c r="A205" s="21" t="n">
        <v>6046</v>
      </c>
      <c r="B205" s="21" t="s">
        <v>44</v>
      </c>
      <c r="C205" s="21" t="s">
        <v>213</v>
      </c>
      <c r="E205" s="26" t="str">
        <f aca="false">IF(COUNTIF('Info Strategia'!$D$2:$D$51,$C205)&gt;0,"SI","NO")</f>
        <v>NO</v>
      </c>
      <c r="F205" s="27" t="n">
        <f aca="false">IFERROR(ROUND(($G205+($H205-$G205)*'Info Strategia'!$B$6)*(1+IF($E205="SI",'Parametri Modello'!$B$7*'Info Strategia'!$B$6,0)),0),"")</f>
        <v>7</v>
      </c>
      <c r="G205" s="27" t="n">
        <f aca="false">IFERROR(ROUND((IF(OR(INDEX('Parametri Modello'!$C$39:$C$42,MATCH($B205,'Parametri Modello'!$A$39:$A$42,0))="",INDEX('Parametri Modello'!$C$39:$C$42,MATCH($B205,'Parametri Modello'!$A$39:$A$42,0))=0),0,($O205/INDEX('Parametri Modello'!$C$39:$C$42,MATCH($B205,'Parametri Modello'!$A$39:$A$42,0)))*(INDEX('Parametri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6</v>
      </c>
      <c r="H205" s="27" t="n">
        <f aca="false">IFERROR(ROUND((IF(OR(INDEX('Parametri Modello'!$C$39:$C$42,MATCH($B205,'Parametri Modello'!$A$39:$A$42,0))="",INDEX('Parametri Modello'!$C$39:$C$42,MATCH($B205,'Parametri Modello'!$A$39:$A$42,0))=0),0,($O205/INDEX('Parametri Modello'!$C$39:$C$42,MATCH($B205,'Parametri Modello'!$A$39:$A$42,0)))*(INDEX('Parametri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8</v>
      </c>
      <c r="I205" s="26" t="n">
        <f aca="false">IFERROR(INDEX('Input Statistiche 2025_26'!$F$3:$F$665,MATCH($A205,'Input Statistiche 2025_26'!$A$3:$A$665,0)),"")</f>
        <v>28</v>
      </c>
      <c r="J205" s="26" t="n">
        <f aca="false">IFERROR(IF($I205="","",MAX(0,38-$I205)),"")</f>
        <v>10</v>
      </c>
      <c r="K205" s="26" t="n">
        <f aca="false">IFERROR(INDEX('Input Statistiche 2025_26'!$I$3:$I$665,MATCH($A205,'Input Statistiche 2025_26'!$A$3:$A$665,0)),"")</f>
        <v>1</v>
      </c>
      <c r="L205" s="26" t="n">
        <f aca="false">IFERROR(INDEX('Input Statistiche 2025_26'!$O$3:$O$665,MATCH($A205,'Input Statistiche 2025_26'!$A$3:$A$665,0)),"")</f>
        <v>0</v>
      </c>
      <c r="M205" s="28"/>
      <c r="N205" s="27" t="n">
        <f aca="false">IFERROR(INDEX('Input Giocatori 2026_27'!$E$3:$E$493,MATCH($A205,'Input Giocatori 2026_27'!$A$3:$A$493,0)),"")</f>
        <v>8</v>
      </c>
      <c r="O205" s="27" t="n">
        <f aca="false">IFERROR(INDEX('Input Giocatori 2026_27'!$G$3:$G$493,MATCH($A205,'Input Giocatori 2026_27'!$A$3:$A$493,0)),"")</f>
        <v>16</v>
      </c>
      <c r="P205" s="26" t="str">
        <f aca="false">IFERROR(IF($O205="","",IF((1-(COUNTIFS($B$2:$B$492,$B205,$O$2:$O$492,"&gt;"&amp;$O205)+1-1)/COUNTIF($B$2:$B$492,$B205))&gt;=0.85,"Top",IF((1-(COUNTIFS($B$2:$B$492,$B205,$O$2:$O$492,"&gt;"&amp;$O205)+1-1)/COUNTIF($B$2:$B$492,$B205))&gt;=0.6,"Buono",IF((1-(COUNTIFS($B$2:$B$492,$B205,$O$2:$O$492,"&gt;"&amp;$O205)+1-1)/COUNTIF($B$2:$B$492,$B205))&gt;=0.3,"Nella Media","Scommessa/Riserva")))),"")</f>
        <v>Buono</v>
      </c>
      <c r="Q205" s="29" t="n">
        <f aca="false">IF($D205="",COUNTIF($D$2:$D205,""),"")</f>
        <v>204</v>
      </c>
      <c r="R205" s="29" t="str">
        <f aca="false">IF($D205='Info Lega'!$B$28,COUNTIFS($D$2:$D205,'Info Lega'!$B$28),"")</f>
        <v/>
      </c>
      <c r="S205" s="30" t="n">
        <f aca="false">IFERROR(INDEX('Input Statistiche 2025_26'!$G$3:$G$665,MATCH($A205,'Input Statistiche 2025_26'!$A$3:$A$665,0)),"")</f>
        <v>5.91</v>
      </c>
      <c r="T205" s="30" t="n">
        <f aca="false">IFERROR(INDEX('Input Statistiche 2025_26'!$H$3:$H$665,MATCH($A205,'Input Statistiche 2025_26'!$A$3:$A$665,0)),"")</f>
        <v>5.86</v>
      </c>
      <c r="U205" s="26" t="str">
        <f aca="false">IF(OR('La Mia Rosa'!$O$12="",$D205&lt;&gt;""),"",IF($F205&lt;='La Mia Rosa'!$O$12*'Parametri Modello'!$B$24,"OK",IF($F205&lt;='La Mia Rosa'!$O$12*'Parametri Modello'!$B$25,"Attenzione","Rischio Alto")))</f>
        <v>OK</v>
      </c>
      <c r="V205" s="26" t="n">
        <f aca="false">IFERROR(COUNTIFS($B$2:$B$492,$B205,$O$2:$O$492,"&gt;"&amp;$O205)+1,"")</f>
        <v>56</v>
      </c>
      <c r="W205" s="21" t="n">
        <f aca="false">'Info Lega'!$B$4-SUMIFS($M$2:$M$492,$D$2:$D$492,'Info Lega'!$B$28)</f>
        <v>1000</v>
      </c>
      <c r="X205" s="21" t="n">
        <f aca="false">('Info Lega'!$B$5-COUNTIFS($D$2:$D$492,'Info Lega'!$B$28,$B$2:$B$492,"P"))+('Info Lega'!$B$6-COUNTIFS($D$2:$D$492,'Info Lega'!$B$28,$B$2:$B$492,"D"))+('Info Lega'!$B$7-COUNTIFS($D$2:$D$492,'Info Lega'!$B$28,$B$2:$B$492,"C"))+('Info Lega'!$B$8-COUNTIFS($D$2:$D$492,'Info Lega'!$B$28,$B$2:$B$492,"A"))</f>
        <v>25</v>
      </c>
      <c r="Y205" s="21" t="n">
        <f aca="false">X205*'Parametri Modello'!$B$30</f>
        <v>25</v>
      </c>
      <c r="Z205" s="21" t="n">
        <f aca="false">MAX(0,W205-Y205)</f>
        <v>975</v>
      </c>
      <c r="AA205" s="21" t="n">
        <f aca="false">MIN(F205,Z205)</f>
        <v>7</v>
      </c>
      <c r="AB205" s="21"/>
      <c r="AC205" s="21" t="str">
        <f aca="false">IF(AB205="","",IF(AB205&gt;AA205,"PASS",IF(AB205&lt;=AA205*0.85,"BID","ATTENZIONE")))</f>
        <v/>
      </c>
      <c r="AD205" s="31" t="n">
        <f aca="false">IF(I205="","",ROUND(100*(1-EXP(-I205/30)),0))</f>
        <v>61</v>
      </c>
      <c r="AE205" s="7" t="str">
        <f aca="false">IFERROR(INDEX('Stato Asta'!$G$9:$G$12,MATCH($B205,'Stato Asta'!$A$9:$A$12,0)),"")</f>
        <v>🟡 Attesa rischiosa</v>
      </c>
    </row>
    <row r="206" customFormat="false" ht="14.25" hidden="false" customHeight="true" outlineLevel="0" collapsed="false">
      <c r="A206" s="21" t="n">
        <v>787</v>
      </c>
      <c r="B206" s="21" t="s">
        <v>44</v>
      </c>
      <c r="C206" s="21" t="s">
        <v>228</v>
      </c>
      <c r="E206" s="26" t="str">
        <f aca="false">IF(COUNTIF('Info Strategia'!$D$2:$D$51,$C206)&gt;0,"SI","NO")</f>
        <v>NO</v>
      </c>
      <c r="F206" s="27" t="n">
        <f aca="false">IFERROR(ROUND(($G206+($H206-$G206)*'Info Strategia'!$B$6)*(1+IF($E206="SI",'Parametri Modello'!$B$7*'Info Strategia'!$B$6,0)),0),"")</f>
        <v>7</v>
      </c>
      <c r="G206" s="27" t="n">
        <f aca="false">IFERROR(ROUND((IF(OR(INDEX('Parametri Modello'!$C$39:$C$42,MATCH($B206,'Parametri Modello'!$A$39:$A$42,0))="",INDEX('Parametri Modello'!$C$39:$C$42,MATCH($B206,'Parametri Modello'!$A$39:$A$42,0))=0),0,($O206/INDEX('Parametri Modello'!$C$39:$C$42,MATCH($B206,'Parametri Modello'!$A$39:$A$42,0)))*(INDEX('Parametri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6</v>
      </c>
      <c r="H206" s="27" t="n">
        <f aca="false">IFERROR(ROUND((IF(OR(INDEX('Parametri Modello'!$C$39:$C$42,MATCH($B206,'Parametri Modello'!$A$39:$A$42,0))="",INDEX('Parametri Modello'!$C$39:$C$42,MATCH($B206,'Parametri Modello'!$A$39:$A$42,0))=0),0,($O206/INDEX('Parametri Modello'!$C$39:$C$42,MATCH($B206,'Parametri Modello'!$A$39:$A$42,0)))*(INDEX('Parametri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8</v>
      </c>
      <c r="I206" s="26" t="n">
        <f aca="false">IFERROR(INDEX('Input Statistiche 2025_26'!$F$3:$F$665,MATCH($A206,'Input Statistiche 2025_26'!$A$3:$A$665,0)),"")</f>
        <v>33</v>
      </c>
      <c r="J206" s="26" t="n">
        <f aca="false">IFERROR(IF($I206="","",MAX(0,38-$I206)),"")</f>
        <v>5</v>
      </c>
      <c r="K206" s="26" t="n">
        <f aca="false">IFERROR(INDEX('Input Statistiche 2025_26'!$I$3:$I$665,MATCH($A206,'Input Statistiche 2025_26'!$A$3:$A$665,0)),"")</f>
        <v>0</v>
      </c>
      <c r="L206" s="26" t="n">
        <f aca="false">IFERROR(INDEX('Input Statistiche 2025_26'!$O$3:$O$665,MATCH($A206,'Input Statistiche 2025_26'!$A$3:$A$665,0)),"")</f>
        <v>0</v>
      </c>
      <c r="M206" s="28"/>
      <c r="N206" s="27" t="n">
        <f aca="false">IFERROR(INDEX('Input Giocatori 2026_27'!$E$3:$E$493,MATCH($A206,'Input Giocatori 2026_27'!$A$3:$A$493,0)),"")</f>
        <v>7</v>
      </c>
      <c r="O206" s="27" t="n">
        <f aca="false">IFERROR(INDEX('Input Giocatori 2026_27'!$G$3:$G$493,MATCH($A206,'Input Giocatori 2026_27'!$A$3:$A$493,0)),"")</f>
        <v>16</v>
      </c>
      <c r="P206" s="26" t="str">
        <f aca="false">IFERROR(IF($O206="","",IF((1-(COUNTIFS($B$2:$B$492,$B206,$O$2:$O$492,"&gt;"&amp;$O206)+1-1)/COUNTIF($B$2:$B$492,$B206))&gt;=0.85,"Top",IF((1-(COUNTIFS($B$2:$B$492,$B206,$O$2:$O$492,"&gt;"&amp;$O206)+1-1)/COUNTIF($B$2:$B$492,$B206))&gt;=0.6,"Buono",IF((1-(COUNTIFS($B$2:$B$492,$B206,$O$2:$O$492,"&gt;"&amp;$O206)+1-1)/COUNTIF($B$2:$B$492,$B206))&gt;=0.3,"Nella Media","Scommessa/Riserva")))),"")</f>
        <v>Buono</v>
      </c>
      <c r="Q206" s="29" t="n">
        <f aca="false">IF($D206="",COUNTIF($D$2:$D206,""),"")</f>
        <v>205</v>
      </c>
      <c r="R206" s="29" t="str">
        <f aca="false">IF($D206='Info Lega'!$B$28,COUNTIFS($D$2:$D206,'Info Lega'!$B$28),"")</f>
        <v/>
      </c>
      <c r="S206" s="30" t="n">
        <f aca="false">IFERROR(INDEX('Input Statistiche 2025_26'!$G$3:$G$665,MATCH($A206,'Input Statistiche 2025_26'!$A$3:$A$665,0)),"")</f>
        <v>5.86</v>
      </c>
      <c r="T206" s="30" t="n">
        <f aca="false">IFERROR(INDEX('Input Statistiche 2025_26'!$H$3:$H$665,MATCH($A206,'Input Statistiche 2025_26'!$A$3:$A$665,0)),"")</f>
        <v>5.8</v>
      </c>
      <c r="U206" s="26" t="str">
        <f aca="false">IF(OR('La Mia Rosa'!$O$12="",$D206&lt;&gt;""),"",IF($F206&lt;='La Mia Rosa'!$O$12*'Parametri Modello'!$B$24,"OK",IF($F206&lt;='La Mia Rosa'!$O$12*'Parametri Modello'!$B$25,"Attenzione","Rischio Alto")))</f>
        <v>OK</v>
      </c>
      <c r="V206" s="26" t="n">
        <f aca="false">IFERROR(COUNTIFS($B$2:$B$492,$B206,$O$2:$O$492,"&gt;"&amp;$O206)+1,"")</f>
        <v>56</v>
      </c>
      <c r="W206" s="21" t="n">
        <f aca="false">'Info Lega'!$B$4-SUMIFS($M$2:$M$492,$D$2:$D$492,'Info Lega'!$B$28)</f>
        <v>1000</v>
      </c>
      <c r="X206" s="21" t="n">
        <f aca="false">('Info Lega'!$B$5-COUNTIFS($D$2:$D$492,'Info Lega'!$B$28,$B$2:$B$492,"P"))+('Info Lega'!$B$6-COUNTIFS($D$2:$D$492,'Info Lega'!$B$28,$B$2:$B$492,"D"))+('Info Lega'!$B$7-COUNTIFS($D$2:$D$492,'Info Lega'!$B$28,$B$2:$B$492,"C"))+('Info Lega'!$B$8-COUNTIFS($D$2:$D$492,'Info Lega'!$B$28,$B$2:$B$492,"A"))</f>
        <v>25</v>
      </c>
      <c r="Y206" s="21" t="n">
        <f aca="false">X206*'Parametri Modello'!$B$30</f>
        <v>25</v>
      </c>
      <c r="Z206" s="21" t="n">
        <f aca="false">MAX(0,W206-Y206)</f>
        <v>975</v>
      </c>
      <c r="AA206" s="21" t="n">
        <f aca="false">MIN(F206,Z206)</f>
        <v>7</v>
      </c>
      <c r="AB206" s="21"/>
      <c r="AC206" s="21" t="str">
        <f aca="false">IF(AB206="","",IF(AB206&gt;AA206,"PASS",IF(AB206&lt;=AA206*0.85,"BID","ATTENZIONE")))</f>
        <v/>
      </c>
      <c r="AD206" s="31" t="n">
        <f aca="false">IF(I206="","",ROUND(100*(1-EXP(-I206/30)),0))</f>
        <v>67</v>
      </c>
      <c r="AE206" s="7" t="str">
        <f aca="false">IFERROR(INDEX('Stato Asta'!$G$9:$G$12,MATCH($B206,'Stato Asta'!$A$9:$A$12,0)),"")</f>
        <v>🟡 Attesa rischiosa</v>
      </c>
    </row>
    <row r="207" customFormat="false" ht="14.25" hidden="false" customHeight="true" outlineLevel="0" collapsed="false">
      <c r="A207" s="21" t="n">
        <v>6916</v>
      </c>
      <c r="B207" s="21" t="s">
        <v>44</v>
      </c>
      <c r="C207" s="21" t="s">
        <v>242</v>
      </c>
      <c r="E207" s="26" t="str">
        <f aca="false">IF(COUNTIF('Info Strategia'!$D$2:$D$51,$C207)&gt;0,"SI","NO")</f>
        <v>NO</v>
      </c>
      <c r="F207" s="27" t="n">
        <f aca="false">IFERROR(ROUND(($G207+($H207-$G207)*'Info Strategia'!$B$6)*(1+IF($E207="SI",'Parametri Modello'!$B$7*'Info Strategia'!$B$6,0)),0),"")</f>
        <v>7</v>
      </c>
      <c r="G207" s="27" t="n">
        <f aca="false">IFERROR(ROUND((IF(OR(INDEX('Parametri Modello'!$C$39:$C$42,MATCH($B207,'Parametri Modello'!$A$39:$A$42,0))="",INDEX('Parametri Modello'!$C$39:$C$42,MATCH($B207,'Parametri Modello'!$A$39:$A$42,0))=0),0,($O207/INDEX('Parametri Modello'!$C$39:$C$42,MATCH($B207,'Parametri Modello'!$A$39:$A$42,0)))*(INDEX('Parametri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6</v>
      </c>
      <c r="H207" s="27" t="n">
        <f aca="false">IFERROR(ROUND((IF(OR(INDEX('Parametri Modello'!$C$39:$C$42,MATCH($B207,'Parametri Modello'!$A$39:$A$42,0))="",INDEX('Parametri Modello'!$C$39:$C$42,MATCH($B207,'Parametri Modello'!$A$39:$A$42,0))=0),0,($O207/INDEX('Parametri Modello'!$C$39:$C$42,MATCH($B207,'Parametri Modello'!$A$39:$A$42,0)))*(INDEX('Parametri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8</v>
      </c>
      <c r="I207" s="26" t="n">
        <f aca="false">IFERROR(INDEX('Input Statistiche 2025_26'!$F$3:$F$665,MATCH($A207,'Input Statistiche 2025_26'!$A$3:$A$665,0)),"")</f>
        <v>21</v>
      </c>
      <c r="J207" s="26" t="n">
        <f aca="false">IFERROR(IF($I207="","",MAX(0,38-$I207)),"")</f>
        <v>17</v>
      </c>
      <c r="K207" s="26" t="n">
        <f aca="false">IFERROR(INDEX('Input Statistiche 2025_26'!$I$3:$I$665,MATCH($A207,'Input Statistiche 2025_26'!$A$3:$A$665,0)),"")</f>
        <v>0</v>
      </c>
      <c r="L207" s="26" t="n">
        <f aca="false">IFERROR(INDEX('Input Statistiche 2025_26'!$O$3:$O$665,MATCH($A207,'Input Statistiche 2025_26'!$A$3:$A$665,0)),"")</f>
        <v>0</v>
      </c>
      <c r="M207" s="28"/>
      <c r="N207" s="27" t="n">
        <f aca="false">IFERROR(INDEX('Input Giocatori 2026_27'!$E$3:$E$493,MATCH($A207,'Input Giocatori 2026_27'!$A$3:$A$493,0)),"")</f>
        <v>6</v>
      </c>
      <c r="O207" s="27" t="n">
        <f aca="false">IFERROR(INDEX('Input Giocatori 2026_27'!$G$3:$G$493,MATCH($A207,'Input Giocatori 2026_27'!$A$3:$A$493,0)),"")</f>
        <v>16</v>
      </c>
      <c r="P207" s="26" t="str">
        <f aca="false">IFERROR(IF($O207="","",IF((1-(COUNTIFS($B$2:$B$492,$B207,$O$2:$O$492,"&gt;"&amp;$O207)+1-1)/COUNTIF($B$2:$B$492,$B207))&gt;=0.85,"Top",IF((1-(COUNTIFS($B$2:$B$492,$B207,$O$2:$O$492,"&gt;"&amp;$O207)+1-1)/COUNTIF($B$2:$B$492,$B207))&gt;=0.6,"Buono",IF((1-(COUNTIFS($B$2:$B$492,$B207,$O$2:$O$492,"&gt;"&amp;$O207)+1-1)/COUNTIF($B$2:$B$492,$B207))&gt;=0.3,"Nella Media","Scommessa/Riserva")))),"")</f>
        <v>Buono</v>
      </c>
      <c r="Q207" s="29" t="n">
        <f aca="false">IF($D207="",COUNTIF($D$2:$D207,""),"")</f>
        <v>206</v>
      </c>
      <c r="R207" s="29" t="str">
        <f aca="false">IF($D207='Info Lega'!$B$28,COUNTIFS($D$2:$D207,'Info Lega'!$B$28),"")</f>
        <v/>
      </c>
      <c r="S207" s="30" t="n">
        <f aca="false">IFERROR(INDEX('Input Statistiche 2025_26'!$G$3:$G$665,MATCH($A207,'Input Statistiche 2025_26'!$A$3:$A$665,0)),"")</f>
        <v>5.79</v>
      </c>
      <c r="T207" s="30" t="n">
        <f aca="false">IFERROR(INDEX('Input Statistiche 2025_26'!$H$3:$H$665,MATCH($A207,'Input Statistiche 2025_26'!$A$3:$A$665,0)),"")</f>
        <v>5.69</v>
      </c>
      <c r="U207" s="26" t="str">
        <f aca="false">IF(OR('La Mia Rosa'!$O$12="",$D207&lt;&gt;""),"",IF($F207&lt;='La Mia Rosa'!$O$12*'Parametri Modello'!$B$24,"OK",IF($F207&lt;='La Mia Rosa'!$O$12*'Parametri Modello'!$B$25,"Attenzione","Rischio Alto")))</f>
        <v>OK</v>
      </c>
      <c r="V207" s="26" t="n">
        <f aca="false">IFERROR(COUNTIFS($B$2:$B$492,$B207,$O$2:$O$492,"&gt;"&amp;$O207)+1,"")</f>
        <v>56</v>
      </c>
      <c r="W207" s="21" t="n">
        <f aca="false">'Info Lega'!$B$4-SUMIFS($M$2:$M$492,$D$2:$D$492,'Info Lega'!$B$28)</f>
        <v>1000</v>
      </c>
      <c r="X207" s="21" t="n">
        <f aca="false">('Info Lega'!$B$5-COUNTIFS($D$2:$D$492,'Info Lega'!$B$28,$B$2:$B$492,"P"))+('Info Lega'!$B$6-COUNTIFS($D$2:$D$492,'Info Lega'!$B$28,$B$2:$B$492,"D"))+('Info Lega'!$B$7-COUNTIFS($D$2:$D$492,'Info Lega'!$B$28,$B$2:$B$492,"C"))+('Info Lega'!$B$8-COUNTIFS($D$2:$D$492,'Info Lega'!$B$28,$B$2:$B$492,"A"))</f>
        <v>25</v>
      </c>
      <c r="Y207" s="21" t="n">
        <f aca="false">X207*'Parametri Modello'!$B$30</f>
        <v>25</v>
      </c>
      <c r="Z207" s="21" t="n">
        <f aca="false">MAX(0,W207-Y207)</f>
        <v>975</v>
      </c>
      <c r="AA207" s="21" t="n">
        <f aca="false">MIN(F207,Z207)</f>
        <v>7</v>
      </c>
      <c r="AB207" s="21"/>
      <c r="AC207" s="21" t="str">
        <f aca="false">IF(AB207="","",IF(AB207&gt;AA207,"PASS",IF(AB207&lt;=AA207*0.85,"BID","ATTENZIONE")))</f>
        <v/>
      </c>
      <c r="AD207" s="31" t="n">
        <f aca="false">IF(I207="","",ROUND(100*(1-EXP(-I207/30)),0))</f>
        <v>50</v>
      </c>
      <c r="AE207" s="7" t="str">
        <f aca="false">IFERROR(INDEX('Stato Asta'!$G$9:$G$12,MATCH($B207,'Stato Asta'!$A$9:$A$12,0)),"")</f>
        <v>🟡 Attesa rischiosa</v>
      </c>
    </row>
    <row r="208" customFormat="false" ht="14.25" hidden="false" customHeight="true" outlineLevel="0" collapsed="false">
      <c r="A208" s="21" t="n">
        <v>6202</v>
      </c>
      <c r="B208" s="21" t="s">
        <v>44</v>
      </c>
      <c r="C208" s="21" t="s">
        <v>257</v>
      </c>
      <c r="E208" s="26" t="str">
        <f aca="false">IF(COUNTIF('Info Strategia'!$D$2:$D$51,$C208)&gt;0,"SI","NO")</f>
        <v>NO</v>
      </c>
      <c r="F208" s="27" t="n">
        <f aca="false">IFERROR(ROUND(($G208+($H208-$G208)*'Info Strategia'!$B$6)*(1+IF($E208="SI",'Parametri Modello'!$B$7*'Info Strategia'!$B$6,0)),0),"")</f>
        <v>8</v>
      </c>
      <c r="G208" s="27" t="n">
        <f aca="false">IFERROR(ROUND((IF(OR(INDEX('Parametri Modello'!$C$39:$C$42,MATCH($B208,'Parametri Modello'!$A$39:$A$42,0))="",INDEX('Parametri Modello'!$C$39:$C$42,MATCH($B208,'Parametri Modello'!$A$39:$A$42,0))=0),0,($O208/INDEX('Parametri Modello'!$C$39:$C$42,MATCH($B208,'Parametri Modello'!$A$39:$A$42,0)))*(INDEX('Parametri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6</v>
      </c>
      <c r="H208" s="27" t="n">
        <f aca="false">IFERROR(ROUND((IF(OR(INDEX('Parametri Modello'!$C$39:$C$42,MATCH($B208,'Parametri Modello'!$A$39:$A$42,0))="",INDEX('Parametri Modello'!$C$39:$C$42,MATCH($B208,'Parametri Modello'!$A$39:$A$42,0))=0),0,($O208/INDEX('Parametri Modello'!$C$39:$C$42,MATCH($B208,'Parametri Modello'!$A$39:$A$42,0)))*(INDEX('Parametri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9</v>
      </c>
      <c r="I208" s="26" t="n">
        <f aca="false">IFERROR(INDEX('Input Statistiche 2025_26'!$F$3:$F$665,MATCH($A208,'Input Statistiche 2025_26'!$A$3:$A$665,0)),"")</f>
        <v>22</v>
      </c>
      <c r="J208" s="26" t="n">
        <f aca="false">IFERROR(IF($I208="","",MAX(0,38-$I208)),"")</f>
        <v>16</v>
      </c>
      <c r="K208" s="26" t="n">
        <f aca="false">IFERROR(INDEX('Input Statistiche 2025_26'!$I$3:$I$665,MATCH($A208,'Input Statistiche 2025_26'!$A$3:$A$665,0)),"")</f>
        <v>2</v>
      </c>
      <c r="L208" s="26" t="n">
        <f aca="false">IFERROR(INDEX('Input Statistiche 2025_26'!$O$3:$O$665,MATCH($A208,'Input Statistiche 2025_26'!$A$3:$A$665,0)),"")</f>
        <v>0</v>
      </c>
      <c r="M208" s="28"/>
      <c r="N208" s="27" t="n">
        <f aca="false">IFERROR(INDEX('Input Giocatori 2026_27'!$E$3:$E$493,MATCH($A208,'Input Giocatori 2026_27'!$A$3:$A$493,0)),"")</f>
        <v>6</v>
      </c>
      <c r="O208" s="27" t="n">
        <f aca="false">IFERROR(INDEX('Input Giocatori 2026_27'!$G$3:$G$493,MATCH($A208,'Input Giocatori 2026_27'!$A$3:$A$493,0)),"")</f>
        <v>16</v>
      </c>
      <c r="P208" s="26" t="str">
        <f aca="false">IFERROR(IF($O208="","",IF((1-(COUNTIFS($B$2:$B$492,$B208,$O$2:$O$492,"&gt;"&amp;$O208)+1-1)/COUNTIF($B$2:$B$492,$B208))&gt;=0.85,"Top",IF((1-(COUNTIFS($B$2:$B$492,$B208,$O$2:$O$492,"&gt;"&amp;$O208)+1-1)/COUNTIF($B$2:$B$492,$B208))&gt;=0.6,"Buono",IF((1-(COUNTIFS($B$2:$B$492,$B208,$O$2:$O$492,"&gt;"&amp;$O208)+1-1)/COUNTIF($B$2:$B$492,$B208))&gt;=0.3,"Nella Media","Scommessa/Riserva")))),"")</f>
        <v>Buono</v>
      </c>
      <c r="Q208" s="29" t="n">
        <f aca="false">IF($D208="",COUNTIF($D$2:$D208,""),"")</f>
        <v>207</v>
      </c>
      <c r="R208" s="29" t="str">
        <f aca="false">IF($D208='Info Lega'!$B$28,COUNTIFS($D$2:$D208,'Info Lega'!$B$28),"")</f>
        <v/>
      </c>
      <c r="S208" s="30" t="n">
        <f aca="false">IFERROR(INDEX('Input Statistiche 2025_26'!$G$3:$G$665,MATCH($A208,'Input Statistiche 2025_26'!$A$3:$A$665,0)),"")</f>
        <v>5.93</v>
      </c>
      <c r="T208" s="30" t="n">
        <f aca="false">IFERROR(INDEX('Input Statistiche 2025_26'!$H$3:$H$665,MATCH($A208,'Input Statistiche 2025_26'!$A$3:$A$665,0)),"")</f>
        <v>6.16</v>
      </c>
      <c r="U208" s="26" t="str">
        <f aca="false">IF(OR('La Mia Rosa'!$O$12="",$D208&lt;&gt;""),"",IF($F208&lt;='La Mia Rosa'!$O$12*'Parametri Modello'!$B$24,"OK",IF($F208&lt;='La Mia Rosa'!$O$12*'Parametri Modello'!$B$25,"Attenzione","Rischio Alto")))</f>
        <v>OK</v>
      </c>
      <c r="V208" s="26" t="n">
        <f aca="false">IFERROR(COUNTIFS($B$2:$B$492,$B208,$O$2:$O$492,"&gt;"&amp;$O208)+1,"")</f>
        <v>56</v>
      </c>
      <c r="W208" s="21" t="n">
        <f aca="false">'Info Lega'!$B$4-SUMIFS($M$2:$M$492,$D$2:$D$492,'Info Lega'!$B$28)</f>
        <v>1000</v>
      </c>
      <c r="X208" s="21" t="n">
        <f aca="false">('Info Lega'!$B$5-COUNTIFS($D$2:$D$492,'Info Lega'!$B$28,$B$2:$B$492,"P"))+('Info Lega'!$B$6-COUNTIFS($D$2:$D$492,'Info Lega'!$B$28,$B$2:$B$492,"D"))+('Info Lega'!$B$7-COUNTIFS($D$2:$D$492,'Info Lega'!$B$28,$B$2:$B$492,"C"))+('Info Lega'!$B$8-COUNTIFS($D$2:$D$492,'Info Lega'!$B$28,$B$2:$B$492,"A"))</f>
        <v>25</v>
      </c>
      <c r="Y208" s="21" t="n">
        <f aca="false">X208*'Parametri Modello'!$B$30</f>
        <v>25</v>
      </c>
      <c r="Z208" s="21" t="n">
        <f aca="false">MAX(0,W208-Y208)</f>
        <v>975</v>
      </c>
      <c r="AA208" s="21" t="n">
        <f aca="false">MIN(F208,Z208)</f>
        <v>8</v>
      </c>
      <c r="AB208" s="21"/>
      <c r="AC208" s="21" t="str">
        <f aca="false">IF(AB208="","",IF(AB208&gt;AA208,"PASS",IF(AB208&lt;=AA208*0.85,"BID","ATTENZIONE")))</f>
        <v/>
      </c>
      <c r="AD208" s="31" t="n">
        <f aca="false">IF(I208="","",ROUND(100*(1-EXP(-I208/30)),0))</f>
        <v>52</v>
      </c>
      <c r="AE208" s="7" t="str">
        <f aca="false">IFERROR(INDEX('Stato Asta'!$G$9:$G$12,MATCH($B208,'Stato Asta'!$A$9:$A$12,0)),"")</f>
        <v>🟡 Attesa rischiosa</v>
      </c>
    </row>
    <row r="209" customFormat="false" ht="14.25" hidden="false" customHeight="true" outlineLevel="0" collapsed="false">
      <c r="A209" s="21" t="n">
        <v>6986</v>
      </c>
      <c r="B209" s="21" t="s">
        <v>44</v>
      </c>
      <c r="C209" s="21" t="s">
        <v>277</v>
      </c>
      <c r="E209" s="26" t="str">
        <f aca="false">IF(COUNTIF('Info Strategia'!$D$2:$D$51,$C209)&gt;0,"SI","NO")</f>
        <v>NO</v>
      </c>
      <c r="F209" s="27" t="n">
        <f aca="false">IFERROR(ROUND(($G209+($H209-$G209)*'Info Strategia'!$B$6)*(1+IF($E209="SI",'Parametri Modello'!$B$7*'Info Strategia'!$B$6,0)),0),"")</f>
        <v>8</v>
      </c>
      <c r="G209" s="27" t="n">
        <f aca="false">IFERROR(ROUND((IF(OR(INDEX('Parametri Modello'!$C$39:$C$42,MATCH($B209,'Parametri Modello'!$A$39:$A$42,0))="",INDEX('Parametri Modello'!$C$39:$C$42,MATCH($B209,'Parametri Modello'!$A$39:$A$42,0))=0),0,($O209/INDEX('Parametri Modello'!$C$39:$C$42,MATCH($B209,'Parametri Modello'!$A$39:$A$42,0)))*(INDEX('Parametri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6</v>
      </c>
      <c r="H209" s="27" t="n">
        <f aca="false">IFERROR(ROUND((IF(OR(INDEX('Parametri Modello'!$C$39:$C$42,MATCH($B209,'Parametri Modello'!$A$39:$A$42,0))="",INDEX('Parametri Modello'!$C$39:$C$42,MATCH($B209,'Parametri Modello'!$A$39:$A$42,0))=0),0,($O209/INDEX('Parametri Modello'!$C$39:$C$42,MATCH($B209,'Parametri Modello'!$A$39:$A$42,0)))*(INDEX('Parametri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9</v>
      </c>
      <c r="I209" s="26" t="n">
        <f aca="false">IFERROR(INDEX('Input Statistiche 2025_26'!$F$3:$F$665,MATCH($A209,'Input Statistiche 2025_26'!$A$3:$A$665,0)),"")</f>
        <v>19</v>
      </c>
      <c r="J209" s="26" t="n">
        <f aca="false">IFERROR(IF($I209="","",MAX(0,38-$I209)),"")</f>
        <v>19</v>
      </c>
      <c r="K209" s="26" t="n">
        <f aca="false">IFERROR(INDEX('Input Statistiche 2025_26'!$I$3:$I$665,MATCH($A209,'Input Statistiche 2025_26'!$A$3:$A$665,0)),"")</f>
        <v>1</v>
      </c>
      <c r="L209" s="26" t="n">
        <f aca="false">IFERROR(INDEX('Input Statistiche 2025_26'!$O$3:$O$665,MATCH($A209,'Input Statistiche 2025_26'!$A$3:$A$665,0)),"")</f>
        <v>4</v>
      </c>
      <c r="M209" s="28"/>
      <c r="N209" s="27" t="n">
        <f aca="false">IFERROR(INDEX('Input Giocatori 2026_27'!$E$3:$E$493,MATCH($A209,'Input Giocatori 2026_27'!$A$3:$A$493,0)),"")</f>
        <v>5</v>
      </c>
      <c r="O209" s="27" t="n">
        <f aca="false">IFERROR(INDEX('Input Giocatori 2026_27'!$G$3:$G$493,MATCH($A209,'Input Giocatori 2026_27'!$A$3:$A$493,0)),"")</f>
        <v>16</v>
      </c>
      <c r="P209" s="26" t="str">
        <f aca="false">IFERROR(IF($O209="","",IF((1-(COUNTIFS($B$2:$B$492,$B209,$O$2:$O$492,"&gt;"&amp;$O209)+1-1)/COUNTIF($B$2:$B$492,$B209))&gt;=0.85,"Top",IF((1-(COUNTIFS($B$2:$B$492,$B209,$O$2:$O$492,"&gt;"&amp;$O209)+1-1)/COUNTIF($B$2:$B$492,$B209))&gt;=0.6,"Buono",IF((1-(COUNTIFS($B$2:$B$492,$B209,$O$2:$O$492,"&gt;"&amp;$O209)+1-1)/COUNTIF($B$2:$B$492,$B209))&gt;=0.3,"Nella Media","Scommessa/Riserva")))),"")</f>
        <v>Buono</v>
      </c>
      <c r="Q209" s="29" t="n">
        <f aca="false">IF($D209="",COUNTIF($D$2:$D209,""),"")</f>
        <v>208</v>
      </c>
      <c r="R209" s="29" t="str">
        <f aca="false">IF($D209='Info Lega'!$B$28,COUNTIFS($D$2:$D209,'Info Lega'!$B$28),"")</f>
        <v/>
      </c>
      <c r="S209" s="30" t="n">
        <f aca="false">IFERROR(INDEX('Input Statistiche 2025_26'!$G$3:$G$665,MATCH($A209,'Input Statistiche 2025_26'!$A$3:$A$665,0)),"")</f>
        <v>6.16</v>
      </c>
      <c r="T209" s="30" t="n">
        <f aca="false">IFERROR(INDEX('Input Statistiche 2025_26'!$H$3:$H$665,MATCH($A209,'Input Statistiche 2025_26'!$A$3:$A$665,0)),"")</f>
        <v>6.5</v>
      </c>
      <c r="U209" s="26" t="str">
        <f aca="false">IF(OR('La Mia Rosa'!$O$12="",$D209&lt;&gt;""),"",IF($F209&lt;='La Mia Rosa'!$O$12*'Parametri Modello'!$B$24,"OK",IF($F209&lt;='La Mia Rosa'!$O$12*'Parametri Modello'!$B$25,"Attenzione","Rischio Alto")))</f>
        <v>OK</v>
      </c>
      <c r="V209" s="26" t="n">
        <f aca="false">IFERROR(COUNTIFS($B$2:$B$492,$B209,$O$2:$O$492,"&gt;"&amp;$O209)+1,"")</f>
        <v>56</v>
      </c>
      <c r="W209" s="21" t="n">
        <f aca="false">'Info Lega'!$B$4-SUMIFS($M$2:$M$492,$D$2:$D$492,'Info Lega'!$B$28)</f>
        <v>1000</v>
      </c>
      <c r="X209" s="21" t="n">
        <f aca="false">('Info Lega'!$B$5-COUNTIFS($D$2:$D$492,'Info Lega'!$B$28,$B$2:$B$492,"P"))+('Info Lega'!$B$6-COUNTIFS($D$2:$D$492,'Info Lega'!$B$28,$B$2:$B$492,"D"))+('Info Lega'!$B$7-COUNTIFS($D$2:$D$492,'Info Lega'!$B$28,$B$2:$B$492,"C"))+('Info Lega'!$B$8-COUNTIFS($D$2:$D$492,'Info Lega'!$B$28,$B$2:$B$492,"A"))</f>
        <v>25</v>
      </c>
      <c r="Y209" s="21" t="n">
        <f aca="false">X209*'Parametri Modello'!$B$30</f>
        <v>25</v>
      </c>
      <c r="Z209" s="21" t="n">
        <f aca="false">MAX(0,W209-Y209)</f>
        <v>975</v>
      </c>
      <c r="AA209" s="21" t="n">
        <f aca="false">MIN(F209,Z209)</f>
        <v>8</v>
      </c>
      <c r="AB209" s="21"/>
      <c r="AC209" s="21" t="str">
        <f aca="false">IF(AB209="","",IF(AB209&gt;AA209,"PASS",IF(AB209&lt;=AA209*0.85,"BID","ATTENZIONE")))</f>
        <v/>
      </c>
      <c r="AD209" s="31" t="n">
        <f aca="false">IF(I209="","",ROUND(100*(1-EXP(-I209/30)),0))</f>
        <v>47</v>
      </c>
      <c r="AE209" s="7" t="str">
        <f aca="false">IFERROR(INDEX('Stato Asta'!$G$9:$G$12,MATCH($B209,'Stato Asta'!$A$9:$A$12,0)),"")</f>
        <v>🟡 Attesa rischiosa</v>
      </c>
    </row>
    <row r="210" customFormat="false" ht="14.25" hidden="false" customHeight="true" outlineLevel="0" collapsed="false">
      <c r="A210" s="21" t="n">
        <v>4459</v>
      </c>
      <c r="B210" s="21" t="s">
        <v>45</v>
      </c>
      <c r="C210" s="21" t="s">
        <v>438</v>
      </c>
      <c r="E210" s="26" t="str">
        <f aca="false">IF(COUNTIF('Info Strategia'!$D$2:$D$51,$C210)&gt;0,"SI","NO")</f>
        <v>NO</v>
      </c>
      <c r="F210" s="27" t="n">
        <f aca="false">IFERROR(ROUND(($G210+($H210-$G210)*'Info Strategia'!$B$6)*(1+IF($E210="SI",'Parametri Modello'!$B$7*'Info Strategia'!$B$6,0)),0),"")</f>
        <v>9</v>
      </c>
      <c r="G210" s="27" t="n">
        <f aca="false">IFERROR(ROUND((IF(OR(INDEX('Parametri Modello'!$C$39:$C$42,MATCH($B210,'Parametri Modello'!$A$39:$A$42,0))="",INDEX('Parametri Modello'!$C$39:$C$42,MATCH($B210,'Parametri Modello'!$A$39:$A$42,0))=0),0,($O210/INDEX('Parametri Modello'!$C$39:$C$42,MATCH($B210,'Parametri Modello'!$A$39:$A$42,0)))*(INDEX('Parametri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6</v>
      </c>
      <c r="H210" s="27" t="n">
        <f aca="false">IFERROR(ROUND((IF(OR(INDEX('Parametri Modello'!$C$39:$C$42,MATCH($B210,'Parametri Modello'!$A$39:$A$42,0))="",INDEX('Parametri Modello'!$C$39:$C$42,MATCH($B210,'Parametri Modello'!$A$39:$A$42,0))=0),0,($O210/INDEX('Parametri Modello'!$C$39:$C$42,MATCH($B210,'Parametri Modello'!$A$39:$A$42,0)))*(INDEX('Parametri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10</v>
      </c>
      <c r="I210" s="26" t="n">
        <f aca="false">IFERROR(INDEX('Input Statistiche 2025_26'!$F$3:$F$665,MATCH($A210,'Input Statistiche 2025_26'!$A$3:$A$665,0)),"")</f>
        <v>11</v>
      </c>
      <c r="J210" s="26" t="n">
        <f aca="false">IFERROR(IF($I210="","",MAX(0,38-$I210)),"")</f>
        <v>27</v>
      </c>
      <c r="K210" s="26" t="n">
        <f aca="false">IFERROR(INDEX('Input Statistiche 2025_26'!$I$3:$I$665,MATCH($A210,'Input Statistiche 2025_26'!$A$3:$A$665,0)),"")</f>
        <v>0</v>
      </c>
      <c r="L210" s="26" t="n">
        <f aca="false">IFERROR(INDEX('Input Statistiche 2025_26'!$O$3:$O$665,MATCH($A210,'Input Statistiche 2025_26'!$A$3:$A$665,0)),"")</f>
        <v>1</v>
      </c>
      <c r="M210" s="28"/>
      <c r="N210" s="27" t="n">
        <f aca="false">IFERROR(INDEX('Input Giocatori 2026_27'!$E$3:$E$493,MATCH($A210,'Input Giocatori 2026_27'!$A$3:$A$493,0)),"")</f>
        <v>6</v>
      </c>
      <c r="O210" s="27" t="n">
        <f aca="false">IFERROR(INDEX('Input Giocatori 2026_27'!$G$3:$G$493,MATCH($A210,'Input Giocatori 2026_27'!$A$3:$A$493,0)),"")</f>
        <v>16</v>
      </c>
      <c r="P210" s="26" t="str">
        <f aca="false">IFERROR(IF($O210="","",IF((1-(COUNTIFS($B$2:$B$492,$B210,$O$2:$O$492,"&gt;"&amp;$O210)+1-1)/COUNTIF($B$2:$B$492,$B210))&gt;=0.85,"Top",IF((1-(COUNTIFS($B$2:$B$492,$B210,$O$2:$O$492,"&gt;"&amp;$O210)+1-1)/COUNTIF($B$2:$B$492,$B210))&gt;=0.6,"Buono",IF((1-(COUNTIFS($B$2:$B$492,$B210,$O$2:$O$492,"&gt;"&amp;$O210)+1-1)/COUNTIF($B$2:$B$492,$B210))&gt;=0.3,"Nella Media","Scommessa/Riserva")))),"")</f>
        <v>Nella Media</v>
      </c>
      <c r="Q210" s="29" t="n">
        <f aca="false">IF($D210="",COUNTIF($D$2:$D210,""),"")</f>
        <v>209</v>
      </c>
      <c r="R210" s="29" t="str">
        <f aca="false">IF($D210='Info Lega'!$B$28,COUNTIFS($D$2:$D210,'Info Lega'!$B$28),"")</f>
        <v/>
      </c>
      <c r="S210" s="30" t="n">
        <f aca="false">IFERROR(INDEX('Input Statistiche 2025_26'!$G$3:$G$665,MATCH($A210,'Input Statistiche 2025_26'!$A$3:$A$665,0)),"")</f>
        <v>5.73</v>
      </c>
      <c r="T210" s="30" t="n">
        <f aca="false">IFERROR(INDEX('Input Statistiche 2025_26'!$H$3:$H$665,MATCH($A210,'Input Statistiche 2025_26'!$A$3:$A$665,0)),"")</f>
        <v>5.64</v>
      </c>
      <c r="U210" s="26" t="str">
        <f aca="false">IF(OR('La Mia Rosa'!$O$12="",$D210&lt;&gt;""),"",IF($F210&lt;='La Mia Rosa'!$O$12*'Parametri Modello'!$B$24,"OK",IF($F210&lt;='La Mia Rosa'!$O$12*'Parametri Modello'!$B$25,"Attenzione","Rischio Alto")))</f>
        <v>OK</v>
      </c>
      <c r="V210" s="26" t="n">
        <f aca="false">IFERROR(COUNTIFS($B$2:$B$492,$B210,$O$2:$O$492,"&gt;"&amp;$O210)+1,"")</f>
        <v>79</v>
      </c>
      <c r="W210" s="21" t="n">
        <f aca="false">'Info Lega'!$B$4-SUMIFS($M$2:$M$492,$D$2:$D$492,'Info Lega'!$B$28)</f>
        <v>1000</v>
      </c>
      <c r="X210" s="21" t="n">
        <f aca="false">('Info Lega'!$B$5-COUNTIFS($D$2:$D$492,'Info Lega'!$B$28,$B$2:$B$492,"P"))+('Info Lega'!$B$6-COUNTIFS($D$2:$D$492,'Info Lega'!$B$28,$B$2:$B$492,"D"))+('Info Lega'!$B$7-COUNTIFS($D$2:$D$492,'Info Lega'!$B$28,$B$2:$B$492,"C"))+('Info Lega'!$B$8-COUNTIFS($D$2:$D$492,'Info Lega'!$B$28,$B$2:$B$492,"A"))</f>
        <v>25</v>
      </c>
      <c r="Y210" s="21" t="n">
        <f aca="false">X210*'Parametri Modello'!$B$30</f>
        <v>25</v>
      </c>
      <c r="Z210" s="21" t="n">
        <f aca="false">MAX(0,W210-Y210)</f>
        <v>975</v>
      </c>
      <c r="AA210" s="21" t="n">
        <f aca="false">MIN(F210,Z210)</f>
        <v>9</v>
      </c>
      <c r="AB210" s="21"/>
      <c r="AC210" s="21" t="str">
        <f aca="false">IF(AB210="","",IF(AB210&gt;AA210,"PASS",IF(AB210&lt;=AA210*0.85,"BID","ATTENZIONE")))</f>
        <v/>
      </c>
      <c r="AD210" s="31" t="n">
        <f aca="false">IF(I210="","",ROUND(100*(1-EXP(-I210/30)),0))</f>
        <v>31</v>
      </c>
      <c r="AE210" s="7" t="str">
        <f aca="false">IFERROR(INDEX('Stato Asta'!$G$9:$G$12,MATCH($B210,'Stato Asta'!$A$9:$A$12,0)),"")</f>
        <v>🟡 Attesa rischiosa</v>
      </c>
    </row>
    <row r="211" customFormat="false" ht="14.25" hidden="false" customHeight="true" outlineLevel="0" collapsed="false">
      <c r="A211" s="21" t="n">
        <v>6593</v>
      </c>
      <c r="B211" s="21" t="s">
        <v>45</v>
      </c>
      <c r="C211" s="21" t="s">
        <v>442</v>
      </c>
      <c r="E211" s="26" t="str">
        <f aca="false">IF(COUNTIF('Info Strategia'!$D$2:$D$51,$C211)&gt;0,"SI","NO")</f>
        <v>NO</v>
      </c>
      <c r="F211" s="27" t="n">
        <f aca="false">IFERROR(ROUND(($G211+($H211-$G211)*'Info Strategia'!$B$6)*(1+IF($E211="SI",'Parametri Modello'!$B$7*'Info Strategia'!$B$6,0)),0),"")</f>
        <v>9</v>
      </c>
      <c r="G211" s="27" t="n">
        <f aca="false">IFERROR(ROUND((IF(OR(INDEX('Parametri Modello'!$C$39:$C$42,MATCH($B211,'Parametri Modello'!$A$39:$A$42,0))="",INDEX('Parametri Modello'!$C$39:$C$42,MATCH($B211,'Parametri Modello'!$A$39:$A$42,0))=0),0,($O211/INDEX('Parametri Modello'!$C$39:$C$42,MATCH($B211,'Parametri Modello'!$A$39:$A$42,0)))*(INDEX('Parametri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6</v>
      </c>
      <c r="H211" s="27" t="n">
        <f aca="false">IFERROR(ROUND((IF(OR(INDEX('Parametri Modello'!$C$39:$C$42,MATCH($B211,'Parametri Modello'!$A$39:$A$42,0))="",INDEX('Parametri Modello'!$C$39:$C$42,MATCH($B211,'Parametri Modello'!$A$39:$A$42,0))=0),0,($O211/INDEX('Parametri Modello'!$C$39:$C$42,MATCH($B211,'Parametri Modello'!$A$39:$A$42,0)))*(INDEX('Parametri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10</v>
      </c>
      <c r="I211" s="26" t="n">
        <f aca="false">IFERROR(INDEX('Input Statistiche 2025_26'!$F$3:$F$665,MATCH($A211,'Input Statistiche 2025_26'!$A$3:$A$665,0)),"")</f>
        <v>23</v>
      </c>
      <c r="J211" s="26" t="n">
        <f aca="false">IFERROR(IF($I211="","",MAX(0,38-$I211)),"")</f>
        <v>15</v>
      </c>
      <c r="K211" s="26" t="n">
        <f aca="false">IFERROR(INDEX('Input Statistiche 2025_26'!$I$3:$I$665,MATCH($A211,'Input Statistiche 2025_26'!$A$3:$A$665,0)),"")</f>
        <v>0</v>
      </c>
      <c r="L211" s="26" t="n">
        <f aca="false">IFERROR(INDEX('Input Statistiche 2025_26'!$O$3:$O$665,MATCH($A211,'Input Statistiche 2025_26'!$A$3:$A$665,0)),"")</f>
        <v>1</v>
      </c>
      <c r="M211" s="28"/>
      <c r="N211" s="27" t="n">
        <f aca="false">IFERROR(INDEX('Input Giocatori 2026_27'!$E$3:$E$493,MATCH($A211,'Input Giocatori 2026_27'!$A$3:$A$493,0)),"")</f>
        <v>6</v>
      </c>
      <c r="O211" s="27" t="n">
        <f aca="false">IFERROR(INDEX('Input Giocatori 2026_27'!$G$3:$G$493,MATCH($A211,'Input Giocatori 2026_27'!$A$3:$A$493,0)),"")</f>
        <v>16</v>
      </c>
      <c r="P211" s="26" t="str">
        <f aca="false">IFERROR(IF($O211="","",IF((1-(COUNTIFS($B$2:$B$492,$B211,$O$2:$O$492,"&gt;"&amp;$O211)+1-1)/COUNTIF($B$2:$B$492,$B211))&gt;=0.85,"Top",IF((1-(COUNTIFS($B$2:$B$492,$B211,$O$2:$O$492,"&gt;"&amp;$O211)+1-1)/COUNTIF($B$2:$B$492,$B211))&gt;=0.6,"Buono",IF((1-(COUNTIFS($B$2:$B$492,$B211,$O$2:$O$492,"&gt;"&amp;$O211)+1-1)/COUNTIF($B$2:$B$492,$B211))&gt;=0.3,"Nella Media","Scommessa/Riserva")))),"")</f>
        <v>Nella Media</v>
      </c>
      <c r="Q211" s="29" t="n">
        <f aca="false">IF($D211="",COUNTIF($D$2:$D211,""),"")</f>
        <v>210</v>
      </c>
      <c r="R211" s="29" t="str">
        <f aca="false">IF($D211='Info Lega'!$B$28,COUNTIFS($D$2:$D211,'Info Lega'!$B$28),"")</f>
        <v/>
      </c>
      <c r="S211" s="30" t="n">
        <f aca="false">IFERROR(INDEX('Input Statistiche 2025_26'!$G$3:$G$665,MATCH($A211,'Input Statistiche 2025_26'!$A$3:$A$665,0)),"")</f>
        <v>5.8</v>
      </c>
      <c r="T211" s="30" t="n">
        <f aca="false">IFERROR(INDEX('Input Statistiche 2025_26'!$H$3:$H$665,MATCH($A211,'Input Statistiche 2025_26'!$A$3:$A$665,0)),"")</f>
        <v>5.8</v>
      </c>
      <c r="U211" s="26" t="str">
        <f aca="false">IF(OR('La Mia Rosa'!$O$12="",$D211&lt;&gt;""),"",IF($F211&lt;='La Mia Rosa'!$O$12*'Parametri Modello'!$B$24,"OK",IF($F211&lt;='La Mia Rosa'!$O$12*'Parametri Modello'!$B$25,"Attenzione","Rischio Alto")))</f>
        <v>OK</v>
      </c>
      <c r="V211" s="26" t="n">
        <f aca="false">IFERROR(COUNTIFS($B$2:$B$492,$B211,$O$2:$O$492,"&gt;"&amp;$O211)+1,"")</f>
        <v>79</v>
      </c>
      <c r="W211" s="21" t="n">
        <f aca="false">'Info Lega'!$B$4-SUMIFS($M$2:$M$492,$D$2:$D$492,'Info Lega'!$B$28)</f>
        <v>1000</v>
      </c>
      <c r="X211" s="21" t="n">
        <f aca="false">('Info Lega'!$B$5-COUNTIFS($D$2:$D$492,'Info Lega'!$B$28,$B$2:$B$492,"P"))+('Info Lega'!$B$6-COUNTIFS($D$2:$D$492,'Info Lega'!$B$28,$B$2:$B$492,"D"))+('Info Lega'!$B$7-COUNTIFS($D$2:$D$492,'Info Lega'!$B$28,$B$2:$B$492,"C"))+('Info Lega'!$B$8-COUNTIFS($D$2:$D$492,'Info Lega'!$B$28,$B$2:$B$492,"A"))</f>
        <v>25</v>
      </c>
      <c r="Y211" s="21" t="n">
        <f aca="false">X211*'Parametri Modello'!$B$30</f>
        <v>25</v>
      </c>
      <c r="Z211" s="21" t="n">
        <f aca="false">MAX(0,W211-Y211)</f>
        <v>975</v>
      </c>
      <c r="AA211" s="21" t="n">
        <f aca="false">MIN(F211,Z211)</f>
        <v>9</v>
      </c>
      <c r="AB211" s="21"/>
      <c r="AC211" s="21" t="str">
        <f aca="false">IF(AB211="","",IF(AB211&gt;AA211,"PASS",IF(AB211&lt;=AA211*0.85,"BID","ATTENZIONE")))</f>
        <v/>
      </c>
      <c r="AD211" s="31" t="n">
        <f aca="false">IF(I211="","",ROUND(100*(1-EXP(-I211/30)),0))</f>
        <v>54</v>
      </c>
      <c r="AE211" s="7" t="str">
        <f aca="false">IFERROR(INDEX('Stato Asta'!$G$9:$G$12,MATCH($B211,'Stato Asta'!$A$9:$A$12,0)),"")</f>
        <v>🟡 Attesa rischiosa</v>
      </c>
    </row>
    <row r="212" customFormat="false" ht="14.25" hidden="false" customHeight="true" outlineLevel="0" collapsed="false">
      <c r="A212" s="21" t="n">
        <v>6015</v>
      </c>
      <c r="B212" s="21" t="s">
        <v>45</v>
      </c>
      <c r="C212" s="21" t="s">
        <v>457</v>
      </c>
      <c r="E212" s="26" t="str">
        <f aca="false">IF(COUNTIF('Info Strategia'!$D$2:$D$51,$C212)&gt;0,"SI","NO")</f>
        <v>NO</v>
      </c>
      <c r="F212" s="27" t="n">
        <f aca="false">IFERROR(ROUND(($G212+($H212-$G212)*'Info Strategia'!$B$6)*(1+IF($E212="SI",'Parametri Modello'!$B$7*'Info Strategia'!$B$6,0)),0),"")</f>
        <v>9</v>
      </c>
      <c r="G212" s="27" t="n">
        <f aca="false">IFERROR(ROUND((IF(OR(INDEX('Parametri Modello'!$C$39:$C$42,MATCH($B212,'Parametri Modello'!$A$39:$A$42,0))="",INDEX('Parametri Modello'!$C$39:$C$42,MATCH($B212,'Parametri Modello'!$A$39:$A$42,0))=0),0,($O212/INDEX('Parametri Modello'!$C$39:$C$42,MATCH($B212,'Parametri Modello'!$A$39:$A$42,0)))*(INDEX('Parametri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6</v>
      </c>
      <c r="H212" s="27" t="n">
        <f aca="false">IFERROR(ROUND((IF(OR(INDEX('Parametri Modello'!$C$39:$C$42,MATCH($B212,'Parametri Modello'!$A$39:$A$42,0))="",INDEX('Parametri Modello'!$C$39:$C$42,MATCH($B212,'Parametri Modello'!$A$39:$A$42,0))=0),0,($O212/INDEX('Parametri Modello'!$C$39:$C$42,MATCH($B212,'Parametri Modello'!$A$39:$A$42,0)))*(INDEX('Parametri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10</v>
      </c>
      <c r="I212" s="26" t="n">
        <f aca="false">IFERROR(INDEX('Input Statistiche 2025_26'!$F$3:$F$665,MATCH($A212,'Input Statistiche 2025_26'!$A$3:$A$665,0)),"")</f>
        <v>12</v>
      </c>
      <c r="J212" s="26" t="n">
        <f aca="false">IFERROR(IF($I212="","",MAX(0,38-$I212)),"")</f>
        <v>26</v>
      </c>
      <c r="K212" s="26" t="n">
        <f aca="false">IFERROR(INDEX('Input Statistiche 2025_26'!$I$3:$I$665,MATCH($A212,'Input Statistiche 2025_26'!$A$3:$A$665,0)),"")</f>
        <v>2</v>
      </c>
      <c r="L212" s="26" t="n">
        <f aca="false">IFERROR(INDEX('Input Statistiche 2025_26'!$O$3:$O$665,MATCH($A212,'Input Statistiche 2025_26'!$A$3:$A$665,0)),"")</f>
        <v>3</v>
      </c>
      <c r="M212" s="28"/>
      <c r="N212" s="27" t="n">
        <f aca="false">IFERROR(INDEX('Input Giocatori 2026_27'!$E$3:$E$493,MATCH($A212,'Input Giocatori 2026_27'!$A$3:$A$493,0)),"")</f>
        <v>5</v>
      </c>
      <c r="O212" s="27" t="n">
        <f aca="false">IFERROR(INDEX('Input Giocatori 2026_27'!$G$3:$G$493,MATCH($A212,'Input Giocatori 2026_27'!$A$3:$A$493,0)),"")</f>
        <v>16</v>
      </c>
      <c r="P212" s="26" t="str">
        <f aca="false">IFERROR(IF($O212="","",IF((1-(COUNTIFS($B$2:$B$492,$B212,$O$2:$O$492,"&gt;"&amp;$O212)+1-1)/COUNTIF($B$2:$B$492,$B212))&gt;=0.85,"Top",IF((1-(COUNTIFS($B$2:$B$492,$B212,$O$2:$O$492,"&gt;"&amp;$O212)+1-1)/COUNTIF($B$2:$B$492,$B212))&gt;=0.6,"Buono",IF((1-(COUNTIFS($B$2:$B$492,$B212,$O$2:$O$492,"&gt;"&amp;$O212)+1-1)/COUNTIF($B$2:$B$492,$B212))&gt;=0.3,"Nella Media","Scommessa/Riserva")))),"")</f>
        <v>Nella Media</v>
      </c>
      <c r="Q212" s="29" t="n">
        <f aca="false">IF($D212="",COUNTIF($D$2:$D212,""),"")</f>
        <v>211</v>
      </c>
      <c r="R212" s="29" t="str">
        <f aca="false">IF($D212='Info Lega'!$B$28,COUNTIFS($D$2:$D212,'Info Lega'!$B$28),"")</f>
        <v/>
      </c>
      <c r="S212" s="30" t="n">
        <f aca="false">IFERROR(INDEX('Input Statistiche 2025_26'!$G$3:$G$665,MATCH($A212,'Input Statistiche 2025_26'!$A$3:$A$665,0)),"")</f>
        <v>6.17</v>
      </c>
      <c r="T212" s="30" t="n">
        <f aca="false">IFERROR(INDEX('Input Statistiche 2025_26'!$H$3:$H$665,MATCH($A212,'Input Statistiche 2025_26'!$A$3:$A$665,0)),"")</f>
        <v>6.92</v>
      </c>
      <c r="U212" s="26" t="str">
        <f aca="false">IF(OR('La Mia Rosa'!$O$12="",$D212&lt;&gt;""),"",IF($F212&lt;='La Mia Rosa'!$O$12*'Parametri Modello'!$B$24,"OK",IF($F212&lt;='La Mia Rosa'!$O$12*'Parametri Modello'!$B$25,"Attenzione","Rischio Alto")))</f>
        <v>OK</v>
      </c>
      <c r="V212" s="26" t="n">
        <f aca="false">IFERROR(COUNTIFS($B$2:$B$492,$B212,$O$2:$O$492,"&gt;"&amp;$O212)+1,"")</f>
        <v>79</v>
      </c>
      <c r="W212" s="21" t="n">
        <f aca="false">'Info Lega'!$B$4-SUMIFS($M$2:$M$492,$D$2:$D$492,'Info Lega'!$B$28)</f>
        <v>1000</v>
      </c>
      <c r="X212" s="21" t="n">
        <f aca="false">('Info Lega'!$B$5-COUNTIFS($D$2:$D$492,'Info Lega'!$B$28,$B$2:$B$492,"P"))+('Info Lega'!$B$6-COUNTIFS($D$2:$D$492,'Info Lega'!$B$28,$B$2:$B$492,"D"))+('Info Lega'!$B$7-COUNTIFS($D$2:$D$492,'Info Lega'!$B$28,$B$2:$B$492,"C"))+('Info Lega'!$B$8-COUNTIFS($D$2:$D$492,'Info Lega'!$B$28,$B$2:$B$492,"A"))</f>
        <v>25</v>
      </c>
      <c r="Y212" s="21" t="n">
        <f aca="false">X212*'Parametri Modello'!$B$30</f>
        <v>25</v>
      </c>
      <c r="Z212" s="21" t="n">
        <f aca="false">MAX(0,W212-Y212)</f>
        <v>975</v>
      </c>
      <c r="AA212" s="21" t="n">
        <f aca="false">MIN(F212,Z212)</f>
        <v>9</v>
      </c>
      <c r="AB212" s="21"/>
      <c r="AC212" s="21" t="str">
        <f aca="false">IF(AB212="","",IF(AB212&gt;AA212,"PASS",IF(AB212&lt;=AA212*0.85,"BID","ATTENZIONE")))</f>
        <v/>
      </c>
      <c r="AD212" s="31" t="n">
        <f aca="false">IF(I212="","",ROUND(100*(1-EXP(-I212/30)),0))</f>
        <v>33</v>
      </c>
      <c r="AE212" s="7" t="str">
        <f aca="false">IFERROR(INDEX('Stato Asta'!$G$9:$G$12,MATCH($B212,'Stato Asta'!$A$9:$A$12,0)),"")</f>
        <v>🟡 Attesa rischiosa</v>
      </c>
    </row>
    <row r="213" customFormat="false" ht="14.25" hidden="false" customHeight="true" outlineLevel="0" collapsed="false">
      <c r="A213" s="21" t="n">
        <v>7036</v>
      </c>
      <c r="B213" s="21" t="s">
        <v>45</v>
      </c>
      <c r="C213" s="21" t="s">
        <v>465</v>
      </c>
      <c r="E213" s="26" t="str">
        <f aca="false">IF(COUNTIF('Info Strategia'!$D$2:$D$51,$C213)&gt;0,"SI","NO")</f>
        <v>NO</v>
      </c>
      <c r="F213" s="27" t="n">
        <f aca="false">IFERROR(ROUND(($G213+($H213-$G213)*'Info Strategia'!$B$6)*(1+IF($E213="SI",'Parametri Modello'!$B$7*'Info Strategia'!$B$6,0)),0),"")</f>
        <v>9</v>
      </c>
      <c r="G213" s="27" t="n">
        <f aca="false">IFERROR(ROUND((IF(OR(INDEX('Parametri Modello'!$C$39:$C$42,MATCH($B213,'Parametri Modello'!$A$39:$A$42,0))="",INDEX('Parametri Modello'!$C$39:$C$42,MATCH($B213,'Parametri Modello'!$A$39:$A$42,0))=0),0,($O213/INDEX('Parametri Modello'!$C$39:$C$42,MATCH($B213,'Parametri Modello'!$A$39:$A$42,0)))*(INDEX('Parametri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6</v>
      </c>
      <c r="H213" s="27" t="n">
        <f aca="false">IFERROR(ROUND((IF(OR(INDEX('Parametri Modello'!$C$39:$C$42,MATCH($B213,'Parametri Modello'!$A$39:$A$42,0))="",INDEX('Parametri Modello'!$C$39:$C$42,MATCH($B213,'Parametri Modello'!$A$39:$A$42,0))=0),0,($O213/INDEX('Parametri Modello'!$C$39:$C$42,MATCH($B213,'Parametri Modello'!$A$39:$A$42,0)))*(INDEX('Parametri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10</v>
      </c>
      <c r="I213" s="26" t="n">
        <f aca="false">IFERROR(INDEX('Input Statistiche 2025_26'!$F$3:$F$665,MATCH($A213,'Input Statistiche 2025_26'!$A$3:$A$665,0)),"")</f>
        <v>3</v>
      </c>
      <c r="J213" s="26" t="n">
        <f aca="false">IFERROR(IF($I213="","",MAX(0,38-$I213)),"")</f>
        <v>35</v>
      </c>
      <c r="K213" s="26" t="n">
        <f aca="false">IFERROR(INDEX('Input Statistiche 2025_26'!$I$3:$I$665,MATCH($A213,'Input Statistiche 2025_26'!$A$3:$A$665,0)),"")</f>
        <v>0</v>
      </c>
      <c r="L213" s="26" t="n">
        <f aca="false">IFERROR(INDEX('Input Statistiche 2025_26'!$O$3:$O$665,MATCH($A213,'Input Statistiche 2025_26'!$A$3:$A$665,0)),"")</f>
        <v>0</v>
      </c>
      <c r="M213" s="28"/>
      <c r="N213" s="27" t="n">
        <f aca="false">IFERROR(INDEX('Input Giocatori 2026_27'!$E$3:$E$493,MATCH($A213,'Input Giocatori 2026_27'!$A$3:$A$493,0)),"")</f>
        <v>5</v>
      </c>
      <c r="O213" s="27" t="n">
        <f aca="false">IFERROR(INDEX('Input Giocatori 2026_27'!$G$3:$G$493,MATCH($A213,'Input Giocatori 2026_27'!$A$3:$A$493,0)),"")</f>
        <v>16</v>
      </c>
      <c r="P213" s="26" t="str">
        <f aca="false">IFERROR(IF($O213="","",IF((1-(COUNTIFS($B$2:$B$492,$B213,$O$2:$O$492,"&gt;"&amp;$O213)+1-1)/COUNTIF($B$2:$B$492,$B213))&gt;=0.85,"Top",IF((1-(COUNTIFS($B$2:$B$492,$B213,$O$2:$O$492,"&gt;"&amp;$O213)+1-1)/COUNTIF($B$2:$B$492,$B213))&gt;=0.6,"Buono",IF((1-(COUNTIFS($B$2:$B$492,$B213,$O$2:$O$492,"&gt;"&amp;$O213)+1-1)/COUNTIF($B$2:$B$492,$B213))&gt;=0.3,"Nella Media","Scommessa/Riserva")))),"")</f>
        <v>Nella Media</v>
      </c>
      <c r="Q213" s="29" t="n">
        <f aca="false">IF($D213="",COUNTIF($D$2:$D213,""),"")</f>
        <v>212</v>
      </c>
      <c r="R213" s="29" t="str">
        <f aca="false">IF($D213='Info Lega'!$B$28,COUNTIFS($D$2:$D213,'Info Lega'!$B$28),"")</f>
        <v/>
      </c>
      <c r="S213" s="30" t="n">
        <f aca="false">IFERROR(INDEX('Input Statistiche 2025_26'!$G$3:$G$665,MATCH($A213,'Input Statistiche 2025_26'!$A$3:$A$665,0)),"")</f>
        <v>6.17</v>
      </c>
      <c r="T213" s="30" t="n">
        <f aca="false">IFERROR(INDEX('Input Statistiche 2025_26'!$H$3:$H$665,MATCH($A213,'Input Statistiche 2025_26'!$A$3:$A$665,0)),"")</f>
        <v>6.17</v>
      </c>
      <c r="U213" s="26" t="str">
        <f aca="false">IF(OR('La Mia Rosa'!$O$12="",$D213&lt;&gt;""),"",IF($F213&lt;='La Mia Rosa'!$O$12*'Parametri Modello'!$B$24,"OK",IF($F213&lt;='La Mia Rosa'!$O$12*'Parametri Modello'!$B$25,"Attenzione","Rischio Alto")))</f>
        <v>OK</v>
      </c>
      <c r="V213" s="26" t="n">
        <f aca="false">IFERROR(COUNTIFS($B$2:$B$492,$B213,$O$2:$O$492,"&gt;"&amp;$O213)+1,"")</f>
        <v>79</v>
      </c>
      <c r="W213" s="21" t="n">
        <f aca="false">'Info Lega'!$B$4-SUMIFS($M$2:$M$492,$D$2:$D$492,'Info Lega'!$B$28)</f>
        <v>1000</v>
      </c>
      <c r="X213" s="21" t="n">
        <f aca="false">('Info Lega'!$B$5-COUNTIFS($D$2:$D$492,'Info Lega'!$B$28,$B$2:$B$492,"P"))+('Info Lega'!$B$6-COUNTIFS($D$2:$D$492,'Info Lega'!$B$28,$B$2:$B$492,"D"))+('Info Lega'!$B$7-COUNTIFS($D$2:$D$492,'Info Lega'!$B$28,$B$2:$B$492,"C"))+('Info Lega'!$B$8-COUNTIFS($D$2:$D$492,'Info Lega'!$B$28,$B$2:$B$492,"A"))</f>
        <v>25</v>
      </c>
      <c r="Y213" s="21" t="n">
        <f aca="false">X213*'Parametri Modello'!$B$30</f>
        <v>25</v>
      </c>
      <c r="Z213" s="21" t="n">
        <f aca="false">MAX(0,W213-Y213)</f>
        <v>975</v>
      </c>
      <c r="AA213" s="21" t="n">
        <f aca="false">MIN(F213,Z213)</f>
        <v>9</v>
      </c>
      <c r="AB213" s="21"/>
      <c r="AC213" s="21" t="str">
        <f aca="false">IF(AB213="","",IF(AB213&gt;AA213,"PASS",IF(AB213&lt;=AA213*0.85,"BID","ATTENZIONE")))</f>
        <v/>
      </c>
      <c r="AD213" s="31" t="n">
        <f aca="false">IF(I213="","",ROUND(100*(1-EXP(-I213/30)),0))</f>
        <v>10</v>
      </c>
      <c r="AE213" s="7" t="str">
        <f aca="false">IFERROR(INDEX('Stato Asta'!$G$9:$G$12,MATCH($B213,'Stato Asta'!$A$9:$A$12,0)),"")</f>
        <v>🟡 Attesa rischiosa</v>
      </c>
    </row>
    <row r="214" customFormat="false" ht="14.25" hidden="false" customHeight="true" outlineLevel="0" collapsed="false">
      <c r="A214" s="21" t="n">
        <v>5918</v>
      </c>
      <c r="B214" s="21" t="s">
        <v>46</v>
      </c>
      <c r="C214" s="21" t="s">
        <v>587</v>
      </c>
      <c r="E214" s="26" t="str">
        <f aca="false">IF(COUNTIF('Info Strategia'!$D$2:$D$51,$C214)&gt;0,"SI","NO")</f>
        <v>NO</v>
      </c>
      <c r="F214" s="27" t="n">
        <f aca="false">IFERROR(ROUND(($G214+($H214-$G214)*'Info Strategia'!$B$6)*(1+IF($E214="SI",'Parametri Modello'!$B$7*'Info Strategia'!$B$6,0)),0),"")</f>
        <v>14</v>
      </c>
      <c r="G214" s="27" t="n">
        <f aca="false">IFERROR(ROUND((IF(OR(INDEX('Parametri Modello'!$C$39:$C$42,MATCH($B214,'Parametri Modello'!$A$39:$A$42,0))="",INDEX('Parametri Modello'!$C$39:$C$42,MATCH($B214,'Parametri Modello'!$A$39:$A$42,0))=0),0,($O214/INDEX('Parametri Modello'!$C$39:$C$42,MATCH($B214,'Parametri Modello'!$A$39:$A$42,0)))*(INDEX('Parametri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9</v>
      </c>
      <c r="H214" s="27" t="n">
        <f aca="false">IFERROR(ROUND((IF(OR(INDEX('Parametri Modello'!$C$39:$C$42,MATCH($B214,'Parametri Modello'!$A$39:$A$42,0))="",INDEX('Parametri Modello'!$C$39:$C$42,MATCH($B214,'Parametri Modello'!$A$39:$A$42,0))=0),0,($O214/INDEX('Parametri Modello'!$C$39:$C$42,MATCH($B214,'Parametri Modello'!$A$39:$A$42,0)))*(INDEX('Parametri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16</v>
      </c>
      <c r="I214" s="26" t="n">
        <f aca="false">IFERROR(INDEX('Input Statistiche 2025_26'!$F$3:$F$665,MATCH($A214,'Input Statistiche 2025_26'!$A$3:$A$665,0)),"")</f>
        <v>21</v>
      </c>
      <c r="J214" s="26" t="n">
        <f aca="false">IFERROR(IF($I214="","",MAX(0,38-$I214)),"")</f>
        <v>17</v>
      </c>
      <c r="K214" s="26" t="n">
        <f aca="false">IFERROR(INDEX('Input Statistiche 2025_26'!$I$3:$I$665,MATCH($A214,'Input Statistiche 2025_26'!$A$3:$A$665,0)),"")</f>
        <v>2</v>
      </c>
      <c r="L214" s="26" t="n">
        <f aca="false">IFERROR(INDEX('Input Statistiche 2025_26'!$O$3:$O$665,MATCH($A214,'Input Statistiche 2025_26'!$A$3:$A$665,0)),"")</f>
        <v>1</v>
      </c>
      <c r="M214" s="28"/>
      <c r="N214" s="27" t="n">
        <f aca="false">IFERROR(INDEX('Input Giocatori 2026_27'!$E$3:$E$493,MATCH($A214,'Input Giocatori 2026_27'!$A$3:$A$493,0)),"")</f>
        <v>6</v>
      </c>
      <c r="O214" s="27" t="n">
        <f aca="false">IFERROR(INDEX('Input Giocatori 2026_27'!$G$3:$G$493,MATCH($A214,'Input Giocatori 2026_27'!$A$3:$A$493,0)),"")</f>
        <v>16</v>
      </c>
      <c r="P214" s="26" t="str">
        <f aca="false">IFERROR(IF($O214="","",IF((1-(COUNTIFS($B$2:$B$492,$B214,$O$2:$O$492,"&gt;"&amp;$O214)+1-1)/COUNTIF($B$2:$B$492,$B214))&gt;=0.85,"Top",IF((1-(COUNTIFS($B$2:$B$492,$B214,$O$2:$O$492,"&gt;"&amp;$O214)+1-1)/COUNTIF($B$2:$B$492,$B214))&gt;=0.6,"Buono",IF((1-(COUNTIFS($B$2:$B$492,$B214,$O$2:$O$492,"&gt;"&amp;$O214)+1-1)/COUNTIF($B$2:$B$492,$B214))&gt;=0.3,"Nella Media","Scommessa/Riserva")))),"")</f>
        <v>Nella Media</v>
      </c>
      <c r="Q214" s="29" t="n">
        <f aca="false">IF($D214="",COUNTIF($D$2:$D214,""),"")</f>
        <v>213</v>
      </c>
      <c r="R214" s="29" t="str">
        <f aca="false">IF($D214='Info Lega'!$B$28,COUNTIFS($D$2:$D214,'Info Lega'!$B$28),"")</f>
        <v/>
      </c>
      <c r="S214" s="30" t="n">
        <f aca="false">IFERROR(INDEX('Input Statistiche 2025_26'!$G$3:$G$665,MATCH($A214,'Input Statistiche 2025_26'!$A$3:$A$665,0)),"")</f>
        <v>6</v>
      </c>
      <c r="T214" s="30" t="n">
        <f aca="false">IFERROR(INDEX('Input Statistiche 2025_26'!$H$3:$H$665,MATCH($A214,'Input Statistiche 2025_26'!$A$3:$A$665,0)),"")</f>
        <v>6.24</v>
      </c>
      <c r="U214" s="26" t="str">
        <f aca="false">IF(OR('La Mia Rosa'!$O$12="",$D214&lt;&gt;""),"",IF($F214&lt;='La Mia Rosa'!$O$12*'Parametri Modello'!$B$24,"OK",IF($F214&lt;='La Mia Rosa'!$O$12*'Parametri Modello'!$B$25,"Attenzione","Rischio Alto")))</f>
        <v>OK</v>
      </c>
      <c r="V214" s="26" t="n">
        <f aca="false">IFERROR(COUNTIFS($B$2:$B$492,$B214,$O$2:$O$492,"&gt;"&amp;$O214)+1,"")</f>
        <v>56</v>
      </c>
      <c r="W214" s="21" t="n">
        <f aca="false">'Info Lega'!$B$4-SUMIFS($M$2:$M$492,$D$2:$D$492,'Info Lega'!$B$28)</f>
        <v>1000</v>
      </c>
      <c r="X214" s="21" t="n">
        <f aca="false">('Info Lega'!$B$5-COUNTIFS($D$2:$D$492,'Info Lega'!$B$28,$B$2:$B$492,"P"))+('Info Lega'!$B$6-COUNTIFS($D$2:$D$492,'Info Lega'!$B$28,$B$2:$B$492,"D"))+('Info Lega'!$B$7-COUNTIFS($D$2:$D$492,'Info Lega'!$B$28,$B$2:$B$492,"C"))+('Info Lega'!$B$8-COUNTIFS($D$2:$D$492,'Info Lega'!$B$28,$B$2:$B$492,"A"))</f>
        <v>25</v>
      </c>
      <c r="Y214" s="21" t="n">
        <f aca="false">X214*'Parametri Modello'!$B$30</f>
        <v>25</v>
      </c>
      <c r="Z214" s="21" t="n">
        <f aca="false">MAX(0,W214-Y214)</f>
        <v>975</v>
      </c>
      <c r="AA214" s="21" t="n">
        <f aca="false">MIN(F214,Z214)</f>
        <v>14</v>
      </c>
      <c r="AB214" s="21"/>
      <c r="AC214" s="21" t="str">
        <f aca="false">IF(AB214="","",IF(AB214&gt;AA214,"PASS",IF(AB214&lt;=AA214*0.85,"BID","ATTENZIONE")))</f>
        <v/>
      </c>
      <c r="AD214" s="31" t="n">
        <f aca="false">IF(I214="","",ROUND(100*(1-EXP(-I214/30)),0))</f>
        <v>50</v>
      </c>
      <c r="AE214" s="7" t="str">
        <f aca="false">IFERROR(INDEX('Stato Asta'!$G$9:$G$12,MATCH($B214,'Stato Asta'!$A$9:$A$12,0)),"")</f>
        <v>🔴 Non aspettare</v>
      </c>
    </row>
    <row r="215" customFormat="false" ht="14.25" hidden="false" customHeight="true" outlineLevel="0" collapsed="false">
      <c r="A215" s="21" t="n">
        <v>4236</v>
      </c>
      <c r="B215" s="21" t="s">
        <v>43</v>
      </c>
      <c r="C215" s="21" t="s">
        <v>143</v>
      </c>
      <c r="E215" s="26" t="str">
        <f aca="false">IF(COUNTIF('Info Strategia'!$D$2:$D$51,$C215)&gt;0,"SI","NO")</f>
        <v>NO</v>
      </c>
      <c r="F215" s="27" t="n">
        <f aca="false">IFERROR(ROUND(($G215+($H215-$G215)*'Info Strategia'!$B$6)*(1+IF($E215="SI",'Parametri Modello'!$B$7*'Info Strategia'!$B$6,0)),0),"")</f>
        <v>17</v>
      </c>
      <c r="G215" s="27" t="n">
        <f aca="false">IFERROR(ROUND((IF(OR(INDEX('Parametri Modello'!$C$39:$C$42,MATCH($B215,'Parametri Modello'!$A$39:$A$42,0))="",INDEX('Parametri Modello'!$C$39:$C$42,MATCH($B215,'Parametri Modello'!$A$39:$A$42,0))=0),0,($O215/INDEX('Parametri Modello'!$C$39:$C$42,MATCH($B215,'Parametri Modello'!$A$39:$A$42,0)))*(INDEX('Parametri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14</v>
      </c>
      <c r="H215" s="27" t="n">
        <f aca="false">IFERROR(ROUND((IF(OR(INDEX('Parametri Modello'!$C$39:$C$42,MATCH($B215,'Parametri Modello'!$A$39:$A$42,0))="",INDEX('Parametri Modello'!$C$39:$C$42,MATCH($B215,'Parametri Modello'!$A$39:$A$42,0))=0),0,($O215/INDEX('Parametri Modello'!$C$39:$C$42,MATCH($B215,'Parametri Modello'!$A$39:$A$42,0)))*(INDEX('Parametri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18</v>
      </c>
      <c r="I215" s="26" t="n">
        <f aca="false">IFERROR(INDEX('Input Statistiche 2025_26'!$F$3:$F$665,MATCH($A215,'Input Statistiche 2025_26'!$A$3:$A$665,0)),"")</f>
        <v>32</v>
      </c>
      <c r="J215" s="26" t="n">
        <f aca="false">IFERROR(IF($I215="","",MAX(0,38-$I215)),"")</f>
        <v>6</v>
      </c>
      <c r="K215" s="26" t="n">
        <f aca="false">IFERROR(INDEX('Input Statistiche 2025_26'!$I$3:$I$665,MATCH($A215,'Input Statistiche 2025_26'!$A$3:$A$665,0)),"")</f>
        <v>0</v>
      </c>
      <c r="L215" s="26" t="n">
        <f aca="false">IFERROR(INDEX('Input Statistiche 2025_26'!$O$3:$O$665,MATCH($A215,'Input Statistiche 2025_26'!$A$3:$A$665,0)),"")</f>
        <v>0</v>
      </c>
      <c r="M215" s="28"/>
      <c r="N215" s="27" t="n">
        <f aca="false">IFERROR(INDEX('Input Giocatori 2026_27'!$E$3:$E$493,MATCH($A215,'Input Giocatori 2026_27'!$A$3:$A$493,0)),"")</f>
        <v>7</v>
      </c>
      <c r="O215" s="27" t="n">
        <f aca="false">IFERROR(INDEX('Input Giocatori 2026_27'!$G$3:$G$493,MATCH($A215,'Input Giocatori 2026_27'!$A$3:$A$493,0)),"")</f>
        <v>15</v>
      </c>
      <c r="P215" s="26" t="str">
        <f aca="false">IFERROR(IF($O215="","",IF((1-(COUNTIFS($B$2:$B$492,$B215,$O$2:$O$492,"&gt;"&amp;$O215)+1-1)/COUNTIF($B$2:$B$492,$B215))&gt;=0.85,"Top",IF((1-(COUNTIFS($B$2:$B$492,$B215,$O$2:$O$492,"&gt;"&amp;$O215)+1-1)/COUNTIF($B$2:$B$492,$B215))&gt;=0.6,"Buono",IF((1-(COUNTIFS($B$2:$B$492,$B215,$O$2:$O$492,"&gt;"&amp;$O215)+1-1)/COUNTIF($B$2:$B$492,$B215))&gt;=0.3,"Nella Media","Scommessa/Riserva")))),"")</f>
        <v>Buono</v>
      </c>
      <c r="Q215" s="29" t="n">
        <f aca="false">IF($D215="",COUNTIF($D$2:$D215,""),"")</f>
        <v>214</v>
      </c>
      <c r="R215" s="29" t="str">
        <f aca="false">IF($D215='Info Lega'!$B$28,COUNTIFS($D$2:$D215,'Info Lega'!$B$28),"")</f>
        <v/>
      </c>
      <c r="S215" s="30" t="n">
        <f aca="false">IFERROR(INDEX('Input Statistiche 2025_26'!$G$3:$G$665,MATCH($A215,'Input Statistiche 2025_26'!$A$3:$A$665,0)),"")</f>
        <v>6.08</v>
      </c>
      <c r="T215" s="30" t="n">
        <f aca="false">IFERROR(INDEX('Input Statistiche 2025_26'!$H$3:$H$665,MATCH($A215,'Input Statistiche 2025_26'!$A$3:$A$665,0)),"")</f>
        <v>4.77</v>
      </c>
      <c r="U215" s="26" t="str">
        <f aca="false">IF(OR('La Mia Rosa'!$O$12="",$D215&lt;&gt;""),"",IF($F215&lt;='La Mia Rosa'!$O$12*'Parametri Modello'!$B$24,"OK",IF($F215&lt;='La Mia Rosa'!$O$12*'Parametri Modello'!$B$25,"Attenzione","Rischio Alto")))</f>
        <v>OK</v>
      </c>
      <c r="V215" s="26" t="n">
        <f aca="false">IFERROR(COUNTIFS($B$2:$B$492,$B215,$O$2:$O$492,"&gt;"&amp;$O215)+1,"")</f>
        <v>16</v>
      </c>
      <c r="W215" s="21" t="n">
        <f aca="false">'Info Lega'!$B$4-SUMIFS($M$2:$M$492,$D$2:$D$492,'Info Lega'!$B$28)</f>
        <v>1000</v>
      </c>
      <c r="X215" s="21" t="n">
        <f aca="false">('Info Lega'!$B$5-COUNTIFS($D$2:$D$492,'Info Lega'!$B$28,$B$2:$B$492,"P"))+('Info Lega'!$B$6-COUNTIFS($D$2:$D$492,'Info Lega'!$B$28,$B$2:$B$492,"D"))+('Info Lega'!$B$7-COUNTIFS($D$2:$D$492,'Info Lega'!$B$28,$B$2:$B$492,"C"))+('Info Lega'!$B$8-COUNTIFS($D$2:$D$492,'Info Lega'!$B$28,$B$2:$B$492,"A"))</f>
        <v>25</v>
      </c>
      <c r="Y215" s="21" t="n">
        <f aca="false">X215*'Parametri Modello'!$B$30</f>
        <v>25</v>
      </c>
      <c r="Z215" s="21" t="n">
        <f aca="false">MAX(0,W215-Y215)</f>
        <v>975</v>
      </c>
      <c r="AA215" s="21" t="n">
        <f aca="false">MIN(F215,Z215)</f>
        <v>17</v>
      </c>
      <c r="AB215" s="21"/>
      <c r="AC215" s="21" t="str">
        <f aca="false">IF(AB215="","",IF(AB215&gt;AA215,"PASS",IF(AB215&lt;=AA215*0.85,"BID","ATTENZIONE")))</f>
        <v/>
      </c>
      <c r="AD215" s="31" t="n">
        <f aca="false">IF(I215="","",ROUND(100*(1-EXP(-I215/30)),0))</f>
        <v>66</v>
      </c>
      <c r="AE215" s="7" t="str">
        <f aca="false">IFERROR(INDEX('Stato Asta'!$G$9:$G$12,MATCH($B215,'Stato Asta'!$A$9:$A$12,0)),"")</f>
        <v>🟡 Attesa rischiosa</v>
      </c>
    </row>
    <row r="216" customFormat="false" ht="14.25" hidden="false" customHeight="true" outlineLevel="0" collapsed="false">
      <c r="A216" s="21" t="n">
        <v>6485</v>
      </c>
      <c r="B216" s="21" t="s">
        <v>44</v>
      </c>
      <c r="C216" s="21" t="s">
        <v>241</v>
      </c>
      <c r="E216" s="26" t="str">
        <f aca="false">IF(COUNTIF('Info Strategia'!$D$2:$D$51,$C216)&gt;0,"SI","NO")</f>
        <v>NO</v>
      </c>
      <c r="F216" s="27" t="n">
        <f aca="false">IFERROR(ROUND(($G216+($H216-$G216)*'Info Strategia'!$B$6)*(1+IF($E216="SI",'Parametri Modello'!$B$7*'Info Strategia'!$B$6,0)),0),"")</f>
        <v>7</v>
      </c>
      <c r="G216" s="27" t="n">
        <f aca="false">IFERROR(ROUND((IF(OR(INDEX('Parametri Modello'!$C$39:$C$42,MATCH($B216,'Parametri Modello'!$A$39:$A$42,0))="",INDEX('Parametri Modello'!$C$39:$C$42,MATCH($B216,'Parametri Modello'!$A$39:$A$42,0))=0),0,($O216/INDEX('Parametri Modello'!$C$39:$C$42,MATCH($B216,'Parametri Modello'!$A$39:$A$42,0)))*(INDEX('Parametri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5</v>
      </c>
      <c r="H216" s="27" t="n">
        <f aca="false">IFERROR(ROUND((IF(OR(INDEX('Parametri Modello'!$C$39:$C$42,MATCH($B216,'Parametri Modello'!$A$39:$A$42,0))="",INDEX('Parametri Modello'!$C$39:$C$42,MATCH($B216,'Parametri Modello'!$A$39:$A$42,0))=0),0,($O216/INDEX('Parametri Modello'!$C$39:$C$42,MATCH($B216,'Parametri Modello'!$A$39:$A$42,0)))*(INDEX('Parametri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8</v>
      </c>
      <c r="I216" s="26" t="n">
        <f aca="false">IFERROR(INDEX('Input Statistiche 2025_26'!$F$3:$F$665,MATCH($A216,'Input Statistiche 2025_26'!$A$3:$A$665,0)),"")</f>
        <v>28</v>
      </c>
      <c r="J216" s="26" t="n">
        <f aca="false">IFERROR(IF($I216="","",MAX(0,38-$I216)),"")</f>
        <v>10</v>
      </c>
      <c r="K216" s="26" t="n">
        <f aca="false">IFERROR(INDEX('Input Statistiche 2025_26'!$I$3:$I$665,MATCH($A216,'Input Statistiche 2025_26'!$A$3:$A$665,0)),"")</f>
        <v>3</v>
      </c>
      <c r="L216" s="26" t="n">
        <f aca="false">IFERROR(INDEX('Input Statistiche 2025_26'!$O$3:$O$665,MATCH($A216,'Input Statistiche 2025_26'!$A$3:$A$665,0)),"")</f>
        <v>0</v>
      </c>
      <c r="M216" s="28"/>
      <c r="N216" s="27" t="n">
        <f aca="false">IFERROR(INDEX('Input Giocatori 2026_27'!$E$3:$E$493,MATCH($A216,'Input Giocatori 2026_27'!$A$3:$A$493,0)),"")</f>
        <v>7</v>
      </c>
      <c r="O216" s="27" t="n">
        <f aca="false">IFERROR(INDEX('Input Giocatori 2026_27'!$G$3:$G$493,MATCH($A216,'Input Giocatori 2026_27'!$A$3:$A$493,0)),"")</f>
        <v>15</v>
      </c>
      <c r="P216" s="26" t="str">
        <f aca="false">IFERROR(IF($O216="","",IF((1-(COUNTIFS($B$2:$B$492,$B216,$O$2:$O$492,"&gt;"&amp;$O216)+1-1)/COUNTIF($B$2:$B$492,$B216))&gt;=0.85,"Top",IF((1-(COUNTIFS($B$2:$B$492,$B216,$O$2:$O$492,"&gt;"&amp;$O216)+1-1)/COUNTIF($B$2:$B$492,$B216))&gt;=0.6,"Buono",IF((1-(COUNTIFS($B$2:$B$492,$B216,$O$2:$O$492,"&gt;"&amp;$O216)+1-1)/COUNTIF($B$2:$B$492,$B216))&gt;=0.3,"Nella Media","Scommessa/Riserva")))),"")</f>
        <v>Buono</v>
      </c>
      <c r="Q216" s="29" t="n">
        <f aca="false">IF($D216="",COUNTIF($D$2:$D216,""),"")</f>
        <v>215</v>
      </c>
      <c r="R216" s="29" t="str">
        <f aca="false">IF($D216='Info Lega'!$B$28,COUNTIFS($D$2:$D216,'Info Lega'!$B$28),"")</f>
        <v/>
      </c>
      <c r="S216" s="30" t="n">
        <f aca="false">IFERROR(INDEX('Input Statistiche 2025_26'!$G$3:$G$665,MATCH($A216,'Input Statistiche 2025_26'!$A$3:$A$665,0)),"")</f>
        <v>5.98</v>
      </c>
      <c r="T216" s="30" t="n">
        <f aca="false">IFERROR(INDEX('Input Statistiche 2025_26'!$H$3:$H$665,MATCH($A216,'Input Statistiche 2025_26'!$A$3:$A$665,0)),"")</f>
        <v>6.23</v>
      </c>
      <c r="U216" s="26" t="str">
        <f aca="false">IF(OR('La Mia Rosa'!$O$12="",$D216&lt;&gt;""),"",IF($F216&lt;='La Mia Rosa'!$O$12*'Parametri Modello'!$B$24,"OK",IF($F216&lt;='La Mia Rosa'!$O$12*'Parametri Modello'!$B$25,"Attenzione","Rischio Alto")))</f>
        <v>OK</v>
      </c>
      <c r="V216" s="26" t="n">
        <f aca="false">IFERROR(COUNTIFS($B$2:$B$492,$B216,$O$2:$O$492,"&gt;"&amp;$O216)+1,"")</f>
        <v>61</v>
      </c>
      <c r="W216" s="21" t="n">
        <f aca="false">'Info Lega'!$B$4-SUMIFS($M$2:$M$492,$D$2:$D$492,'Info Lega'!$B$28)</f>
        <v>1000</v>
      </c>
      <c r="X216" s="21" t="n">
        <f aca="false">('Info Lega'!$B$5-COUNTIFS($D$2:$D$492,'Info Lega'!$B$28,$B$2:$B$492,"P"))+('Info Lega'!$B$6-COUNTIFS($D$2:$D$492,'Info Lega'!$B$28,$B$2:$B$492,"D"))+('Info Lega'!$B$7-COUNTIFS($D$2:$D$492,'Info Lega'!$B$28,$B$2:$B$492,"C"))+('Info Lega'!$B$8-COUNTIFS($D$2:$D$492,'Info Lega'!$B$28,$B$2:$B$492,"A"))</f>
        <v>25</v>
      </c>
      <c r="Y216" s="21" t="n">
        <f aca="false">X216*'Parametri Modello'!$B$30</f>
        <v>25</v>
      </c>
      <c r="Z216" s="21" t="n">
        <f aca="false">MAX(0,W216-Y216)</f>
        <v>975</v>
      </c>
      <c r="AA216" s="21" t="n">
        <f aca="false">MIN(F216,Z216)</f>
        <v>7</v>
      </c>
      <c r="AB216" s="21"/>
      <c r="AC216" s="21" t="str">
        <f aca="false">IF(AB216="","",IF(AB216&gt;AA216,"PASS",IF(AB216&lt;=AA216*0.85,"BID","ATTENZIONE")))</f>
        <v/>
      </c>
      <c r="AD216" s="31" t="n">
        <f aca="false">IF(I216="","",ROUND(100*(1-EXP(-I216/30)),0))</f>
        <v>61</v>
      </c>
      <c r="AE216" s="7" t="str">
        <f aca="false">IFERROR(INDEX('Stato Asta'!$G$9:$G$12,MATCH($B216,'Stato Asta'!$A$9:$A$12,0)),"")</f>
        <v>🟡 Attesa rischiosa</v>
      </c>
    </row>
    <row r="217" customFormat="false" ht="14.25" hidden="false" customHeight="true" outlineLevel="0" collapsed="false">
      <c r="A217" s="21" t="n">
        <v>4887</v>
      </c>
      <c r="B217" s="21" t="s">
        <v>44</v>
      </c>
      <c r="C217" s="21" t="s">
        <v>243</v>
      </c>
      <c r="E217" s="26" t="str">
        <f aca="false">IF(COUNTIF('Info Strategia'!$D$2:$D$51,$C217)&gt;0,"SI","NO")</f>
        <v>NO</v>
      </c>
      <c r="F217" s="27" t="n">
        <f aca="false">IFERROR(ROUND(($G217+($H217-$G217)*'Info Strategia'!$B$6)*(1+IF($E217="SI",'Parametri Modello'!$B$7*'Info Strategia'!$B$6,0)),0),"")</f>
        <v>7</v>
      </c>
      <c r="G217" s="27" t="n">
        <f aca="false">IFERROR(ROUND((IF(OR(INDEX('Parametri Modello'!$C$39:$C$42,MATCH($B217,'Parametri Modello'!$A$39:$A$42,0))="",INDEX('Parametri Modello'!$C$39:$C$42,MATCH($B217,'Parametri Modello'!$A$39:$A$42,0))=0),0,($O217/INDEX('Parametri Modello'!$C$39:$C$42,MATCH($B217,'Parametri Modello'!$A$39:$A$42,0)))*(INDEX('Parametri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5</v>
      </c>
      <c r="H217" s="27" t="n">
        <f aca="false">IFERROR(ROUND((IF(OR(INDEX('Parametri Modello'!$C$39:$C$42,MATCH($B217,'Parametri Modello'!$A$39:$A$42,0))="",INDEX('Parametri Modello'!$C$39:$C$42,MATCH($B217,'Parametri Modello'!$A$39:$A$42,0))=0),0,($O217/INDEX('Parametri Modello'!$C$39:$C$42,MATCH($B217,'Parametri Modello'!$A$39:$A$42,0)))*(INDEX('Parametri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8</v>
      </c>
      <c r="I217" s="26" t="n">
        <f aca="false">IFERROR(INDEX('Input Statistiche 2025_26'!$F$3:$F$665,MATCH($A217,'Input Statistiche 2025_26'!$A$3:$A$665,0)),"")</f>
        <v>22</v>
      </c>
      <c r="J217" s="26" t="n">
        <f aca="false">IFERROR(IF($I217="","",MAX(0,38-$I217)),"")</f>
        <v>16</v>
      </c>
      <c r="K217" s="26" t="n">
        <f aca="false">IFERROR(INDEX('Input Statistiche 2025_26'!$I$3:$I$665,MATCH($A217,'Input Statistiche 2025_26'!$A$3:$A$665,0)),"")</f>
        <v>0</v>
      </c>
      <c r="L217" s="26" t="n">
        <f aca="false">IFERROR(INDEX('Input Statistiche 2025_26'!$O$3:$O$665,MATCH($A217,'Input Statistiche 2025_26'!$A$3:$A$665,0)),"")</f>
        <v>1</v>
      </c>
      <c r="M217" s="28"/>
      <c r="N217" s="27" t="n">
        <f aca="false">IFERROR(INDEX('Input Giocatori 2026_27'!$E$3:$E$493,MATCH($A217,'Input Giocatori 2026_27'!$A$3:$A$493,0)),"")</f>
        <v>6</v>
      </c>
      <c r="O217" s="27" t="n">
        <f aca="false">IFERROR(INDEX('Input Giocatori 2026_27'!$G$3:$G$493,MATCH($A217,'Input Giocatori 2026_27'!$A$3:$A$493,0)),"")</f>
        <v>15</v>
      </c>
      <c r="P217" s="26" t="str">
        <f aca="false">IFERROR(IF($O217="","",IF((1-(COUNTIFS($B$2:$B$492,$B217,$O$2:$O$492,"&gt;"&amp;$O217)+1-1)/COUNTIF($B$2:$B$492,$B217))&gt;=0.85,"Top",IF((1-(COUNTIFS($B$2:$B$492,$B217,$O$2:$O$492,"&gt;"&amp;$O217)+1-1)/COUNTIF($B$2:$B$492,$B217))&gt;=0.6,"Buono",IF((1-(COUNTIFS($B$2:$B$492,$B217,$O$2:$O$492,"&gt;"&amp;$O217)+1-1)/COUNTIF($B$2:$B$492,$B217))&gt;=0.3,"Nella Media","Scommessa/Riserva")))),"")</f>
        <v>Buono</v>
      </c>
      <c r="Q217" s="29" t="n">
        <f aca="false">IF($D217="",COUNTIF($D$2:$D217,""),"")</f>
        <v>216</v>
      </c>
      <c r="R217" s="29" t="str">
        <f aca="false">IF($D217='Info Lega'!$B$28,COUNTIFS($D$2:$D217,'Info Lega'!$B$28),"")</f>
        <v/>
      </c>
      <c r="S217" s="30" t="n">
        <f aca="false">IFERROR(INDEX('Input Statistiche 2025_26'!$G$3:$G$665,MATCH($A217,'Input Statistiche 2025_26'!$A$3:$A$665,0)),"")</f>
        <v>5.82</v>
      </c>
      <c r="T217" s="30" t="n">
        <f aca="false">IFERROR(INDEX('Input Statistiche 2025_26'!$H$3:$H$665,MATCH($A217,'Input Statistiche 2025_26'!$A$3:$A$665,0)),"")</f>
        <v>5.82</v>
      </c>
      <c r="U217" s="26" t="str">
        <f aca="false">IF(OR('La Mia Rosa'!$O$12="",$D217&lt;&gt;""),"",IF($F217&lt;='La Mia Rosa'!$O$12*'Parametri Modello'!$B$24,"OK",IF($F217&lt;='La Mia Rosa'!$O$12*'Parametri Modello'!$B$25,"Attenzione","Rischio Alto")))</f>
        <v>OK</v>
      </c>
      <c r="V217" s="26" t="n">
        <f aca="false">IFERROR(COUNTIFS($B$2:$B$492,$B217,$O$2:$O$492,"&gt;"&amp;$O217)+1,"")</f>
        <v>61</v>
      </c>
      <c r="W217" s="21" t="n">
        <f aca="false">'Info Lega'!$B$4-SUMIFS($M$2:$M$492,$D$2:$D$492,'Info Lega'!$B$28)</f>
        <v>1000</v>
      </c>
      <c r="X217" s="21" t="n">
        <f aca="false">('Info Lega'!$B$5-COUNTIFS($D$2:$D$492,'Info Lega'!$B$28,$B$2:$B$492,"P"))+('Info Lega'!$B$6-COUNTIFS($D$2:$D$492,'Info Lega'!$B$28,$B$2:$B$492,"D"))+('Info Lega'!$B$7-COUNTIFS($D$2:$D$492,'Info Lega'!$B$28,$B$2:$B$492,"C"))+('Info Lega'!$B$8-COUNTIFS($D$2:$D$492,'Info Lega'!$B$28,$B$2:$B$492,"A"))</f>
        <v>25</v>
      </c>
      <c r="Y217" s="21" t="n">
        <f aca="false">X217*'Parametri Modello'!$B$30</f>
        <v>25</v>
      </c>
      <c r="Z217" s="21" t="n">
        <f aca="false">MAX(0,W217-Y217)</f>
        <v>975</v>
      </c>
      <c r="AA217" s="21" t="n">
        <f aca="false">MIN(F217,Z217)</f>
        <v>7</v>
      </c>
      <c r="AB217" s="21"/>
      <c r="AC217" s="21" t="str">
        <f aca="false">IF(AB217="","",IF(AB217&gt;AA217,"PASS",IF(AB217&lt;=AA217*0.85,"BID","ATTENZIONE")))</f>
        <v/>
      </c>
      <c r="AD217" s="31" t="n">
        <f aca="false">IF(I217="","",ROUND(100*(1-EXP(-I217/30)),0))</f>
        <v>52</v>
      </c>
      <c r="AE217" s="7" t="str">
        <f aca="false">IFERROR(INDEX('Stato Asta'!$G$9:$G$12,MATCH($B217,'Stato Asta'!$A$9:$A$12,0)),"")</f>
        <v>🟡 Attesa rischiosa</v>
      </c>
    </row>
    <row r="218" customFormat="false" ht="14.25" hidden="false" customHeight="true" outlineLevel="0" collapsed="false">
      <c r="A218" s="21" t="n">
        <v>7212</v>
      </c>
      <c r="B218" s="21" t="s">
        <v>44</v>
      </c>
      <c r="C218" s="21" t="s">
        <v>245</v>
      </c>
      <c r="E218" s="26" t="str">
        <f aca="false">IF(COUNTIF('Info Strategia'!$D$2:$D$51,$C218)&gt;0,"SI","NO")</f>
        <v>NO</v>
      </c>
      <c r="F218" s="27" t="n">
        <f aca="false">IFERROR(ROUND(($G218+($H218-$G218)*'Info Strategia'!$B$6)*(1+IF($E218="SI",'Parametri Modello'!$B$7*'Info Strategia'!$B$6,0)),0),"")</f>
        <v>7</v>
      </c>
      <c r="G218" s="27" t="n">
        <f aca="false">IFERROR(ROUND((IF(OR(INDEX('Parametri Modello'!$C$39:$C$42,MATCH($B218,'Parametri Modello'!$A$39:$A$42,0))="",INDEX('Parametri Modello'!$C$39:$C$42,MATCH($B218,'Parametri Modello'!$A$39:$A$42,0))=0),0,($O218/INDEX('Parametri Modello'!$C$39:$C$42,MATCH($B218,'Parametri Modello'!$A$39:$A$42,0)))*(INDEX('Parametri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5</v>
      </c>
      <c r="H218" s="27" t="n">
        <f aca="false">IFERROR(ROUND((IF(OR(INDEX('Parametri Modello'!$C$39:$C$42,MATCH($B218,'Parametri Modello'!$A$39:$A$42,0))="",INDEX('Parametri Modello'!$C$39:$C$42,MATCH($B218,'Parametri Modello'!$A$39:$A$42,0))=0),0,($O218/INDEX('Parametri Modello'!$C$39:$C$42,MATCH($B218,'Parametri Modello'!$A$39:$A$42,0)))*(INDEX('Parametri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8</v>
      </c>
      <c r="I218" s="26" t="n">
        <f aca="false">IFERROR(INDEX('Input Statistiche 2025_26'!$F$3:$F$665,MATCH($A218,'Input Statistiche 2025_26'!$A$3:$A$665,0)),"")</f>
        <v>25</v>
      </c>
      <c r="J218" s="26" t="n">
        <f aca="false">IFERROR(IF($I218="","",MAX(0,38-$I218)),"")</f>
        <v>13</v>
      </c>
      <c r="K218" s="26" t="n">
        <f aca="false">IFERROR(INDEX('Input Statistiche 2025_26'!$I$3:$I$665,MATCH($A218,'Input Statistiche 2025_26'!$A$3:$A$665,0)),"")</f>
        <v>0</v>
      </c>
      <c r="L218" s="26" t="n">
        <f aca="false">IFERROR(INDEX('Input Statistiche 2025_26'!$O$3:$O$665,MATCH($A218,'Input Statistiche 2025_26'!$A$3:$A$665,0)),"")</f>
        <v>0</v>
      </c>
      <c r="M218" s="28"/>
      <c r="N218" s="27" t="n">
        <f aca="false">IFERROR(INDEX('Input Giocatori 2026_27'!$E$3:$E$493,MATCH($A218,'Input Giocatori 2026_27'!$A$3:$A$493,0)),"")</f>
        <v>6</v>
      </c>
      <c r="O218" s="27" t="n">
        <f aca="false">IFERROR(INDEX('Input Giocatori 2026_27'!$G$3:$G$493,MATCH($A218,'Input Giocatori 2026_27'!$A$3:$A$493,0)),"")</f>
        <v>15</v>
      </c>
      <c r="P218" s="26" t="str">
        <f aca="false">IFERROR(IF($O218="","",IF((1-(COUNTIFS($B$2:$B$492,$B218,$O$2:$O$492,"&gt;"&amp;$O218)+1-1)/COUNTIF($B$2:$B$492,$B218))&gt;=0.85,"Top",IF((1-(COUNTIFS($B$2:$B$492,$B218,$O$2:$O$492,"&gt;"&amp;$O218)+1-1)/COUNTIF($B$2:$B$492,$B218))&gt;=0.6,"Buono",IF((1-(COUNTIFS($B$2:$B$492,$B218,$O$2:$O$492,"&gt;"&amp;$O218)+1-1)/COUNTIF($B$2:$B$492,$B218))&gt;=0.3,"Nella Media","Scommessa/Riserva")))),"")</f>
        <v>Buono</v>
      </c>
      <c r="Q218" s="29" t="n">
        <f aca="false">IF($D218="",COUNTIF($D$2:$D218,""),"")</f>
        <v>217</v>
      </c>
      <c r="R218" s="29" t="str">
        <f aca="false">IF($D218='Info Lega'!$B$28,COUNTIFS($D$2:$D218,'Info Lega'!$B$28),"")</f>
        <v/>
      </c>
      <c r="S218" s="30" t="n">
        <f aca="false">IFERROR(INDEX('Input Statistiche 2025_26'!$G$3:$G$665,MATCH($A218,'Input Statistiche 2025_26'!$A$3:$A$665,0)),"")</f>
        <v>5.84</v>
      </c>
      <c r="T218" s="30" t="n">
        <f aca="false">IFERROR(INDEX('Input Statistiche 2025_26'!$H$3:$H$665,MATCH($A218,'Input Statistiche 2025_26'!$A$3:$A$665,0)),"")</f>
        <v>5.8</v>
      </c>
      <c r="U218" s="26" t="str">
        <f aca="false">IF(OR('La Mia Rosa'!$O$12="",$D218&lt;&gt;""),"",IF($F218&lt;='La Mia Rosa'!$O$12*'Parametri Modello'!$B$24,"OK",IF($F218&lt;='La Mia Rosa'!$O$12*'Parametri Modello'!$B$25,"Attenzione","Rischio Alto")))</f>
        <v>OK</v>
      </c>
      <c r="V218" s="26" t="n">
        <f aca="false">IFERROR(COUNTIFS($B$2:$B$492,$B218,$O$2:$O$492,"&gt;"&amp;$O218)+1,"")</f>
        <v>61</v>
      </c>
      <c r="W218" s="21" t="n">
        <f aca="false">'Info Lega'!$B$4-SUMIFS($M$2:$M$492,$D$2:$D$492,'Info Lega'!$B$28)</f>
        <v>1000</v>
      </c>
      <c r="X218" s="21" t="n">
        <f aca="false">('Info Lega'!$B$5-COUNTIFS($D$2:$D$492,'Info Lega'!$B$28,$B$2:$B$492,"P"))+('Info Lega'!$B$6-COUNTIFS($D$2:$D$492,'Info Lega'!$B$28,$B$2:$B$492,"D"))+('Info Lega'!$B$7-COUNTIFS($D$2:$D$492,'Info Lega'!$B$28,$B$2:$B$492,"C"))+('Info Lega'!$B$8-COUNTIFS($D$2:$D$492,'Info Lega'!$B$28,$B$2:$B$492,"A"))</f>
        <v>25</v>
      </c>
      <c r="Y218" s="21" t="n">
        <f aca="false">X218*'Parametri Modello'!$B$30</f>
        <v>25</v>
      </c>
      <c r="Z218" s="21" t="n">
        <f aca="false">MAX(0,W218-Y218)</f>
        <v>975</v>
      </c>
      <c r="AA218" s="21" t="n">
        <f aca="false">MIN(F218,Z218)</f>
        <v>7</v>
      </c>
      <c r="AB218" s="21"/>
      <c r="AC218" s="21" t="str">
        <f aca="false">IF(AB218="","",IF(AB218&gt;AA218,"PASS",IF(AB218&lt;=AA218*0.85,"BID","ATTENZIONE")))</f>
        <v/>
      </c>
      <c r="AD218" s="31" t="n">
        <f aca="false">IF(I218="","",ROUND(100*(1-EXP(-I218/30)),0))</f>
        <v>57</v>
      </c>
      <c r="AE218" s="7" t="str">
        <f aca="false">IFERROR(INDEX('Stato Asta'!$G$9:$G$12,MATCH($B218,'Stato Asta'!$A$9:$A$12,0)),"")</f>
        <v>🟡 Attesa rischiosa</v>
      </c>
    </row>
    <row r="219" customFormat="false" ht="14.25" hidden="false" customHeight="true" outlineLevel="0" collapsed="false">
      <c r="A219" s="21" t="n">
        <v>7485</v>
      </c>
      <c r="B219" s="21" t="s">
        <v>44</v>
      </c>
      <c r="C219" s="21" t="s">
        <v>256</v>
      </c>
      <c r="E219" s="26" t="str">
        <f aca="false">IF(COUNTIF('Info Strategia'!$D$2:$D$51,$C219)&gt;0,"SI","NO")</f>
        <v>NO</v>
      </c>
      <c r="F219" s="27" t="n">
        <f aca="false">IFERROR(ROUND(($G219+($H219-$G219)*'Info Strategia'!$B$6)*(1+IF($E219="SI",'Parametri Modello'!$B$7*'Info Strategia'!$B$6,0)),0),"")</f>
        <v>7</v>
      </c>
      <c r="G219" s="27" t="n">
        <f aca="false">IFERROR(ROUND((IF(OR(INDEX('Parametri Modello'!$C$39:$C$42,MATCH($B219,'Parametri Modello'!$A$39:$A$42,0))="",INDEX('Parametri Modello'!$C$39:$C$42,MATCH($B219,'Parametri Modello'!$A$39:$A$42,0))=0),0,($O219/INDEX('Parametri Modello'!$C$39:$C$42,MATCH($B219,'Parametri Modello'!$A$39:$A$42,0)))*(INDEX('Parametri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5</v>
      </c>
      <c r="H219" s="27" t="n">
        <f aca="false">IFERROR(ROUND((IF(OR(INDEX('Parametri Modello'!$C$39:$C$42,MATCH($B219,'Parametri Modello'!$A$39:$A$42,0))="",INDEX('Parametri Modello'!$C$39:$C$42,MATCH($B219,'Parametri Modello'!$A$39:$A$42,0))=0),0,($O219/INDEX('Parametri Modello'!$C$39:$C$42,MATCH($B219,'Parametri Modello'!$A$39:$A$42,0)))*(INDEX('Parametri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8</v>
      </c>
      <c r="I219" s="26" t="str">
        <f aca="false">IFERROR(INDEX('Input Statistiche 2025_26'!$F$3:$F$665,MATCH($A219,'Input Statistiche 2025_26'!$A$3:$A$665,0)),"")</f>
        <v/>
      </c>
      <c r="J219" s="26" t="str">
        <f aca="false">IFERROR(IF($I219="","",MAX(0,38-$I219)),"")</f>
        <v/>
      </c>
      <c r="K219" s="26" t="str">
        <f aca="false">IFERROR(INDEX('Input Statistiche 2025_26'!$I$3:$I$665,MATCH($A219,'Input Statistiche 2025_26'!$A$3:$A$665,0)),"")</f>
        <v/>
      </c>
      <c r="L219" s="26" t="str">
        <f aca="false">IFERROR(INDEX('Input Statistiche 2025_26'!$O$3:$O$665,MATCH($A219,'Input Statistiche 2025_26'!$A$3:$A$665,0)),"")</f>
        <v/>
      </c>
      <c r="M219" s="28"/>
      <c r="N219" s="27" t="n">
        <f aca="false">IFERROR(INDEX('Input Giocatori 2026_27'!$E$3:$E$493,MATCH($A219,'Input Giocatori 2026_27'!$A$3:$A$493,0)),"")</f>
        <v>6</v>
      </c>
      <c r="O219" s="27" t="n">
        <f aca="false">IFERROR(INDEX('Input Giocatori 2026_27'!$G$3:$G$493,MATCH($A219,'Input Giocatori 2026_27'!$A$3:$A$493,0)),"")</f>
        <v>15</v>
      </c>
      <c r="P219" s="26" t="str">
        <f aca="false">IFERROR(IF($O219="","",IF((1-(COUNTIFS($B$2:$B$492,$B219,$O$2:$O$492,"&gt;"&amp;$O219)+1-1)/COUNTIF($B$2:$B$492,$B219))&gt;=0.85,"Top",IF((1-(COUNTIFS($B$2:$B$492,$B219,$O$2:$O$492,"&gt;"&amp;$O219)+1-1)/COUNTIF($B$2:$B$492,$B219))&gt;=0.6,"Buono",IF((1-(COUNTIFS($B$2:$B$492,$B219,$O$2:$O$492,"&gt;"&amp;$O219)+1-1)/COUNTIF($B$2:$B$492,$B219))&gt;=0.3,"Nella Media","Scommessa/Riserva")))),"")</f>
        <v>Buono</v>
      </c>
      <c r="Q219" s="29" t="n">
        <f aca="false">IF($D219="",COUNTIF($D$2:$D219,""),"")</f>
        <v>218</v>
      </c>
      <c r="R219" s="29" t="str">
        <f aca="false">IF($D219='Info Lega'!$B$28,COUNTIFS($D$2:$D219,'Info Lega'!$B$28),"")</f>
        <v/>
      </c>
      <c r="S219" s="30" t="str">
        <f aca="false">IFERROR(INDEX('Input Statistiche 2025_26'!$G$3:$G$665,MATCH($A219,'Input Statistiche 2025_26'!$A$3:$A$665,0)),"")</f>
        <v/>
      </c>
      <c r="T219" s="30" t="str">
        <f aca="false">IFERROR(INDEX('Input Statistiche 2025_26'!$H$3:$H$665,MATCH($A219,'Input Statistiche 2025_26'!$A$3:$A$665,0)),"")</f>
        <v/>
      </c>
      <c r="U219" s="26" t="str">
        <f aca="false">IF(OR('La Mia Rosa'!$O$12="",$D219&lt;&gt;""),"",IF($F219&lt;='La Mia Rosa'!$O$12*'Parametri Modello'!$B$24,"OK",IF($F219&lt;='La Mia Rosa'!$O$12*'Parametri Modello'!$B$25,"Attenzione","Rischio Alto")))</f>
        <v>OK</v>
      </c>
      <c r="V219" s="26" t="n">
        <f aca="false">IFERROR(COUNTIFS($B$2:$B$492,$B219,$O$2:$O$492,"&gt;"&amp;$O219)+1,"")</f>
        <v>61</v>
      </c>
      <c r="W219" s="21" t="n">
        <f aca="false">'Info Lega'!$B$4-SUMIFS($M$2:$M$492,$D$2:$D$492,'Info Lega'!$B$28)</f>
        <v>1000</v>
      </c>
      <c r="X219" s="21" t="n">
        <f aca="false">('Info Lega'!$B$5-COUNTIFS($D$2:$D$492,'Info Lega'!$B$28,$B$2:$B$492,"P"))+('Info Lega'!$B$6-COUNTIFS($D$2:$D$492,'Info Lega'!$B$28,$B$2:$B$492,"D"))+('Info Lega'!$B$7-COUNTIFS($D$2:$D$492,'Info Lega'!$B$28,$B$2:$B$492,"C"))+('Info Lega'!$B$8-COUNTIFS($D$2:$D$492,'Info Lega'!$B$28,$B$2:$B$492,"A"))</f>
        <v>25</v>
      </c>
      <c r="Y219" s="21" t="n">
        <f aca="false">X219*'Parametri Modello'!$B$30</f>
        <v>25</v>
      </c>
      <c r="Z219" s="21" t="n">
        <f aca="false">MAX(0,W219-Y219)</f>
        <v>975</v>
      </c>
      <c r="AA219" s="21" t="n">
        <f aca="false">MIN(F219,Z219)</f>
        <v>7</v>
      </c>
      <c r="AB219" s="21"/>
      <c r="AC219" s="21" t="str">
        <f aca="false">IF(AB219="","",IF(AB219&gt;AA219,"PASS",IF(AB219&lt;=AA219*0.85,"BID","ATTENZIONE")))</f>
        <v/>
      </c>
      <c r="AD219" s="31" t="str">
        <f aca="false">IF(I219="","",ROUND(100*(1-EXP(-I219/30)),0))</f>
        <v/>
      </c>
      <c r="AE219" s="7" t="str">
        <f aca="false">IFERROR(INDEX('Stato Asta'!$G$9:$G$12,MATCH($B219,'Stato Asta'!$A$9:$A$12,0)),"")</f>
        <v>🟡 Attesa rischiosa</v>
      </c>
    </row>
    <row r="220" customFormat="false" ht="14.25" hidden="false" customHeight="true" outlineLevel="0" collapsed="false">
      <c r="A220" s="21" t="n">
        <v>2593</v>
      </c>
      <c r="B220" s="21" t="s">
        <v>44</v>
      </c>
      <c r="C220" s="21" t="s">
        <v>271</v>
      </c>
      <c r="E220" s="26" t="str">
        <f aca="false">IF(COUNTIF('Info Strategia'!$D$2:$D$51,$C220)&gt;0,"SI","NO")</f>
        <v>NO</v>
      </c>
      <c r="F220" s="27" t="n">
        <f aca="false">IFERROR(ROUND(($G220+($H220-$G220)*'Info Strategia'!$B$6)*(1+IF($E220="SI",'Parametri Modello'!$B$7*'Info Strategia'!$B$6,0)),0),"")</f>
        <v>7</v>
      </c>
      <c r="G220" s="27" t="n">
        <f aca="false">IFERROR(ROUND((IF(OR(INDEX('Parametri Modello'!$C$39:$C$42,MATCH($B220,'Parametri Modello'!$A$39:$A$42,0))="",INDEX('Parametri Modello'!$C$39:$C$42,MATCH($B220,'Parametri Modello'!$A$39:$A$42,0))=0),0,($O220/INDEX('Parametri Modello'!$C$39:$C$42,MATCH($B220,'Parametri Modello'!$A$39:$A$42,0)))*(INDEX('Parametri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5</v>
      </c>
      <c r="H220" s="27" t="n">
        <f aca="false">IFERROR(ROUND((IF(OR(INDEX('Parametri Modello'!$C$39:$C$42,MATCH($B220,'Parametri Modello'!$A$39:$A$42,0))="",INDEX('Parametri Modello'!$C$39:$C$42,MATCH($B220,'Parametri Modello'!$A$39:$A$42,0))=0),0,($O220/INDEX('Parametri Modello'!$C$39:$C$42,MATCH($B220,'Parametri Modello'!$A$39:$A$42,0)))*(INDEX('Parametri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8</v>
      </c>
      <c r="I220" s="26" t="n">
        <f aca="false">IFERROR(INDEX('Input Statistiche 2025_26'!$F$3:$F$665,MATCH($A220,'Input Statistiche 2025_26'!$A$3:$A$665,0)),"")</f>
        <v>29</v>
      </c>
      <c r="J220" s="26" t="n">
        <f aca="false">IFERROR(IF($I220="","",MAX(0,38-$I220)),"")</f>
        <v>9</v>
      </c>
      <c r="K220" s="26" t="n">
        <f aca="false">IFERROR(INDEX('Input Statistiche 2025_26'!$I$3:$I$665,MATCH($A220,'Input Statistiche 2025_26'!$A$3:$A$665,0)),"")</f>
        <v>1</v>
      </c>
      <c r="L220" s="26" t="n">
        <f aca="false">IFERROR(INDEX('Input Statistiche 2025_26'!$O$3:$O$665,MATCH($A220,'Input Statistiche 2025_26'!$A$3:$A$665,0)),"")</f>
        <v>5</v>
      </c>
      <c r="M220" s="28"/>
      <c r="N220" s="27" t="n">
        <f aca="false">IFERROR(INDEX('Input Giocatori 2026_27'!$E$3:$E$493,MATCH($A220,'Input Giocatori 2026_27'!$A$3:$A$493,0)),"")</f>
        <v>5</v>
      </c>
      <c r="O220" s="27" t="n">
        <f aca="false">IFERROR(INDEX('Input Giocatori 2026_27'!$G$3:$G$493,MATCH($A220,'Input Giocatori 2026_27'!$A$3:$A$493,0)),"")</f>
        <v>15</v>
      </c>
      <c r="P220" s="26" t="str">
        <f aca="false">IFERROR(IF($O220="","",IF((1-(COUNTIFS($B$2:$B$492,$B220,$O$2:$O$492,"&gt;"&amp;$O220)+1-1)/COUNTIF($B$2:$B$492,$B220))&gt;=0.85,"Top",IF((1-(COUNTIFS($B$2:$B$492,$B220,$O$2:$O$492,"&gt;"&amp;$O220)+1-1)/COUNTIF($B$2:$B$492,$B220))&gt;=0.6,"Buono",IF((1-(COUNTIFS($B$2:$B$492,$B220,$O$2:$O$492,"&gt;"&amp;$O220)+1-1)/COUNTIF($B$2:$B$492,$B220))&gt;=0.3,"Nella Media","Scommessa/Riserva")))),"")</f>
        <v>Buono</v>
      </c>
      <c r="Q220" s="29" t="n">
        <f aca="false">IF($D220="",COUNTIF($D$2:$D220,""),"")</f>
        <v>219</v>
      </c>
      <c r="R220" s="29" t="str">
        <f aca="false">IF($D220='Info Lega'!$B$28,COUNTIFS($D$2:$D220,'Info Lega'!$B$28),"")</f>
        <v/>
      </c>
      <c r="S220" s="30" t="n">
        <f aca="false">IFERROR(INDEX('Input Statistiche 2025_26'!$G$3:$G$665,MATCH($A220,'Input Statistiche 2025_26'!$A$3:$A$665,0)),"")</f>
        <v>5.97</v>
      </c>
      <c r="T220" s="30" t="n">
        <f aca="false">IFERROR(INDEX('Input Statistiche 2025_26'!$H$3:$H$665,MATCH($A220,'Input Statistiche 2025_26'!$A$3:$A$665,0)),"")</f>
        <v>6.1</v>
      </c>
      <c r="U220" s="26" t="str">
        <f aca="false">IF(OR('La Mia Rosa'!$O$12="",$D220&lt;&gt;""),"",IF($F220&lt;='La Mia Rosa'!$O$12*'Parametri Modello'!$B$24,"OK",IF($F220&lt;='La Mia Rosa'!$O$12*'Parametri Modello'!$B$25,"Attenzione","Rischio Alto")))</f>
        <v>OK</v>
      </c>
      <c r="V220" s="26" t="n">
        <f aca="false">IFERROR(COUNTIFS($B$2:$B$492,$B220,$O$2:$O$492,"&gt;"&amp;$O220)+1,"")</f>
        <v>61</v>
      </c>
      <c r="W220" s="21" t="n">
        <f aca="false">'Info Lega'!$B$4-SUMIFS($M$2:$M$492,$D$2:$D$492,'Info Lega'!$B$28)</f>
        <v>1000</v>
      </c>
      <c r="X220" s="21" t="n">
        <f aca="false">('Info Lega'!$B$5-COUNTIFS($D$2:$D$492,'Info Lega'!$B$28,$B$2:$B$492,"P"))+('Info Lega'!$B$6-COUNTIFS($D$2:$D$492,'Info Lega'!$B$28,$B$2:$B$492,"D"))+('Info Lega'!$B$7-COUNTIFS($D$2:$D$492,'Info Lega'!$B$28,$B$2:$B$492,"C"))+('Info Lega'!$B$8-COUNTIFS($D$2:$D$492,'Info Lega'!$B$28,$B$2:$B$492,"A"))</f>
        <v>25</v>
      </c>
      <c r="Y220" s="21" t="n">
        <f aca="false">X220*'Parametri Modello'!$B$30</f>
        <v>25</v>
      </c>
      <c r="Z220" s="21" t="n">
        <f aca="false">MAX(0,W220-Y220)</f>
        <v>975</v>
      </c>
      <c r="AA220" s="21" t="n">
        <f aca="false">MIN(F220,Z220)</f>
        <v>7</v>
      </c>
      <c r="AB220" s="21"/>
      <c r="AC220" s="21" t="str">
        <f aca="false">IF(AB220="","",IF(AB220&gt;AA220,"PASS",IF(AB220&lt;=AA220*0.85,"BID","ATTENZIONE")))</f>
        <v/>
      </c>
      <c r="AD220" s="31" t="n">
        <f aca="false">IF(I220="","",ROUND(100*(1-EXP(-I220/30)),0))</f>
        <v>62</v>
      </c>
      <c r="AE220" s="7" t="str">
        <f aca="false">IFERROR(INDEX('Stato Asta'!$G$9:$G$12,MATCH($B220,'Stato Asta'!$A$9:$A$12,0)),"")</f>
        <v>🟡 Attesa rischiosa</v>
      </c>
    </row>
    <row r="221" customFormat="false" ht="14.25" hidden="false" customHeight="true" outlineLevel="0" collapsed="false">
      <c r="A221" s="21" t="n">
        <v>4817</v>
      </c>
      <c r="B221" s="21" t="s">
        <v>44</v>
      </c>
      <c r="C221" s="21" t="s">
        <v>273</v>
      </c>
      <c r="E221" s="26" t="str">
        <f aca="false">IF(COUNTIF('Info Strategia'!$D$2:$D$51,$C221)&gt;0,"SI","NO")</f>
        <v>NO</v>
      </c>
      <c r="F221" s="27" t="n">
        <f aca="false">IFERROR(ROUND(($G221+($H221-$G221)*'Info Strategia'!$B$6)*(1+IF($E221="SI",'Parametri Modello'!$B$7*'Info Strategia'!$B$6,0)),0),"")</f>
        <v>7</v>
      </c>
      <c r="G221" s="27" t="n">
        <f aca="false">IFERROR(ROUND((IF(OR(INDEX('Parametri Modello'!$C$39:$C$42,MATCH($B221,'Parametri Modello'!$A$39:$A$42,0))="",INDEX('Parametri Modello'!$C$39:$C$42,MATCH($B221,'Parametri Modello'!$A$39:$A$42,0))=0),0,($O221/INDEX('Parametri Modello'!$C$39:$C$42,MATCH($B221,'Parametri Modello'!$A$39:$A$42,0)))*(INDEX('Parametri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5</v>
      </c>
      <c r="H221" s="27" t="n">
        <f aca="false">IFERROR(ROUND((IF(OR(INDEX('Parametri Modello'!$C$39:$C$42,MATCH($B221,'Parametri Modello'!$A$39:$A$42,0))="",INDEX('Parametri Modello'!$C$39:$C$42,MATCH($B221,'Parametri Modello'!$A$39:$A$42,0))=0),0,($O221/INDEX('Parametri Modello'!$C$39:$C$42,MATCH($B221,'Parametri Modello'!$A$39:$A$42,0)))*(INDEX('Parametri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8</v>
      </c>
      <c r="I221" s="26" t="str">
        <f aca="false">IFERROR(INDEX('Input Statistiche 2025_26'!$F$3:$F$665,MATCH($A221,'Input Statistiche 2025_26'!$A$3:$A$665,0)),"")</f>
        <v/>
      </c>
      <c r="J221" s="26" t="str">
        <f aca="false">IFERROR(IF($I221="","",MAX(0,38-$I221)),"")</f>
        <v/>
      </c>
      <c r="K221" s="26" t="str">
        <f aca="false">IFERROR(INDEX('Input Statistiche 2025_26'!$I$3:$I$665,MATCH($A221,'Input Statistiche 2025_26'!$A$3:$A$665,0)),"")</f>
        <v/>
      </c>
      <c r="L221" s="26" t="str">
        <f aca="false">IFERROR(INDEX('Input Statistiche 2025_26'!$O$3:$O$665,MATCH($A221,'Input Statistiche 2025_26'!$A$3:$A$665,0)),"")</f>
        <v/>
      </c>
      <c r="M221" s="28"/>
      <c r="N221" s="27" t="n">
        <f aca="false">IFERROR(INDEX('Input Giocatori 2026_27'!$E$3:$E$493,MATCH($A221,'Input Giocatori 2026_27'!$A$3:$A$493,0)),"")</f>
        <v>5</v>
      </c>
      <c r="O221" s="27" t="n">
        <f aca="false">IFERROR(INDEX('Input Giocatori 2026_27'!$G$3:$G$493,MATCH($A221,'Input Giocatori 2026_27'!$A$3:$A$493,0)),"")</f>
        <v>15</v>
      </c>
      <c r="P221" s="26" t="str">
        <f aca="false">IFERROR(IF($O221="","",IF((1-(COUNTIFS($B$2:$B$492,$B221,$O$2:$O$492,"&gt;"&amp;$O221)+1-1)/COUNTIF($B$2:$B$492,$B221))&gt;=0.85,"Top",IF((1-(COUNTIFS($B$2:$B$492,$B221,$O$2:$O$492,"&gt;"&amp;$O221)+1-1)/COUNTIF($B$2:$B$492,$B221))&gt;=0.6,"Buono",IF((1-(COUNTIFS($B$2:$B$492,$B221,$O$2:$O$492,"&gt;"&amp;$O221)+1-1)/COUNTIF($B$2:$B$492,$B221))&gt;=0.3,"Nella Media","Scommessa/Riserva")))),"")</f>
        <v>Buono</v>
      </c>
      <c r="Q221" s="29" t="n">
        <f aca="false">IF($D221="",COUNTIF($D$2:$D221,""),"")</f>
        <v>220</v>
      </c>
      <c r="R221" s="29" t="str">
        <f aca="false">IF($D221='Info Lega'!$B$28,COUNTIFS($D$2:$D221,'Info Lega'!$B$28),"")</f>
        <v/>
      </c>
      <c r="S221" s="30" t="str">
        <f aca="false">IFERROR(INDEX('Input Statistiche 2025_26'!$G$3:$G$665,MATCH($A221,'Input Statistiche 2025_26'!$A$3:$A$665,0)),"")</f>
        <v/>
      </c>
      <c r="T221" s="30" t="str">
        <f aca="false">IFERROR(INDEX('Input Statistiche 2025_26'!$H$3:$H$665,MATCH($A221,'Input Statistiche 2025_26'!$A$3:$A$665,0)),"")</f>
        <v/>
      </c>
      <c r="U221" s="26" t="str">
        <f aca="false">IF(OR('La Mia Rosa'!$O$12="",$D221&lt;&gt;""),"",IF($F221&lt;='La Mia Rosa'!$O$12*'Parametri Modello'!$B$24,"OK",IF($F221&lt;='La Mia Rosa'!$O$12*'Parametri Modello'!$B$25,"Attenzione","Rischio Alto")))</f>
        <v>OK</v>
      </c>
      <c r="V221" s="26" t="n">
        <f aca="false">IFERROR(COUNTIFS($B$2:$B$492,$B221,$O$2:$O$492,"&gt;"&amp;$O221)+1,"")</f>
        <v>61</v>
      </c>
      <c r="W221" s="21" t="n">
        <f aca="false">'Info Lega'!$B$4-SUMIFS($M$2:$M$492,$D$2:$D$492,'Info Lega'!$B$28)</f>
        <v>1000</v>
      </c>
      <c r="X221" s="21" t="n">
        <f aca="false">('Info Lega'!$B$5-COUNTIFS($D$2:$D$492,'Info Lega'!$B$28,$B$2:$B$492,"P"))+('Info Lega'!$B$6-COUNTIFS($D$2:$D$492,'Info Lega'!$B$28,$B$2:$B$492,"D"))+('Info Lega'!$B$7-COUNTIFS($D$2:$D$492,'Info Lega'!$B$28,$B$2:$B$492,"C"))+('Info Lega'!$B$8-COUNTIFS($D$2:$D$492,'Info Lega'!$B$28,$B$2:$B$492,"A"))</f>
        <v>25</v>
      </c>
      <c r="Y221" s="21" t="n">
        <f aca="false">X221*'Parametri Modello'!$B$30</f>
        <v>25</v>
      </c>
      <c r="Z221" s="21" t="n">
        <f aca="false">MAX(0,W221-Y221)</f>
        <v>975</v>
      </c>
      <c r="AA221" s="21" t="n">
        <f aca="false">MIN(F221,Z221)</f>
        <v>7</v>
      </c>
      <c r="AB221" s="21"/>
      <c r="AC221" s="21" t="str">
        <f aca="false">IF(AB221="","",IF(AB221&gt;AA221,"PASS",IF(AB221&lt;=AA221*0.85,"BID","ATTENZIONE")))</f>
        <v/>
      </c>
      <c r="AD221" s="31" t="str">
        <f aca="false">IF(I221="","",ROUND(100*(1-EXP(-I221/30)),0))</f>
        <v/>
      </c>
      <c r="AE221" s="7" t="str">
        <f aca="false">IFERROR(INDEX('Stato Asta'!$G$9:$G$12,MATCH($B221,'Stato Asta'!$A$9:$A$12,0)),"")</f>
        <v>🟡 Attesa rischiosa</v>
      </c>
    </row>
    <row r="222" customFormat="false" ht="14.25" hidden="false" customHeight="true" outlineLevel="0" collapsed="false">
      <c r="A222" s="21" t="n">
        <v>6898</v>
      </c>
      <c r="B222" s="21" t="s">
        <v>45</v>
      </c>
      <c r="C222" s="21" t="s">
        <v>460</v>
      </c>
      <c r="E222" s="26" t="str">
        <f aca="false">IF(COUNTIF('Info Strategia'!$D$2:$D$51,$C222)&gt;0,"SI","NO")</f>
        <v>NO</v>
      </c>
      <c r="F222" s="27" t="n">
        <f aca="false">IFERROR(ROUND(($G222+($H222-$G222)*'Info Strategia'!$B$6)*(1+IF($E222="SI",'Parametri Modello'!$B$7*'Info Strategia'!$B$6,0)),0),"")</f>
        <v>8</v>
      </c>
      <c r="G222" s="27" t="n">
        <f aca="false">IFERROR(ROUND((IF(OR(INDEX('Parametri Modello'!$C$39:$C$42,MATCH($B222,'Parametri Modello'!$A$39:$A$42,0))="",INDEX('Parametri Modello'!$C$39:$C$42,MATCH($B222,'Parametri Modello'!$A$39:$A$42,0))=0),0,($O222/INDEX('Parametri Modello'!$C$39:$C$42,MATCH($B222,'Parametri Modello'!$A$39:$A$42,0)))*(INDEX('Parametri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6</v>
      </c>
      <c r="H222" s="27" t="n">
        <f aca="false">IFERROR(ROUND((IF(OR(INDEX('Parametri Modello'!$C$39:$C$42,MATCH($B222,'Parametri Modello'!$A$39:$A$42,0))="",INDEX('Parametri Modello'!$C$39:$C$42,MATCH($B222,'Parametri Modello'!$A$39:$A$42,0))=0),0,($O222/INDEX('Parametri Modello'!$C$39:$C$42,MATCH($B222,'Parametri Modello'!$A$39:$A$42,0)))*(INDEX('Parametri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9</v>
      </c>
      <c r="I222" s="26" t="n">
        <f aca="false">IFERROR(INDEX('Input Statistiche 2025_26'!$F$3:$F$665,MATCH($A222,'Input Statistiche 2025_26'!$A$3:$A$665,0)),"")</f>
        <v>36</v>
      </c>
      <c r="J222" s="26" t="n">
        <f aca="false">IFERROR(IF($I222="","",MAX(0,38-$I222)),"")</f>
        <v>2</v>
      </c>
      <c r="K222" s="26" t="n">
        <f aca="false">IFERROR(INDEX('Input Statistiche 2025_26'!$I$3:$I$665,MATCH($A222,'Input Statistiche 2025_26'!$A$3:$A$665,0)),"")</f>
        <v>1</v>
      </c>
      <c r="L222" s="26" t="n">
        <f aca="false">IFERROR(INDEX('Input Statistiche 2025_26'!$O$3:$O$665,MATCH($A222,'Input Statistiche 2025_26'!$A$3:$A$665,0)),"")</f>
        <v>1</v>
      </c>
      <c r="M222" s="28"/>
      <c r="N222" s="27" t="n">
        <f aca="false">IFERROR(INDEX('Input Giocatori 2026_27'!$E$3:$E$493,MATCH($A222,'Input Giocatori 2026_27'!$A$3:$A$493,0)),"")</f>
        <v>5</v>
      </c>
      <c r="O222" s="27" t="n">
        <f aca="false">IFERROR(INDEX('Input Giocatori 2026_27'!$G$3:$G$493,MATCH($A222,'Input Giocatori 2026_27'!$A$3:$A$493,0)),"")</f>
        <v>15</v>
      </c>
      <c r="P222" s="26" t="str">
        <f aca="false">IFERROR(IF($O222="","",IF((1-(COUNTIFS($B$2:$B$492,$B222,$O$2:$O$492,"&gt;"&amp;$O222)+1-1)/COUNTIF($B$2:$B$492,$B222))&gt;=0.85,"Top",IF((1-(COUNTIFS($B$2:$B$492,$B222,$O$2:$O$492,"&gt;"&amp;$O222)+1-1)/COUNTIF($B$2:$B$492,$B222))&gt;=0.6,"Buono",IF((1-(COUNTIFS($B$2:$B$492,$B222,$O$2:$O$492,"&gt;"&amp;$O222)+1-1)/COUNTIF($B$2:$B$492,$B222))&gt;=0.3,"Nella Media","Scommessa/Riserva")))),"")</f>
        <v>Nella Media</v>
      </c>
      <c r="Q222" s="29" t="n">
        <f aca="false">IF($D222="",COUNTIF($D$2:$D222,""),"")</f>
        <v>221</v>
      </c>
      <c r="R222" s="29" t="str">
        <f aca="false">IF($D222='Info Lega'!$B$28,COUNTIFS($D$2:$D222,'Info Lega'!$B$28),"")</f>
        <v/>
      </c>
      <c r="S222" s="30" t="n">
        <f aca="false">IFERROR(INDEX('Input Statistiche 2025_26'!$G$3:$G$665,MATCH($A222,'Input Statistiche 2025_26'!$A$3:$A$665,0)),"")</f>
        <v>6.01</v>
      </c>
      <c r="T222" s="30" t="n">
        <f aca="false">IFERROR(INDEX('Input Statistiche 2025_26'!$H$3:$H$665,MATCH($A222,'Input Statistiche 2025_26'!$A$3:$A$665,0)),"")</f>
        <v>6.06</v>
      </c>
      <c r="U222" s="26" t="str">
        <f aca="false">IF(OR('La Mia Rosa'!$O$12="",$D222&lt;&gt;""),"",IF($F222&lt;='La Mia Rosa'!$O$12*'Parametri Modello'!$B$24,"OK",IF($F222&lt;='La Mia Rosa'!$O$12*'Parametri Modello'!$B$25,"Attenzione","Rischio Alto")))</f>
        <v>OK</v>
      </c>
      <c r="V222" s="26" t="n">
        <f aca="false">IFERROR(COUNTIFS($B$2:$B$492,$B222,$O$2:$O$492,"&gt;"&amp;$O222)+1,"")</f>
        <v>83</v>
      </c>
      <c r="W222" s="21" t="n">
        <f aca="false">'Info Lega'!$B$4-SUMIFS($M$2:$M$492,$D$2:$D$492,'Info Lega'!$B$28)</f>
        <v>1000</v>
      </c>
      <c r="X222" s="21" t="n">
        <f aca="false">('Info Lega'!$B$5-COUNTIFS($D$2:$D$492,'Info Lega'!$B$28,$B$2:$B$492,"P"))+('Info Lega'!$B$6-COUNTIFS($D$2:$D$492,'Info Lega'!$B$28,$B$2:$B$492,"D"))+('Info Lega'!$B$7-COUNTIFS($D$2:$D$492,'Info Lega'!$B$28,$B$2:$B$492,"C"))+('Info Lega'!$B$8-COUNTIFS($D$2:$D$492,'Info Lega'!$B$28,$B$2:$B$492,"A"))</f>
        <v>25</v>
      </c>
      <c r="Y222" s="21" t="n">
        <f aca="false">X222*'Parametri Modello'!$B$30</f>
        <v>25</v>
      </c>
      <c r="Z222" s="21" t="n">
        <f aca="false">MAX(0,W222-Y222)</f>
        <v>975</v>
      </c>
      <c r="AA222" s="21" t="n">
        <f aca="false">MIN(F222,Z222)</f>
        <v>8</v>
      </c>
      <c r="AB222" s="21"/>
      <c r="AC222" s="21" t="str">
        <f aca="false">IF(AB222="","",IF(AB222&gt;AA222,"PASS",IF(AB222&lt;=AA222*0.85,"BID","ATTENZIONE")))</f>
        <v/>
      </c>
      <c r="AD222" s="31" t="n">
        <f aca="false">IF(I222="","",ROUND(100*(1-EXP(-I222/30)),0))</f>
        <v>70</v>
      </c>
      <c r="AE222" s="7" t="str">
        <f aca="false">IFERROR(INDEX('Stato Asta'!$G$9:$G$12,MATCH($B222,'Stato Asta'!$A$9:$A$12,0)),"")</f>
        <v>🟡 Attesa rischiosa</v>
      </c>
    </row>
    <row r="223" customFormat="false" ht="14.25" hidden="false" customHeight="true" outlineLevel="0" collapsed="false">
      <c r="A223" s="21" t="n">
        <v>2528</v>
      </c>
      <c r="B223" s="21" t="s">
        <v>45</v>
      </c>
      <c r="C223" s="21" t="s">
        <v>463</v>
      </c>
      <c r="E223" s="26" t="str">
        <f aca="false">IF(COUNTIF('Info Strategia'!$D$2:$D$51,$C223)&gt;0,"SI","NO")</f>
        <v>NO</v>
      </c>
      <c r="F223" s="27" t="n">
        <f aca="false">IFERROR(ROUND(($G223+($H223-$G223)*'Info Strategia'!$B$6)*(1+IF($E223="SI",'Parametri Modello'!$B$7*'Info Strategia'!$B$6,0)),0),"")</f>
        <v>8</v>
      </c>
      <c r="G223" s="27" t="n">
        <f aca="false">IFERROR(ROUND((IF(OR(INDEX('Parametri Modello'!$C$39:$C$42,MATCH($B223,'Parametri Modello'!$A$39:$A$42,0))="",INDEX('Parametri Modello'!$C$39:$C$42,MATCH($B223,'Parametri Modello'!$A$39:$A$42,0))=0),0,($O223/INDEX('Parametri Modello'!$C$39:$C$42,MATCH($B223,'Parametri Modello'!$A$39:$A$42,0)))*(INDEX('Parametri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6</v>
      </c>
      <c r="H223" s="27" t="n">
        <f aca="false">IFERROR(ROUND((IF(OR(INDEX('Parametri Modello'!$C$39:$C$42,MATCH($B223,'Parametri Modello'!$A$39:$A$42,0))="",INDEX('Parametri Modello'!$C$39:$C$42,MATCH($B223,'Parametri Modello'!$A$39:$A$42,0))=0),0,($O223/INDEX('Parametri Modello'!$C$39:$C$42,MATCH($B223,'Parametri Modello'!$A$39:$A$42,0)))*(INDEX('Parametri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9</v>
      </c>
      <c r="I223" s="26" t="n">
        <f aca="false">IFERROR(INDEX('Input Statistiche 2025_26'!$F$3:$F$665,MATCH($A223,'Input Statistiche 2025_26'!$A$3:$A$665,0)),"")</f>
        <v>34</v>
      </c>
      <c r="J223" s="26" t="n">
        <f aca="false">IFERROR(IF($I223="","",MAX(0,38-$I223)),"")</f>
        <v>4</v>
      </c>
      <c r="K223" s="26" t="n">
        <f aca="false">IFERROR(INDEX('Input Statistiche 2025_26'!$I$3:$I$665,MATCH($A223,'Input Statistiche 2025_26'!$A$3:$A$665,0)),"")</f>
        <v>1</v>
      </c>
      <c r="L223" s="26" t="n">
        <f aca="false">IFERROR(INDEX('Input Statistiche 2025_26'!$O$3:$O$665,MATCH($A223,'Input Statistiche 2025_26'!$A$3:$A$665,0)),"")</f>
        <v>1</v>
      </c>
      <c r="M223" s="28"/>
      <c r="N223" s="27" t="n">
        <f aca="false">IFERROR(INDEX('Input Giocatori 2026_27'!$E$3:$E$493,MATCH($A223,'Input Giocatori 2026_27'!$A$3:$A$493,0)),"")</f>
        <v>5</v>
      </c>
      <c r="O223" s="27" t="n">
        <f aca="false">IFERROR(INDEX('Input Giocatori 2026_27'!$G$3:$G$493,MATCH($A223,'Input Giocatori 2026_27'!$A$3:$A$493,0)),"")</f>
        <v>15</v>
      </c>
      <c r="P223" s="26" t="str">
        <f aca="false">IFERROR(IF($O223="","",IF((1-(COUNTIFS($B$2:$B$492,$B223,$O$2:$O$492,"&gt;"&amp;$O223)+1-1)/COUNTIF($B$2:$B$492,$B223))&gt;=0.85,"Top",IF((1-(COUNTIFS($B$2:$B$492,$B223,$O$2:$O$492,"&gt;"&amp;$O223)+1-1)/COUNTIF($B$2:$B$492,$B223))&gt;=0.6,"Buono",IF((1-(COUNTIFS($B$2:$B$492,$B223,$O$2:$O$492,"&gt;"&amp;$O223)+1-1)/COUNTIF($B$2:$B$492,$B223))&gt;=0.3,"Nella Media","Scommessa/Riserva")))),"")</f>
        <v>Nella Media</v>
      </c>
      <c r="Q223" s="29" t="n">
        <f aca="false">IF($D223="",COUNTIF($D$2:$D223,""),"")</f>
        <v>222</v>
      </c>
      <c r="R223" s="29" t="str">
        <f aca="false">IF($D223='Info Lega'!$B$28,COUNTIFS($D$2:$D223,'Info Lega'!$B$28),"")</f>
        <v/>
      </c>
      <c r="S223" s="30" t="n">
        <f aca="false">IFERROR(INDEX('Input Statistiche 2025_26'!$G$3:$G$665,MATCH($A223,'Input Statistiche 2025_26'!$A$3:$A$665,0)),"")</f>
        <v>5.96</v>
      </c>
      <c r="T223" s="30" t="n">
        <f aca="false">IFERROR(INDEX('Input Statistiche 2025_26'!$H$3:$H$665,MATCH($A223,'Input Statistiche 2025_26'!$A$3:$A$665,0)),"")</f>
        <v>5.96</v>
      </c>
      <c r="U223" s="26" t="str">
        <f aca="false">IF(OR('La Mia Rosa'!$O$12="",$D223&lt;&gt;""),"",IF($F223&lt;='La Mia Rosa'!$O$12*'Parametri Modello'!$B$24,"OK",IF($F223&lt;='La Mia Rosa'!$O$12*'Parametri Modello'!$B$25,"Attenzione","Rischio Alto")))</f>
        <v>OK</v>
      </c>
      <c r="V223" s="26" t="n">
        <f aca="false">IFERROR(COUNTIFS($B$2:$B$492,$B223,$O$2:$O$492,"&gt;"&amp;$O223)+1,"")</f>
        <v>83</v>
      </c>
      <c r="W223" s="21" t="n">
        <f aca="false">'Info Lega'!$B$4-SUMIFS($M$2:$M$492,$D$2:$D$492,'Info Lega'!$B$28)</f>
        <v>1000</v>
      </c>
      <c r="X223" s="21" t="n">
        <f aca="false">('Info Lega'!$B$5-COUNTIFS($D$2:$D$492,'Info Lega'!$B$28,$B$2:$B$492,"P"))+('Info Lega'!$B$6-COUNTIFS($D$2:$D$492,'Info Lega'!$B$28,$B$2:$B$492,"D"))+('Info Lega'!$B$7-COUNTIFS($D$2:$D$492,'Info Lega'!$B$28,$B$2:$B$492,"C"))+('Info Lega'!$B$8-COUNTIFS($D$2:$D$492,'Info Lega'!$B$28,$B$2:$B$492,"A"))</f>
        <v>25</v>
      </c>
      <c r="Y223" s="21" t="n">
        <f aca="false">X223*'Parametri Modello'!$B$30</f>
        <v>25</v>
      </c>
      <c r="Z223" s="21" t="n">
        <f aca="false">MAX(0,W223-Y223)</f>
        <v>975</v>
      </c>
      <c r="AA223" s="21" t="n">
        <f aca="false">MIN(F223,Z223)</f>
        <v>8</v>
      </c>
      <c r="AB223" s="21"/>
      <c r="AC223" s="21" t="str">
        <f aca="false">IF(AB223="","",IF(AB223&gt;AA223,"PASS",IF(AB223&lt;=AA223*0.85,"BID","ATTENZIONE")))</f>
        <v/>
      </c>
      <c r="AD223" s="31" t="n">
        <f aca="false">IF(I223="","",ROUND(100*(1-EXP(-I223/30)),0))</f>
        <v>68</v>
      </c>
      <c r="AE223" s="7" t="str">
        <f aca="false">IFERROR(INDEX('Stato Asta'!$G$9:$G$12,MATCH($B223,'Stato Asta'!$A$9:$A$12,0)),"")</f>
        <v>🟡 Attesa rischiosa</v>
      </c>
    </row>
    <row r="224" customFormat="false" ht="14.25" hidden="false" customHeight="true" outlineLevel="0" collapsed="false">
      <c r="A224" s="21" t="n">
        <v>7198</v>
      </c>
      <c r="B224" s="21" t="s">
        <v>45</v>
      </c>
      <c r="C224" s="21" t="s">
        <v>468</v>
      </c>
      <c r="E224" s="26" t="str">
        <f aca="false">IF(COUNTIF('Info Strategia'!$D$2:$D$51,$C224)&gt;0,"SI","NO")</f>
        <v>NO</v>
      </c>
      <c r="F224" s="27" t="n">
        <f aca="false">IFERROR(ROUND(($G224+($H224-$G224)*'Info Strategia'!$B$6)*(1+IF($E224="SI",'Parametri Modello'!$B$7*'Info Strategia'!$B$6,0)),0),"")</f>
        <v>8</v>
      </c>
      <c r="G224" s="27" t="n">
        <f aca="false">IFERROR(ROUND((IF(OR(INDEX('Parametri Modello'!$C$39:$C$42,MATCH($B224,'Parametri Modello'!$A$39:$A$42,0))="",INDEX('Parametri Modello'!$C$39:$C$42,MATCH($B224,'Parametri Modello'!$A$39:$A$42,0))=0),0,($O224/INDEX('Parametri Modello'!$C$39:$C$42,MATCH($B224,'Parametri Modello'!$A$39:$A$42,0)))*(INDEX('Parametri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6</v>
      </c>
      <c r="H224" s="27" t="n">
        <f aca="false">IFERROR(ROUND((IF(OR(INDEX('Parametri Modello'!$C$39:$C$42,MATCH($B224,'Parametri Modello'!$A$39:$A$42,0))="",INDEX('Parametri Modello'!$C$39:$C$42,MATCH($B224,'Parametri Modello'!$A$39:$A$42,0))=0),0,($O224/INDEX('Parametri Modello'!$C$39:$C$42,MATCH($B224,'Parametri Modello'!$A$39:$A$42,0)))*(INDEX('Parametri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9</v>
      </c>
      <c r="I224" s="26" t="n">
        <f aca="false">IFERROR(INDEX('Input Statistiche 2025_26'!$F$3:$F$665,MATCH($A224,'Input Statistiche 2025_26'!$A$3:$A$665,0)),"")</f>
        <v>30</v>
      </c>
      <c r="J224" s="26" t="n">
        <f aca="false">IFERROR(IF($I224="","",MAX(0,38-$I224)),"")</f>
        <v>8</v>
      </c>
      <c r="K224" s="26" t="n">
        <f aca="false">IFERROR(INDEX('Input Statistiche 2025_26'!$I$3:$I$665,MATCH($A224,'Input Statistiche 2025_26'!$A$3:$A$665,0)),"")</f>
        <v>1</v>
      </c>
      <c r="L224" s="26" t="n">
        <f aca="false">IFERROR(INDEX('Input Statistiche 2025_26'!$O$3:$O$665,MATCH($A224,'Input Statistiche 2025_26'!$A$3:$A$665,0)),"")</f>
        <v>0</v>
      </c>
      <c r="M224" s="28"/>
      <c r="N224" s="27" t="n">
        <f aca="false">IFERROR(INDEX('Input Giocatori 2026_27'!$E$3:$E$493,MATCH($A224,'Input Giocatori 2026_27'!$A$3:$A$493,0)),"")</f>
        <v>5</v>
      </c>
      <c r="O224" s="27" t="n">
        <f aca="false">IFERROR(INDEX('Input Giocatori 2026_27'!$G$3:$G$493,MATCH($A224,'Input Giocatori 2026_27'!$A$3:$A$493,0)),"")</f>
        <v>15</v>
      </c>
      <c r="P224" s="26" t="str">
        <f aca="false">IFERROR(IF($O224="","",IF((1-(COUNTIFS($B$2:$B$492,$B224,$O$2:$O$492,"&gt;"&amp;$O224)+1-1)/COUNTIF($B$2:$B$492,$B224))&gt;=0.85,"Top",IF((1-(COUNTIFS($B$2:$B$492,$B224,$O$2:$O$492,"&gt;"&amp;$O224)+1-1)/COUNTIF($B$2:$B$492,$B224))&gt;=0.6,"Buono",IF((1-(COUNTIFS($B$2:$B$492,$B224,$O$2:$O$492,"&gt;"&amp;$O224)+1-1)/COUNTIF($B$2:$B$492,$B224))&gt;=0.3,"Nella Media","Scommessa/Riserva")))),"")</f>
        <v>Nella Media</v>
      </c>
      <c r="Q224" s="29" t="n">
        <f aca="false">IF($D224="",COUNTIF($D$2:$D224,""),"")</f>
        <v>223</v>
      </c>
      <c r="R224" s="29" t="str">
        <f aca="false">IF($D224='Info Lega'!$B$28,COUNTIFS($D$2:$D224,'Info Lega'!$B$28),"")</f>
        <v/>
      </c>
      <c r="S224" s="30" t="n">
        <f aca="false">IFERROR(INDEX('Input Statistiche 2025_26'!$G$3:$G$665,MATCH($A224,'Input Statistiche 2025_26'!$A$3:$A$665,0)),"")</f>
        <v>5.88</v>
      </c>
      <c r="T224" s="30" t="n">
        <f aca="false">IFERROR(INDEX('Input Statistiche 2025_26'!$H$3:$H$665,MATCH($A224,'Input Statistiche 2025_26'!$A$3:$A$665,0)),"")</f>
        <v>5.95</v>
      </c>
      <c r="U224" s="26" t="str">
        <f aca="false">IF(OR('La Mia Rosa'!$O$12="",$D224&lt;&gt;""),"",IF($F224&lt;='La Mia Rosa'!$O$12*'Parametri Modello'!$B$24,"OK",IF($F224&lt;='La Mia Rosa'!$O$12*'Parametri Modello'!$B$25,"Attenzione","Rischio Alto")))</f>
        <v>OK</v>
      </c>
      <c r="V224" s="26" t="n">
        <f aca="false">IFERROR(COUNTIFS($B$2:$B$492,$B224,$O$2:$O$492,"&gt;"&amp;$O224)+1,"")</f>
        <v>83</v>
      </c>
      <c r="W224" s="21" t="n">
        <f aca="false">'Info Lega'!$B$4-SUMIFS($M$2:$M$492,$D$2:$D$492,'Info Lega'!$B$28)</f>
        <v>1000</v>
      </c>
      <c r="X224" s="21" t="n">
        <f aca="false">('Info Lega'!$B$5-COUNTIFS($D$2:$D$492,'Info Lega'!$B$28,$B$2:$B$492,"P"))+('Info Lega'!$B$6-COUNTIFS($D$2:$D$492,'Info Lega'!$B$28,$B$2:$B$492,"D"))+('Info Lega'!$B$7-COUNTIFS($D$2:$D$492,'Info Lega'!$B$28,$B$2:$B$492,"C"))+('Info Lega'!$B$8-COUNTIFS($D$2:$D$492,'Info Lega'!$B$28,$B$2:$B$492,"A"))</f>
        <v>25</v>
      </c>
      <c r="Y224" s="21" t="n">
        <f aca="false">X224*'Parametri Modello'!$B$30</f>
        <v>25</v>
      </c>
      <c r="Z224" s="21" t="n">
        <f aca="false">MAX(0,W224-Y224)</f>
        <v>975</v>
      </c>
      <c r="AA224" s="21" t="n">
        <f aca="false">MIN(F224,Z224)</f>
        <v>8</v>
      </c>
      <c r="AB224" s="21"/>
      <c r="AC224" s="21" t="str">
        <f aca="false">IF(AB224="","",IF(AB224&gt;AA224,"PASS",IF(AB224&lt;=AA224*0.85,"BID","ATTENZIONE")))</f>
        <v/>
      </c>
      <c r="AD224" s="31" t="n">
        <f aca="false">IF(I224="","",ROUND(100*(1-EXP(-I224/30)),0))</f>
        <v>63</v>
      </c>
      <c r="AE224" s="7" t="str">
        <f aca="false">IFERROR(INDEX('Stato Asta'!$G$9:$G$12,MATCH($B224,'Stato Asta'!$A$9:$A$12,0)),"")</f>
        <v>🟡 Attesa rischiosa</v>
      </c>
    </row>
    <row r="225" customFormat="false" ht="14.25" hidden="false" customHeight="true" outlineLevel="0" collapsed="false">
      <c r="A225" s="21" t="n">
        <v>6204</v>
      </c>
      <c r="B225" s="21" t="s">
        <v>46</v>
      </c>
      <c r="C225" s="21" t="s">
        <v>601</v>
      </c>
      <c r="E225" s="26" t="str">
        <f aca="false">IF(COUNTIF('Info Strategia'!$D$2:$D$51,$C225)&gt;0,"SI","NO")</f>
        <v>NO</v>
      </c>
      <c r="F225" s="27" t="n">
        <f aca="false">IFERROR(ROUND(($G225+($H225-$G225)*'Info Strategia'!$B$6)*(1+IF($E225="SI",'Parametri Modello'!$B$7*'Info Strategia'!$B$6,0)),0),"")</f>
        <v>13</v>
      </c>
      <c r="G225" s="27" t="n">
        <f aca="false">IFERROR(ROUND((IF(OR(INDEX('Parametri Modello'!$C$39:$C$42,MATCH($B225,'Parametri Modello'!$A$39:$A$42,0))="",INDEX('Parametri Modello'!$C$39:$C$42,MATCH($B225,'Parametri Modello'!$A$39:$A$42,0))=0),0,($O225/INDEX('Parametri Modello'!$C$39:$C$42,MATCH($B225,'Parametri Modello'!$A$39:$A$42,0)))*(INDEX('Parametri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8</v>
      </c>
      <c r="H225" s="27" t="n">
        <f aca="false">IFERROR(ROUND((IF(OR(INDEX('Parametri Modello'!$C$39:$C$42,MATCH($B225,'Parametri Modello'!$A$39:$A$42,0))="",INDEX('Parametri Modello'!$C$39:$C$42,MATCH($B225,'Parametri Modello'!$A$39:$A$42,0))=0),0,($O225/INDEX('Parametri Modello'!$C$39:$C$42,MATCH($B225,'Parametri Modello'!$A$39:$A$42,0)))*(INDEX('Parametri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15</v>
      </c>
      <c r="I225" s="26" t="str">
        <f aca="false">IFERROR(INDEX('Input Statistiche 2025_26'!$F$3:$F$665,MATCH($A225,'Input Statistiche 2025_26'!$A$3:$A$665,0)),"")</f>
        <v/>
      </c>
      <c r="J225" s="26" t="str">
        <f aca="false">IFERROR(IF($I225="","",MAX(0,38-$I225)),"")</f>
        <v/>
      </c>
      <c r="K225" s="26" t="str">
        <f aca="false">IFERROR(INDEX('Input Statistiche 2025_26'!$I$3:$I$665,MATCH($A225,'Input Statistiche 2025_26'!$A$3:$A$665,0)),"")</f>
        <v/>
      </c>
      <c r="L225" s="26" t="str">
        <f aca="false">IFERROR(INDEX('Input Statistiche 2025_26'!$O$3:$O$665,MATCH($A225,'Input Statistiche 2025_26'!$A$3:$A$665,0)),"")</f>
        <v/>
      </c>
      <c r="M225" s="28"/>
      <c r="N225" s="27" t="n">
        <f aca="false">IFERROR(INDEX('Input Giocatori 2026_27'!$E$3:$E$493,MATCH($A225,'Input Giocatori 2026_27'!$A$3:$A$493,0)),"")</f>
        <v>4</v>
      </c>
      <c r="O225" s="27" t="n">
        <f aca="false">IFERROR(INDEX('Input Giocatori 2026_27'!$G$3:$G$493,MATCH($A225,'Input Giocatori 2026_27'!$A$3:$A$493,0)),"")</f>
        <v>15</v>
      </c>
      <c r="P225" s="26" t="str">
        <f aca="false">IFERROR(IF($O225="","",IF((1-(COUNTIFS($B$2:$B$492,$B225,$O$2:$O$492,"&gt;"&amp;$O225)+1-1)/COUNTIF($B$2:$B$492,$B225))&gt;=0.85,"Top",IF((1-(COUNTIFS($B$2:$B$492,$B225,$O$2:$O$492,"&gt;"&amp;$O225)+1-1)/COUNTIF($B$2:$B$492,$B225))&gt;=0.6,"Buono",IF((1-(COUNTIFS($B$2:$B$492,$B225,$O$2:$O$492,"&gt;"&amp;$O225)+1-1)/COUNTIF($B$2:$B$492,$B225))&gt;=0.3,"Nella Media","Scommessa/Riserva")))),"")</f>
        <v>Nella Media</v>
      </c>
      <c r="Q225" s="29" t="n">
        <f aca="false">IF($D225="",COUNTIF($D$2:$D225,""),"")</f>
        <v>224</v>
      </c>
      <c r="R225" s="29" t="str">
        <f aca="false">IF($D225='Info Lega'!$B$28,COUNTIFS($D$2:$D225,'Info Lega'!$B$28),"")</f>
        <v/>
      </c>
      <c r="S225" s="30" t="str">
        <f aca="false">IFERROR(INDEX('Input Statistiche 2025_26'!$G$3:$G$665,MATCH($A225,'Input Statistiche 2025_26'!$A$3:$A$665,0)),"")</f>
        <v/>
      </c>
      <c r="T225" s="30" t="str">
        <f aca="false">IFERROR(INDEX('Input Statistiche 2025_26'!$H$3:$H$665,MATCH($A225,'Input Statistiche 2025_26'!$A$3:$A$665,0)),"")</f>
        <v/>
      </c>
      <c r="U225" s="26" t="str">
        <f aca="false">IF(OR('La Mia Rosa'!$O$12="",$D225&lt;&gt;""),"",IF($F225&lt;='La Mia Rosa'!$O$12*'Parametri Modello'!$B$24,"OK",IF($F225&lt;='La Mia Rosa'!$O$12*'Parametri Modello'!$B$25,"Attenzione","Rischio Alto")))</f>
        <v>OK</v>
      </c>
      <c r="V225" s="26" t="n">
        <f aca="false">IFERROR(COUNTIFS($B$2:$B$492,$B225,$O$2:$O$492,"&gt;"&amp;$O225)+1,"")</f>
        <v>57</v>
      </c>
      <c r="W225" s="21" t="n">
        <f aca="false">'Info Lega'!$B$4-SUMIFS($M$2:$M$492,$D$2:$D$492,'Info Lega'!$B$28)</f>
        <v>1000</v>
      </c>
      <c r="X225" s="21" t="n">
        <f aca="false">('Info Lega'!$B$5-COUNTIFS($D$2:$D$492,'Info Lega'!$B$28,$B$2:$B$492,"P"))+('Info Lega'!$B$6-COUNTIFS($D$2:$D$492,'Info Lega'!$B$28,$B$2:$B$492,"D"))+('Info Lega'!$B$7-COUNTIFS($D$2:$D$492,'Info Lega'!$B$28,$B$2:$B$492,"C"))+('Info Lega'!$B$8-COUNTIFS($D$2:$D$492,'Info Lega'!$B$28,$B$2:$B$492,"A"))</f>
        <v>25</v>
      </c>
      <c r="Y225" s="21" t="n">
        <f aca="false">X225*'Parametri Modello'!$B$30</f>
        <v>25</v>
      </c>
      <c r="Z225" s="21" t="n">
        <f aca="false">MAX(0,W225-Y225)</f>
        <v>975</v>
      </c>
      <c r="AA225" s="21" t="n">
        <f aca="false">MIN(F225,Z225)</f>
        <v>13</v>
      </c>
      <c r="AB225" s="21"/>
      <c r="AC225" s="21" t="str">
        <f aca="false">IF(AB225="","",IF(AB225&gt;AA225,"PASS",IF(AB225&lt;=AA225*0.85,"BID","ATTENZIONE")))</f>
        <v/>
      </c>
      <c r="AD225" s="31" t="str">
        <f aca="false">IF(I225="","",ROUND(100*(1-EXP(-I225/30)),0))</f>
        <v/>
      </c>
      <c r="AE225" s="7" t="str">
        <f aca="false">IFERROR(INDEX('Stato Asta'!$G$9:$G$12,MATCH($B225,'Stato Asta'!$A$9:$A$12,0)),"")</f>
        <v>🔴 Non aspettare</v>
      </c>
    </row>
    <row r="226" customFormat="false" ht="14.25" hidden="false" customHeight="true" outlineLevel="0" collapsed="false">
      <c r="A226" s="21" t="n">
        <v>6248</v>
      </c>
      <c r="B226" s="21" t="s">
        <v>43</v>
      </c>
      <c r="C226" s="21" t="s">
        <v>146</v>
      </c>
      <c r="E226" s="26" t="str">
        <f aca="false">IF(COUNTIF('Info Strategia'!$D$2:$D$51,$C226)&gt;0,"SI","NO")</f>
        <v>NO</v>
      </c>
      <c r="F226" s="27" t="n">
        <f aca="false">IFERROR(ROUND(($G226+($H226-$G226)*'Info Strategia'!$B$6)*(1+IF($E226="SI",'Parametri Modello'!$B$7*'Info Strategia'!$B$6,0)),0),"")</f>
        <v>16</v>
      </c>
      <c r="G226" s="27" t="n">
        <f aca="false">IFERROR(ROUND((IF(OR(INDEX('Parametri Modello'!$C$39:$C$42,MATCH($B226,'Parametri Modello'!$A$39:$A$42,0))="",INDEX('Parametri Modello'!$C$39:$C$42,MATCH($B226,'Parametri Modello'!$A$39:$A$42,0))=0),0,($O226/INDEX('Parametri Modello'!$C$39:$C$42,MATCH($B226,'Parametri Modello'!$A$39:$A$42,0)))*(INDEX('Parametri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13</v>
      </c>
      <c r="H226" s="27" t="n">
        <f aca="false">IFERROR(ROUND((IF(OR(INDEX('Parametri Modello'!$C$39:$C$42,MATCH($B226,'Parametri Modello'!$A$39:$A$42,0))="",INDEX('Parametri Modello'!$C$39:$C$42,MATCH($B226,'Parametri Modello'!$A$39:$A$42,0))=0),0,($O226/INDEX('Parametri Modello'!$C$39:$C$42,MATCH($B226,'Parametri Modello'!$A$39:$A$42,0)))*(INDEX('Parametri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17</v>
      </c>
      <c r="I226" s="26" t="str">
        <f aca="false">IFERROR(INDEX('Input Statistiche 2025_26'!$F$3:$F$665,MATCH($A226,'Input Statistiche 2025_26'!$A$3:$A$665,0)),"")</f>
        <v/>
      </c>
      <c r="J226" s="26" t="str">
        <f aca="false">IFERROR(IF($I226="","",MAX(0,38-$I226)),"")</f>
        <v/>
      </c>
      <c r="K226" s="26" t="str">
        <f aca="false">IFERROR(INDEX('Input Statistiche 2025_26'!$I$3:$I$665,MATCH($A226,'Input Statistiche 2025_26'!$A$3:$A$665,0)),"")</f>
        <v/>
      </c>
      <c r="L226" s="26" t="str">
        <f aca="false">IFERROR(INDEX('Input Statistiche 2025_26'!$O$3:$O$665,MATCH($A226,'Input Statistiche 2025_26'!$A$3:$A$665,0)),"")</f>
        <v/>
      </c>
      <c r="M226" s="28"/>
      <c r="N226" s="27" t="n">
        <f aca="false">IFERROR(INDEX('Input Giocatori 2026_27'!$E$3:$E$493,MATCH($A226,'Input Giocatori 2026_27'!$A$3:$A$493,0)),"")</f>
        <v>6</v>
      </c>
      <c r="O226" s="27" t="n">
        <f aca="false">IFERROR(INDEX('Input Giocatori 2026_27'!$G$3:$G$493,MATCH($A226,'Input Giocatori 2026_27'!$A$3:$A$493,0)),"")</f>
        <v>14</v>
      </c>
      <c r="P226" s="26" t="str">
        <f aca="false">IFERROR(IF($O226="","",IF((1-(COUNTIFS($B$2:$B$492,$B226,$O$2:$O$492,"&gt;"&amp;$O226)+1-1)/COUNTIF($B$2:$B$492,$B226))&gt;=0.85,"Top",IF((1-(COUNTIFS($B$2:$B$492,$B226,$O$2:$O$492,"&gt;"&amp;$O226)+1-1)/COUNTIF($B$2:$B$492,$B226))&gt;=0.6,"Buono",IF((1-(COUNTIFS($B$2:$B$492,$B226,$O$2:$O$492,"&gt;"&amp;$O226)+1-1)/COUNTIF($B$2:$B$492,$B226))&gt;=0.3,"Nella Media","Scommessa/Riserva")))),"")</f>
        <v>Buono</v>
      </c>
      <c r="Q226" s="29" t="n">
        <f aca="false">IF($D226="",COUNTIF($D$2:$D226,""),"")</f>
        <v>225</v>
      </c>
      <c r="R226" s="29" t="str">
        <f aca="false">IF($D226='Info Lega'!$B$28,COUNTIFS($D$2:$D226,'Info Lega'!$B$28),"")</f>
        <v/>
      </c>
      <c r="S226" s="30" t="str">
        <f aca="false">IFERROR(INDEX('Input Statistiche 2025_26'!$G$3:$G$665,MATCH($A226,'Input Statistiche 2025_26'!$A$3:$A$665,0)),"")</f>
        <v/>
      </c>
      <c r="T226" s="30" t="str">
        <f aca="false">IFERROR(INDEX('Input Statistiche 2025_26'!$H$3:$H$665,MATCH($A226,'Input Statistiche 2025_26'!$A$3:$A$665,0)),"")</f>
        <v/>
      </c>
      <c r="U226" s="26" t="str">
        <f aca="false">IF(OR('La Mia Rosa'!$O$12="",$D226&lt;&gt;""),"",IF($F226&lt;='La Mia Rosa'!$O$12*'Parametri Modello'!$B$24,"OK",IF($F226&lt;='La Mia Rosa'!$O$12*'Parametri Modello'!$B$25,"Attenzione","Rischio Alto")))</f>
        <v>OK</v>
      </c>
      <c r="V226" s="26" t="n">
        <f aca="false">IFERROR(COUNTIFS($B$2:$B$492,$B226,$O$2:$O$492,"&gt;"&amp;$O226)+1,"")</f>
        <v>17</v>
      </c>
      <c r="W226" s="21" t="n">
        <f aca="false">'Info Lega'!$B$4-SUMIFS($M$2:$M$492,$D$2:$D$492,'Info Lega'!$B$28)</f>
        <v>1000</v>
      </c>
      <c r="X226" s="21" t="n">
        <f aca="false">('Info Lega'!$B$5-COUNTIFS($D$2:$D$492,'Info Lega'!$B$28,$B$2:$B$492,"P"))+('Info Lega'!$B$6-COUNTIFS($D$2:$D$492,'Info Lega'!$B$28,$B$2:$B$492,"D"))+('Info Lega'!$B$7-COUNTIFS($D$2:$D$492,'Info Lega'!$B$28,$B$2:$B$492,"C"))+('Info Lega'!$B$8-COUNTIFS($D$2:$D$492,'Info Lega'!$B$28,$B$2:$B$492,"A"))</f>
        <v>25</v>
      </c>
      <c r="Y226" s="21" t="n">
        <f aca="false">X226*'Parametri Modello'!$B$30</f>
        <v>25</v>
      </c>
      <c r="Z226" s="21" t="n">
        <f aca="false">MAX(0,W226-Y226)</f>
        <v>975</v>
      </c>
      <c r="AA226" s="21" t="n">
        <f aca="false">MIN(F226,Z226)</f>
        <v>16</v>
      </c>
      <c r="AB226" s="21"/>
      <c r="AC226" s="21" t="str">
        <f aca="false">IF(AB226="","",IF(AB226&gt;AA226,"PASS",IF(AB226&lt;=AA226*0.85,"BID","ATTENZIONE")))</f>
        <v/>
      </c>
      <c r="AD226" s="31" t="str">
        <f aca="false">IF(I226="","",ROUND(100*(1-EXP(-I226/30)),0))</f>
        <v/>
      </c>
      <c r="AE226" s="7" t="str">
        <f aca="false">IFERROR(INDEX('Stato Asta'!$G$9:$G$12,MATCH($B226,'Stato Asta'!$A$9:$A$12,0)),"")</f>
        <v>🟡 Attesa rischiosa</v>
      </c>
    </row>
    <row r="227" customFormat="false" ht="14.25" hidden="false" customHeight="true" outlineLevel="0" collapsed="false">
      <c r="A227" s="21" t="n">
        <v>5701</v>
      </c>
      <c r="B227" s="21" t="s">
        <v>44</v>
      </c>
      <c r="C227" s="21" t="s">
        <v>229</v>
      </c>
      <c r="E227" s="26" t="str">
        <f aca="false">IF(COUNTIF('Info Strategia'!$D$2:$D$51,$C227)&gt;0,"SI","NO")</f>
        <v>NO</v>
      </c>
      <c r="F227" s="27" t="n">
        <f aca="false">IFERROR(ROUND(($G227+($H227-$G227)*'Info Strategia'!$B$6)*(1+IF($E227="SI",'Parametri Modello'!$B$7*'Info Strategia'!$B$6,0)),0),"")</f>
        <v>6</v>
      </c>
      <c r="G227" s="27" t="n">
        <f aca="false">IFERROR(ROUND((IF(OR(INDEX('Parametri Modello'!$C$39:$C$42,MATCH($B227,'Parametri Modello'!$A$39:$A$42,0))="",INDEX('Parametri Modello'!$C$39:$C$42,MATCH($B227,'Parametri Modello'!$A$39:$A$42,0))=0),0,($O227/INDEX('Parametri Modello'!$C$39:$C$42,MATCH($B227,'Parametri Modello'!$A$39:$A$42,0)))*(INDEX('Parametri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5</v>
      </c>
      <c r="H227" s="27" t="n">
        <f aca="false">IFERROR(ROUND((IF(OR(INDEX('Parametri Modello'!$C$39:$C$42,MATCH($B227,'Parametri Modello'!$A$39:$A$42,0))="",INDEX('Parametri Modello'!$C$39:$C$42,MATCH($B227,'Parametri Modello'!$A$39:$A$42,0))=0),0,($O227/INDEX('Parametri Modello'!$C$39:$C$42,MATCH($B227,'Parametri Modello'!$A$39:$A$42,0)))*(INDEX('Parametri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7</v>
      </c>
      <c r="I227" s="26" t="n">
        <f aca="false">IFERROR(INDEX('Input Statistiche 2025_26'!$F$3:$F$665,MATCH($A227,'Input Statistiche 2025_26'!$A$3:$A$665,0)),"")</f>
        <v>34</v>
      </c>
      <c r="J227" s="26" t="n">
        <f aca="false">IFERROR(IF($I227="","",MAX(0,38-$I227)),"")</f>
        <v>4</v>
      </c>
      <c r="K227" s="26" t="n">
        <f aca="false">IFERROR(INDEX('Input Statistiche 2025_26'!$I$3:$I$665,MATCH($A227,'Input Statistiche 2025_26'!$A$3:$A$665,0)),"")</f>
        <v>0</v>
      </c>
      <c r="L227" s="26" t="n">
        <f aca="false">IFERROR(INDEX('Input Statistiche 2025_26'!$O$3:$O$665,MATCH($A227,'Input Statistiche 2025_26'!$A$3:$A$665,0)),"")</f>
        <v>3</v>
      </c>
      <c r="M227" s="28"/>
      <c r="N227" s="27" t="n">
        <f aca="false">IFERROR(INDEX('Input Giocatori 2026_27'!$E$3:$E$493,MATCH($A227,'Input Giocatori 2026_27'!$A$3:$A$493,0)),"")</f>
        <v>7</v>
      </c>
      <c r="O227" s="27" t="n">
        <f aca="false">IFERROR(INDEX('Input Giocatori 2026_27'!$G$3:$G$493,MATCH($A227,'Input Giocatori 2026_27'!$A$3:$A$493,0)),"")</f>
        <v>14</v>
      </c>
      <c r="P227" s="26" t="str">
        <f aca="false">IFERROR(IF($O227="","",IF((1-(COUNTIFS($B$2:$B$492,$B227,$O$2:$O$492,"&gt;"&amp;$O227)+1-1)/COUNTIF($B$2:$B$492,$B227))&gt;=0.85,"Top",IF((1-(COUNTIFS($B$2:$B$492,$B227,$O$2:$O$492,"&gt;"&amp;$O227)+1-1)/COUNTIF($B$2:$B$492,$B227))&gt;=0.6,"Buono",IF((1-(COUNTIFS($B$2:$B$492,$B227,$O$2:$O$492,"&gt;"&amp;$O227)+1-1)/COUNTIF($B$2:$B$492,$B227))&gt;=0.3,"Nella Media","Scommessa/Riserva")))),"")</f>
        <v>Buono</v>
      </c>
      <c r="Q227" s="29" t="n">
        <f aca="false">IF($D227="",COUNTIF($D$2:$D227,""),"")</f>
        <v>226</v>
      </c>
      <c r="R227" s="29" t="str">
        <f aca="false">IF($D227='Info Lega'!$B$28,COUNTIFS($D$2:$D227,'Info Lega'!$B$28),"")</f>
        <v/>
      </c>
      <c r="S227" s="30" t="n">
        <f aca="false">IFERROR(INDEX('Input Statistiche 2025_26'!$G$3:$G$665,MATCH($A227,'Input Statistiche 2025_26'!$A$3:$A$665,0)),"")</f>
        <v>5.88</v>
      </c>
      <c r="T227" s="30" t="n">
        <f aca="false">IFERROR(INDEX('Input Statistiche 2025_26'!$H$3:$H$665,MATCH($A227,'Input Statistiche 2025_26'!$A$3:$A$665,0)),"")</f>
        <v>5.82</v>
      </c>
      <c r="U227" s="26" t="str">
        <f aca="false">IF(OR('La Mia Rosa'!$O$12="",$D227&lt;&gt;""),"",IF($F227&lt;='La Mia Rosa'!$O$12*'Parametri Modello'!$B$24,"OK",IF($F227&lt;='La Mia Rosa'!$O$12*'Parametri Modello'!$B$25,"Attenzione","Rischio Alto")))</f>
        <v>OK</v>
      </c>
      <c r="V227" s="26" t="n">
        <f aca="false">IFERROR(COUNTIFS($B$2:$B$492,$B227,$O$2:$O$492,"&gt;"&amp;$O227)+1,"")</f>
        <v>67</v>
      </c>
      <c r="W227" s="21" t="n">
        <f aca="false">'Info Lega'!$B$4-SUMIFS($M$2:$M$492,$D$2:$D$492,'Info Lega'!$B$28)</f>
        <v>1000</v>
      </c>
      <c r="X227" s="21" t="n">
        <f aca="false">('Info Lega'!$B$5-COUNTIFS($D$2:$D$492,'Info Lega'!$B$28,$B$2:$B$492,"P"))+('Info Lega'!$B$6-COUNTIFS($D$2:$D$492,'Info Lega'!$B$28,$B$2:$B$492,"D"))+('Info Lega'!$B$7-COUNTIFS($D$2:$D$492,'Info Lega'!$B$28,$B$2:$B$492,"C"))+('Info Lega'!$B$8-COUNTIFS($D$2:$D$492,'Info Lega'!$B$28,$B$2:$B$492,"A"))</f>
        <v>25</v>
      </c>
      <c r="Y227" s="21" t="n">
        <f aca="false">X227*'Parametri Modello'!$B$30</f>
        <v>25</v>
      </c>
      <c r="Z227" s="21" t="n">
        <f aca="false">MAX(0,W227-Y227)</f>
        <v>975</v>
      </c>
      <c r="AA227" s="21" t="n">
        <f aca="false">MIN(F227,Z227)</f>
        <v>6</v>
      </c>
      <c r="AB227" s="21"/>
      <c r="AC227" s="21" t="str">
        <f aca="false">IF(AB227="","",IF(AB227&gt;AA227,"PASS",IF(AB227&lt;=AA227*0.85,"BID","ATTENZIONE")))</f>
        <v/>
      </c>
      <c r="AD227" s="31" t="n">
        <f aca="false">IF(I227="","",ROUND(100*(1-EXP(-I227/30)),0))</f>
        <v>68</v>
      </c>
      <c r="AE227" s="7" t="str">
        <f aca="false">IFERROR(INDEX('Stato Asta'!$G$9:$G$12,MATCH($B227,'Stato Asta'!$A$9:$A$12,0)),"")</f>
        <v>🟡 Attesa rischiosa</v>
      </c>
    </row>
    <row r="228" customFormat="false" ht="14.25" hidden="false" customHeight="true" outlineLevel="0" collapsed="false">
      <c r="A228" s="21" t="n">
        <v>4952</v>
      </c>
      <c r="B228" s="21" t="s">
        <v>44</v>
      </c>
      <c r="C228" s="21" t="s">
        <v>250</v>
      </c>
      <c r="E228" s="26" t="str">
        <f aca="false">IF(COUNTIF('Info Strategia'!$D$2:$D$51,$C228)&gt;0,"SI","NO")</f>
        <v>NO</v>
      </c>
      <c r="F228" s="27" t="n">
        <f aca="false">IFERROR(ROUND(($G228+($H228-$G228)*'Info Strategia'!$B$6)*(1+IF($E228="SI",'Parametri Modello'!$B$7*'Info Strategia'!$B$6,0)),0),"")</f>
        <v>6</v>
      </c>
      <c r="G228" s="27" t="n">
        <f aca="false">IFERROR(ROUND((IF(OR(INDEX('Parametri Modello'!$C$39:$C$42,MATCH($B228,'Parametri Modello'!$A$39:$A$42,0))="",INDEX('Parametri Modello'!$C$39:$C$42,MATCH($B228,'Parametri Modello'!$A$39:$A$42,0))=0),0,($O228/INDEX('Parametri Modello'!$C$39:$C$42,MATCH($B228,'Parametri Modello'!$A$39:$A$42,0)))*(INDEX('Parametri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5</v>
      </c>
      <c r="H228" s="27" t="n">
        <f aca="false">IFERROR(ROUND((IF(OR(INDEX('Parametri Modello'!$C$39:$C$42,MATCH($B228,'Parametri Modello'!$A$39:$A$42,0))="",INDEX('Parametri Modello'!$C$39:$C$42,MATCH($B228,'Parametri Modello'!$A$39:$A$42,0))=0),0,($O228/INDEX('Parametri Modello'!$C$39:$C$42,MATCH($B228,'Parametri Modello'!$A$39:$A$42,0)))*(INDEX('Parametri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7</v>
      </c>
      <c r="I228" s="26" t="str">
        <f aca="false">IFERROR(INDEX('Input Statistiche 2025_26'!$F$3:$F$665,MATCH($A228,'Input Statistiche 2025_26'!$A$3:$A$665,0)),"")</f>
        <v/>
      </c>
      <c r="J228" s="26" t="str">
        <f aca="false">IFERROR(IF($I228="","",MAX(0,38-$I228)),"")</f>
        <v/>
      </c>
      <c r="K228" s="26" t="str">
        <f aca="false">IFERROR(INDEX('Input Statistiche 2025_26'!$I$3:$I$665,MATCH($A228,'Input Statistiche 2025_26'!$A$3:$A$665,0)),"")</f>
        <v/>
      </c>
      <c r="L228" s="26" t="str">
        <f aca="false">IFERROR(INDEX('Input Statistiche 2025_26'!$O$3:$O$665,MATCH($A228,'Input Statistiche 2025_26'!$A$3:$A$665,0)),"")</f>
        <v/>
      </c>
      <c r="M228" s="28"/>
      <c r="N228" s="27" t="n">
        <f aca="false">IFERROR(INDEX('Input Giocatori 2026_27'!$E$3:$E$493,MATCH($A228,'Input Giocatori 2026_27'!$A$3:$A$493,0)),"")</f>
        <v>6</v>
      </c>
      <c r="O228" s="27" t="n">
        <f aca="false">IFERROR(INDEX('Input Giocatori 2026_27'!$G$3:$G$493,MATCH($A228,'Input Giocatori 2026_27'!$A$3:$A$493,0)),"")</f>
        <v>14</v>
      </c>
      <c r="P228" s="26" t="str">
        <f aca="false">IFERROR(IF($O228="","",IF((1-(COUNTIFS($B$2:$B$492,$B228,$O$2:$O$492,"&gt;"&amp;$O228)+1-1)/COUNTIF($B$2:$B$492,$B228))&gt;=0.85,"Top",IF((1-(COUNTIFS($B$2:$B$492,$B228,$O$2:$O$492,"&gt;"&amp;$O228)+1-1)/COUNTIF($B$2:$B$492,$B228))&gt;=0.6,"Buono",IF((1-(COUNTIFS($B$2:$B$492,$B228,$O$2:$O$492,"&gt;"&amp;$O228)+1-1)/COUNTIF($B$2:$B$492,$B228))&gt;=0.3,"Nella Media","Scommessa/Riserva")))),"")</f>
        <v>Buono</v>
      </c>
      <c r="Q228" s="29" t="n">
        <f aca="false">IF($D228="",COUNTIF($D$2:$D228,""),"")</f>
        <v>227</v>
      </c>
      <c r="R228" s="29" t="str">
        <f aca="false">IF($D228='Info Lega'!$B$28,COUNTIFS($D$2:$D228,'Info Lega'!$B$28),"")</f>
        <v/>
      </c>
      <c r="S228" s="30" t="str">
        <f aca="false">IFERROR(INDEX('Input Statistiche 2025_26'!$G$3:$G$665,MATCH($A228,'Input Statistiche 2025_26'!$A$3:$A$665,0)),"")</f>
        <v/>
      </c>
      <c r="T228" s="30" t="str">
        <f aca="false">IFERROR(INDEX('Input Statistiche 2025_26'!$H$3:$H$665,MATCH($A228,'Input Statistiche 2025_26'!$A$3:$A$665,0)),"")</f>
        <v/>
      </c>
      <c r="U228" s="26" t="str">
        <f aca="false">IF(OR('La Mia Rosa'!$O$12="",$D228&lt;&gt;""),"",IF($F228&lt;='La Mia Rosa'!$O$12*'Parametri Modello'!$B$24,"OK",IF($F228&lt;='La Mia Rosa'!$O$12*'Parametri Modello'!$B$25,"Attenzione","Rischio Alto")))</f>
        <v>OK</v>
      </c>
      <c r="V228" s="26" t="n">
        <f aca="false">IFERROR(COUNTIFS($B$2:$B$492,$B228,$O$2:$O$492,"&gt;"&amp;$O228)+1,"")</f>
        <v>67</v>
      </c>
      <c r="W228" s="21" t="n">
        <f aca="false">'Info Lega'!$B$4-SUMIFS($M$2:$M$492,$D$2:$D$492,'Info Lega'!$B$28)</f>
        <v>1000</v>
      </c>
      <c r="X228" s="21" t="n">
        <f aca="false">('Info Lega'!$B$5-COUNTIFS($D$2:$D$492,'Info Lega'!$B$28,$B$2:$B$492,"P"))+('Info Lega'!$B$6-COUNTIFS($D$2:$D$492,'Info Lega'!$B$28,$B$2:$B$492,"D"))+('Info Lega'!$B$7-COUNTIFS($D$2:$D$492,'Info Lega'!$B$28,$B$2:$B$492,"C"))+('Info Lega'!$B$8-COUNTIFS($D$2:$D$492,'Info Lega'!$B$28,$B$2:$B$492,"A"))</f>
        <v>25</v>
      </c>
      <c r="Y228" s="21" t="n">
        <f aca="false">X228*'Parametri Modello'!$B$30</f>
        <v>25</v>
      </c>
      <c r="Z228" s="21" t="n">
        <f aca="false">MAX(0,W228-Y228)</f>
        <v>975</v>
      </c>
      <c r="AA228" s="21" t="n">
        <f aca="false">MIN(F228,Z228)</f>
        <v>6</v>
      </c>
      <c r="AB228" s="21"/>
      <c r="AC228" s="21" t="str">
        <f aca="false">IF(AB228="","",IF(AB228&gt;AA228,"PASS",IF(AB228&lt;=AA228*0.85,"BID","ATTENZIONE")))</f>
        <v/>
      </c>
      <c r="AD228" s="31" t="str">
        <f aca="false">IF(I228="","",ROUND(100*(1-EXP(-I228/30)),0))</f>
        <v/>
      </c>
      <c r="AE228" s="7" t="str">
        <f aca="false">IFERROR(INDEX('Stato Asta'!$G$9:$G$12,MATCH($B228,'Stato Asta'!$A$9:$A$12,0)),"")</f>
        <v>🟡 Attesa rischiosa</v>
      </c>
    </row>
    <row r="229" customFormat="false" ht="14.25" hidden="false" customHeight="true" outlineLevel="0" collapsed="false">
      <c r="A229" s="21" t="n">
        <v>5298</v>
      </c>
      <c r="B229" s="21" t="s">
        <v>45</v>
      </c>
      <c r="C229" s="21" t="s">
        <v>430</v>
      </c>
      <c r="E229" s="26" t="str">
        <f aca="false">IF(COUNTIF('Info Strategia'!$D$2:$D$51,$C229)&gt;0,"SI","NO")</f>
        <v>NO</v>
      </c>
      <c r="F229" s="27" t="n">
        <f aca="false">IFERROR(ROUND(($G229+($H229-$G229)*'Info Strategia'!$B$6)*(1+IF($E229="SI",'Parametri Modello'!$B$7*'Info Strategia'!$B$6,0)),0),"")</f>
        <v>8</v>
      </c>
      <c r="G229" s="27" t="n">
        <f aca="false">IFERROR(ROUND((IF(OR(INDEX('Parametri Modello'!$C$39:$C$42,MATCH($B229,'Parametri Modello'!$A$39:$A$42,0))="",INDEX('Parametri Modello'!$C$39:$C$42,MATCH($B229,'Parametri Modello'!$A$39:$A$42,0))=0),0,($O229/INDEX('Parametri Modello'!$C$39:$C$42,MATCH($B229,'Parametri Modello'!$A$39:$A$42,0)))*(INDEX('Parametri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5</v>
      </c>
      <c r="H229" s="27" t="n">
        <f aca="false">IFERROR(ROUND((IF(OR(INDEX('Parametri Modello'!$C$39:$C$42,MATCH($B229,'Parametri Modello'!$A$39:$A$42,0))="",INDEX('Parametri Modello'!$C$39:$C$42,MATCH($B229,'Parametri Modello'!$A$39:$A$42,0))=0),0,($O229/INDEX('Parametri Modello'!$C$39:$C$42,MATCH($B229,'Parametri Modello'!$A$39:$A$42,0)))*(INDEX('Parametri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9</v>
      </c>
      <c r="I229" s="26" t="n">
        <f aca="false">IFERROR(INDEX('Input Statistiche 2025_26'!$F$3:$F$665,MATCH($A229,'Input Statistiche 2025_26'!$A$3:$A$665,0)),"")</f>
        <v>23</v>
      </c>
      <c r="J229" s="26" t="n">
        <f aca="false">IFERROR(IF($I229="","",MAX(0,38-$I229)),"")</f>
        <v>15</v>
      </c>
      <c r="K229" s="26" t="n">
        <f aca="false">IFERROR(INDEX('Input Statistiche 2025_26'!$I$3:$I$665,MATCH($A229,'Input Statistiche 2025_26'!$A$3:$A$665,0)),"")</f>
        <v>3</v>
      </c>
      <c r="L229" s="26" t="n">
        <f aca="false">IFERROR(INDEX('Input Statistiche 2025_26'!$O$3:$O$665,MATCH($A229,'Input Statistiche 2025_26'!$A$3:$A$665,0)),"")</f>
        <v>1</v>
      </c>
      <c r="M229" s="28"/>
      <c r="N229" s="27" t="n">
        <f aca="false">IFERROR(INDEX('Input Giocatori 2026_27'!$E$3:$E$493,MATCH($A229,'Input Giocatori 2026_27'!$A$3:$A$493,0)),"")</f>
        <v>6</v>
      </c>
      <c r="O229" s="27" t="n">
        <f aca="false">IFERROR(INDEX('Input Giocatori 2026_27'!$G$3:$G$493,MATCH($A229,'Input Giocatori 2026_27'!$A$3:$A$493,0)),"")</f>
        <v>14</v>
      </c>
      <c r="P229" s="26" t="str">
        <f aca="false">IFERROR(IF($O229="","",IF((1-(COUNTIFS($B$2:$B$492,$B229,$O$2:$O$492,"&gt;"&amp;$O229)+1-1)/COUNTIF($B$2:$B$492,$B229))&gt;=0.85,"Top",IF((1-(COUNTIFS($B$2:$B$492,$B229,$O$2:$O$492,"&gt;"&amp;$O229)+1-1)/COUNTIF($B$2:$B$492,$B229))&gt;=0.6,"Buono",IF((1-(COUNTIFS($B$2:$B$492,$B229,$O$2:$O$492,"&gt;"&amp;$O229)+1-1)/COUNTIF($B$2:$B$492,$B229))&gt;=0.3,"Nella Media","Scommessa/Riserva")))),"")</f>
        <v>Nella Media</v>
      </c>
      <c r="Q229" s="29" t="n">
        <f aca="false">IF($D229="",COUNTIF($D$2:$D229,""),"")</f>
        <v>228</v>
      </c>
      <c r="R229" s="29" t="str">
        <f aca="false">IF($D229='Info Lega'!$B$28,COUNTIFS($D$2:$D229,'Info Lega'!$B$28),"")</f>
        <v/>
      </c>
      <c r="S229" s="30" t="n">
        <f aca="false">IFERROR(INDEX('Input Statistiche 2025_26'!$G$3:$G$665,MATCH($A229,'Input Statistiche 2025_26'!$A$3:$A$665,0)),"")</f>
        <v>5.83</v>
      </c>
      <c r="T229" s="30" t="n">
        <f aca="false">IFERROR(INDEX('Input Statistiche 2025_26'!$H$3:$H$665,MATCH($A229,'Input Statistiche 2025_26'!$A$3:$A$665,0)),"")</f>
        <v>6.17</v>
      </c>
      <c r="U229" s="26" t="str">
        <f aca="false">IF(OR('La Mia Rosa'!$O$12="",$D229&lt;&gt;""),"",IF($F229&lt;='La Mia Rosa'!$O$12*'Parametri Modello'!$B$24,"OK",IF($F229&lt;='La Mia Rosa'!$O$12*'Parametri Modello'!$B$25,"Attenzione","Rischio Alto")))</f>
        <v>OK</v>
      </c>
      <c r="V229" s="26" t="n">
        <f aca="false">IFERROR(COUNTIFS($B$2:$B$492,$B229,$O$2:$O$492,"&gt;"&amp;$O229)+1,"")</f>
        <v>86</v>
      </c>
      <c r="W229" s="21" t="n">
        <f aca="false">'Info Lega'!$B$4-SUMIFS($M$2:$M$492,$D$2:$D$492,'Info Lega'!$B$28)</f>
        <v>1000</v>
      </c>
      <c r="X229" s="21" t="n">
        <f aca="false">('Info Lega'!$B$5-COUNTIFS($D$2:$D$492,'Info Lega'!$B$28,$B$2:$B$492,"P"))+('Info Lega'!$B$6-COUNTIFS($D$2:$D$492,'Info Lega'!$B$28,$B$2:$B$492,"D"))+('Info Lega'!$B$7-COUNTIFS($D$2:$D$492,'Info Lega'!$B$28,$B$2:$B$492,"C"))+('Info Lega'!$B$8-COUNTIFS($D$2:$D$492,'Info Lega'!$B$28,$B$2:$B$492,"A"))</f>
        <v>25</v>
      </c>
      <c r="Y229" s="21" t="n">
        <f aca="false">X229*'Parametri Modello'!$B$30</f>
        <v>25</v>
      </c>
      <c r="Z229" s="21" t="n">
        <f aca="false">MAX(0,W229-Y229)</f>
        <v>975</v>
      </c>
      <c r="AA229" s="21" t="n">
        <f aca="false">MIN(F229,Z229)</f>
        <v>8</v>
      </c>
      <c r="AB229" s="21"/>
      <c r="AC229" s="21" t="str">
        <f aca="false">IF(AB229="","",IF(AB229&gt;AA229,"PASS",IF(AB229&lt;=AA229*0.85,"BID","ATTENZIONE")))</f>
        <v/>
      </c>
      <c r="AD229" s="31" t="n">
        <f aca="false">IF(I229="","",ROUND(100*(1-EXP(-I229/30)),0))</f>
        <v>54</v>
      </c>
      <c r="AE229" s="7" t="str">
        <f aca="false">IFERROR(INDEX('Stato Asta'!$G$9:$G$12,MATCH($B229,'Stato Asta'!$A$9:$A$12,0)),"")</f>
        <v>🟡 Attesa rischiosa</v>
      </c>
    </row>
    <row r="230" customFormat="false" ht="14.25" hidden="false" customHeight="true" outlineLevel="0" collapsed="false">
      <c r="A230" s="21" t="n">
        <v>4260</v>
      </c>
      <c r="B230" s="21" t="s">
        <v>45</v>
      </c>
      <c r="C230" s="21" t="s">
        <v>432</v>
      </c>
      <c r="E230" s="26" t="str">
        <f aca="false">IF(COUNTIF('Info Strategia'!$D$2:$D$51,$C230)&gt;0,"SI","NO")</f>
        <v>NO</v>
      </c>
      <c r="F230" s="27" t="n">
        <f aca="false">IFERROR(ROUND(($G230+($H230-$G230)*'Info Strategia'!$B$6)*(1+IF($E230="SI",'Parametri Modello'!$B$7*'Info Strategia'!$B$6,0)),0),"")</f>
        <v>8</v>
      </c>
      <c r="G230" s="27" t="n">
        <f aca="false">IFERROR(ROUND((IF(OR(INDEX('Parametri Modello'!$C$39:$C$42,MATCH($B230,'Parametri Modello'!$A$39:$A$42,0))="",INDEX('Parametri Modello'!$C$39:$C$42,MATCH($B230,'Parametri Modello'!$A$39:$A$42,0))=0),0,($O230/INDEX('Parametri Modello'!$C$39:$C$42,MATCH($B230,'Parametri Modello'!$A$39:$A$42,0)))*(INDEX('Parametri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5</v>
      </c>
      <c r="H230" s="27" t="n">
        <f aca="false">IFERROR(ROUND((IF(OR(INDEX('Parametri Modello'!$C$39:$C$42,MATCH($B230,'Parametri Modello'!$A$39:$A$42,0))="",INDEX('Parametri Modello'!$C$39:$C$42,MATCH($B230,'Parametri Modello'!$A$39:$A$42,0))=0),0,($O230/INDEX('Parametri Modello'!$C$39:$C$42,MATCH($B230,'Parametri Modello'!$A$39:$A$42,0)))*(INDEX('Parametri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9</v>
      </c>
      <c r="I230" s="26" t="str">
        <f aca="false">IFERROR(INDEX('Input Statistiche 2025_26'!$F$3:$F$665,MATCH($A230,'Input Statistiche 2025_26'!$A$3:$A$665,0)),"")</f>
        <v/>
      </c>
      <c r="J230" s="26" t="str">
        <f aca="false">IFERROR(IF($I230="","",MAX(0,38-$I230)),"")</f>
        <v/>
      </c>
      <c r="K230" s="26" t="str">
        <f aca="false">IFERROR(INDEX('Input Statistiche 2025_26'!$I$3:$I$665,MATCH($A230,'Input Statistiche 2025_26'!$A$3:$A$665,0)),"")</f>
        <v/>
      </c>
      <c r="L230" s="26" t="str">
        <f aca="false">IFERROR(INDEX('Input Statistiche 2025_26'!$O$3:$O$665,MATCH($A230,'Input Statistiche 2025_26'!$A$3:$A$665,0)),"")</f>
        <v/>
      </c>
      <c r="M230" s="28"/>
      <c r="N230" s="27" t="n">
        <f aca="false">IFERROR(INDEX('Input Giocatori 2026_27'!$E$3:$E$493,MATCH($A230,'Input Giocatori 2026_27'!$A$3:$A$493,0)),"")</f>
        <v>6</v>
      </c>
      <c r="O230" s="27" t="n">
        <f aca="false">IFERROR(INDEX('Input Giocatori 2026_27'!$G$3:$G$493,MATCH($A230,'Input Giocatori 2026_27'!$A$3:$A$493,0)),"")</f>
        <v>14</v>
      </c>
      <c r="P230" s="26" t="str">
        <f aca="false">IFERROR(IF($O230="","",IF((1-(COUNTIFS($B$2:$B$492,$B230,$O$2:$O$492,"&gt;"&amp;$O230)+1-1)/COUNTIF($B$2:$B$492,$B230))&gt;=0.85,"Top",IF((1-(COUNTIFS($B$2:$B$492,$B230,$O$2:$O$492,"&gt;"&amp;$O230)+1-1)/COUNTIF($B$2:$B$492,$B230))&gt;=0.6,"Buono",IF((1-(COUNTIFS($B$2:$B$492,$B230,$O$2:$O$492,"&gt;"&amp;$O230)+1-1)/COUNTIF($B$2:$B$492,$B230))&gt;=0.3,"Nella Media","Scommessa/Riserva")))),"")</f>
        <v>Nella Media</v>
      </c>
      <c r="Q230" s="29" t="n">
        <f aca="false">IF($D230="",COUNTIF($D$2:$D230,""),"")</f>
        <v>229</v>
      </c>
      <c r="R230" s="29" t="str">
        <f aca="false">IF($D230='Info Lega'!$B$28,COUNTIFS($D$2:$D230,'Info Lega'!$B$28),"")</f>
        <v/>
      </c>
      <c r="S230" s="30" t="str">
        <f aca="false">IFERROR(INDEX('Input Statistiche 2025_26'!$G$3:$G$665,MATCH($A230,'Input Statistiche 2025_26'!$A$3:$A$665,0)),"")</f>
        <v/>
      </c>
      <c r="T230" s="30" t="str">
        <f aca="false">IFERROR(INDEX('Input Statistiche 2025_26'!$H$3:$H$665,MATCH($A230,'Input Statistiche 2025_26'!$A$3:$A$665,0)),"")</f>
        <v/>
      </c>
      <c r="U230" s="26" t="str">
        <f aca="false">IF(OR('La Mia Rosa'!$O$12="",$D230&lt;&gt;""),"",IF($F230&lt;='La Mia Rosa'!$O$12*'Parametri Modello'!$B$24,"OK",IF($F230&lt;='La Mia Rosa'!$O$12*'Parametri Modello'!$B$25,"Attenzione","Rischio Alto")))</f>
        <v>OK</v>
      </c>
      <c r="V230" s="26" t="n">
        <f aca="false">IFERROR(COUNTIFS($B$2:$B$492,$B230,$O$2:$O$492,"&gt;"&amp;$O230)+1,"")</f>
        <v>86</v>
      </c>
      <c r="W230" s="21" t="n">
        <f aca="false">'Info Lega'!$B$4-SUMIFS($M$2:$M$492,$D$2:$D$492,'Info Lega'!$B$28)</f>
        <v>1000</v>
      </c>
      <c r="X230" s="21" t="n">
        <f aca="false">('Info Lega'!$B$5-COUNTIFS($D$2:$D$492,'Info Lega'!$B$28,$B$2:$B$492,"P"))+('Info Lega'!$B$6-COUNTIFS($D$2:$D$492,'Info Lega'!$B$28,$B$2:$B$492,"D"))+('Info Lega'!$B$7-COUNTIFS($D$2:$D$492,'Info Lega'!$B$28,$B$2:$B$492,"C"))+('Info Lega'!$B$8-COUNTIFS($D$2:$D$492,'Info Lega'!$B$28,$B$2:$B$492,"A"))</f>
        <v>25</v>
      </c>
      <c r="Y230" s="21" t="n">
        <f aca="false">X230*'Parametri Modello'!$B$30</f>
        <v>25</v>
      </c>
      <c r="Z230" s="21" t="n">
        <f aca="false">MAX(0,W230-Y230)</f>
        <v>975</v>
      </c>
      <c r="AA230" s="21" t="n">
        <f aca="false">MIN(F230,Z230)</f>
        <v>8</v>
      </c>
      <c r="AB230" s="21"/>
      <c r="AC230" s="21" t="str">
        <f aca="false">IF(AB230="","",IF(AB230&gt;AA230,"PASS",IF(AB230&lt;=AA230*0.85,"BID","ATTENZIONE")))</f>
        <v/>
      </c>
      <c r="AD230" s="31" t="str">
        <f aca="false">IF(I230="","",ROUND(100*(1-EXP(-I230/30)),0))</f>
        <v/>
      </c>
      <c r="AE230" s="7" t="str">
        <f aca="false">IFERROR(INDEX('Stato Asta'!$G$9:$G$12,MATCH($B230,'Stato Asta'!$A$9:$A$12,0)),"")</f>
        <v>🟡 Attesa rischiosa</v>
      </c>
    </row>
    <row r="231" customFormat="false" ht="14.25" hidden="false" customHeight="true" outlineLevel="0" collapsed="false">
      <c r="A231" s="21" t="n">
        <v>5504</v>
      </c>
      <c r="B231" s="21" t="s">
        <v>45</v>
      </c>
      <c r="C231" s="21" t="s">
        <v>439</v>
      </c>
      <c r="E231" s="26" t="str">
        <f aca="false">IF(COUNTIF('Info Strategia'!$D$2:$D$51,$C231)&gt;0,"SI","NO")</f>
        <v>NO</v>
      </c>
      <c r="F231" s="27" t="n">
        <f aca="false">IFERROR(ROUND(($G231+($H231-$G231)*'Info Strategia'!$B$6)*(1+IF($E231="SI",'Parametri Modello'!$B$7*'Info Strategia'!$B$6,0)),0),"")</f>
        <v>8</v>
      </c>
      <c r="G231" s="27" t="n">
        <f aca="false">IFERROR(ROUND((IF(OR(INDEX('Parametri Modello'!$C$39:$C$42,MATCH($B231,'Parametri Modello'!$A$39:$A$42,0))="",INDEX('Parametri Modello'!$C$39:$C$42,MATCH($B231,'Parametri Modello'!$A$39:$A$42,0))=0),0,($O231/INDEX('Parametri Modello'!$C$39:$C$42,MATCH($B231,'Parametri Modello'!$A$39:$A$42,0)))*(INDEX('Parametri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5</v>
      </c>
      <c r="H231" s="27" t="n">
        <f aca="false">IFERROR(ROUND((IF(OR(INDEX('Parametri Modello'!$C$39:$C$42,MATCH($B231,'Parametri Modello'!$A$39:$A$42,0))="",INDEX('Parametri Modello'!$C$39:$C$42,MATCH($B231,'Parametri Modello'!$A$39:$A$42,0))=0),0,($O231/INDEX('Parametri Modello'!$C$39:$C$42,MATCH($B231,'Parametri Modello'!$A$39:$A$42,0)))*(INDEX('Parametri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9</v>
      </c>
      <c r="I231" s="26" t="n">
        <f aca="false">IFERROR(INDEX('Input Statistiche 2025_26'!$F$3:$F$665,MATCH($A231,'Input Statistiche 2025_26'!$A$3:$A$665,0)),"")</f>
        <v>33</v>
      </c>
      <c r="J231" s="26" t="n">
        <f aca="false">IFERROR(IF($I231="","",MAX(0,38-$I231)),"")</f>
        <v>5</v>
      </c>
      <c r="K231" s="26" t="n">
        <f aca="false">IFERROR(INDEX('Input Statistiche 2025_26'!$I$3:$I$665,MATCH($A231,'Input Statistiche 2025_26'!$A$3:$A$665,0)),"")</f>
        <v>3</v>
      </c>
      <c r="L231" s="26" t="n">
        <f aca="false">IFERROR(INDEX('Input Statistiche 2025_26'!$O$3:$O$665,MATCH($A231,'Input Statistiche 2025_26'!$A$3:$A$665,0)),"")</f>
        <v>1</v>
      </c>
      <c r="M231" s="28"/>
      <c r="N231" s="27" t="n">
        <f aca="false">IFERROR(INDEX('Input Giocatori 2026_27'!$E$3:$E$493,MATCH($A231,'Input Giocatori 2026_27'!$A$3:$A$493,0)),"")</f>
        <v>6</v>
      </c>
      <c r="O231" s="27" t="n">
        <f aca="false">IFERROR(INDEX('Input Giocatori 2026_27'!$G$3:$G$493,MATCH($A231,'Input Giocatori 2026_27'!$A$3:$A$493,0)),"")</f>
        <v>14</v>
      </c>
      <c r="P231" s="26" t="str">
        <f aca="false">IFERROR(IF($O231="","",IF((1-(COUNTIFS($B$2:$B$492,$B231,$O$2:$O$492,"&gt;"&amp;$O231)+1-1)/COUNTIF($B$2:$B$492,$B231))&gt;=0.85,"Top",IF((1-(COUNTIFS($B$2:$B$492,$B231,$O$2:$O$492,"&gt;"&amp;$O231)+1-1)/COUNTIF($B$2:$B$492,$B231))&gt;=0.6,"Buono",IF((1-(COUNTIFS($B$2:$B$492,$B231,$O$2:$O$492,"&gt;"&amp;$O231)+1-1)/COUNTIF($B$2:$B$492,$B231))&gt;=0.3,"Nella Media","Scommessa/Riserva")))),"")</f>
        <v>Nella Media</v>
      </c>
      <c r="Q231" s="29" t="n">
        <f aca="false">IF($D231="",COUNTIF($D$2:$D231,""),"")</f>
        <v>230</v>
      </c>
      <c r="R231" s="29" t="str">
        <f aca="false">IF($D231='Info Lega'!$B$28,COUNTIFS($D$2:$D231,'Info Lega'!$B$28),"")</f>
        <v/>
      </c>
      <c r="S231" s="30" t="n">
        <f aca="false">IFERROR(INDEX('Input Statistiche 2025_26'!$G$3:$G$665,MATCH($A231,'Input Statistiche 2025_26'!$A$3:$A$665,0)),"")</f>
        <v>6.05</v>
      </c>
      <c r="T231" s="30" t="n">
        <f aca="false">IFERROR(INDEX('Input Statistiche 2025_26'!$H$3:$H$665,MATCH($A231,'Input Statistiche 2025_26'!$A$3:$A$665,0)),"")</f>
        <v>6.29</v>
      </c>
      <c r="U231" s="26" t="str">
        <f aca="false">IF(OR('La Mia Rosa'!$O$12="",$D231&lt;&gt;""),"",IF($F231&lt;='La Mia Rosa'!$O$12*'Parametri Modello'!$B$24,"OK",IF($F231&lt;='La Mia Rosa'!$O$12*'Parametri Modello'!$B$25,"Attenzione","Rischio Alto")))</f>
        <v>OK</v>
      </c>
      <c r="V231" s="26" t="n">
        <f aca="false">IFERROR(COUNTIFS($B$2:$B$492,$B231,$O$2:$O$492,"&gt;"&amp;$O231)+1,"")</f>
        <v>86</v>
      </c>
      <c r="W231" s="21" t="n">
        <f aca="false">'Info Lega'!$B$4-SUMIFS($M$2:$M$492,$D$2:$D$492,'Info Lega'!$B$28)</f>
        <v>1000</v>
      </c>
      <c r="X231" s="21" t="n">
        <f aca="false">('Info Lega'!$B$5-COUNTIFS($D$2:$D$492,'Info Lega'!$B$28,$B$2:$B$492,"P"))+('Info Lega'!$B$6-COUNTIFS($D$2:$D$492,'Info Lega'!$B$28,$B$2:$B$492,"D"))+('Info Lega'!$B$7-COUNTIFS($D$2:$D$492,'Info Lega'!$B$28,$B$2:$B$492,"C"))+('Info Lega'!$B$8-COUNTIFS($D$2:$D$492,'Info Lega'!$B$28,$B$2:$B$492,"A"))</f>
        <v>25</v>
      </c>
      <c r="Y231" s="21" t="n">
        <f aca="false">X231*'Parametri Modello'!$B$30</f>
        <v>25</v>
      </c>
      <c r="Z231" s="21" t="n">
        <f aca="false">MAX(0,W231-Y231)</f>
        <v>975</v>
      </c>
      <c r="AA231" s="21" t="n">
        <f aca="false">MIN(F231,Z231)</f>
        <v>8</v>
      </c>
      <c r="AB231" s="21"/>
      <c r="AC231" s="21" t="str">
        <f aca="false">IF(AB231="","",IF(AB231&gt;AA231,"PASS",IF(AB231&lt;=AA231*0.85,"BID","ATTENZIONE")))</f>
        <v/>
      </c>
      <c r="AD231" s="31" t="n">
        <f aca="false">IF(I231="","",ROUND(100*(1-EXP(-I231/30)),0))</f>
        <v>67</v>
      </c>
      <c r="AE231" s="7" t="str">
        <f aca="false">IFERROR(INDEX('Stato Asta'!$G$9:$G$12,MATCH($B231,'Stato Asta'!$A$9:$A$12,0)),"")</f>
        <v>🟡 Attesa rischiosa</v>
      </c>
    </row>
    <row r="232" customFormat="false" ht="14.25" hidden="false" customHeight="true" outlineLevel="0" collapsed="false">
      <c r="A232" s="21" t="n">
        <v>7412</v>
      </c>
      <c r="B232" s="21" t="s">
        <v>45</v>
      </c>
      <c r="C232" s="21" t="s">
        <v>449</v>
      </c>
      <c r="E232" s="26" t="str">
        <f aca="false">IF(COUNTIF('Info Strategia'!$D$2:$D$51,$C232)&gt;0,"SI","NO")</f>
        <v>NO</v>
      </c>
      <c r="F232" s="27" t="n">
        <f aca="false">IFERROR(ROUND(($G232+($H232-$G232)*'Info Strategia'!$B$6)*(1+IF($E232="SI",'Parametri Modello'!$B$7*'Info Strategia'!$B$6,0)),0),"")</f>
        <v>8</v>
      </c>
      <c r="G232" s="27" t="n">
        <f aca="false">IFERROR(ROUND((IF(OR(INDEX('Parametri Modello'!$C$39:$C$42,MATCH($B232,'Parametri Modello'!$A$39:$A$42,0))="",INDEX('Parametri Modello'!$C$39:$C$42,MATCH($B232,'Parametri Modello'!$A$39:$A$42,0))=0),0,($O232/INDEX('Parametri Modello'!$C$39:$C$42,MATCH($B232,'Parametri Modello'!$A$39:$A$42,0)))*(INDEX('Parametri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5</v>
      </c>
      <c r="H232" s="27" t="n">
        <f aca="false">IFERROR(ROUND((IF(OR(INDEX('Parametri Modello'!$C$39:$C$42,MATCH($B232,'Parametri Modello'!$A$39:$A$42,0))="",INDEX('Parametri Modello'!$C$39:$C$42,MATCH($B232,'Parametri Modello'!$A$39:$A$42,0))=0),0,($O232/INDEX('Parametri Modello'!$C$39:$C$42,MATCH($B232,'Parametri Modello'!$A$39:$A$42,0)))*(INDEX('Parametri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9</v>
      </c>
      <c r="I232" s="26" t="str">
        <f aca="false">IFERROR(INDEX('Input Statistiche 2025_26'!$F$3:$F$665,MATCH($A232,'Input Statistiche 2025_26'!$A$3:$A$665,0)),"")</f>
        <v/>
      </c>
      <c r="J232" s="26" t="str">
        <f aca="false">IFERROR(IF($I232="","",MAX(0,38-$I232)),"")</f>
        <v/>
      </c>
      <c r="K232" s="26" t="str">
        <f aca="false">IFERROR(INDEX('Input Statistiche 2025_26'!$I$3:$I$665,MATCH($A232,'Input Statistiche 2025_26'!$A$3:$A$665,0)),"")</f>
        <v/>
      </c>
      <c r="L232" s="26" t="str">
        <f aca="false">IFERROR(INDEX('Input Statistiche 2025_26'!$O$3:$O$665,MATCH($A232,'Input Statistiche 2025_26'!$A$3:$A$665,0)),"")</f>
        <v/>
      </c>
      <c r="M232" s="28"/>
      <c r="N232" s="27" t="n">
        <f aca="false">IFERROR(INDEX('Input Giocatori 2026_27'!$E$3:$E$493,MATCH($A232,'Input Giocatori 2026_27'!$A$3:$A$493,0)),"")</f>
        <v>5</v>
      </c>
      <c r="O232" s="27" t="n">
        <f aca="false">IFERROR(INDEX('Input Giocatori 2026_27'!$G$3:$G$493,MATCH($A232,'Input Giocatori 2026_27'!$A$3:$A$493,0)),"")</f>
        <v>14</v>
      </c>
      <c r="P232" s="26" t="str">
        <f aca="false">IFERROR(IF($O232="","",IF((1-(COUNTIFS($B$2:$B$492,$B232,$O$2:$O$492,"&gt;"&amp;$O232)+1-1)/COUNTIF($B$2:$B$492,$B232))&gt;=0.85,"Top",IF((1-(COUNTIFS($B$2:$B$492,$B232,$O$2:$O$492,"&gt;"&amp;$O232)+1-1)/COUNTIF($B$2:$B$492,$B232))&gt;=0.6,"Buono",IF((1-(COUNTIFS($B$2:$B$492,$B232,$O$2:$O$492,"&gt;"&amp;$O232)+1-1)/COUNTIF($B$2:$B$492,$B232))&gt;=0.3,"Nella Media","Scommessa/Riserva")))),"")</f>
        <v>Nella Media</v>
      </c>
      <c r="Q232" s="29" t="n">
        <f aca="false">IF($D232="",COUNTIF($D$2:$D232,""),"")</f>
        <v>231</v>
      </c>
      <c r="R232" s="29" t="str">
        <f aca="false">IF($D232='Info Lega'!$B$28,COUNTIFS($D$2:$D232,'Info Lega'!$B$28),"")</f>
        <v/>
      </c>
      <c r="S232" s="30" t="str">
        <f aca="false">IFERROR(INDEX('Input Statistiche 2025_26'!$G$3:$G$665,MATCH($A232,'Input Statistiche 2025_26'!$A$3:$A$665,0)),"")</f>
        <v/>
      </c>
      <c r="T232" s="30" t="str">
        <f aca="false">IFERROR(INDEX('Input Statistiche 2025_26'!$H$3:$H$665,MATCH($A232,'Input Statistiche 2025_26'!$A$3:$A$665,0)),"")</f>
        <v/>
      </c>
      <c r="U232" s="26" t="str">
        <f aca="false">IF(OR('La Mia Rosa'!$O$12="",$D232&lt;&gt;""),"",IF($F232&lt;='La Mia Rosa'!$O$12*'Parametri Modello'!$B$24,"OK",IF($F232&lt;='La Mia Rosa'!$O$12*'Parametri Modello'!$B$25,"Attenzione","Rischio Alto")))</f>
        <v>OK</v>
      </c>
      <c r="V232" s="26" t="n">
        <f aca="false">IFERROR(COUNTIFS($B$2:$B$492,$B232,$O$2:$O$492,"&gt;"&amp;$O232)+1,"")</f>
        <v>86</v>
      </c>
      <c r="W232" s="21" t="n">
        <f aca="false">'Info Lega'!$B$4-SUMIFS($M$2:$M$492,$D$2:$D$492,'Info Lega'!$B$28)</f>
        <v>1000</v>
      </c>
      <c r="X232" s="21" t="n">
        <f aca="false">('Info Lega'!$B$5-COUNTIFS($D$2:$D$492,'Info Lega'!$B$28,$B$2:$B$492,"P"))+('Info Lega'!$B$6-COUNTIFS($D$2:$D$492,'Info Lega'!$B$28,$B$2:$B$492,"D"))+('Info Lega'!$B$7-COUNTIFS($D$2:$D$492,'Info Lega'!$B$28,$B$2:$B$492,"C"))+('Info Lega'!$B$8-COUNTIFS($D$2:$D$492,'Info Lega'!$B$28,$B$2:$B$492,"A"))</f>
        <v>25</v>
      </c>
      <c r="Y232" s="21" t="n">
        <f aca="false">X232*'Parametri Modello'!$B$30</f>
        <v>25</v>
      </c>
      <c r="Z232" s="21" t="n">
        <f aca="false">MAX(0,W232-Y232)</f>
        <v>975</v>
      </c>
      <c r="AA232" s="21" t="n">
        <f aca="false">MIN(F232,Z232)</f>
        <v>8</v>
      </c>
      <c r="AB232" s="21"/>
      <c r="AC232" s="21" t="str">
        <f aca="false">IF(AB232="","",IF(AB232&gt;AA232,"PASS",IF(AB232&lt;=AA232*0.85,"BID","ATTENZIONE")))</f>
        <v/>
      </c>
      <c r="AD232" s="31" t="str">
        <f aca="false">IF(I232="","",ROUND(100*(1-EXP(-I232/30)),0))</f>
        <v/>
      </c>
      <c r="AE232" s="7" t="str">
        <f aca="false">IFERROR(INDEX('Stato Asta'!$G$9:$G$12,MATCH($B232,'Stato Asta'!$A$9:$A$12,0)),"")</f>
        <v>🟡 Attesa rischiosa</v>
      </c>
    </row>
    <row r="233" customFormat="false" ht="14.25" hidden="false" customHeight="true" outlineLevel="0" collapsed="false">
      <c r="A233" s="21" t="n">
        <v>7409</v>
      </c>
      <c r="B233" s="21" t="s">
        <v>45</v>
      </c>
      <c r="C233" s="21" t="s">
        <v>452</v>
      </c>
      <c r="E233" s="26" t="str">
        <f aca="false">IF(COUNTIF('Info Strategia'!$D$2:$D$51,$C233)&gt;0,"SI","NO")</f>
        <v>NO</v>
      </c>
      <c r="F233" s="27" t="n">
        <f aca="false">IFERROR(ROUND(($G233+($H233-$G233)*'Info Strategia'!$B$6)*(1+IF($E233="SI",'Parametri Modello'!$B$7*'Info Strategia'!$B$6,0)),0),"")</f>
        <v>8</v>
      </c>
      <c r="G233" s="27" t="n">
        <f aca="false">IFERROR(ROUND((IF(OR(INDEX('Parametri Modello'!$C$39:$C$42,MATCH($B233,'Parametri Modello'!$A$39:$A$42,0))="",INDEX('Parametri Modello'!$C$39:$C$42,MATCH($B233,'Parametri Modello'!$A$39:$A$42,0))=0),0,($O233/INDEX('Parametri Modello'!$C$39:$C$42,MATCH($B233,'Parametri Modello'!$A$39:$A$42,0)))*(INDEX('Parametri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5</v>
      </c>
      <c r="H233" s="27" t="n">
        <f aca="false">IFERROR(ROUND((IF(OR(INDEX('Parametri Modello'!$C$39:$C$42,MATCH($B233,'Parametri Modello'!$A$39:$A$42,0))="",INDEX('Parametri Modello'!$C$39:$C$42,MATCH($B233,'Parametri Modello'!$A$39:$A$42,0))=0),0,($O233/INDEX('Parametri Modello'!$C$39:$C$42,MATCH($B233,'Parametri Modello'!$A$39:$A$42,0)))*(INDEX('Parametri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9</v>
      </c>
      <c r="I233" s="26" t="str">
        <f aca="false">IFERROR(INDEX('Input Statistiche 2025_26'!$F$3:$F$665,MATCH($A233,'Input Statistiche 2025_26'!$A$3:$A$665,0)),"")</f>
        <v/>
      </c>
      <c r="J233" s="26" t="str">
        <f aca="false">IFERROR(IF($I233="","",MAX(0,38-$I233)),"")</f>
        <v/>
      </c>
      <c r="K233" s="26" t="str">
        <f aca="false">IFERROR(INDEX('Input Statistiche 2025_26'!$I$3:$I$665,MATCH($A233,'Input Statistiche 2025_26'!$A$3:$A$665,0)),"")</f>
        <v/>
      </c>
      <c r="L233" s="26" t="str">
        <f aca="false">IFERROR(INDEX('Input Statistiche 2025_26'!$O$3:$O$665,MATCH($A233,'Input Statistiche 2025_26'!$A$3:$A$665,0)),"")</f>
        <v/>
      </c>
      <c r="M233" s="28"/>
      <c r="N233" s="27" t="n">
        <f aca="false">IFERROR(INDEX('Input Giocatori 2026_27'!$E$3:$E$493,MATCH($A233,'Input Giocatori 2026_27'!$A$3:$A$493,0)),"")</f>
        <v>5</v>
      </c>
      <c r="O233" s="27" t="n">
        <f aca="false">IFERROR(INDEX('Input Giocatori 2026_27'!$G$3:$G$493,MATCH($A233,'Input Giocatori 2026_27'!$A$3:$A$493,0)),"")</f>
        <v>14</v>
      </c>
      <c r="P233" s="26" t="str">
        <f aca="false">IFERROR(IF($O233="","",IF((1-(COUNTIFS($B$2:$B$492,$B233,$O$2:$O$492,"&gt;"&amp;$O233)+1-1)/COUNTIF($B$2:$B$492,$B233))&gt;=0.85,"Top",IF((1-(COUNTIFS($B$2:$B$492,$B233,$O$2:$O$492,"&gt;"&amp;$O233)+1-1)/COUNTIF($B$2:$B$492,$B233))&gt;=0.6,"Buono",IF((1-(COUNTIFS($B$2:$B$492,$B233,$O$2:$O$492,"&gt;"&amp;$O233)+1-1)/COUNTIF($B$2:$B$492,$B233))&gt;=0.3,"Nella Media","Scommessa/Riserva")))),"")</f>
        <v>Nella Media</v>
      </c>
      <c r="Q233" s="29" t="n">
        <f aca="false">IF($D233="",COUNTIF($D$2:$D233,""),"")</f>
        <v>232</v>
      </c>
      <c r="R233" s="29" t="str">
        <f aca="false">IF($D233='Info Lega'!$B$28,COUNTIFS($D$2:$D233,'Info Lega'!$B$28),"")</f>
        <v/>
      </c>
      <c r="S233" s="30" t="str">
        <f aca="false">IFERROR(INDEX('Input Statistiche 2025_26'!$G$3:$G$665,MATCH($A233,'Input Statistiche 2025_26'!$A$3:$A$665,0)),"")</f>
        <v/>
      </c>
      <c r="T233" s="30" t="str">
        <f aca="false">IFERROR(INDEX('Input Statistiche 2025_26'!$H$3:$H$665,MATCH($A233,'Input Statistiche 2025_26'!$A$3:$A$665,0)),"")</f>
        <v/>
      </c>
      <c r="U233" s="26" t="str">
        <f aca="false">IF(OR('La Mia Rosa'!$O$12="",$D233&lt;&gt;""),"",IF($F233&lt;='La Mia Rosa'!$O$12*'Parametri Modello'!$B$24,"OK",IF($F233&lt;='La Mia Rosa'!$O$12*'Parametri Modello'!$B$25,"Attenzione","Rischio Alto")))</f>
        <v>OK</v>
      </c>
      <c r="V233" s="26" t="n">
        <f aca="false">IFERROR(COUNTIFS($B$2:$B$492,$B233,$O$2:$O$492,"&gt;"&amp;$O233)+1,"")</f>
        <v>86</v>
      </c>
      <c r="W233" s="21" t="n">
        <f aca="false">'Info Lega'!$B$4-SUMIFS($M$2:$M$492,$D$2:$D$492,'Info Lega'!$B$28)</f>
        <v>1000</v>
      </c>
      <c r="X233" s="21" t="n">
        <f aca="false">('Info Lega'!$B$5-COUNTIFS($D$2:$D$492,'Info Lega'!$B$28,$B$2:$B$492,"P"))+('Info Lega'!$B$6-COUNTIFS($D$2:$D$492,'Info Lega'!$B$28,$B$2:$B$492,"D"))+('Info Lega'!$B$7-COUNTIFS($D$2:$D$492,'Info Lega'!$B$28,$B$2:$B$492,"C"))+('Info Lega'!$B$8-COUNTIFS($D$2:$D$492,'Info Lega'!$B$28,$B$2:$B$492,"A"))</f>
        <v>25</v>
      </c>
      <c r="Y233" s="21" t="n">
        <f aca="false">X233*'Parametri Modello'!$B$30</f>
        <v>25</v>
      </c>
      <c r="Z233" s="21" t="n">
        <f aca="false">MAX(0,W233-Y233)</f>
        <v>975</v>
      </c>
      <c r="AA233" s="21" t="n">
        <f aca="false">MIN(F233,Z233)</f>
        <v>8</v>
      </c>
      <c r="AB233" s="21"/>
      <c r="AC233" s="21" t="str">
        <f aca="false">IF(AB233="","",IF(AB233&gt;AA233,"PASS",IF(AB233&lt;=AA233*0.85,"BID","ATTENZIONE")))</f>
        <v/>
      </c>
      <c r="AD233" s="31" t="str">
        <f aca="false">IF(I233="","",ROUND(100*(1-EXP(-I233/30)),0))</f>
        <v/>
      </c>
      <c r="AE233" s="7" t="str">
        <f aca="false">IFERROR(INDEX('Stato Asta'!$G$9:$G$12,MATCH($B233,'Stato Asta'!$A$9:$A$12,0)),"")</f>
        <v>🟡 Attesa rischiosa</v>
      </c>
    </row>
    <row r="234" customFormat="false" ht="14.25" hidden="false" customHeight="true" outlineLevel="0" collapsed="false">
      <c r="A234" s="21" t="n">
        <v>5685</v>
      </c>
      <c r="B234" s="21" t="s">
        <v>45</v>
      </c>
      <c r="C234" s="21" t="s">
        <v>455</v>
      </c>
      <c r="E234" s="26" t="str">
        <f aca="false">IF(COUNTIF('Info Strategia'!$D$2:$D$51,$C234)&gt;0,"SI","NO")</f>
        <v>NO</v>
      </c>
      <c r="F234" s="27" t="n">
        <f aca="false">IFERROR(ROUND(($G234+($H234-$G234)*'Info Strategia'!$B$6)*(1+IF($E234="SI",'Parametri Modello'!$B$7*'Info Strategia'!$B$6,0)),0),"")</f>
        <v>8</v>
      </c>
      <c r="G234" s="27" t="n">
        <f aca="false">IFERROR(ROUND((IF(OR(INDEX('Parametri Modello'!$C$39:$C$42,MATCH($B234,'Parametri Modello'!$A$39:$A$42,0))="",INDEX('Parametri Modello'!$C$39:$C$42,MATCH($B234,'Parametri Modello'!$A$39:$A$42,0))=0),0,($O234/INDEX('Parametri Modello'!$C$39:$C$42,MATCH($B234,'Parametri Modello'!$A$39:$A$42,0)))*(INDEX('Parametri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5</v>
      </c>
      <c r="H234" s="27" t="n">
        <f aca="false">IFERROR(ROUND((IF(OR(INDEX('Parametri Modello'!$C$39:$C$42,MATCH($B234,'Parametri Modello'!$A$39:$A$42,0))="",INDEX('Parametri Modello'!$C$39:$C$42,MATCH($B234,'Parametri Modello'!$A$39:$A$42,0))=0),0,($O234/INDEX('Parametri Modello'!$C$39:$C$42,MATCH($B234,'Parametri Modello'!$A$39:$A$42,0)))*(INDEX('Parametri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9</v>
      </c>
      <c r="I234" s="26" t="n">
        <f aca="false">IFERROR(INDEX('Input Statistiche 2025_26'!$F$3:$F$665,MATCH($A234,'Input Statistiche 2025_26'!$A$3:$A$665,0)),"")</f>
        <v>29</v>
      </c>
      <c r="J234" s="26" t="n">
        <f aca="false">IFERROR(IF($I234="","",MAX(0,38-$I234)),"")</f>
        <v>9</v>
      </c>
      <c r="K234" s="26" t="n">
        <f aca="false">IFERROR(INDEX('Input Statistiche 2025_26'!$I$3:$I$665,MATCH($A234,'Input Statistiche 2025_26'!$A$3:$A$665,0)),"")</f>
        <v>0</v>
      </c>
      <c r="L234" s="26" t="n">
        <f aca="false">IFERROR(INDEX('Input Statistiche 2025_26'!$O$3:$O$665,MATCH($A234,'Input Statistiche 2025_26'!$A$3:$A$665,0)),"")</f>
        <v>0</v>
      </c>
      <c r="M234" s="28"/>
      <c r="N234" s="27" t="n">
        <f aca="false">IFERROR(INDEX('Input Giocatori 2026_27'!$E$3:$E$493,MATCH($A234,'Input Giocatori 2026_27'!$A$3:$A$493,0)),"")</f>
        <v>5</v>
      </c>
      <c r="O234" s="27" t="n">
        <f aca="false">IFERROR(INDEX('Input Giocatori 2026_27'!$G$3:$G$493,MATCH($A234,'Input Giocatori 2026_27'!$A$3:$A$493,0)),"")</f>
        <v>14</v>
      </c>
      <c r="P234" s="26" t="str">
        <f aca="false">IFERROR(IF($O234="","",IF((1-(COUNTIFS($B$2:$B$492,$B234,$O$2:$O$492,"&gt;"&amp;$O234)+1-1)/COUNTIF($B$2:$B$492,$B234))&gt;=0.85,"Top",IF((1-(COUNTIFS($B$2:$B$492,$B234,$O$2:$O$492,"&gt;"&amp;$O234)+1-1)/COUNTIF($B$2:$B$492,$B234))&gt;=0.6,"Buono",IF((1-(COUNTIFS($B$2:$B$492,$B234,$O$2:$O$492,"&gt;"&amp;$O234)+1-1)/COUNTIF($B$2:$B$492,$B234))&gt;=0.3,"Nella Media","Scommessa/Riserva")))),"")</f>
        <v>Nella Media</v>
      </c>
      <c r="Q234" s="29" t="n">
        <f aca="false">IF($D234="",COUNTIF($D$2:$D234,""),"")</f>
        <v>233</v>
      </c>
      <c r="R234" s="29" t="str">
        <f aca="false">IF($D234='Info Lega'!$B$28,COUNTIFS($D$2:$D234,'Info Lega'!$B$28),"")</f>
        <v/>
      </c>
      <c r="S234" s="30" t="n">
        <f aca="false">IFERROR(INDEX('Input Statistiche 2025_26'!$G$3:$G$665,MATCH($A234,'Input Statistiche 2025_26'!$A$3:$A$665,0)),"")</f>
        <v>5.64</v>
      </c>
      <c r="T234" s="30" t="n">
        <f aca="false">IFERROR(INDEX('Input Statistiche 2025_26'!$H$3:$H$665,MATCH($A234,'Input Statistiche 2025_26'!$A$3:$A$665,0)),"")</f>
        <v>5.55</v>
      </c>
      <c r="U234" s="26" t="str">
        <f aca="false">IF(OR('La Mia Rosa'!$O$12="",$D234&lt;&gt;""),"",IF($F234&lt;='La Mia Rosa'!$O$12*'Parametri Modello'!$B$24,"OK",IF($F234&lt;='La Mia Rosa'!$O$12*'Parametri Modello'!$B$25,"Attenzione","Rischio Alto")))</f>
        <v>OK</v>
      </c>
      <c r="V234" s="26" t="n">
        <f aca="false">IFERROR(COUNTIFS($B$2:$B$492,$B234,$O$2:$O$492,"&gt;"&amp;$O234)+1,"")</f>
        <v>86</v>
      </c>
      <c r="W234" s="21" t="n">
        <f aca="false">'Info Lega'!$B$4-SUMIFS($M$2:$M$492,$D$2:$D$492,'Info Lega'!$B$28)</f>
        <v>1000</v>
      </c>
      <c r="X234" s="21" t="n">
        <f aca="false">('Info Lega'!$B$5-COUNTIFS($D$2:$D$492,'Info Lega'!$B$28,$B$2:$B$492,"P"))+('Info Lega'!$B$6-COUNTIFS($D$2:$D$492,'Info Lega'!$B$28,$B$2:$B$492,"D"))+('Info Lega'!$B$7-COUNTIFS($D$2:$D$492,'Info Lega'!$B$28,$B$2:$B$492,"C"))+('Info Lega'!$B$8-COUNTIFS($D$2:$D$492,'Info Lega'!$B$28,$B$2:$B$492,"A"))</f>
        <v>25</v>
      </c>
      <c r="Y234" s="21" t="n">
        <f aca="false">X234*'Parametri Modello'!$B$30</f>
        <v>25</v>
      </c>
      <c r="Z234" s="21" t="n">
        <f aca="false">MAX(0,W234-Y234)</f>
        <v>975</v>
      </c>
      <c r="AA234" s="21" t="n">
        <f aca="false">MIN(F234,Z234)</f>
        <v>8</v>
      </c>
      <c r="AB234" s="21"/>
      <c r="AC234" s="21" t="str">
        <f aca="false">IF(AB234="","",IF(AB234&gt;AA234,"PASS",IF(AB234&lt;=AA234*0.85,"BID","ATTENZIONE")))</f>
        <v/>
      </c>
      <c r="AD234" s="31" t="n">
        <f aca="false">IF(I234="","",ROUND(100*(1-EXP(-I234/30)),0))</f>
        <v>62</v>
      </c>
      <c r="AE234" s="7" t="str">
        <f aca="false">IFERROR(INDEX('Stato Asta'!$G$9:$G$12,MATCH($B234,'Stato Asta'!$A$9:$A$12,0)),"")</f>
        <v>🟡 Attesa rischiosa</v>
      </c>
    </row>
    <row r="235" customFormat="false" ht="14.25" hidden="false" customHeight="true" outlineLevel="0" collapsed="false">
      <c r="A235" s="21" t="n">
        <v>7318</v>
      </c>
      <c r="B235" s="21" t="s">
        <v>45</v>
      </c>
      <c r="C235" s="21" t="s">
        <v>458</v>
      </c>
      <c r="E235" s="26" t="str">
        <f aca="false">IF(COUNTIF('Info Strategia'!$D$2:$D$51,$C235)&gt;0,"SI","NO")</f>
        <v>NO</v>
      </c>
      <c r="F235" s="27" t="n">
        <f aca="false">IFERROR(ROUND(($G235+($H235-$G235)*'Info Strategia'!$B$6)*(1+IF($E235="SI",'Parametri Modello'!$B$7*'Info Strategia'!$B$6,0)),0),"")</f>
        <v>8</v>
      </c>
      <c r="G235" s="27" t="n">
        <f aca="false">IFERROR(ROUND((IF(OR(INDEX('Parametri Modello'!$C$39:$C$42,MATCH($B235,'Parametri Modello'!$A$39:$A$42,0))="",INDEX('Parametri Modello'!$C$39:$C$42,MATCH($B235,'Parametri Modello'!$A$39:$A$42,0))=0),0,($O235/INDEX('Parametri Modello'!$C$39:$C$42,MATCH($B235,'Parametri Modello'!$A$39:$A$42,0)))*(INDEX('Parametri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5</v>
      </c>
      <c r="H235" s="27" t="n">
        <f aca="false">IFERROR(ROUND((IF(OR(INDEX('Parametri Modello'!$C$39:$C$42,MATCH($B235,'Parametri Modello'!$A$39:$A$42,0))="",INDEX('Parametri Modello'!$C$39:$C$42,MATCH($B235,'Parametri Modello'!$A$39:$A$42,0))=0),0,($O235/INDEX('Parametri Modello'!$C$39:$C$42,MATCH($B235,'Parametri Modello'!$A$39:$A$42,0)))*(INDEX('Parametri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9</v>
      </c>
      <c r="I235" s="26" t="n">
        <f aca="false">IFERROR(INDEX('Input Statistiche 2025_26'!$F$3:$F$665,MATCH($A235,'Input Statistiche 2025_26'!$A$3:$A$665,0)),"")</f>
        <v>16</v>
      </c>
      <c r="J235" s="26" t="n">
        <f aca="false">IFERROR(IF($I235="","",MAX(0,38-$I235)),"")</f>
        <v>22</v>
      </c>
      <c r="K235" s="26" t="n">
        <f aca="false">IFERROR(INDEX('Input Statistiche 2025_26'!$I$3:$I$665,MATCH($A235,'Input Statistiche 2025_26'!$A$3:$A$665,0)),"")</f>
        <v>2</v>
      </c>
      <c r="L235" s="26" t="n">
        <f aca="false">IFERROR(INDEX('Input Statistiche 2025_26'!$O$3:$O$665,MATCH($A235,'Input Statistiche 2025_26'!$A$3:$A$665,0)),"")</f>
        <v>1</v>
      </c>
      <c r="M235" s="28"/>
      <c r="N235" s="27" t="n">
        <f aca="false">IFERROR(INDEX('Input Giocatori 2026_27'!$E$3:$E$493,MATCH($A235,'Input Giocatori 2026_27'!$A$3:$A$493,0)),"")</f>
        <v>5</v>
      </c>
      <c r="O235" s="27" t="n">
        <f aca="false">IFERROR(INDEX('Input Giocatori 2026_27'!$G$3:$G$493,MATCH($A235,'Input Giocatori 2026_27'!$A$3:$A$493,0)),"")</f>
        <v>14</v>
      </c>
      <c r="P235" s="26" t="str">
        <f aca="false">IFERROR(IF($O235="","",IF((1-(COUNTIFS($B$2:$B$492,$B235,$O$2:$O$492,"&gt;"&amp;$O235)+1-1)/COUNTIF($B$2:$B$492,$B235))&gt;=0.85,"Top",IF((1-(COUNTIFS($B$2:$B$492,$B235,$O$2:$O$492,"&gt;"&amp;$O235)+1-1)/COUNTIF($B$2:$B$492,$B235))&gt;=0.6,"Buono",IF((1-(COUNTIFS($B$2:$B$492,$B235,$O$2:$O$492,"&gt;"&amp;$O235)+1-1)/COUNTIF($B$2:$B$492,$B235))&gt;=0.3,"Nella Media","Scommessa/Riserva")))),"")</f>
        <v>Nella Media</v>
      </c>
      <c r="Q235" s="29" t="n">
        <f aca="false">IF($D235="",COUNTIF($D$2:$D235,""),"")</f>
        <v>234</v>
      </c>
      <c r="R235" s="29" t="str">
        <f aca="false">IF($D235='Info Lega'!$B$28,COUNTIFS($D$2:$D235,'Info Lega'!$B$28),"")</f>
        <v/>
      </c>
      <c r="S235" s="30" t="n">
        <f aca="false">IFERROR(INDEX('Input Statistiche 2025_26'!$G$3:$G$665,MATCH($A235,'Input Statistiche 2025_26'!$A$3:$A$665,0)),"")</f>
        <v>5.97</v>
      </c>
      <c r="T235" s="30" t="n">
        <f aca="false">IFERROR(INDEX('Input Statistiche 2025_26'!$H$3:$H$665,MATCH($A235,'Input Statistiche 2025_26'!$A$3:$A$665,0)),"")</f>
        <v>6.41</v>
      </c>
      <c r="U235" s="26" t="str">
        <f aca="false">IF(OR('La Mia Rosa'!$O$12="",$D235&lt;&gt;""),"",IF($F235&lt;='La Mia Rosa'!$O$12*'Parametri Modello'!$B$24,"OK",IF($F235&lt;='La Mia Rosa'!$O$12*'Parametri Modello'!$B$25,"Attenzione","Rischio Alto")))</f>
        <v>OK</v>
      </c>
      <c r="V235" s="26" t="n">
        <f aca="false">IFERROR(COUNTIFS($B$2:$B$492,$B235,$O$2:$O$492,"&gt;"&amp;$O235)+1,"")</f>
        <v>86</v>
      </c>
      <c r="W235" s="21" t="n">
        <f aca="false">'Info Lega'!$B$4-SUMIFS($M$2:$M$492,$D$2:$D$492,'Info Lega'!$B$28)</f>
        <v>1000</v>
      </c>
      <c r="X235" s="21" t="n">
        <f aca="false">('Info Lega'!$B$5-COUNTIFS($D$2:$D$492,'Info Lega'!$B$28,$B$2:$B$492,"P"))+('Info Lega'!$B$6-COUNTIFS($D$2:$D$492,'Info Lega'!$B$28,$B$2:$B$492,"D"))+('Info Lega'!$B$7-COUNTIFS($D$2:$D$492,'Info Lega'!$B$28,$B$2:$B$492,"C"))+('Info Lega'!$B$8-COUNTIFS($D$2:$D$492,'Info Lega'!$B$28,$B$2:$B$492,"A"))</f>
        <v>25</v>
      </c>
      <c r="Y235" s="21" t="n">
        <f aca="false">X235*'Parametri Modello'!$B$30</f>
        <v>25</v>
      </c>
      <c r="Z235" s="21" t="n">
        <f aca="false">MAX(0,W235-Y235)</f>
        <v>975</v>
      </c>
      <c r="AA235" s="21" t="n">
        <f aca="false">MIN(F235,Z235)</f>
        <v>8</v>
      </c>
      <c r="AB235" s="21"/>
      <c r="AC235" s="21" t="str">
        <f aca="false">IF(AB235="","",IF(AB235&gt;AA235,"PASS",IF(AB235&lt;=AA235*0.85,"BID","ATTENZIONE")))</f>
        <v/>
      </c>
      <c r="AD235" s="31" t="n">
        <f aca="false">IF(I235="","",ROUND(100*(1-EXP(-I235/30)),0))</f>
        <v>41</v>
      </c>
      <c r="AE235" s="7" t="str">
        <f aca="false">IFERROR(INDEX('Stato Asta'!$G$9:$G$12,MATCH($B235,'Stato Asta'!$A$9:$A$12,0)),"")</f>
        <v>🟡 Attesa rischiosa</v>
      </c>
    </row>
    <row r="236" customFormat="false" ht="14.25" hidden="false" customHeight="true" outlineLevel="0" collapsed="false">
      <c r="A236" s="21" t="n">
        <v>6677</v>
      </c>
      <c r="B236" s="21" t="s">
        <v>45</v>
      </c>
      <c r="C236" s="21" t="s">
        <v>464</v>
      </c>
      <c r="E236" s="26" t="str">
        <f aca="false">IF(COUNTIF('Info Strategia'!$D$2:$D$51,$C236)&gt;0,"SI","NO")</f>
        <v>NO</v>
      </c>
      <c r="F236" s="27" t="n">
        <f aca="false">IFERROR(ROUND(($G236+($H236-$G236)*'Info Strategia'!$B$6)*(1+IF($E236="SI",'Parametri Modello'!$B$7*'Info Strategia'!$B$6,0)),0),"")</f>
        <v>8</v>
      </c>
      <c r="G236" s="27" t="n">
        <f aca="false">IFERROR(ROUND((IF(OR(INDEX('Parametri Modello'!$C$39:$C$42,MATCH($B236,'Parametri Modello'!$A$39:$A$42,0))="",INDEX('Parametri Modello'!$C$39:$C$42,MATCH($B236,'Parametri Modello'!$A$39:$A$42,0))=0),0,($O236/INDEX('Parametri Modello'!$C$39:$C$42,MATCH($B236,'Parametri Modello'!$A$39:$A$42,0)))*(INDEX('Parametri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5</v>
      </c>
      <c r="H236" s="27" t="n">
        <f aca="false">IFERROR(ROUND((IF(OR(INDEX('Parametri Modello'!$C$39:$C$42,MATCH($B236,'Parametri Modello'!$A$39:$A$42,0))="",INDEX('Parametri Modello'!$C$39:$C$42,MATCH($B236,'Parametri Modello'!$A$39:$A$42,0))=0),0,($O236/INDEX('Parametri Modello'!$C$39:$C$42,MATCH($B236,'Parametri Modello'!$A$39:$A$42,0)))*(INDEX('Parametri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9</v>
      </c>
      <c r="I236" s="26" t="n">
        <f aca="false">IFERROR(INDEX('Input Statistiche 2025_26'!$F$3:$F$665,MATCH($A236,'Input Statistiche 2025_26'!$A$3:$A$665,0)),"")</f>
        <v>4</v>
      </c>
      <c r="J236" s="26" t="n">
        <f aca="false">IFERROR(IF($I236="","",MAX(0,38-$I236)),"")</f>
        <v>34</v>
      </c>
      <c r="K236" s="26" t="n">
        <f aca="false">IFERROR(INDEX('Input Statistiche 2025_26'!$I$3:$I$665,MATCH($A236,'Input Statistiche 2025_26'!$A$3:$A$665,0)),"")</f>
        <v>1</v>
      </c>
      <c r="L236" s="26" t="n">
        <f aca="false">IFERROR(INDEX('Input Statistiche 2025_26'!$O$3:$O$665,MATCH($A236,'Input Statistiche 2025_26'!$A$3:$A$665,0)),"")</f>
        <v>0</v>
      </c>
      <c r="M236" s="28"/>
      <c r="N236" s="27" t="n">
        <f aca="false">IFERROR(INDEX('Input Giocatori 2026_27'!$E$3:$E$493,MATCH($A236,'Input Giocatori 2026_27'!$A$3:$A$493,0)),"")</f>
        <v>5</v>
      </c>
      <c r="O236" s="27" t="n">
        <f aca="false">IFERROR(INDEX('Input Giocatori 2026_27'!$G$3:$G$493,MATCH($A236,'Input Giocatori 2026_27'!$A$3:$A$493,0)),"")</f>
        <v>14</v>
      </c>
      <c r="P236" s="26" t="str">
        <f aca="false">IFERROR(IF($O236="","",IF((1-(COUNTIFS($B$2:$B$492,$B236,$O$2:$O$492,"&gt;"&amp;$O236)+1-1)/COUNTIF($B$2:$B$492,$B236))&gt;=0.85,"Top",IF((1-(COUNTIFS($B$2:$B$492,$B236,$O$2:$O$492,"&gt;"&amp;$O236)+1-1)/COUNTIF($B$2:$B$492,$B236))&gt;=0.6,"Buono",IF((1-(COUNTIFS($B$2:$B$492,$B236,$O$2:$O$492,"&gt;"&amp;$O236)+1-1)/COUNTIF($B$2:$B$492,$B236))&gt;=0.3,"Nella Media","Scommessa/Riserva")))),"")</f>
        <v>Nella Media</v>
      </c>
      <c r="Q236" s="29" t="n">
        <f aca="false">IF($D236="",COUNTIF($D$2:$D236,""),"")</f>
        <v>235</v>
      </c>
      <c r="R236" s="29" t="str">
        <f aca="false">IF($D236='Info Lega'!$B$28,COUNTIFS($D$2:$D236,'Info Lega'!$B$28),"")</f>
        <v/>
      </c>
      <c r="S236" s="30" t="n">
        <f aca="false">IFERROR(INDEX('Input Statistiche 2025_26'!$G$3:$G$665,MATCH($A236,'Input Statistiche 2025_26'!$A$3:$A$665,0)),"")</f>
        <v>6.12</v>
      </c>
      <c r="T236" s="30" t="n">
        <f aca="false">IFERROR(INDEX('Input Statistiche 2025_26'!$H$3:$H$665,MATCH($A236,'Input Statistiche 2025_26'!$A$3:$A$665,0)),"")</f>
        <v>6.88</v>
      </c>
      <c r="U236" s="26" t="str">
        <f aca="false">IF(OR('La Mia Rosa'!$O$12="",$D236&lt;&gt;""),"",IF($F236&lt;='La Mia Rosa'!$O$12*'Parametri Modello'!$B$24,"OK",IF($F236&lt;='La Mia Rosa'!$O$12*'Parametri Modello'!$B$25,"Attenzione","Rischio Alto")))</f>
        <v>OK</v>
      </c>
      <c r="V236" s="26" t="n">
        <f aca="false">IFERROR(COUNTIFS($B$2:$B$492,$B236,$O$2:$O$492,"&gt;"&amp;$O236)+1,"")</f>
        <v>86</v>
      </c>
      <c r="W236" s="21" t="n">
        <f aca="false">'Info Lega'!$B$4-SUMIFS($M$2:$M$492,$D$2:$D$492,'Info Lega'!$B$28)</f>
        <v>1000</v>
      </c>
      <c r="X236" s="21" t="n">
        <f aca="false">('Info Lega'!$B$5-COUNTIFS($D$2:$D$492,'Info Lega'!$B$28,$B$2:$B$492,"P"))+('Info Lega'!$B$6-COUNTIFS($D$2:$D$492,'Info Lega'!$B$28,$B$2:$B$492,"D"))+('Info Lega'!$B$7-COUNTIFS($D$2:$D$492,'Info Lega'!$B$28,$B$2:$B$492,"C"))+('Info Lega'!$B$8-COUNTIFS($D$2:$D$492,'Info Lega'!$B$28,$B$2:$B$492,"A"))</f>
        <v>25</v>
      </c>
      <c r="Y236" s="21" t="n">
        <f aca="false">X236*'Parametri Modello'!$B$30</f>
        <v>25</v>
      </c>
      <c r="Z236" s="21" t="n">
        <f aca="false">MAX(0,W236-Y236)</f>
        <v>975</v>
      </c>
      <c r="AA236" s="21" t="n">
        <f aca="false">MIN(F236,Z236)</f>
        <v>8</v>
      </c>
      <c r="AB236" s="21"/>
      <c r="AC236" s="21" t="str">
        <f aca="false">IF(AB236="","",IF(AB236&gt;AA236,"PASS",IF(AB236&lt;=AA236*0.85,"BID","ATTENZIONE")))</f>
        <v/>
      </c>
      <c r="AD236" s="31" t="n">
        <f aca="false">IF(I236="","",ROUND(100*(1-EXP(-I236/30)),0))</f>
        <v>12</v>
      </c>
      <c r="AE236" s="7" t="str">
        <f aca="false">IFERROR(INDEX('Stato Asta'!$G$9:$G$12,MATCH($B236,'Stato Asta'!$A$9:$A$12,0)),"")</f>
        <v>🟡 Attesa rischiosa</v>
      </c>
    </row>
    <row r="237" customFormat="false" ht="14.25" hidden="false" customHeight="true" outlineLevel="0" collapsed="false">
      <c r="A237" s="21" t="n">
        <v>5507</v>
      </c>
      <c r="B237" s="21" t="s">
        <v>45</v>
      </c>
      <c r="C237" s="21" t="s">
        <v>469</v>
      </c>
      <c r="E237" s="26" t="str">
        <f aca="false">IF(COUNTIF('Info Strategia'!$D$2:$D$51,$C237)&gt;0,"SI","NO")</f>
        <v>NO</v>
      </c>
      <c r="F237" s="27" t="n">
        <f aca="false">IFERROR(ROUND(($G237+($H237-$G237)*'Info Strategia'!$B$6)*(1+IF($E237="SI",'Parametri Modello'!$B$7*'Info Strategia'!$B$6,0)),0),"")</f>
        <v>8</v>
      </c>
      <c r="G237" s="27" t="n">
        <f aca="false">IFERROR(ROUND((IF(OR(INDEX('Parametri Modello'!$C$39:$C$42,MATCH($B237,'Parametri Modello'!$A$39:$A$42,0))="",INDEX('Parametri Modello'!$C$39:$C$42,MATCH($B237,'Parametri Modello'!$A$39:$A$42,0))=0),0,($O237/INDEX('Parametri Modello'!$C$39:$C$42,MATCH($B237,'Parametri Modello'!$A$39:$A$42,0)))*(INDEX('Parametri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5</v>
      </c>
      <c r="H237" s="27" t="n">
        <f aca="false">IFERROR(ROUND((IF(OR(INDEX('Parametri Modello'!$C$39:$C$42,MATCH($B237,'Parametri Modello'!$A$39:$A$42,0))="",INDEX('Parametri Modello'!$C$39:$C$42,MATCH($B237,'Parametri Modello'!$A$39:$A$42,0))=0),0,($O237/INDEX('Parametri Modello'!$C$39:$C$42,MATCH($B237,'Parametri Modello'!$A$39:$A$42,0)))*(INDEX('Parametri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9</v>
      </c>
      <c r="I237" s="26" t="str">
        <f aca="false">IFERROR(INDEX('Input Statistiche 2025_26'!$F$3:$F$665,MATCH($A237,'Input Statistiche 2025_26'!$A$3:$A$665,0)),"")</f>
        <v/>
      </c>
      <c r="J237" s="26" t="str">
        <f aca="false">IFERROR(IF($I237="","",MAX(0,38-$I237)),"")</f>
        <v/>
      </c>
      <c r="K237" s="26" t="str">
        <f aca="false">IFERROR(INDEX('Input Statistiche 2025_26'!$I$3:$I$665,MATCH($A237,'Input Statistiche 2025_26'!$A$3:$A$665,0)),"")</f>
        <v/>
      </c>
      <c r="L237" s="26" t="str">
        <f aca="false">IFERROR(INDEX('Input Statistiche 2025_26'!$O$3:$O$665,MATCH($A237,'Input Statistiche 2025_26'!$A$3:$A$665,0)),"")</f>
        <v/>
      </c>
      <c r="M237" s="28"/>
      <c r="N237" s="27" t="n">
        <f aca="false">IFERROR(INDEX('Input Giocatori 2026_27'!$E$3:$E$493,MATCH($A237,'Input Giocatori 2026_27'!$A$3:$A$493,0)),"")</f>
        <v>5</v>
      </c>
      <c r="O237" s="27" t="n">
        <f aca="false">IFERROR(INDEX('Input Giocatori 2026_27'!$G$3:$G$493,MATCH($A237,'Input Giocatori 2026_27'!$A$3:$A$493,0)),"")</f>
        <v>14</v>
      </c>
      <c r="P237" s="26" t="str">
        <f aca="false">IFERROR(IF($O237="","",IF((1-(COUNTIFS($B$2:$B$492,$B237,$O$2:$O$492,"&gt;"&amp;$O237)+1-1)/COUNTIF($B$2:$B$492,$B237))&gt;=0.85,"Top",IF((1-(COUNTIFS($B$2:$B$492,$B237,$O$2:$O$492,"&gt;"&amp;$O237)+1-1)/COUNTIF($B$2:$B$492,$B237))&gt;=0.6,"Buono",IF((1-(COUNTIFS($B$2:$B$492,$B237,$O$2:$O$492,"&gt;"&amp;$O237)+1-1)/COUNTIF($B$2:$B$492,$B237))&gt;=0.3,"Nella Media","Scommessa/Riserva")))),"")</f>
        <v>Nella Media</v>
      </c>
      <c r="Q237" s="29" t="n">
        <f aca="false">IF($D237="",COUNTIF($D$2:$D237,""),"")</f>
        <v>236</v>
      </c>
      <c r="R237" s="29" t="str">
        <f aca="false">IF($D237='Info Lega'!$B$28,COUNTIFS($D$2:$D237,'Info Lega'!$B$28),"")</f>
        <v/>
      </c>
      <c r="S237" s="30" t="str">
        <f aca="false">IFERROR(INDEX('Input Statistiche 2025_26'!$G$3:$G$665,MATCH($A237,'Input Statistiche 2025_26'!$A$3:$A$665,0)),"")</f>
        <v/>
      </c>
      <c r="T237" s="30" t="str">
        <f aca="false">IFERROR(INDEX('Input Statistiche 2025_26'!$H$3:$H$665,MATCH($A237,'Input Statistiche 2025_26'!$A$3:$A$665,0)),"")</f>
        <v/>
      </c>
      <c r="U237" s="26" t="str">
        <f aca="false">IF(OR('La Mia Rosa'!$O$12="",$D237&lt;&gt;""),"",IF($F237&lt;='La Mia Rosa'!$O$12*'Parametri Modello'!$B$24,"OK",IF($F237&lt;='La Mia Rosa'!$O$12*'Parametri Modello'!$B$25,"Attenzione","Rischio Alto")))</f>
        <v>OK</v>
      </c>
      <c r="V237" s="26" t="n">
        <f aca="false">IFERROR(COUNTIFS($B$2:$B$492,$B237,$O$2:$O$492,"&gt;"&amp;$O237)+1,"")</f>
        <v>86</v>
      </c>
      <c r="W237" s="21" t="n">
        <f aca="false">'Info Lega'!$B$4-SUMIFS($M$2:$M$492,$D$2:$D$492,'Info Lega'!$B$28)</f>
        <v>1000</v>
      </c>
      <c r="X237" s="21" t="n">
        <f aca="false">('Info Lega'!$B$5-COUNTIFS($D$2:$D$492,'Info Lega'!$B$28,$B$2:$B$492,"P"))+('Info Lega'!$B$6-COUNTIFS($D$2:$D$492,'Info Lega'!$B$28,$B$2:$B$492,"D"))+('Info Lega'!$B$7-COUNTIFS($D$2:$D$492,'Info Lega'!$B$28,$B$2:$B$492,"C"))+('Info Lega'!$B$8-COUNTIFS($D$2:$D$492,'Info Lega'!$B$28,$B$2:$B$492,"A"))</f>
        <v>25</v>
      </c>
      <c r="Y237" s="21" t="n">
        <f aca="false">X237*'Parametri Modello'!$B$30</f>
        <v>25</v>
      </c>
      <c r="Z237" s="21" t="n">
        <f aca="false">MAX(0,W237-Y237)</f>
        <v>975</v>
      </c>
      <c r="AA237" s="21" t="n">
        <f aca="false">MIN(F237,Z237)</f>
        <v>8</v>
      </c>
      <c r="AB237" s="21"/>
      <c r="AC237" s="21" t="str">
        <f aca="false">IF(AB237="","",IF(AB237&gt;AA237,"PASS",IF(AB237&lt;=AA237*0.85,"BID","ATTENZIONE")))</f>
        <v/>
      </c>
      <c r="AD237" s="31" t="str">
        <f aca="false">IF(I237="","",ROUND(100*(1-EXP(-I237/30)),0))</f>
        <v/>
      </c>
      <c r="AE237" s="7" t="str">
        <f aca="false">IFERROR(INDEX('Stato Asta'!$G$9:$G$12,MATCH($B237,'Stato Asta'!$A$9:$A$12,0)),"")</f>
        <v>🟡 Attesa rischiosa</v>
      </c>
    </row>
    <row r="238" customFormat="false" ht="14.25" hidden="false" customHeight="true" outlineLevel="0" collapsed="false">
      <c r="A238" s="21" t="n">
        <v>5319</v>
      </c>
      <c r="B238" s="21" t="s">
        <v>45</v>
      </c>
      <c r="C238" s="21" t="s">
        <v>470</v>
      </c>
      <c r="E238" s="26" t="str">
        <f aca="false">IF(COUNTIF('Info Strategia'!$D$2:$D$51,$C238)&gt;0,"SI","NO")</f>
        <v>NO</v>
      </c>
      <c r="F238" s="27" t="n">
        <f aca="false">IFERROR(ROUND(($G238+($H238-$G238)*'Info Strategia'!$B$6)*(1+IF($E238="SI",'Parametri Modello'!$B$7*'Info Strategia'!$B$6,0)),0),"")</f>
        <v>8</v>
      </c>
      <c r="G238" s="27" t="n">
        <f aca="false">IFERROR(ROUND((IF(OR(INDEX('Parametri Modello'!$C$39:$C$42,MATCH($B238,'Parametri Modello'!$A$39:$A$42,0))="",INDEX('Parametri Modello'!$C$39:$C$42,MATCH($B238,'Parametri Modello'!$A$39:$A$42,0))=0),0,($O238/INDEX('Parametri Modello'!$C$39:$C$42,MATCH($B238,'Parametri Modello'!$A$39:$A$42,0)))*(INDEX('Parametri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5</v>
      </c>
      <c r="H238" s="27" t="n">
        <f aca="false">IFERROR(ROUND((IF(OR(INDEX('Parametri Modello'!$C$39:$C$42,MATCH($B238,'Parametri Modello'!$A$39:$A$42,0))="",INDEX('Parametri Modello'!$C$39:$C$42,MATCH($B238,'Parametri Modello'!$A$39:$A$42,0))=0),0,($O238/INDEX('Parametri Modello'!$C$39:$C$42,MATCH($B238,'Parametri Modello'!$A$39:$A$42,0)))*(INDEX('Parametri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9</v>
      </c>
      <c r="I238" s="26" t="n">
        <f aca="false">IFERROR(INDEX('Input Statistiche 2025_26'!$F$3:$F$665,MATCH($A238,'Input Statistiche 2025_26'!$A$3:$A$665,0)),"")</f>
        <v>24</v>
      </c>
      <c r="J238" s="26" t="n">
        <f aca="false">IFERROR(IF($I238="","",MAX(0,38-$I238)),"")</f>
        <v>14</v>
      </c>
      <c r="K238" s="26" t="n">
        <f aca="false">IFERROR(INDEX('Input Statistiche 2025_26'!$I$3:$I$665,MATCH($A238,'Input Statistiche 2025_26'!$A$3:$A$665,0)),"")</f>
        <v>0</v>
      </c>
      <c r="L238" s="26" t="n">
        <f aca="false">IFERROR(INDEX('Input Statistiche 2025_26'!$O$3:$O$665,MATCH($A238,'Input Statistiche 2025_26'!$A$3:$A$665,0)),"")</f>
        <v>1</v>
      </c>
      <c r="M238" s="28"/>
      <c r="N238" s="27" t="n">
        <f aca="false">IFERROR(INDEX('Input Giocatori 2026_27'!$E$3:$E$493,MATCH($A238,'Input Giocatori 2026_27'!$A$3:$A$493,0)),"")</f>
        <v>5</v>
      </c>
      <c r="O238" s="27" t="n">
        <f aca="false">IFERROR(INDEX('Input Giocatori 2026_27'!$G$3:$G$493,MATCH($A238,'Input Giocatori 2026_27'!$A$3:$A$493,0)),"")</f>
        <v>14</v>
      </c>
      <c r="P238" s="26" t="str">
        <f aca="false">IFERROR(IF($O238="","",IF((1-(COUNTIFS($B$2:$B$492,$B238,$O$2:$O$492,"&gt;"&amp;$O238)+1-1)/COUNTIF($B$2:$B$492,$B238))&gt;=0.85,"Top",IF((1-(COUNTIFS($B$2:$B$492,$B238,$O$2:$O$492,"&gt;"&amp;$O238)+1-1)/COUNTIF($B$2:$B$492,$B238))&gt;=0.6,"Buono",IF((1-(COUNTIFS($B$2:$B$492,$B238,$O$2:$O$492,"&gt;"&amp;$O238)+1-1)/COUNTIF($B$2:$B$492,$B238))&gt;=0.3,"Nella Media","Scommessa/Riserva")))),"")</f>
        <v>Nella Media</v>
      </c>
      <c r="Q238" s="29" t="n">
        <f aca="false">IF($D238="",COUNTIF($D$2:$D238,""),"")</f>
        <v>237</v>
      </c>
      <c r="R238" s="29" t="str">
        <f aca="false">IF($D238='Info Lega'!$B$28,COUNTIFS($D$2:$D238,'Info Lega'!$B$28),"")</f>
        <v/>
      </c>
      <c r="S238" s="30" t="n">
        <f aca="false">IFERROR(INDEX('Input Statistiche 2025_26'!$G$3:$G$665,MATCH($A238,'Input Statistiche 2025_26'!$A$3:$A$665,0)),"")</f>
        <v>5.65</v>
      </c>
      <c r="T238" s="30" t="n">
        <f aca="false">IFERROR(INDEX('Input Statistiche 2025_26'!$H$3:$H$665,MATCH($A238,'Input Statistiche 2025_26'!$A$3:$A$665,0)),"")</f>
        <v>5.62</v>
      </c>
      <c r="U238" s="26" t="str">
        <f aca="false">IF(OR('La Mia Rosa'!$O$12="",$D238&lt;&gt;""),"",IF($F238&lt;='La Mia Rosa'!$O$12*'Parametri Modello'!$B$24,"OK",IF($F238&lt;='La Mia Rosa'!$O$12*'Parametri Modello'!$B$25,"Attenzione","Rischio Alto")))</f>
        <v>OK</v>
      </c>
      <c r="V238" s="26" t="n">
        <f aca="false">IFERROR(COUNTIFS($B$2:$B$492,$B238,$O$2:$O$492,"&gt;"&amp;$O238)+1,"")</f>
        <v>86</v>
      </c>
      <c r="W238" s="21" t="n">
        <f aca="false">'Info Lega'!$B$4-SUMIFS($M$2:$M$492,$D$2:$D$492,'Info Lega'!$B$28)</f>
        <v>1000</v>
      </c>
      <c r="X238" s="21" t="n">
        <f aca="false">('Info Lega'!$B$5-COUNTIFS($D$2:$D$492,'Info Lega'!$B$28,$B$2:$B$492,"P"))+('Info Lega'!$B$6-COUNTIFS($D$2:$D$492,'Info Lega'!$B$28,$B$2:$B$492,"D"))+('Info Lega'!$B$7-COUNTIFS($D$2:$D$492,'Info Lega'!$B$28,$B$2:$B$492,"C"))+('Info Lega'!$B$8-COUNTIFS($D$2:$D$492,'Info Lega'!$B$28,$B$2:$B$492,"A"))</f>
        <v>25</v>
      </c>
      <c r="Y238" s="21" t="n">
        <f aca="false">X238*'Parametri Modello'!$B$30</f>
        <v>25</v>
      </c>
      <c r="Z238" s="21" t="n">
        <f aca="false">MAX(0,W238-Y238)</f>
        <v>975</v>
      </c>
      <c r="AA238" s="21" t="n">
        <f aca="false">MIN(F238,Z238)</f>
        <v>8</v>
      </c>
      <c r="AB238" s="21"/>
      <c r="AC238" s="21" t="str">
        <f aca="false">IF(AB238="","",IF(AB238&gt;AA238,"PASS",IF(AB238&lt;=AA238*0.85,"BID","ATTENZIONE")))</f>
        <v/>
      </c>
      <c r="AD238" s="31" t="n">
        <f aca="false">IF(I238="","",ROUND(100*(1-EXP(-I238/30)),0))</f>
        <v>55</v>
      </c>
      <c r="AE238" s="7" t="str">
        <f aca="false">IFERROR(INDEX('Stato Asta'!$G$9:$G$12,MATCH($B238,'Stato Asta'!$A$9:$A$12,0)),"")</f>
        <v>🟡 Attesa rischiosa</v>
      </c>
    </row>
    <row r="239" customFormat="false" ht="14.25" hidden="false" customHeight="true" outlineLevel="0" collapsed="false">
      <c r="A239" s="21" t="n">
        <v>6994</v>
      </c>
      <c r="B239" s="21" t="s">
        <v>45</v>
      </c>
      <c r="C239" s="21" t="s">
        <v>471</v>
      </c>
      <c r="E239" s="26" t="str">
        <f aca="false">IF(COUNTIF('Info Strategia'!$D$2:$D$51,$C239)&gt;0,"SI","NO")</f>
        <v>NO</v>
      </c>
      <c r="F239" s="27" t="n">
        <f aca="false">IFERROR(ROUND(($G239+($H239-$G239)*'Info Strategia'!$B$6)*(1+IF($E239="SI",'Parametri Modello'!$B$7*'Info Strategia'!$B$6,0)),0),"")</f>
        <v>8</v>
      </c>
      <c r="G239" s="27" t="n">
        <f aca="false">IFERROR(ROUND((IF(OR(INDEX('Parametri Modello'!$C$39:$C$42,MATCH($B239,'Parametri Modello'!$A$39:$A$42,0))="",INDEX('Parametri Modello'!$C$39:$C$42,MATCH($B239,'Parametri Modello'!$A$39:$A$42,0))=0),0,($O239/INDEX('Parametri Modello'!$C$39:$C$42,MATCH($B239,'Parametri Modello'!$A$39:$A$42,0)))*(INDEX('Parametri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5</v>
      </c>
      <c r="H239" s="27" t="n">
        <f aca="false">IFERROR(ROUND((IF(OR(INDEX('Parametri Modello'!$C$39:$C$42,MATCH($B239,'Parametri Modello'!$A$39:$A$42,0))="",INDEX('Parametri Modello'!$C$39:$C$42,MATCH($B239,'Parametri Modello'!$A$39:$A$42,0))=0),0,($O239/INDEX('Parametri Modello'!$C$39:$C$42,MATCH($B239,'Parametri Modello'!$A$39:$A$42,0)))*(INDEX('Parametri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9</v>
      </c>
      <c r="I239" s="26" t="str">
        <f aca="false">IFERROR(INDEX('Input Statistiche 2025_26'!$F$3:$F$665,MATCH($A239,'Input Statistiche 2025_26'!$A$3:$A$665,0)),"")</f>
        <v/>
      </c>
      <c r="J239" s="26" t="str">
        <f aca="false">IFERROR(IF($I239="","",MAX(0,38-$I239)),"")</f>
        <v/>
      </c>
      <c r="K239" s="26" t="str">
        <f aca="false">IFERROR(INDEX('Input Statistiche 2025_26'!$I$3:$I$665,MATCH($A239,'Input Statistiche 2025_26'!$A$3:$A$665,0)),"")</f>
        <v/>
      </c>
      <c r="L239" s="26" t="str">
        <f aca="false">IFERROR(INDEX('Input Statistiche 2025_26'!$O$3:$O$665,MATCH($A239,'Input Statistiche 2025_26'!$A$3:$A$665,0)),"")</f>
        <v/>
      </c>
      <c r="M239" s="28"/>
      <c r="N239" s="27" t="n">
        <f aca="false">IFERROR(INDEX('Input Giocatori 2026_27'!$E$3:$E$493,MATCH($A239,'Input Giocatori 2026_27'!$A$3:$A$493,0)),"")</f>
        <v>5</v>
      </c>
      <c r="O239" s="27" t="n">
        <f aca="false">IFERROR(INDEX('Input Giocatori 2026_27'!$G$3:$G$493,MATCH($A239,'Input Giocatori 2026_27'!$A$3:$A$493,0)),"")</f>
        <v>14</v>
      </c>
      <c r="P239" s="26" t="str">
        <f aca="false">IFERROR(IF($O239="","",IF((1-(COUNTIFS($B$2:$B$492,$B239,$O$2:$O$492,"&gt;"&amp;$O239)+1-1)/COUNTIF($B$2:$B$492,$B239))&gt;=0.85,"Top",IF((1-(COUNTIFS($B$2:$B$492,$B239,$O$2:$O$492,"&gt;"&amp;$O239)+1-1)/COUNTIF($B$2:$B$492,$B239))&gt;=0.6,"Buono",IF((1-(COUNTIFS($B$2:$B$492,$B239,$O$2:$O$492,"&gt;"&amp;$O239)+1-1)/COUNTIF($B$2:$B$492,$B239))&gt;=0.3,"Nella Media","Scommessa/Riserva")))),"")</f>
        <v>Nella Media</v>
      </c>
      <c r="Q239" s="29" t="n">
        <f aca="false">IF($D239="",COUNTIF($D$2:$D239,""),"")</f>
        <v>238</v>
      </c>
      <c r="R239" s="29" t="str">
        <f aca="false">IF($D239='Info Lega'!$B$28,COUNTIFS($D$2:$D239,'Info Lega'!$B$28),"")</f>
        <v/>
      </c>
      <c r="S239" s="30" t="str">
        <f aca="false">IFERROR(INDEX('Input Statistiche 2025_26'!$G$3:$G$665,MATCH($A239,'Input Statistiche 2025_26'!$A$3:$A$665,0)),"")</f>
        <v/>
      </c>
      <c r="T239" s="30" t="str">
        <f aca="false">IFERROR(INDEX('Input Statistiche 2025_26'!$H$3:$H$665,MATCH($A239,'Input Statistiche 2025_26'!$A$3:$A$665,0)),"")</f>
        <v/>
      </c>
      <c r="U239" s="26" t="str">
        <f aca="false">IF(OR('La Mia Rosa'!$O$12="",$D239&lt;&gt;""),"",IF($F239&lt;='La Mia Rosa'!$O$12*'Parametri Modello'!$B$24,"OK",IF($F239&lt;='La Mia Rosa'!$O$12*'Parametri Modello'!$B$25,"Attenzione","Rischio Alto")))</f>
        <v>OK</v>
      </c>
      <c r="V239" s="26" t="n">
        <f aca="false">IFERROR(COUNTIFS($B$2:$B$492,$B239,$O$2:$O$492,"&gt;"&amp;$O239)+1,"")</f>
        <v>86</v>
      </c>
      <c r="W239" s="21" t="n">
        <f aca="false">'Info Lega'!$B$4-SUMIFS($M$2:$M$492,$D$2:$D$492,'Info Lega'!$B$28)</f>
        <v>1000</v>
      </c>
      <c r="X239" s="21" t="n">
        <f aca="false">('Info Lega'!$B$5-COUNTIFS($D$2:$D$492,'Info Lega'!$B$28,$B$2:$B$492,"P"))+('Info Lega'!$B$6-COUNTIFS($D$2:$D$492,'Info Lega'!$B$28,$B$2:$B$492,"D"))+('Info Lega'!$B$7-COUNTIFS($D$2:$D$492,'Info Lega'!$B$28,$B$2:$B$492,"C"))+('Info Lega'!$B$8-COUNTIFS($D$2:$D$492,'Info Lega'!$B$28,$B$2:$B$492,"A"))</f>
        <v>25</v>
      </c>
      <c r="Y239" s="21" t="n">
        <f aca="false">X239*'Parametri Modello'!$B$30</f>
        <v>25</v>
      </c>
      <c r="Z239" s="21" t="n">
        <f aca="false">MAX(0,W239-Y239)</f>
        <v>975</v>
      </c>
      <c r="AA239" s="21" t="n">
        <f aca="false">MIN(F239,Z239)</f>
        <v>8</v>
      </c>
      <c r="AB239" s="21"/>
      <c r="AC239" s="21" t="str">
        <f aca="false">IF(AB239="","",IF(AB239&gt;AA239,"PASS",IF(AB239&lt;=AA239*0.85,"BID","ATTENZIONE")))</f>
        <v/>
      </c>
      <c r="AD239" s="31" t="str">
        <f aca="false">IF(I239="","",ROUND(100*(1-EXP(-I239/30)),0))</f>
        <v/>
      </c>
      <c r="AE239" s="7" t="str">
        <f aca="false">IFERROR(INDEX('Stato Asta'!$G$9:$G$12,MATCH($B239,'Stato Asta'!$A$9:$A$12,0)),"")</f>
        <v>🟡 Attesa rischiosa</v>
      </c>
    </row>
    <row r="240" customFormat="false" ht="14.25" hidden="false" customHeight="true" outlineLevel="0" collapsed="false">
      <c r="A240" s="21" t="n">
        <v>6207</v>
      </c>
      <c r="B240" s="21" t="s">
        <v>45</v>
      </c>
      <c r="C240" s="21" t="s">
        <v>487</v>
      </c>
      <c r="E240" s="26" t="str">
        <f aca="false">IF(COUNTIF('Info Strategia'!$D$2:$D$51,$C240)&gt;0,"SI","NO")</f>
        <v>NO</v>
      </c>
      <c r="F240" s="27" t="n">
        <f aca="false">IFERROR(ROUND(($G240+($H240-$G240)*'Info Strategia'!$B$6)*(1+IF($E240="SI",'Parametri Modello'!$B$7*'Info Strategia'!$B$6,0)),0),"")</f>
        <v>8</v>
      </c>
      <c r="G240" s="27" t="n">
        <f aca="false">IFERROR(ROUND((IF(OR(INDEX('Parametri Modello'!$C$39:$C$42,MATCH($B240,'Parametri Modello'!$A$39:$A$42,0))="",INDEX('Parametri Modello'!$C$39:$C$42,MATCH($B240,'Parametri Modello'!$A$39:$A$42,0))=0),0,($O240/INDEX('Parametri Modello'!$C$39:$C$42,MATCH($B240,'Parametri Modello'!$A$39:$A$42,0)))*(INDEX('Parametri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5</v>
      </c>
      <c r="H240" s="27" t="n">
        <f aca="false">IFERROR(ROUND((IF(OR(INDEX('Parametri Modello'!$C$39:$C$42,MATCH($B240,'Parametri Modello'!$A$39:$A$42,0))="",INDEX('Parametri Modello'!$C$39:$C$42,MATCH($B240,'Parametri Modello'!$A$39:$A$42,0))=0),0,($O240/INDEX('Parametri Modello'!$C$39:$C$42,MATCH($B240,'Parametri Modello'!$A$39:$A$42,0)))*(INDEX('Parametri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9</v>
      </c>
      <c r="I240" s="26" t="n">
        <f aca="false">IFERROR(INDEX('Input Statistiche 2025_26'!$F$3:$F$665,MATCH($A240,'Input Statistiche 2025_26'!$A$3:$A$665,0)),"")</f>
        <v>9</v>
      </c>
      <c r="J240" s="26" t="n">
        <f aca="false">IFERROR(IF($I240="","",MAX(0,38-$I240)),"")</f>
        <v>29</v>
      </c>
      <c r="K240" s="26" t="n">
        <f aca="false">IFERROR(INDEX('Input Statistiche 2025_26'!$I$3:$I$665,MATCH($A240,'Input Statistiche 2025_26'!$A$3:$A$665,0)),"")</f>
        <v>0</v>
      </c>
      <c r="L240" s="26" t="n">
        <f aca="false">IFERROR(INDEX('Input Statistiche 2025_26'!$O$3:$O$665,MATCH($A240,'Input Statistiche 2025_26'!$A$3:$A$665,0)),"")</f>
        <v>1</v>
      </c>
      <c r="M240" s="28"/>
      <c r="N240" s="27" t="n">
        <f aca="false">IFERROR(INDEX('Input Giocatori 2026_27'!$E$3:$E$493,MATCH($A240,'Input Giocatori 2026_27'!$A$3:$A$493,0)),"")</f>
        <v>4</v>
      </c>
      <c r="O240" s="27" t="n">
        <f aca="false">IFERROR(INDEX('Input Giocatori 2026_27'!$G$3:$G$493,MATCH($A240,'Input Giocatori 2026_27'!$A$3:$A$493,0)),"")</f>
        <v>14</v>
      </c>
      <c r="P240" s="26" t="str">
        <f aca="false">IFERROR(IF($O240="","",IF((1-(COUNTIFS($B$2:$B$492,$B240,$O$2:$O$492,"&gt;"&amp;$O240)+1-1)/COUNTIF($B$2:$B$492,$B240))&gt;=0.85,"Top",IF((1-(COUNTIFS($B$2:$B$492,$B240,$O$2:$O$492,"&gt;"&amp;$O240)+1-1)/COUNTIF($B$2:$B$492,$B240))&gt;=0.6,"Buono",IF((1-(COUNTIFS($B$2:$B$492,$B240,$O$2:$O$492,"&gt;"&amp;$O240)+1-1)/COUNTIF($B$2:$B$492,$B240))&gt;=0.3,"Nella Media","Scommessa/Riserva")))),"")</f>
        <v>Nella Media</v>
      </c>
      <c r="Q240" s="29" t="n">
        <f aca="false">IF($D240="",COUNTIF($D$2:$D240,""),"")</f>
        <v>239</v>
      </c>
      <c r="R240" s="29" t="str">
        <f aca="false">IF($D240='Info Lega'!$B$28,COUNTIFS($D$2:$D240,'Info Lega'!$B$28),"")</f>
        <v/>
      </c>
      <c r="S240" s="30" t="n">
        <f aca="false">IFERROR(INDEX('Input Statistiche 2025_26'!$G$3:$G$665,MATCH($A240,'Input Statistiche 2025_26'!$A$3:$A$665,0)),"")</f>
        <v>5.94</v>
      </c>
      <c r="T240" s="30" t="n">
        <f aca="false">IFERROR(INDEX('Input Statistiche 2025_26'!$H$3:$H$665,MATCH($A240,'Input Statistiche 2025_26'!$A$3:$A$665,0)),"")</f>
        <v>6.06</v>
      </c>
      <c r="U240" s="26" t="str">
        <f aca="false">IF(OR('La Mia Rosa'!$O$12="",$D240&lt;&gt;""),"",IF($F240&lt;='La Mia Rosa'!$O$12*'Parametri Modello'!$B$24,"OK",IF($F240&lt;='La Mia Rosa'!$O$12*'Parametri Modello'!$B$25,"Attenzione","Rischio Alto")))</f>
        <v>OK</v>
      </c>
      <c r="V240" s="26" t="n">
        <f aca="false">IFERROR(COUNTIFS($B$2:$B$492,$B240,$O$2:$O$492,"&gt;"&amp;$O240)+1,"")</f>
        <v>86</v>
      </c>
      <c r="W240" s="21" t="n">
        <f aca="false">'Info Lega'!$B$4-SUMIFS($M$2:$M$492,$D$2:$D$492,'Info Lega'!$B$28)</f>
        <v>1000</v>
      </c>
      <c r="X240" s="21" t="n">
        <f aca="false">('Info Lega'!$B$5-COUNTIFS($D$2:$D$492,'Info Lega'!$B$28,$B$2:$B$492,"P"))+('Info Lega'!$B$6-COUNTIFS($D$2:$D$492,'Info Lega'!$B$28,$B$2:$B$492,"D"))+('Info Lega'!$B$7-COUNTIFS($D$2:$D$492,'Info Lega'!$B$28,$B$2:$B$492,"C"))+('Info Lega'!$B$8-COUNTIFS($D$2:$D$492,'Info Lega'!$B$28,$B$2:$B$492,"A"))</f>
        <v>25</v>
      </c>
      <c r="Y240" s="21" t="n">
        <f aca="false">X240*'Parametri Modello'!$B$30</f>
        <v>25</v>
      </c>
      <c r="Z240" s="21" t="n">
        <f aca="false">MAX(0,W240-Y240)</f>
        <v>975</v>
      </c>
      <c r="AA240" s="21" t="n">
        <f aca="false">MIN(F240,Z240)</f>
        <v>8</v>
      </c>
      <c r="AB240" s="21"/>
      <c r="AC240" s="21" t="str">
        <f aca="false">IF(AB240="","",IF(AB240&gt;AA240,"PASS",IF(AB240&lt;=AA240*0.85,"BID","ATTENZIONE")))</f>
        <v/>
      </c>
      <c r="AD240" s="31" t="n">
        <f aca="false">IF(I240="","",ROUND(100*(1-EXP(-I240/30)),0))</f>
        <v>26</v>
      </c>
      <c r="AE240" s="7" t="str">
        <f aca="false">IFERROR(INDEX('Stato Asta'!$G$9:$G$12,MATCH($B240,'Stato Asta'!$A$9:$A$12,0)),"")</f>
        <v>🟡 Attesa rischiosa</v>
      </c>
    </row>
    <row r="241" customFormat="false" ht="14.25" hidden="false" customHeight="true" outlineLevel="0" collapsed="false">
      <c r="A241" s="21" t="n">
        <v>7008</v>
      </c>
      <c r="B241" s="21" t="s">
        <v>46</v>
      </c>
      <c r="C241" s="21" t="s">
        <v>591</v>
      </c>
      <c r="E241" s="26" t="str">
        <f aca="false">IF(COUNTIF('Info Strategia'!$D$2:$D$51,$C241)&gt;0,"SI","NO")</f>
        <v>NO</v>
      </c>
      <c r="F241" s="27" t="n">
        <f aca="false">IFERROR(ROUND(($G241+($H241-$G241)*'Info Strategia'!$B$6)*(1+IF($E241="SI",'Parametri Modello'!$B$7*'Info Strategia'!$B$6,0)),0),"")</f>
        <v>12</v>
      </c>
      <c r="G241" s="27" t="n">
        <f aca="false">IFERROR(ROUND((IF(OR(INDEX('Parametri Modello'!$C$39:$C$42,MATCH($B241,'Parametri Modello'!$A$39:$A$42,0))="",INDEX('Parametri Modello'!$C$39:$C$42,MATCH($B241,'Parametri Modello'!$A$39:$A$42,0))=0),0,($O241/INDEX('Parametri Modello'!$C$39:$C$42,MATCH($B241,'Parametri Modello'!$A$39:$A$42,0)))*(INDEX('Parametri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8</v>
      </c>
      <c r="H241" s="27" t="n">
        <f aca="false">IFERROR(ROUND((IF(OR(INDEX('Parametri Modello'!$C$39:$C$42,MATCH($B241,'Parametri Modello'!$A$39:$A$42,0))="",INDEX('Parametri Modello'!$C$39:$C$42,MATCH($B241,'Parametri Modello'!$A$39:$A$42,0))=0),0,($O241/INDEX('Parametri Modello'!$C$39:$C$42,MATCH($B241,'Parametri Modello'!$A$39:$A$42,0)))*(INDEX('Parametri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14</v>
      </c>
      <c r="I241" s="26" t="n">
        <f aca="false">IFERROR(INDEX('Input Statistiche 2025_26'!$F$3:$F$665,MATCH($A241,'Input Statistiche 2025_26'!$A$3:$A$665,0)),"")</f>
        <v>15</v>
      </c>
      <c r="J241" s="26" t="n">
        <f aca="false">IFERROR(IF($I241="","",MAX(0,38-$I241)),"")</f>
        <v>23</v>
      </c>
      <c r="K241" s="26" t="n">
        <f aca="false">IFERROR(INDEX('Input Statistiche 2025_26'!$I$3:$I$665,MATCH($A241,'Input Statistiche 2025_26'!$A$3:$A$665,0)),"")</f>
        <v>0</v>
      </c>
      <c r="L241" s="26" t="n">
        <f aca="false">IFERROR(INDEX('Input Statistiche 2025_26'!$O$3:$O$665,MATCH($A241,'Input Statistiche 2025_26'!$A$3:$A$665,0)),"")</f>
        <v>1</v>
      </c>
      <c r="M241" s="28"/>
      <c r="N241" s="27" t="n">
        <f aca="false">IFERROR(INDEX('Input Giocatori 2026_27'!$E$3:$E$493,MATCH($A241,'Input Giocatori 2026_27'!$A$3:$A$493,0)),"")</f>
        <v>6</v>
      </c>
      <c r="O241" s="27" t="n">
        <f aca="false">IFERROR(INDEX('Input Giocatori 2026_27'!$G$3:$G$493,MATCH($A241,'Input Giocatori 2026_27'!$A$3:$A$493,0)),"")</f>
        <v>14</v>
      </c>
      <c r="P241" s="26" t="str">
        <f aca="false">IFERROR(IF($O241="","",IF((1-(COUNTIFS($B$2:$B$492,$B241,$O$2:$O$492,"&gt;"&amp;$O241)+1-1)/COUNTIF($B$2:$B$492,$B241))&gt;=0.85,"Top",IF((1-(COUNTIFS($B$2:$B$492,$B241,$O$2:$O$492,"&gt;"&amp;$O241)+1-1)/COUNTIF($B$2:$B$492,$B241))&gt;=0.6,"Buono",IF((1-(COUNTIFS($B$2:$B$492,$B241,$O$2:$O$492,"&gt;"&amp;$O241)+1-1)/COUNTIF($B$2:$B$492,$B241))&gt;=0.3,"Nella Media","Scommessa/Riserva")))),"")</f>
        <v>Nella Media</v>
      </c>
      <c r="Q241" s="29" t="n">
        <f aca="false">IF($D241="",COUNTIF($D$2:$D241,""),"")</f>
        <v>240</v>
      </c>
      <c r="R241" s="29" t="str">
        <f aca="false">IF($D241='Info Lega'!$B$28,COUNTIFS($D$2:$D241,'Info Lega'!$B$28),"")</f>
        <v/>
      </c>
      <c r="S241" s="30" t="n">
        <f aca="false">IFERROR(INDEX('Input Statistiche 2025_26'!$G$3:$G$665,MATCH($A241,'Input Statistiche 2025_26'!$A$3:$A$665,0)),"")</f>
        <v>5.5</v>
      </c>
      <c r="T241" s="30" t="n">
        <f aca="false">IFERROR(INDEX('Input Statistiche 2025_26'!$H$3:$H$665,MATCH($A241,'Input Statistiche 2025_26'!$A$3:$A$665,0)),"")</f>
        <v>5.53</v>
      </c>
      <c r="U241" s="26" t="str">
        <f aca="false">IF(OR('La Mia Rosa'!$O$12="",$D241&lt;&gt;""),"",IF($F241&lt;='La Mia Rosa'!$O$12*'Parametri Modello'!$B$24,"OK",IF($F241&lt;='La Mia Rosa'!$O$12*'Parametri Modello'!$B$25,"Attenzione","Rischio Alto")))</f>
        <v>OK</v>
      </c>
      <c r="V241" s="26" t="n">
        <f aca="false">IFERROR(COUNTIFS($B$2:$B$492,$B241,$O$2:$O$492,"&gt;"&amp;$O241)+1,"")</f>
        <v>58</v>
      </c>
      <c r="W241" s="21" t="n">
        <f aca="false">'Info Lega'!$B$4-SUMIFS($M$2:$M$492,$D$2:$D$492,'Info Lega'!$B$28)</f>
        <v>1000</v>
      </c>
      <c r="X241" s="21" t="n">
        <f aca="false">('Info Lega'!$B$5-COUNTIFS($D$2:$D$492,'Info Lega'!$B$28,$B$2:$B$492,"P"))+('Info Lega'!$B$6-COUNTIFS($D$2:$D$492,'Info Lega'!$B$28,$B$2:$B$492,"D"))+('Info Lega'!$B$7-COUNTIFS($D$2:$D$492,'Info Lega'!$B$28,$B$2:$B$492,"C"))+('Info Lega'!$B$8-COUNTIFS($D$2:$D$492,'Info Lega'!$B$28,$B$2:$B$492,"A"))</f>
        <v>25</v>
      </c>
      <c r="Y241" s="21" t="n">
        <f aca="false">X241*'Parametri Modello'!$B$30</f>
        <v>25</v>
      </c>
      <c r="Z241" s="21" t="n">
        <f aca="false">MAX(0,W241-Y241)</f>
        <v>975</v>
      </c>
      <c r="AA241" s="21" t="n">
        <f aca="false">MIN(F241,Z241)</f>
        <v>12</v>
      </c>
      <c r="AB241" s="21"/>
      <c r="AC241" s="21" t="str">
        <f aca="false">IF(AB241="","",IF(AB241&gt;AA241,"PASS",IF(AB241&lt;=AA241*0.85,"BID","ATTENZIONE")))</f>
        <v/>
      </c>
      <c r="AD241" s="31" t="n">
        <f aca="false">IF(I241="","",ROUND(100*(1-EXP(-I241/30)),0))</f>
        <v>39</v>
      </c>
      <c r="AE241" s="7" t="str">
        <f aca="false">IFERROR(INDEX('Stato Asta'!$G$9:$G$12,MATCH($B241,'Stato Asta'!$A$9:$A$12,0)),"")</f>
        <v>🔴 Non aspettare</v>
      </c>
    </row>
    <row r="242" customFormat="false" ht="14.25" hidden="false" customHeight="true" outlineLevel="0" collapsed="false">
      <c r="A242" s="21" t="n">
        <v>4896</v>
      </c>
      <c r="B242" s="21" t="s">
        <v>46</v>
      </c>
      <c r="C242" s="21" t="s">
        <v>593</v>
      </c>
      <c r="E242" s="26" t="str">
        <f aca="false">IF(COUNTIF('Info Strategia'!$D$2:$D$51,$C242)&gt;0,"SI","NO")</f>
        <v>NO</v>
      </c>
      <c r="F242" s="27" t="n">
        <f aca="false">IFERROR(ROUND(($G242+($H242-$G242)*'Info Strategia'!$B$6)*(1+IF($E242="SI",'Parametri Modello'!$B$7*'Info Strategia'!$B$6,0)),0),"")</f>
        <v>12</v>
      </c>
      <c r="G242" s="27" t="n">
        <f aca="false">IFERROR(ROUND((IF(OR(INDEX('Parametri Modello'!$C$39:$C$42,MATCH($B242,'Parametri Modello'!$A$39:$A$42,0))="",INDEX('Parametri Modello'!$C$39:$C$42,MATCH($B242,'Parametri Modello'!$A$39:$A$42,0))=0),0,($O242/INDEX('Parametri Modello'!$C$39:$C$42,MATCH($B242,'Parametri Modello'!$A$39:$A$42,0)))*(INDEX('Parametri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8</v>
      </c>
      <c r="H242" s="27" t="n">
        <f aca="false">IFERROR(ROUND((IF(OR(INDEX('Parametri Modello'!$C$39:$C$42,MATCH($B242,'Parametri Modello'!$A$39:$A$42,0))="",INDEX('Parametri Modello'!$C$39:$C$42,MATCH($B242,'Parametri Modello'!$A$39:$A$42,0))=0),0,($O242/INDEX('Parametri Modello'!$C$39:$C$42,MATCH($B242,'Parametri Modello'!$A$39:$A$42,0)))*(INDEX('Parametri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14</v>
      </c>
      <c r="I242" s="26" t="n">
        <f aca="false">IFERROR(INDEX('Input Statistiche 2025_26'!$F$3:$F$665,MATCH($A242,'Input Statistiche 2025_26'!$A$3:$A$665,0)),"")</f>
        <v>18</v>
      </c>
      <c r="J242" s="26" t="n">
        <f aca="false">IFERROR(IF($I242="","",MAX(0,38-$I242)),"")</f>
        <v>20</v>
      </c>
      <c r="K242" s="26" t="n">
        <f aca="false">IFERROR(INDEX('Input Statistiche 2025_26'!$I$3:$I$665,MATCH($A242,'Input Statistiche 2025_26'!$A$3:$A$665,0)),"")</f>
        <v>2</v>
      </c>
      <c r="L242" s="26" t="n">
        <f aca="false">IFERROR(INDEX('Input Statistiche 2025_26'!$O$3:$O$665,MATCH($A242,'Input Statistiche 2025_26'!$A$3:$A$665,0)),"")</f>
        <v>1</v>
      </c>
      <c r="M242" s="28"/>
      <c r="N242" s="27" t="n">
        <f aca="false">IFERROR(INDEX('Input Giocatori 2026_27'!$E$3:$E$493,MATCH($A242,'Input Giocatori 2026_27'!$A$3:$A$493,0)),"")</f>
        <v>5</v>
      </c>
      <c r="O242" s="27" t="n">
        <f aca="false">IFERROR(INDEX('Input Giocatori 2026_27'!$G$3:$G$493,MATCH($A242,'Input Giocatori 2026_27'!$A$3:$A$493,0)),"")</f>
        <v>14</v>
      </c>
      <c r="P242" s="26" t="str">
        <f aca="false">IFERROR(IF($O242="","",IF((1-(COUNTIFS($B$2:$B$492,$B242,$O$2:$O$492,"&gt;"&amp;$O242)+1-1)/COUNTIF($B$2:$B$492,$B242))&gt;=0.85,"Top",IF((1-(COUNTIFS($B$2:$B$492,$B242,$O$2:$O$492,"&gt;"&amp;$O242)+1-1)/COUNTIF($B$2:$B$492,$B242))&gt;=0.6,"Buono",IF((1-(COUNTIFS($B$2:$B$492,$B242,$O$2:$O$492,"&gt;"&amp;$O242)+1-1)/COUNTIF($B$2:$B$492,$B242))&gt;=0.3,"Nella Media","Scommessa/Riserva")))),"")</f>
        <v>Nella Media</v>
      </c>
      <c r="Q242" s="29" t="n">
        <f aca="false">IF($D242="",COUNTIF($D$2:$D242,""),"")</f>
        <v>241</v>
      </c>
      <c r="R242" s="29" t="str">
        <f aca="false">IF($D242='Info Lega'!$B$28,COUNTIFS($D$2:$D242,'Info Lega'!$B$28),"")</f>
        <v/>
      </c>
      <c r="S242" s="30" t="n">
        <f aca="false">IFERROR(INDEX('Input Statistiche 2025_26'!$G$3:$G$665,MATCH($A242,'Input Statistiche 2025_26'!$A$3:$A$665,0)),"")</f>
        <v>5.94</v>
      </c>
      <c r="T242" s="30" t="n">
        <f aca="false">IFERROR(INDEX('Input Statistiche 2025_26'!$H$3:$H$665,MATCH($A242,'Input Statistiche 2025_26'!$A$3:$A$665,0)),"")</f>
        <v>6.31</v>
      </c>
      <c r="U242" s="26" t="str">
        <f aca="false">IF(OR('La Mia Rosa'!$O$12="",$D242&lt;&gt;""),"",IF($F242&lt;='La Mia Rosa'!$O$12*'Parametri Modello'!$B$24,"OK",IF($F242&lt;='La Mia Rosa'!$O$12*'Parametri Modello'!$B$25,"Attenzione","Rischio Alto")))</f>
        <v>OK</v>
      </c>
      <c r="V242" s="26" t="n">
        <f aca="false">IFERROR(COUNTIFS($B$2:$B$492,$B242,$O$2:$O$492,"&gt;"&amp;$O242)+1,"")</f>
        <v>58</v>
      </c>
      <c r="W242" s="21" t="n">
        <f aca="false">'Info Lega'!$B$4-SUMIFS($M$2:$M$492,$D$2:$D$492,'Info Lega'!$B$28)</f>
        <v>1000</v>
      </c>
      <c r="X242" s="21" t="n">
        <f aca="false">('Info Lega'!$B$5-COUNTIFS($D$2:$D$492,'Info Lega'!$B$28,$B$2:$B$492,"P"))+('Info Lega'!$B$6-COUNTIFS($D$2:$D$492,'Info Lega'!$B$28,$B$2:$B$492,"D"))+('Info Lega'!$B$7-COUNTIFS($D$2:$D$492,'Info Lega'!$B$28,$B$2:$B$492,"C"))+('Info Lega'!$B$8-COUNTIFS($D$2:$D$492,'Info Lega'!$B$28,$B$2:$B$492,"A"))</f>
        <v>25</v>
      </c>
      <c r="Y242" s="21" t="n">
        <f aca="false">X242*'Parametri Modello'!$B$30</f>
        <v>25</v>
      </c>
      <c r="Z242" s="21" t="n">
        <f aca="false">MAX(0,W242-Y242)</f>
        <v>975</v>
      </c>
      <c r="AA242" s="21" t="n">
        <f aca="false">MIN(F242,Z242)</f>
        <v>12</v>
      </c>
      <c r="AB242" s="21"/>
      <c r="AC242" s="21" t="str">
        <f aca="false">IF(AB242="","",IF(AB242&gt;AA242,"PASS",IF(AB242&lt;=AA242*0.85,"BID","ATTENZIONE")))</f>
        <v/>
      </c>
      <c r="AD242" s="31" t="n">
        <f aca="false">IF(I242="","",ROUND(100*(1-EXP(-I242/30)),0))</f>
        <v>45</v>
      </c>
      <c r="AE242" s="7" t="str">
        <f aca="false">IFERROR(INDEX('Stato Asta'!$G$9:$G$12,MATCH($B242,'Stato Asta'!$A$9:$A$12,0)),"")</f>
        <v>🔴 Non aspettare</v>
      </c>
    </row>
    <row r="243" customFormat="false" ht="14.25" hidden="false" customHeight="true" outlineLevel="0" collapsed="false">
      <c r="A243" s="21" t="n">
        <v>4387</v>
      </c>
      <c r="B243" s="21" t="s">
        <v>46</v>
      </c>
      <c r="C243" s="21" t="s">
        <v>597</v>
      </c>
      <c r="E243" s="26" t="str">
        <f aca="false">IF(COUNTIF('Info Strategia'!$D$2:$D$51,$C243)&gt;0,"SI","NO")</f>
        <v>NO</v>
      </c>
      <c r="F243" s="27" t="n">
        <f aca="false">IFERROR(ROUND(($G243+($H243-$G243)*'Info Strategia'!$B$6)*(1+IF($E243="SI",'Parametri Modello'!$B$7*'Info Strategia'!$B$6,0)),0),"")</f>
        <v>12</v>
      </c>
      <c r="G243" s="27" t="n">
        <f aca="false">IFERROR(ROUND((IF(OR(INDEX('Parametri Modello'!$C$39:$C$42,MATCH($B243,'Parametri Modello'!$A$39:$A$42,0))="",INDEX('Parametri Modello'!$C$39:$C$42,MATCH($B243,'Parametri Modello'!$A$39:$A$42,0))=0),0,($O243/INDEX('Parametri Modello'!$C$39:$C$42,MATCH($B243,'Parametri Modello'!$A$39:$A$42,0)))*(INDEX('Parametri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8</v>
      </c>
      <c r="H243" s="27" t="n">
        <f aca="false">IFERROR(ROUND((IF(OR(INDEX('Parametri Modello'!$C$39:$C$42,MATCH($B243,'Parametri Modello'!$A$39:$A$42,0))="",INDEX('Parametri Modello'!$C$39:$C$42,MATCH($B243,'Parametri Modello'!$A$39:$A$42,0))=0),0,($O243/INDEX('Parametri Modello'!$C$39:$C$42,MATCH($B243,'Parametri Modello'!$A$39:$A$42,0)))*(INDEX('Parametri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14</v>
      </c>
      <c r="I243" s="26" t="str">
        <f aca="false">IFERROR(INDEX('Input Statistiche 2025_26'!$F$3:$F$665,MATCH($A243,'Input Statistiche 2025_26'!$A$3:$A$665,0)),"")</f>
        <v/>
      </c>
      <c r="J243" s="26" t="str">
        <f aca="false">IFERROR(IF($I243="","",MAX(0,38-$I243)),"")</f>
        <v/>
      </c>
      <c r="K243" s="26" t="str">
        <f aca="false">IFERROR(INDEX('Input Statistiche 2025_26'!$I$3:$I$665,MATCH($A243,'Input Statistiche 2025_26'!$A$3:$A$665,0)),"")</f>
        <v/>
      </c>
      <c r="L243" s="26" t="str">
        <f aca="false">IFERROR(INDEX('Input Statistiche 2025_26'!$O$3:$O$665,MATCH($A243,'Input Statistiche 2025_26'!$A$3:$A$665,0)),"")</f>
        <v/>
      </c>
      <c r="M243" s="28"/>
      <c r="N243" s="27" t="n">
        <f aca="false">IFERROR(INDEX('Input Giocatori 2026_27'!$E$3:$E$493,MATCH($A243,'Input Giocatori 2026_27'!$A$3:$A$493,0)),"")</f>
        <v>5</v>
      </c>
      <c r="O243" s="27" t="n">
        <f aca="false">IFERROR(INDEX('Input Giocatori 2026_27'!$G$3:$G$493,MATCH($A243,'Input Giocatori 2026_27'!$A$3:$A$493,0)),"")</f>
        <v>14</v>
      </c>
      <c r="P243" s="26" t="str">
        <f aca="false">IFERROR(IF($O243="","",IF((1-(COUNTIFS($B$2:$B$492,$B243,$O$2:$O$492,"&gt;"&amp;$O243)+1-1)/COUNTIF($B$2:$B$492,$B243))&gt;=0.85,"Top",IF((1-(COUNTIFS($B$2:$B$492,$B243,$O$2:$O$492,"&gt;"&amp;$O243)+1-1)/COUNTIF($B$2:$B$492,$B243))&gt;=0.6,"Buono",IF((1-(COUNTIFS($B$2:$B$492,$B243,$O$2:$O$492,"&gt;"&amp;$O243)+1-1)/COUNTIF($B$2:$B$492,$B243))&gt;=0.3,"Nella Media","Scommessa/Riserva")))),"")</f>
        <v>Nella Media</v>
      </c>
      <c r="Q243" s="29" t="n">
        <f aca="false">IF($D243="",COUNTIF($D$2:$D243,""),"")</f>
        <v>242</v>
      </c>
      <c r="R243" s="29" t="str">
        <f aca="false">IF($D243='Info Lega'!$B$28,COUNTIFS($D$2:$D243,'Info Lega'!$B$28),"")</f>
        <v/>
      </c>
      <c r="S243" s="30" t="str">
        <f aca="false">IFERROR(INDEX('Input Statistiche 2025_26'!$G$3:$G$665,MATCH($A243,'Input Statistiche 2025_26'!$A$3:$A$665,0)),"")</f>
        <v/>
      </c>
      <c r="T243" s="30" t="str">
        <f aca="false">IFERROR(INDEX('Input Statistiche 2025_26'!$H$3:$H$665,MATCH($A243,'Input Statistiche 2025_26'!$A$3:$A$665,0)),"")</f>
        <v/>
      </c>
      <c r="U243" s="26" t="str">
        <f aca="false">IF(OR('La Mia Rosa'!$O$12="",$D243&lt;&gt;""),"",IF($F243&lt;='La Mia Rosa'!$O$12*'Parametri Modello'!$B$24,"OK",IF($F243&lt;='La Mia Rosa'!$O$12*'Parametri Modello'!$B$25,"Attenzione","Rischio Alto")))</f>
        <v>OK</v>
      </c>
      <c r="V243" s="26" t="n">
        <f aca="false">IFERROR(COUNTIFS($B$2:$B$492,$B243,$O$2:$O$492,"&gt;"&amp;$O243)+1,"")</f>
        <v>58</v>
      </c>
      <c r="W243" s="21" t="n">
        <f aca="false">'Info Lega'!$B$4-SUMIFS($M$2:$M$492,$D$2:$D$492,'Info Lega'!$B$28)</f>
        <v>1000</v>
      </c>
      <c r="X243" s="21" t="n">
        <f aca="false">('Info Lega'!$B$5-COUNTIFS($D$2:$D$492,'Info Lega'!$B$28,$B$2:$B$492,"P"))+('Info Lega'!$B$6-COUNTIFS($D$2:$D$492,'Info Lega'!$B$28,$B$2:$B$492,"D"))+('Info Lega'!$B$7-COUNTIFS($D$2:$D$492,'Info Lega'!$B$28,$B$2:$B$492,"C"))+('Info Lega'!$B$8-COUNTIFS($D$2:$D$492,'Info Lega'!$B$28,$B$2:$B$492,"A"))</f>
        <v>25</v>
      </c>
      <c r="Y243" s="21" t="n">
        <f aca="false">X243*'Parametri Modello'!$B$30</f>
        <v>25</v>
      </c>
      <c r="Z243" s="21" t="n">
        <f aca="false">MAX(0,W243-Y243)</f>
        <v>975</v>
      </c>
      <c r="AA243" s="21" t="n">
        <f aca="false">MIN(F243,Z243)</f>
        <v>12</v>
      </c>
      <c r="AB243" s="21"/>
      <c r="AC243" s="21" t="str">
        <f aca="false">IF(AB243="","",IF(AB243&gt;AA243,"PASS",IF(AB243&lt;=AA243*0.85,"BID","ATTENZIONE")))</f>
        <v/>
      </c>
      <c r="AD243" s="31" t="str">
        <f aca="false">IF(I243="","",ROUND(100*(1-EXP(-I243/30)),0))</f>
        <v/>
      </c>
      <c r="AE243" s="7" t="str">
        <f aca="false">IFERROR(INDEX('Stato Asta'!$G$9:$G$12,MATCH($B243,'Stato Asta'!$A$9:$A$12,0)),"")</f>
        <v>🔴 Non aspettare</v>
      </c>
    </row>
    <row r="244" customFormat="false" ht="14.25" hidden="false" customHeight="true" outlineLevel="0" collapsed="false">
      <c r="A244" s="21" t="n">
        <v>6660</v>
      </c>
      <c r="B244" s="21" t="s">
        <v>44</v>
      </c>
      <c r="C244" s="21" t="s">
        <v>251</v>
      </c>
      <c r="E244" s="26" t="str">
        <f aca="false">IF(COUNTIF('Info Strategia'!$D$2:$D$51,$C244)&gt;0,"SI","NO")</f>
        <v>NO</v>
      </c>
      <c r="F244" s="27" t="n">
        <f aca="false">IFERROR(ROUND(($G244+($H244-$G244)*'Info Strategia'!$B$6)*(1+IF($E244="SI",'Parametri Modello'!$B$7*'Info Strategia'!$B$6,0)),0),"")</f>
        <v>6</v>
      </c>
      <c r="G244" s="27" t="n">
        <f aca="false">IFERROR(ROUND((IF(OR(INDEX('Parametri Modello'!$C$39:$C$42,MATCH($B244,'Parametri Modello'!$A$39:$A$42,0))="",INDEX('Parametri Modello'!$C$39:$C$42,MATCH($B244,'Parametri Modello'!$A$39:$A$42,0))=0),0,($O244/INDEX('Parametri Modello'!$C$39:$C$42,MATCH($B244,'Parametri Modello'!$A$39:$A$42,0)))*(INDEX('Parametri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5</v>
      </c>
      <c r="H244" s="27" t="n">
        <f aca="false">IFERROR(ROUND((IF(OR(INDEX('Parametri Modello'!$C$39:$C$42,MATCH($B244,'Parametri Modello'!$A$39:$A$42,0))="",INDEX('Parametri Modello'!$C$39:$C$42,MATCH($B244,'Parametri Modello'!$A$39:$A$42,0))=0),0,($O244/INDEX('Parametri Modello'!$C$39:$C$42,MATCH($B244,'Parametri Modello'!$A$39:$A$42,0)))*(INDEX('Parametri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7</v>
      </c>
      <c r="I244" s="26" t="n">
        <f aca="false">IFERROR(INDEX('Input Statistiche 2025_26'!$F$3:$F$665,MATCH($A244,'Input Statistiche 2025_26'!$A$3:$A$665,0)),"")</f>
        <v>31</v>
      </c>
      <c r="J244" s="26" t="n">
        <f aca="false">IFERROR(IF($I244="","",MAX(0,38-$I244)),"")</f>
        <v>7</v>
      </c>
      <c r="K244" s="26" t="n">
        <f aca="false">IFERROR(INDEX('Input Statistiche 2025_26'!$I$3:$I$665,MATCH($A244,'Input Statistiche 2025_26'!$A$3:$A$665,0)),"")</f>
        <v>0</v>
      </c>
      <c r="L244" s="26" t="n">
        <f aca="false">IFERROR(INDEX('Input Statistiche 2025_26'!$O$3:$O$665,MATCH($A244,'Input Statistiche 2025_26'!$A$3:$A$665,0)),"")</f>
        <v>1</v>
      </c>
      <c r="M244" s="28"/>
      <c r="N244" s="27" t="n">
        <f aca="false">IFERROR(INDEX('Input Giocatori 2026_27'!$E$3:$E$493,MATCH($A244,'Input Giocatori 2026_27'!$A$3:$A$493,0)),"")</f>
        <v>6</v>
      </c>
      <c r="O244" s="27" t="n">
        <f aca="false">IFERROR(INDEX('Input Giocatori 2026_27'!$G$3:$G$493,MATCH($A244,'Input Giocatori 2026_27'!$A$3:$A$493,0)),"")</f>
        <v>13</v>
      </c>
      <c r="P244" s="26" t="str">
        <f aca="false">IFERROR(IF($O244="","",IF((1-(COUNTIFS($B$2:$B$492,$B244,$O$2:$O$492,"&gt;"&amp;$O244)+1-1)/COUNTIF($B$2:$B$492,$B244))&gt;=0.85,"Top",IF((1-(COUNTIFS($B$2:$B$492,$B244,$O$2:$O$492,"&gt;"&amp;$O244)+1-1)/COUNTIF($B$2:$B$492,$B244))&gt;=0.6,"Buono",IF((1-(COUNTIFS($B$2:$B$492,$B244,$O$2:$O$492,"&gt;"&amp;$O244)+1-1)/COUNTIF($B$2:$B$492,$B244))&gt;=0.3,"Nella Media","Scommessa/Riserva")))),"")</f>
        <v>Buono</v>
      </c>
      <c r="Q244" s="29" t="n">
        <f aca="false">IF($D244="",COUNTIF($D$2:$D244,""),"")</f>
        <v>243</v>
      </c>
      <c r="R244" s="29" t="str">
        <f aca="false">IF($D244='Info Lega'!$B$28,COUNTIFS($D$2:$D244,'Info Lega'!$B$28),"")</f>
        <v/>
      </c>
      <c r="S244" s="30" t="n">
        <f aca="false">IFERROR(INDEX('Input Statistiche 2025_26'!$G$3:$G$665,MATCH($A244,'Input Statistiche 2025_26'!$A$3:$A$665,0)),"")</f>
        <v>5.87</v>
      </c>
      <c r="T244" s="30" t="n">
        <f aca="false">IFERROR(INDEX('Input Statistiche 2025_26'!$H$3:$H$665,MATCH($A244,'Input Statistiche 2025_26'!$A$3:$A$665,0)),"")</f>
        <v>5.84</v>
      </c>
      <c r="U244" s="26" t="str">
        <f aca="false">IF(OR('La Mia Rosa'!$O$12="",$D244&lt;&gt;""),"",IF($F244&lt;='La Mia Rosa'!$O$12*'Parametri Modello'!$B$24,"OK",IF($F244&lt;='La Mia Rosa'!$O$12*'Parametri Modello'!$B$25,"Attenzione","Rischio Alto")))</f>
        <v>OK</v>
      </c>
      <c r="V244" s="26" t="n">
        <f aca="false">IFERROR(COUNTIFS($B$2:$B$492,$B244,$O$2:$O$492,"&gt;"&amp;$O244)+1,"")</f>
        <v>69</v>
      </c>
      <c r="W244" s="21" t="n">
        <f aca="false">'Info Lega'!$B$4-SUMIFS($M$2:$M$492,$D$2:$D$492,'Info Lega'!$B$28)</f>
        <v>1000</v>
      </c>
      <c r="X244" s="21" t="n">
        <f aca="false">('Info Lega'!$B$5-COUNTIFS($D$2:$D$492,'Info Lega'!$B$28,$B$2:$B$492,"P"))+('Info Lega'!$B$6-COUNTIFS($D$2:$D$492,'Info Lega'!$B$28,$B$2:$B$492,"D"))+('Info Lega'!$B$7-COUNTIFS($D$2:$D$492,'Info Lega'!$B$28,$B$2:$B$492,"C"))+('Info Lega'!$B$8-COUNTIFS($D$2:$D$492,'Info Lega'!$B$28,$B$2:$B$492,"A"))</f>
        <v>25</v>
      </c>
      <c r="Y244" s="21" t="n">
        <f aca="false">X244*'Parametri Modello'!$B$30</f>
        <v>25</v>
      </c>
      <c r="Z244" s="21" t="n">
        <f aca="false">MAX(0,W244-Y244)</f>
        <v>975</v>
      </c>
      <c r="AA244" s="21" t="n">
        <f aca="false">MIN(F244,Z244)</f>
        <v>6</v>
      </c>
      <c r="AB244" s="21"/>
      <c r="AC244" s="21" t="str">
        <f aca="false">IF(AB244="","",IF(AB244&gt;AA244,"PASS",IF(AB244&lt;=AA244*0.85,"BID","ATTENZIONE")))</f>
        <v/>
      </c>
      <c r="AD244" s="31" t="n">
        <f aca="false">IF(I244="","",ROUND(100*(1-EXP(-I244/30)),0))</f>
        <v>64</v>
      </c>
      <c r="AE244" s="7" t="str">
        <f aca="false">IFERROR(INDEX('Stato Asta'!$G$9:$G$12,MATCH($B244,'Stato Asta'!$A$9:$A$12,0)),"")</f>
        <v>🟡 Attesa rischiosa</v>
      </c>
    </row>
    <row r="245" customFormat="false" ht="14.25" hidden="false" customHeight="true" outlineLevel="0" collapsed="false">
      <c r="A245" s="21" t="n">
        <v>4502</v>
      </c>
      <c r="B245" s="21" t="s">
        <v>44</v>
      </c>
      <c r="C245" s="21" t="s">
        <v>255</v>
      </c>
      <c r="E245" s="26" t="str">
        <f aca="false">IF(COUNTIF('Info Strategia'!$D$2:$D$51,$C245)&gt;0,"SI","NO")</f>
        <v>NO</v>
      </c>
      <c r="F245" s="27" t="n">
        <f aca="false">IFERROR(ROUND(($G245+($H245-$G245)*'Info Strategia'!$B$6)*(1+IF($E245="SI",'Parametri Modello'!$B$7*'Info Strategia'!$B$6,0)),0),"")</f>
        <v>6</v>
      </c>
      <c r="G245" s="27" t="n">
        <f aca="false">IFERROR(ROUND((IF(OR(INDEX('Parametri Modello'!$C$39:$C$42,MATCH($B245,'Parametri Modello'!$A$39:$A$42,0))="",INDEX('Parametri Modello'!$C$39:$C$42,MATCH($B245,'Parametri Modello'!$A$39:$A$42,0))=0),0,($O245/INDEX('Parametri Modello'!$C$39:$C$42,MATCH($B245,'Parametri Modello'!$A$39:$A$42,0)))*(INDEX('Parametri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5</v>
      </c>
      <c r="H245" s="27" t="n">
        <f aca="false">IFERROR(ROUND((IF(OR(INDEX('Parametri Modello'!$C$39:$C$42,MATCH($B245,'Parametri Modello'!$A$39:$A$42,0))="",INDEX('Parametri Modello'!$C$39:$C$42,MATCH($B245,'Parametri Modello'!$A$39:$A$42,0))=0),0,($O245/INDEX('Parametri Modello'!$C$39:$C$42,MATCH($B245,'Parametri Modello'!$A$39:$A$42,0)))*(INDEX('Parametri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7</v>
      </c>
      <c r="I245" s="26" t="n">
        <f aca="false">IFERROR(INDEX('Input Statistiche 2025_26'!$F$3:$F$665,MATCH($A245,'Input Statistiche 2025_26'!$A$3:$A$665,0)),"")</f>
        <v>37</v>
      </c>
      <c r="J245" s="26" t="n">
        <f aca="false">IFERROR(IF($I245="","",MAX(0,38-$I245)),"")</f>
        <v>1</v>
      </c>
      <c r="K245" s="26" t="n">
        <f aca="false">IFERROR(INDEX('Input Statistiche 2025_26'!$I$3:$I$665,MATCH($A245,'Input Statistiche 2025_26'!$A$3:$A$665,0)),"")</f>
        <v>0</v>
      </c>
      <c r="L245" s="26" t="n">
        <f aca="false">IFERROR(INDEX('Input Statistiche 2025_26'!$O$3:$O$665,MATCH($A245,'Input Statistiche 2025_26'!$A$3:$A$665,0)),"")</f>
        <v>3</v>
      </c>
      <c r="M245" s="28"/>
      <c r="N245" s="27" t="n">
        <f aca="false">IFERROR(INDEX('Input Giocatori 2026_27'!$E$3:$E$493,MATCH($A245,'Input Giocatori 2026_27'!$A$3:$A$493,0)),"")</f>
        <v>6</v>
      </c>
      <c r="O245" s="27" t="n">
        <f aca="false">IFERROR(INDEX('Input Giocatori 2026_27'!$G$3:$G$493,MATCH($A245,'Input Giocatori 2026_27'!$A$3:$A$493,0)),"")</f>
        <v>13</v>
      </c>
      <c r="P245" s="26" t="str">
        <f aca="false">IFERROR(IF($O245="","",IF((1-(COUNTIFS($B$2:$B$492,$B245,$O$2:$O$492,"&gt;"&amp;$O245)+1-1)/COUNTIF($B$2:$B$492,$B245))&gt;=0.85,"Top",IF((1-(COUNTIFS($B$2:$B$492,$B245,$O$2:$O$492,"&gt;"&amp;$O245)+1-1)/COUNTIF($B$2:$B$492,$B245))&gt;=0.6,"Buono",IF((1-(COUNTIFS($B$2:$B$492,$B245,$O$2:$O$492,"&gt;"&amp;$O245)+1-1)/COUNTIF($B$2:$B$492,$B245))&gt;=0.3,"Nella Media","Scommessa/Riserva")))),"")</f>
        <v>Buono</v>
      </c>
      <c r="Q245" s="29" t="n">
        <f aca="false">IF($D245="",COUNTIF($D$2:$D245,""),"")</f>
        <v>244</v>
      </c>
      <c r="R245" s="29" t="str">
        <f aca="false">IF($D245='Info Lega'!$B$28,COUNTIFS($D$2:$D245,'Info Lega'!$B$28),"")</f>
        <v/>
      </c>
      <c r="S245" s="30" t="n">
        <f aca="false">IFERROR(INDEX('Input Statistiche 2025_26'!$G$3:$G$665,MATCH($A245,'Input Statistiche 2025_26'!$A$3:$A$665,0)),"")</f>
        <v>5.95</v>
      </c>
      <c r="T245" s="30" t="n">
        <f aca="false">IFERROR(INDEX('Input Statistiche 2025_26'!$H$3:$H$665,MATCH($A245,'Input Statistiche 2025_26'!$A$3:$A$665,0)),"")</f>
        <v>5.99</v>
      </c>
      <c r="U245" s="26" t="str">
        <f aca="false">IF(OR('La Mia Rosa'!$O$12="",$D245&lt;&gt;""),"",IF($F245&lt;='La Mia Rosa'!$O$12*'Parametri Modello'!$B$24,"OK",IF($F245&lt;='La Mia Rosa'!$O$12*'Parametri Modello'!$B$25,"Attenzione","Rischio Alto")))</f>
        <v>OK</v>
      </c>
      <c r="V245" s="26" t="n">
        <f aca="false">IFERROR(COUNTIFS($B$2:$B$492,$B245,$O$2:$O$492,"&gt;"&amp;$O245)+1,"")</f>
        <v>69</v>
      </c>
      <c r="W245" s="21" t="n">
        <f aca="false">'Info Lega'!$B$4-SUMIFS($M$2:$M$492,$D$2:$D$492,'Info Lega'!$B$28)</f>
        <v>1000</v>
      </c>
      <c r="X245" s="21" t="n">
        <f aca="false">('Info Lega'!$B$5-COUNTIFS($D$2:$D$492,'Info Lega'!$B$28,$B$2:$B$492,"P"))+('Info Lega'!$B$6-COUNTIFS($D$2:$D$492,'Info Lega'!$B$28,$B$2:$B$492,"D"))+('Info Lega'!$B$7-COUNTIFS($D$2:$D$492,'Info Lega'!$B$28,$B$2:$B$492,"C"))+('Info Lega'!$B$8-COUNTIFS($D$2:$D$492,'Info Lega'!$B$28,$B$2:$B$492,"A"))</f>
        <v>25</v>
      </c>
      <c r="Y245" s="21" t="n">
        <f aca="false">X245*'Parametri Modello'!$B$30</f>
        <v>25</v>
      </c>
      <c r="Z245" s="21" t="n">
        <f aca="false">MAX(0,W245-Y245)</f>
        <v>975</v>
      </c>
      <c r="AA245" s="21" t="n">
        <f aca="false">MIN(F245,Z245)</f>
        <v>6</v>
      </c>
      <c r="AB245" s="21"/>
      <c r="AC245" s="21" t="str">
        <f aca="false">IF(AB245="","",IF(AB245&gt;AA245,"PASS",IF(AB245&lt;=AA245*0.85,"BID","ATTENZIONE")))</f>
        <v/>
      </c>
      <c r="AD245" s="31" t="n">
        <f aca="false">IF(I245="","",ROUND(100*(1-EXP(-I245/30)),0))</f>
        <v>71</v>
      </c>
      <c r="AE245" s="7" t="str">
        <f aca="false">IFERROR(INDEX('Stato Asta'!$G$9:$G$12,MATCH($B245,'Stato Asta'!$A$9:$A$12,0)),"")</f>
        <v>🟡 Attesa rischiosa</v>
      </c>
    </row>
    <row r="246" customFormat="false" ht="14.25" hidden="false" customHeight="true" outlineLevel="0" collapsed="false">
      <c r="A246" s="21" t="n">
        <v>7253</v>
      </c>
      <c r="B246" s="21" t="s">
        <v>44</v>
      </c>
      <c r="C246" s="21" t="s">
        <v>261</v>
      </c>
      <c r="E246" s="26" t="str">
        <f aca="false">IF(COUNTIF('Info Strategia'!$D$2:$D$51,$C246)&gt;0,"SI","NO")</f>
        <v>NO</v>
      </c>
      <c r="F246" s="27" t="n">
        <f aca="false">IFERROR(ROUND(($G246+($H246-$G246)*'Info Strategia'!$B$6)*(1+IF($E246="SI",'Parametri Modello'!$B$7*'Info Strategia'!$B$6,0)),0),"")</f>
        <v>6</v>
      </c>
      <c r="G246" s="27" t="n">
        <f aca="false">IFERROR(ROUND((IF(OR(INDEX('Parametri Modello'!$C$39:$C$42,MATCH($B246,'Parametri Modello'!$A$39:$A$42,0))="",INDEX('Parametri Modello'!$C$39:$C$42,MATCH($B246,'Parametri Modello'!$A$39:$A$42,0))=0),0,($O246/INDEX('Parametri Modello'!$C$39:$C$42,MATCH($B246,'Parametri Modello'!$A$39:$A$42,0)))*(INDEX('Parametri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5</v>
      </c>
      <c r="H246" s="27" t="n">
        <f aca="false">IFERROR(ROUND((IF(OR(INDEX('Parametri Modello'!$C$39:$C$42,MATCH($B246,'Parametri Modello'!$A$39:$A$42,0))="",INDEX('Parametri Modello'!$C$39:$C$42,MATCH($B246,'Parametri Modello'!$A$39:$A$42,0))=0),0,($O246/INDEX('Parametri Modello'!$C$39:$C$42,MATCH($B246,'Parametri Modello'!$A$39:$A$42,0)))*(INDEX('Parametri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7</v>
      </c>
      <c r="I246" s="26" t="n">
        <f aca="false">IFERROR(INDEX('Input Statistiche 2025_26'!$F$3:$F$665,MATCH($A246,'Input Statistiche 2025_26'!$A$3:$A$665,0)),"")</f>
        <v>18</v>
      </c>
      <c r="J246" s="26" t="n">
        <f aca="false">IFERROR(IF($I246="","",MAX(0,38-$I246)),"")</f>
        <v>20</v>
      </c>
      <c r="K246" s="26" t="n">
        <f aca="false">IFERROR(INDEX('Input Statistiche 2025_26'!$I$3:$I$665,MATCH($A246,'Input Statistiche 2025_26'!$A$3:$A$665,0)),"")</f>
        <v>0</v>
      </c>
      <c r="L246" s="26" t="n">
        <f aca="false">IFERROR(INDEX('Input Statistiche 2025_26'!$O$3:$O$665,MATCH($A246,'Input Statistiche 2025_26'!$A$3:$A$665,0)),"")</f>
        <v>0</v>
      </c>
      <c r="M246" s="28"/>
      <c r="N246" s="27" t="n">
        <f aca="false">IFERROR(INDEX('Input Giocatori 2026_27'!$E$3:$E$493,MATCH($A246,'Input Giocatori 2026_27'!$A$3:$A$493,0)),"")</f>
        <v>6</v>
      </c>
      <c r="O246" s="27" t="n">
        <f aca="false">IFERROR(INDEX('Input Giocatori 2026_27'!$G$3:$G$493,MATCH($A246,'Input Giocatori 2026_27'!$A$3:$A$493,0)),"")</f>
        <v>13</v>
      </c>
      <c r="P246" s="26" t="str">
        <f aca="false">IFERROR(IF($O246="","",IF((1-(COUNTIFS($B$2:$B$492,$B246,$O$2:$O$492,"&gt;"&amp;$O246)+1-1)/COUNTIF($B$2:$B$492,$B246))&gt;=0.85,"Top",IF((1-(COUNTIFS($B$2:$B$492,$B246,$O$2:$O$492,"&gt;"&amp;$O246)+1-1)/COUNTIF($B$2:$B$492,$B246))&gt;=0.6,"Buono",IF((1-(COUNTIFS($B$2:$B$492,$B246,$O$2:$O$492,"&gt;"&amp;$O246)+1-1)/COUNTIF($B$2:$B$492,$B246))&gt;=0.3,"Nella Media","Scommessa/Riserva")))),"")</f>
        <v>Buono</v>
      </c>
      <c r="Q246" s="29" t="n">
        <f aca="false">IF($D246="",COUNTIF($D$2:$D246,""),"")</f>
        <v>245</v>
      </c>
      <c r="R246" s="29" t="str">
        <f aca="false">IF($D246='Info Lega'!$B$28,COUNTIFS($D$2:$D246,'Info Lega'!$B$28),"")</f>
        <v/>
      </c>
      <c r="S246" s="30" t="n">
        <f aca="false">IFERROR(INDEX('Input Statistiche 2025_26'!$G$3:$G$665,MATCH($A246,'Input Statistiche 2025_26'!$A$3:$A$665,0)),"")</f>
        <v>5.83</v>
      </c>
      <c r="T246" s="30" t="n">
        <f aca="false">IFERROR(INDEX('Input Statistiche 2025_26'!$H$3:$H$665,MATCH($A246,'Input Statistiche 2025_26'!$A$3:$A$665,0)),"")</f>
        <v>5.75</v>
      </c>
      <c r="U246" s="26" t="str">
        <f aca="false">IF(OR('La Mia Rosa'!$O$12="",$D246&lt;&gt;""),"",IF($F246&lt;='La Mia Rosa'!$O$12*'Parametri Modello'!$B$24,"OK",IF($F246&lt;='La Mia Rosa'!$O$12*'Parametri Modello'!$B$25,"Attenzione","Rischio Alto")))</f>
        <v>OK</v>
      </c>
      <c r="V246" s="26" t="n">
        <f aca="false">IFERROR(COUNTIFS($B$2:$B$492,$B246,$O$2:$O$492,"&gt;"&amp;$O246)+1,"")</f>
        <v>69</v>
      </c>
      <c r="W246" s="21" t="n">
        <f aca="false">'Info Lega'!$B$4-SUMIFS($M$2:$M$492,$D$2:$D$492,'Info Lega'!$B$28)</f>
        <v>1000</v>
      </c>
      <c r="X246" s="21" t="n">
        <f aca="false">('Info Lega'!$B$5-COUNTIFS($D$2:$D$492,'Info Lega'!$B$28,$B$2:$B$492,"P"))+('Info Lega'!$B$6-COUNTIFS($D$2:$D$492,'Info Lega'!$B$28,$B$2:$B$492,"D"))+('Info Lega'!$B$7-COUNTIFS($D$2:$D$492,'Info Lega'!$B$28,$B$2:$B$492,"C"))+('Info Lega'!$B$8-COUNTIFS($D$2:$D$492,'Info Lega'!$B$28,$B$2:$B$492,"A"))</f>
        <v>25</v>
      </c>
      <c r="Y246" s="21" t="n">
        <f aca="false">X246*'Parametri Modello'!$B$30</f>
        <v>25</v>
      </c>
      <c r="Z246" s="21" t="n">
        <f aca="false">MAX(0,W246-Y246)</f>
        <v>975</v>
      </c>
      <c r="AA246" s="21" t="n">
        <f aca="false">MIN(F246,Z246)</f>
        <v>6</v>
      </c>
      <c r="AB246" s="21"/>
      <c r="AC246" s="21" t="str">
        <f aca="false">IF(AB246="","",IF(AB246&gt;AA246,"PASS",IF(AB246&lt;=AA246*0.85,"BID","ATTENZIONE")))</f>
        <v/>
      </c>
      <c r="AD246" s="31" t="n">
        <f aca="false">IF(I246="","",ROUND(100*(1-EXP(-I246/30)),0))</f>
        <v>45</v>
      </c>
      <c r="AE246" s="7" t="str">
        <f aca="false">IFERROR(INDEX('Stato Asta'!$G$9:$G$12,MATCH($B246,'Stato Asta'!$A$9:$A$12,0)),"")</f>
        <v>🟡 Attesa rischiosa</v>
      </c>
    </row>
    <row r="247" customFormat="false" ht="14.25" hidden="false" customHeight="true" outlineLevel="0" collapsed="false">
      <c r="A247" s="21" t="n">
        <v>5678</v>
      </c>
      <c r="B247" s="21" t="s">
        <v>44</v>
      </c>
      <c r="C247" s="21" t="s">
        <v>264</v>
      </c>
      <c r="E247" s="26" t="str">
        <f aca="false">IF(COUNTIF('Info Strategia'!$D$2:$D$51,$C247)&gt;0,"SI","NO")</f>
        <v>NO</v>
      </c>
      <c r="F247" s="27" t="n">
        <f aca="false">IFERROR(ROUND(($G247+($H247-$G247)*'Info Strategia'!$B$6)*(1+IF($E247="SI",'Parametri Modello'!$B$7*'Info Strategia'!$B$6,0)),0),"")</f>
        <v>6</v>
      </c>
      <c r="G247" s="27" t="n">
        <f aca="false">IFERROR(ROUND((IF(OR(INDEX('Parametri Modello'!$C$39:$C$42,MATCH($B247,'Parametri Modello'!$A$39:$A$42,0))="",INDEX('Parametri Modello'!$C$39:$C$42,MATCH($B247,'Parametri Modello'!$A$39:$A$42,0))=0),0,($O247/INDEX('Parametri Modello'!$C$39:$C$42,MATCH($B247,'Parametri Modello'!$A$39:$A$42,0)))*(INDEX('Parametri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5</v>
      </c>
      <c r="H247" s="27" t="n">
        <f aca="false">IFERROR(ROUND((IF(OR(INDEX('Parametri Modello'!$C$39:$C$42,MATCH($B247,'Parametri Modello'!$A$39:$A$42,0))="",INDEX('Parametri Modello'!$C$39:$C$42,MATCH($B247,'Parametri Modello'!$A$39:$A$42,0))=0),0,($O247/INDEX('Parametri Modello'!$C$39:$C$42,MATCH($B247,'Parametri Modello'!$A$39:$A$42,0)))*(INDEX('Parametri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7</v>
      </c>
      <c r="I247" s="26" t="n">
        <f aca="false">IFERROR(INDEX('Input Statistiche 2025_26'!$F$3:$F$665,MATCH($A247,'Input Statistiche 2025_26'!$A$3:$A$665,0)),"")</f>
        <v>16</v>
      </c>
      <c r="J247" s="26" t="n">
        <f aca="false">IFERROR(IF($I247="","",MAX(0,38-$I247)),"")</f>
        <v>22</v>
      </c>
      <c r="K247" s="26" t="n">
        <f aca="false">IFERROR(INDEX('Input Statistiche 2025_26'!$I$3:$I$665,MATCH($A247,'Input Statistiche 2025_26'!$A$3:$A$665,0)),"")</f>
        <v>1</v>
      </c>
      <c r="L247" s="26" t="n">
        <f aca="false">IFERROR(INDEX('Input Statistiche 2025_26'!$O$3:$O$665,MATCH($A247,'Input Statistiche 2025_26'!$A$3:$A$665,0)),"")</f>
        <v>4</v>
      </c>
      <c r="M247" s="28"/>
      <c r="N247" s="27" t="n">
        <f aca="false">IFERROR(INDEX('Input Giocatori 2026_27'!$E$3:$E$493,MATCH($A247,'Input Giocatori 2026_27'!$A$3:$A$493,0)),"")</f>
        <v>5</v>
      </c>
      <c r="O247" s="27" t="n">
        <f aca="false">IFERROR(INDEX('Input Giocatori 2026_27'!$G$3:$G$493,MATCH($A247,'Input Giocatori 2026_27'!$A$3:$A$493,0)),"")</f>
        <v>13</v>
      </c>
      <c r="P247" s="26" t="str">
        <f aca="false">IFERROR(IF($O247="","",IF((1-(COUNTIFS($B$2:$B$492,$B247,$O$2:$O$492,"&gt;"&amp;$O247)+1-1)/COUNTIF($B$2:$B$492,$B247))&gt;=0.85,"Top",IF((1-(COUNTIFS($B$2:$B$492,$B247,$O$2:$O$492,"&gt;"&amp;$O247)+1-1)/COUNTIF($B$2:$B$492,$B247))&gt;=0.6,"Buono",IF((1-(COUNTIFS($B$2:$B$492,$B247,$O$2:$O$492,"&gt;"&amp;$O247)+1-1)/COUNTIF($B$2:$B$492,$B247))&gt;=0.3,"Nella Media","Scommessa/Riserva")))),"")</f>
        <v>Buono</v>
      </c>
      <c r="Q247" s="29" t="n">
        <f aca="false">IF($D247="",COUNTIF($D$2:$D247,""),"")</f>
        <v>246</v>
      </c>
      <c r="R247" s="29" t="str">
        <f aca="false">IF($D247='Info Lega'!$B$28,COUNTIFS($D$2:$D247,'Info Lega'!$B$28),"")</f>
        <v/>
      </c>
      <c r="S247" s="30" t="n">
        <f aca="false">IFERROR(INDEX('Input Statistiche 2025_26'!$G$3:$G$665,MATCH($A247,'Input Statistiche 2025_26'!$A$3:$A$665,0)),"")</f>
        <v>6.09</v>
      </c>
      <c r="T247" s="30" t="n">
        <f aca="false">IFERROR(INDEX('Input Statistiche 2025_26'!$H$3:$H$665,MATCH($A247,'Input Statistiche 2025_26'!$A$3:$A$665,0)),"")</f>
        <v>6.44</v>
      </c>
      <c r="U247" s="26" t="str">
        <f aca="false">IF(OR('La Mia Rosa'!$O$12="",$D247&lt;&gt;""),"",IF($F247&lt;='La Mia Rosa'!$O$12*'Parametri Modello'!$B$24,"OK",IF($F247&lt;='La Mia Rosa'!$O$12*'Parametri Modello'!$B$25,"Attenzione","Rischio Alto")))</f>
        <v>OK</v>
      </c>
      <c r="V247" s="26" t="n">
        <f aca="false">IFERROR(COUNTIFS($B$2:$B$492,$B247,$O$2:$O$492,"&gt;"&amp;$O247)+1,"")</f>
        <v>69</v>
      </c>
      <c r="W247" s="21" t="n">
        <f aca="false">'Info Lega'!$B$4-SUMIFS($M$2:$M$492,$D$2:$D$492,'Info Lega'!$B$28)</f>
        <v>1000</v>
      </c>
      <c r="X247" s="21" t="n">
        <f aca="false">('Info Lega'!$B$5-COUNTIFS($D$2:$D$492,'Info Lega'!$B$28,$B$2:$B$492,"P"))+('Info Lega'!$B$6-COUNTIFS($D$2:$D$492,'Info Lega'!$B$28,$B$2:$B$492,"D"))+('Info Lega'!$B$7-COUNTIFS($D$2:$D$492,'Info Lega'!$B$28,$B$2:$B$492,"C"))+('Info Lega'!$B$8-COUNTIFS($D$2:$D$492,'Info Lega'!$B$28,$B$2:$B$492,"A"))</f>
        <v>25</v>
      </c>
      <c r="Y247" s="21" t="n">
        <f aca="false">X247*'Parametri Modello'!$B$30</f>
        <v>25</v>
      </c>
      <c r="Z247" s="21" t="n">
        <f aca="false">MAX(0,W247-Y247)</f>
        <v>975</v>
      </c>
      <c r="AA247" s="21" t="n">
        <f aca="false">MIN(F247,Z247)</f>
        <v>6</v>
      </c>
      <c r="AB247" s="21"/>
      <c r="AC247" s="21" t="str">
        <f aca="false">IF(AB247="","",IF(AB247&gt;AA247,"PASS",IF(AB247&lt;=AA247*0.85,"BID","ATTENZIONE")))</f>
        <v/>
      </c>
      <c r="AD247" s="31" t="n">
        <f aca="false">IF(I247="","",ROUND(100*(1-EXP(-I247/30)),0))</f>
        <v>41</v>
      </c>
      <c r="AE247" s="7" t="str">
        <f aca="false">IFERROR(INDEX('Stato Asta'!$G$9:$G$12,MATCH($B247,'Stato Asta'!$A$9:$A$12,0)),"")</f>
        <v>🟡 Attesa rischiosa</v>
      </c>
    </row>
    <row r="248" customFormat="false" ht="14.25" hidden="false" customHeight="true" outlineLevel="0" collapsed="false">
      <c r="A248" s="21" t="n">
        <v>6893</v>
      </c>
      <c r="B248" s="21" t="s">
        <v>44</v>
      </c>
      <c r="C248" s="21" t="s">
        <v>267</v>
      </c>
      <c r="E248" s="26" t="str">
        <f aca="false">IF(COUNTIF('Info Strategia'!$D$2:$D$51,$C248)&gt;0,"SI","NO")</f>
        <v>NO</v>
      </c>
      <c r="F248" s="27" t="n">
        <f aca="false">IFERROR(ROUND(($G248+($H248-$G248)*'Info Strategia'!$B$6)*(1+IF($E248="SI",'Parametri Modello'!$B$7*'Info Strategia'!$B$6,0)),0),"")</f>
        <v>6</v>
      </c>
      <c r="G248" s="27" t="n">
        <f aca="false">IFERROR(ROUND((IF(OR(INDEX('Parametri Modello'!$C$39:$C$42,MATCH($B248,'Parametri Modello'!$A$39:$A$42,0))="",INDEX('Parametri Modello'!$C$39:$C$42,MATCH($B248,'Parametri Modello'!$A$39:$A$42,0))=0),0,($O248/INDEX('Parametri Modello'!$C$39:$C$42,MATCH($B248,'Parametri Modello'!$A$39:$A$42,0)))*(INDEX('Parametri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5</v>
      </c>
      <c r="H248" s="27" t="n">
        <f aca="false">IFERROR(ROUND((IF(OR(INDEX('Parametri Modello'!$C$39:$C$42,MATCH($B248,'Parametri Modello'!$A$39:$A$42,0))="",INDEX('Parametri Modello'!$C$39:$C$42,MATCH($B248,'Parametri Modello'!$A$39:$A$42,0))=0),0,($O248/INDEX('Parametri Modello'!$C$39:$C$42,MATCH($B248,'Parametri Modello'!$A$39:$A$42,0)))*(INDEX('Parametri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7</v>
      </c>
      <c r="I248" s="26" t="n">
        <f aca="false">IFERROR(INDEX('Input Statistiche 2025_26'!$F$3:$F$665,MATCH($A248,'Input Statistiche 2025_26'!$A$3:$A$665,0)),"")</f>
        <v>29</v>
      </c>
      <c r="J248" s="26" t="n">
        <f aca="false">IFERROR(IF($I248="","",MAX(0,38-$I248)),"")</f>
        <v>9</v>
      </c>
      <c r="K248" s="26" t="n">
        <f aca="false">IFERROR(INDEX('Input Statistiche 2025_26'!$I$3:$I$665,MATCH($A248,'Input Statistiche 2025_26'!$A$3:$A$665,0)),"")</f>
        <v>4</v>
      </c>
      <c r="L248" s="26" t="n">
        <f aca="false">IFERROR(INDEX('Input Statistiche 2025_26'!$O$3:$O$665,MATCH($A248,'Input Statistiche 2025_26'!$A$3:$A$665,0)),"")</f>
        <v>1</v>
      </c>
      <c r="M248" s="28"/>
      <c r="N248" s="27" t="n">
        <f aca="false">IFERROR(INDEX('Input Giocatori 2026_27'!$E$3:$E$493,MATCH($A248,'Input Giocatori 2026_27'!$A$3:$A$493,0)),"")</f>
        <v>5</v>
      </c>
      <c r="O248" s="27" t="n">
        <f aca="false">IFERROR(INDEX('Input Giocatori 2026_27'!$G$3:$G$493,MATCH($A248,'Input Giocatori 2026_27'!$A$3:$A$493,0)),"")</f>
        <v>13</v>
      </c>
      <c r="P248" s="26" t="str">
        <f aca="false">IFERROR(IF($O248="","",IF((1-(COUNTIFS($B$2:$B$492,$B248,$O$2:$O$492,"&gt;"&amp;$O248)+1-1)/COUNTIF($B$2:$B$492,$B248))&gt;=0.85,"Top",IF((1-(COUNTIFS($B$2:$B$492,$B248,$O$2:$O$492,"&gt;"&amp;$O248)+1-1)/COUNTIF($B$2:$B$492,$B248))&gt;=0.6,"Buono",IF((1-(COUNTIFS($B$2:$B$492,$B248,$O$2:$O$492,"&gt;"&amp;$O248)+1-1)/COUNTIF($B$2:$B$492,$B248))&gt;=0.3,"Nella Media","Scommessa/Riserva")))),"")</f>
        <v>Buono</v>
      </c>
      <c r="Q248" s="29" t="n">
        <f aca="false">IF($D248="",COUNTIF($D$2:$D248,""),"")</f>
        <v>247</v>
      </c>
      <c r="R248" s="29" t="str">
        <f aca="false">IF($D248='Info Lega'!$B$28,COUNTIFS($D$2:$D248,'Info Lega'!$B$28),"")</f>
        <v/>
      </c>
      <c r="S248" s="30" t="n">
        <f aca="false">IFERROR(INDEX('Input Statistiche 2025_26'!$G$3:$G$665,MATCH($A248,'Input Statistiche 2025_26'!$A$3:$A$665,0)),"")</f>
        <v>6.12</v>
      </c>
      <c r="T248" s="30" t="n">
        <f aca="false">IFERROR(INDEX('Input Statistiche 2025_26'!$H$3:$H$665,MATCH($A248,'Input Statistiche 2025_26'!$A$3:$A$665,0)),"")</f>
        <v>6.52</v>
      </c>
      <c r="U248" s="26" t="str">
        <f aca="false">IF(OR('La Mia Rosa'!$O$12="",$D248&lt;&gt;""),"",IF($F248&lt;='La Mia Rosa'!$O$12*'Parametri Modello'!$B$24,"OK",IF($F248&lt;='La Mia Rosa'!$O$12*'Parametri Modello'!$B$25,"Attenzione","Rischio Alto")))</f>
        <v>OK</v>
      </c>
      <c r="V248" s="26" t="n">
        <f aca="false">IFERROR(COUNTIFS($B$2:$B$492,$B248,$O$2:$O$492,"&gt;"&amp;$O248)+1,"")</f>
        <v>69</v>
      </c>
      <c r="W248" s="21" t="n">
        <f aca="false">'Info Lega'!$B$4-SUMIFS($M$2:$M$492,$D$2:$D$492,'Info Lega'!$B$28)</f>
        <v>1000</v>
      </c>
      <c r="X248" s="21" t="n">
        <f aca="false">('Info Lega'!$B$5-COUNTIFS($D$2:$D$492,'Info Lega'!$B$28,$B$2:$B$492,"P"))+('Info Lega'!$B$6-COUNTIFS($D$2:$D$492,'Info Lega'!$B$28,$B$2:$B$492,"D"))+('Info Lega'!$B$7-COUNTIFS($D$2:$D$492,'Info Lega'!$B$28,$B$2:$B$492,"C"))+('Info Lega'!$B$8-COUNTIFS($D$2:$D$492,'Info Lega'!$B$28,$B$2:$B$492,"A"))</f>
        <v>25</v>
      </c>
      <c r="Y248" s="21" t="n">
        <f aca="false">X248*'Parametri Modello'!$B$30</f>
        <v>25</v>
      </c>
      <c r="Z248" s="21" t="n">
        <f aca="false">MAX(0,W248-Y248)</f>
        <v>975</v>
      </c>
      <c r="AA248" s="21" t="n">
        <f aca="false">MIN(F248,Z248)</f>
        <v>6</v>
      </c>
      <c r="AB248" s="21"/>
      <c r="AC248" s="21" t="str">
        <f aca="false">IF(AB248="","",IF(AB248&gt;AA248,"PASS",IF(AB248&lt;=AA248*0.85,"BID","ATTENZIONE")))</f>
        <v/>
      </c>
      <c r="AD248" s="31" t="n">
        <f aca="false">IF(I248="","",ROUND(100*(1-EXP(-I248/30)),0))</f>
        <v>62</v>
      </c>
      <c r="AE248" s="7" t="str">
        <f aca="false">IFERROR(INDEX('Stato Asta'!$G$9:$G$12,MATCH($B248,'Stato Asta'!$A$9:$A$12,0)),"")</f>
        <v>🟡 Attesa rischiosa</v>
      </c>
    </row>
    <row r="249" customFormat="false" ht="14.25" hidden="false" customHeight="true" outlineLevel="0" collapsed="false">
      <c r="A249" s="21" t="n">
        <v>6766</v>
      </c>
      <c r="B249" s="21" t="s">
        <v>44</v>
      </c>
      <c r="C249" s="21" t="s">
        <v>272</v>
      </c>
      <c r="E249" s="26" t="str">
        <f aca="false">IF(COUNTIF('Info Strategia'!$D$2:$D$51,$C249)&gt;0,"SI","NO")</f>
        <v>NO</v>
      </c>
      <c r="F249" s="27" t="n">
        <f aca="false">IFERROR(ROUND(($G249+($H249-$G249)*'Info Strategia'!$B$6)*(1+IF($E249="SI",'Parametri Modello'!$B$7*'Info Strategia'!$B$6,0)),0),"")</f>
        <v>6</v>
      </c>
      <c r="G249" s="27" t="n">
        <f aca="false">IFERROR(ROUND((IF(OR(INDEX('Parametri Modello'!$C$39:$C$42,MATCH($B249,'Parametri Modello'!$A$39:$A$42,0))="",INDEX('Parametri Modello'!$C$39:$C$42,MATCH($B249,'Parametri Modello'!$A$39:$A$42,0))=0),0,($O249/INDEX('Parametri Modello'!$C$39:$C$42,MATCH($B249,'Parametri Modello'!$A$39:$A$42,0)))*(INDEX('Parametri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5</v>
      </c>
      <c r="H249" s="27" t="n">
        <f aca="false">IFERROR(ROUND((IF(OR(INDEX('Parametri Modello'!$C$39:$C$42,MATCH($B249,'Parametri Modello'!$A$39:$A$42,0))="",INDEX('Parametri Modello'!$C$39:$C$42,MATCH($B249,'Parametri Modello'!$A$39:$A$42,0))=0),0,($O249/INDEX('Parametri Modello'!$C$39:$C$42,MATCH($B249,'Parametri Modello'!$A$39:$A$42,0)))*(INDEX('Parametri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7</v>
      </c>
      <c r="I249" s="26" t="n">
        <f aca="false">IFERROR(INDEX('Input Statistiche 2025_26'!$F$3:$F$665,MATCH($A249,'Input Statistiche 2025_26'!$A$3:$A$665,0)),"")</f>
        <v>35</v>
      </c>
      <c r="J249" s="26" t="n">
        <f aca="false">IFERROR(IF($I249="","",MAX(0,38-$I249)),"")</f>
        <v>3</v>
      </c>
      <c r="K249" s="26" t="n">
        <f aca="false">IFERROR(INDEX('Input Statistiche 2025_26'!$I$3:$I$665,MATCH($A249,'Input Statistiche 2025_26'!$A$3:$A$665,0)),"")</f>
        <v>1</v>
      </c>
      <c r="L249" s="26" t="n">
        <f aca="false">IFERROR(INDEX('Input Statistiche 2025_26'!$O$3:$O$665,MATCH($A249,'Input Statistiche 2025_26'!$A$3:$A$665,0)),"")</f>
        <v>1</v>
      </c>
      <c r="M249" s="28"/>
      <c r="N249" s="27" t="n">
        <f aca="false">IFERROR(INDEX('Input Giocatori 2026_27'!$E$3:$E$493,MATCH($A249,'Input Giocatori 2026_27'!$A$3:$A$493,0)),"")</f>
        <v>5</v>
      </c>
      <c r="O249" s="27" t="n">
        <f aca="false">IFERROR(INDEX('Input Giocatori 2026_27'!$G$3:$G$493,MATCH($A249,'Input Giocatori 2026_27'!$A$3:$A$493,0)),"")</f>
        <v>13</v>
      </c>
      <c r="P249" s="26" t="str">
        <f aca="false">IFERROR(IF($O249="","",IF((1-(COUNTIFS($B$2:$B$492,$B249,$O$2:$O$492,"&gt;"&amp;$O249)+1-1)/COUNTIF($B$2:$B$492,$B249))&gt;=0.85,"Top",IF((1-(COUNTIFS($B$2:$B$492,$B249,$O$2:$O$492,"&gt;"&amp;$O249)+1-1)/COUNTIF($B$2:$B$492,$B249))&gt;=0.6,"Buono",IF((1-(COUNTIFS($B$2:$B$492,$B249,$O$2:$O$492,"&gt;"&amp;$O249)+1-1)/COUNTIF($B$2:$B$492,$B249))&gt;=0.3,"Nella Media","Scommessa/Riserva")))),"")</f>
        <v>Buono</v>
      </c>
      <c r="Q249" s="29" t="n">
        <f aca="false">IF($D249="",COUNTIF($D$2:$D249,""),"")</f>
        <v>248</v>
      </c>
      <c r="R249" s="29" t="str">
        <f aca="false">IF($D249='Info Lega'!$B$28,COUNTIFS($D$2:$D249,'Info Lega'!$B$28),"")</f>
        <v/>
      </c>
      <c r="S249" s="30" t="n">
        <f aca="false">IFERROR(INDEX('Input Statistiche 2025_26'!$G$3:$G$665,MATCH($A249,'Input Statistiche 2025_26'!$A$3:$A$665,0)),"")</f>
        <v>6.01</v>
      </c>
      <c r="T249" s="30" t="n">
        <f aca="false">IFERROR(INDEX('Input Statistiche 2025_26'!$H$3:$H$665,MATCH($A249,'Input Statistiche 2025_26'!$A$3:$A$665,0)),"")</f>
        <v>6.07</v>
      </c>
      <c r="U249" s="26" t="str">
        <f aca="false">IF(OR('La Mia Rosa'!$O$12="",$D249&lt;&gt;""),"",IF($F249&lt;='La Mia Rosa'!$O$12*'Parametri Modello'!$B$24,"OK",IF($F249&lt;='La Mia Rosa'!$O$12*'Parametri Modello'!$B$25,"Attenzione","Rischio Alto")))</f>
        <v>OK</v>
      </c>
      <c r="V249" s="26" t="n">
        <f aca="false">IFERROR(COUNTIFS($B$2:$B$492,$B249,$O$2:$O$492,"&gt;"&amp;$O249)+1,"")</f>
        <v>69</v>
      </c>
      <c r="W249" s="21" t="n">
        <f aca="false">'Info Lega'!$B$4-SUMIFS($M$2:$M$492,$D$2:$D$492,'Info Lega'!$B$28)</f>
        <v>1000</v>
      </c>
      <c r="X249" s="21" t="n">
        <f aca="false">('Info Lega'!$B$5-COUNTIFS($D$2:$D$492,'Info Lega'!$B$28,$B$2:$B$492,"P"))+('Info Lega'!$B$6-COUNTIFS($D$2:$D$492,'Info Lega'!$B$28,$B$2:$B$492,"D"))+('Info Lega'!$B$7-COUNTIFS($D$2:$D$492,'Info Lega'!$B$28,$B$2:$B$492,"C"))+('Info Lega'!$B$8-COUNTIFS($D$2:$D$492,'Info Lega'!$B$28,$B$2:$B$492,"A"))</f>
        <v>25</v>
      </c>
      <c r="Y249" s="21" t="n">
        <f aca="false">X249*'Parametri Modello'!$B$30</f>
        <v>25</v>
      </c>
      <c r="Z249" s="21" t="n">
        <f aca="false">MAX(0,W249-Y249)</f>
        <v>975</v>
      </c>
      <c r="AA249" s="21" t="n">
        <f aca="false">MIN(F249,Z249)</f>
        <v>6</v>
      </c>
      <c r="AB249" s="21"/>
      <c r="AC249" s="21" t="str">
        <f aca="false">IF(AB249="","",IF(AB249&gt;AA249,"PASS",IF(AB249&lt;=AA249*0.85,"BID","ATTENZIONE")))</f>
        <v/>
      </c>
      <c r="AD249" s="31" t="n">
        <f aca="false">IF(I249="","",ROUND(100*(1-EXP(-I249/30)),0))</f>
        <v>69</v>
      </c>
      <c r="AE249" s="7" t="str">
        <f aca="false">IFERROR(INDEX('Stato Asta'!$G$9:$G$12,MATCH($B249,'Stato Asta'!$A$9:$A$12,0)),"")</f>
        <v>🟡 Attesa rischiosa</v>
      </c>
    </row>
    <row r="250" customFormat="false" ht="14.25" hidden="false" customHeight="true" outlineLevel="0" collapsed="false">
      <c r="A250" s="21" t="n">
        <v>5840</v>
      </c>
      <c r="B250" s="21" t="s">
        <v>44</v>
      </c>
      <c r="C250" s="21" t="s">
        <v>276</v>
      </c>
      <c r="E250" s="26" t="str">
        <f aca="false">IF(COUNTIF('Info Strategia'!$D$2:$D$51,$C250)&gt;0,"SI","NO")</f>
        <v>NO</v>
      </c>
      <c r="F250" s="27" t="n">
        <f aca="false">IFERROR(ROUND(($G250+($H250-$G250)*'Info Strategia'!$B$6)*(1+IF($E250="SI",'Parametri Modello'!$B$7*'Info Strategia'!$B$6,0)),0),"")</f>
        <v>6</v>
      </c>
      <c r="G250" s="27" t="n">
        <f aca="false">IFERROR(ROUND((IF(OR(INDEX('Parametri Modello'!$C$39:$C$42,MATCH($B250,'Parametri Modello'!$A$39:$A$42,0))="",INDEX('Parametri Modello'!$C$39:$C$42,MATCH($B250,'Parametri Modello'!$A$39:$A$42,0))=0),0,($O250/INDEX('Parametri Modello'!$C$39:$C$42,MATCH($B250,'Parametri Modello'!$A$39:$A$42,0)))*(INDEX('Parametri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5</v>
      </c>
      <c r="H250" s="27" t="n">
        <f aca="false">IFERROR(ROUND((IF(OR(INDEX('Parametri Modello'!$C$39:$C$42,MATCH($B250,'Parametri Modello'!$A$39:$A$42,0))="",INDEX('Parametri Modello'!$C$39:$C$42,MATCH($B250,'Parametri Modello'!$A$39:$A$42,0))=0),0,($O250/INDEX('Parametri Modello'!$C$39:$C$42,MATCH($B250,'Parametri Modello'!$A$39:$A$42,0)))*(INDEX('Parametri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7</v>
      </c>
      <c r="I250" s="26" t="n">
        <f aca="false">IFERROR(INDEX('Input Statistiche 2025_26'!$F$3:$F$665,MATCH($A250,'Input Statistiche 2025_26'!$A$3:$A$665,0)),"")</f>
        <v>22</v>
      </c>
      <c r="J250" s="26" t="n">
        <f aca="false">IFERROR(IF($I250="","",MAX(0,38-$I250)),"")</f>
        <v>16</v>
      </c>
      <c r="K250" s="26" t="n">
        <f aca="false">IFERROR(INDEX('Input Statistiche 2025_26'!$I$3:$I$665,MATCH($A250,'Input Statistiche 2025_26'!$A$3:$A$665,0)),"")</f>
        <v>0</v>
      </c>
      <c r="L250" s="26" t="n">
        <f aca="false">IFERROR(INDEX('Input Statistiche 2025_26'!$O$3:$O$665,MATCH($A250,'Input Statistiche 2025_26'!$A$3:$A$665,0)),"")</f>
        <v>0</v>
      </c>
      <c r="M250" s="28"/>
      <c r="N250" s="27" t="n">
        <f aca="false">IFERROR(INDEX('Input Giocatori 2026_27'!$E$3:$E$493,MATCH($A250,'Input Giocatori 2026_27'!$A$3:$A$493,0)),"")</f>
        <v>5</v>
      </c>
      <c r="O250" s="27" t="n">
        <f aca="false">IFERROR(INDEX('Input Giocatori 2026_27'!$G$3:$G$493,MATCH($A250,'Input Giocatori 2026_27'!$A$3:$A$493,0)),"")</f>
        <v>13</v>
      </c>
      <c r="P250" s="26" t="str">
        <f aca="false">IFERROR(IF($O250="","",IF((1-(COUNTIFS($B$2:$B$492,$B250,$O$2:$O$492,"&gt;"&amp;$O250)+1-1)/COUNTIF($B$2:$B$492,$B250))&gt;=0.85,"Top",IF((1-(COUNTIFS($B$2:$B$492,$B250,$O$2:$O$492,"&gt;"&amp;$O250)+1-1)/COUNTIF($B$2:$B$492,$B250))&gt;=0.6,"Buono",IF((1-(COUNTIFS($B$2:$B$492,$B250,$O$2:$O$492,"&gt;"&amp;$O250)+1-1)/COUNTIF($B$2:$B$492,$B250))&gt;=0.3,"Nella Media","Scommessa/Riserva")))),"")</f>
        <v>Buono</v>
      </c>
      <c r="Q250" s="29" t="n">
        <f aca="false">IF($D250="",COUNTIF($D$2:$D250,""),"")</f>
        <v>249</v>
      </c>
      <c r="R250" s="29" t="str">
        <f aca="false">IF($D250='Info Lega'!$B$28,COUNTIFS($D$2:$D250,'Info Lega'!$B$28),"")</f>
        <v/>
      </c>
      <c r="S250" s="30" t="n">
        <f aca="false">IFERROR(INDEX('Input Statistiche 2025_26'!$G$3:$G$665,MATCH($A250,'Input Statistiche 2025_26'!$A$3:$A$665,0)),"")</f>
        <v>5.75</v>
      </c>
      <c r="T250" s="30" t="n">
        <f aca="false">IFERROR(INDEX('Input Statistiche 2025_26'!$H$3:$H$665,MATCH($A250,'Input Statistiche 2025_26'!$A$3:$A$665,0)),"")</f>
        <v>5.68</v>
      </c>
      <c r="U250" s="26" t="str">
        <f aca="false">IF(OR('La Mia Rosa'!$O$12="",$D250&lt;&gt;""),"",IF($F250&lt;='La Mia Rosa'!$O$12*'Parametri Modello'!$B$24,"OK",IF($F250&lt;='La Mia Rosa'!$O$12*'Parametri Modello'!$B$25,"Attenzione","Rischio Alto")))</f>
        <v>OK</v>
      </c>
      <c r="V250" s="26" t="n">
        <f aca="false">IFERROR(COUNTIFS($B$2:$B$492,$B250,$O$2:$O$492,"&gt;"&amp;$O250)+1,"")</f>
        <v>69</v>
      </c>
      <c r="W250" s="21" t="n">
        <f aca="false">'Info Lega'!$B$4-SUMIFS($M$2:$M$492,$D$2:$D$492,'Info Lega'!$B$28)</f>
        <v>1000</v>
      </c>
      <c r="X250" s="21" t="n">
        <f aca="false">('Info Lega'!$B$5-COUNTIFS($D$2:$D$492,'Info Lega'!$B$28,$B$2:$B$492,"P"))+('Info Lega'!$B$6-COUNTIFS($D$2:$D$492,'Info Lega'!$B$28,$B$2:$B$492,"D"))+('Info Lega'!$B$7-COUNTIFS($D$2:$D$492,'Info Lega'!$B$28,$B$2:$B$492,"C"))+('Info Lega'!$B$8-COUNTIFS($D$2:$D$492,'Info Lega'!$B$28,$B$2:$B$492,"A"))</f>
        <v>25</v>
      </c>
      <c r="Y250" s="21" t="n">
        <f aca="false">X250*'Parametri Modello'!$B$30</f>
        <v>25</v>
      </c>
      <c r="Z250" s="21" t="n">
        <f aca="false">MAX(0,W250-Y250)</f>
        <v>975</v>
      </c>
      <c r="AA250" s="21" t="n">
        <f aca="false">MIN(F250,Z250)</f>
        <v>6</v>
      </c>
      <c r="AB250" s="21"/>
      <c r="AC250" s="21" t="str">
        <f aca="false">IF(AB250="","",IF(AB250&gt;AA250,"PASS",IF(AB250&lt;=AA250*0.85,"BID","ATTENZIONE")))</f>
        <v/>
      </c>
      <c r="AD250" s="31" t="n">
        <f aca="false">IF(I250="","",ROUND(100*(1-EXP(-I250/30)),0))</f>
        <v>52</v>
      </c>
      <c r="AE250" s="7" t="str">
        <f aca="false">IFERROR(INDEX('Stato Asta'!$G$9:$G$12,MATCH($B250,'Stato Asta'!$A$9:$A$12,0)),"")</f>
        <v>🟡 Attesa rischiosa</v>
      </c>
    </row>
    <row r="251" customFormat="false" ht="14.25" hidden="false" customHeight="true" outlineLevel="0" collapsed="false">
      <c r="A251" s="21" t="n">
        <v>6426</v>
      </c>
      <c r="B251" s="21" t="s">
        <v>44</v>
      </c>
      <c r="C251" s="21" t="s">
        <v>278</v>
      </c>
      <c r="E251" s="26" t="str">
        <f aca="false">IF(COUNTIF('Info Strategia'!$D$2:$D$51,$C251)&gt;0,"SI","NO")</f>
        <v>NO</v>
      </c>
      <c r="F251" s="27" t="n">
        <f aca="false">IFERROR(ROUND(($G251+($H251-$G251)*'Info Strategia'!$B$6)*(1+IF($E251="SI",'Parametri Modello'!$B$7*'Info Strategia'!$B$6,0)),0),"")</f>
        <v>6</v>
      </c>
      <c r="G251" s="27" t="n">
        <f aca="false">IFERROR(ROUND((IF(OR(INDEX('Parametri Modello'!$C$39:$C$42,MATCH($B251,'Parametri Modello'!$A$39:$A$42,0))="",INDEX('Parametri Modello'!$C$39:$C$42,MATCH($B251,'Parametri Modello'!$A$39:$A$42,0))=0),0,($O251/INDEX('Parametri Modello'!$C$39:$C$42,MATCH($B251,'Parametri Modello'!$A$39:$A$42,0)))*(INDEX('Parametri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5</v>
      </c>
      <c r="H251" s="27" t="n">
        <f aca="false">IFERROR(ROUND((IF(OR(INDEX('Parametri Modello'!$C$39:$C$42,MATCH($B251,'Parametri Modello'!$A$39:$A$42,0))="",INDEX('Parametri Modello'!$C$39:$C$42,MATCH($B251,'Parametri Modello'!$A$39:$A$42,0))=0),0,($O251/INDEX('Parametri Modello'!$C$39:$C$42,MATCH($B251,'Parametri Modello'!$A$39:$A$42,0)))*(INDEX('Parametri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7</v>
      </c>
      <c r="I251" s="26" t="n">
        <f aca="false">IFERROR(INDEX('Input Statistiche 2025_26'!$F$3:$F$665,MATCH($A251,'Input Statistiche 2025_26'!$A$3:$A$665,0)),"")</f>
        <v>28</v>
      </c>
      <c r="J251" s="26" t="n">
        <f aca="false">IFERROR(IF($I251="","",MAX(0,38-$I251)),"")</f>
        <v>10</v>
      </c>
      <c r="K251" s="26" t="n">
        <f aca="false">IFERROR(INDEX('Input Statistiche 2025_26'!$I$3:$I$665,MATCH($A251,'Input Statistiche 2025_26'!$A$3:$A$665,0)),"")</f>
        <v>1</v>
      </c>
      <c r="L251" s="26" t="n">
        <f aca="false">IFERROR(INDEX('Input Statistiche 2025_26'!$O$3:$O$665,MATCH($A251,'Input Statistiche 2025_26'!$A$3:$A$665,0)),"")</f>
        <v>2</v>
      </c>
      <c r="M251" s="28"/>
      <c r="N251" s="27" t="n">
        <f aca="false">IFERROR(INDEX('Input Giocatori 2026_27'!$E$3:$E$493,MATCH($A251,'Input Giocatori 2026_27'!$A$3:$A$493,0)),"")</f>
        <v>5</v>
      </c>
      <c r="O251" s="27" t="n">
        <f aca="false">IFERROR(INDEX('Input Giocatori 2026_27'!$G$3:$G$493,MATCH($A251,'Input Giocatori 2026_27'!$A$3:$A$493,0)),"")</f>
        <v>13</v>
      </c>
      <c r="P251" s="26" t="str">
        <f aca="false">IFERROR(IF($O251="","",IF((1-(COUNTIFS($B$2:$B$492,$B251,$O$2:$O$492,"&gt;"&amp;$O251)+1-1)/COUNTIF($B$2:$B$492,$B251))&gt;=0.85,"Top",IF((1-(COUNTIFS($B$2:$B$492,$B251,$O$2:$O$492,"&gt;"&amp;$O251)+1-1)/COUNTIF($B$2:$B$492,$B251))&gt;=0.6,"Buono",IF((1-(COUNTIFS($B$2:$B$492,$B251,$O$2:$O$492,"&gt;"&amp;$O251)+1-1)/COUNTIF($B$2:$B$492,$B251))&gt;=0.3,"Nella Media","Scommessa/Riserva")))),"")</f>
        <v>Buono</v>
      </c>
      <c r="Q251" s="29" t="n">
        <f aca="false">IF($D251="",COUNTIF($D$2:$D251,""),"")</f>
        <v>250</v>
      </c>
      <c r="R251" s="29" t="str">
        <f aca="false">IF($D251='Info Lega'!$B$28,COUNTIFS($D$2:$D251,'Info Lega'!$B$28),"")</f>
        <v/>
      </c>
      <c r="S251" s="30" t="n">
        <f aca="false">IFERROR(INDEX('Input Statistiche 2025_26'!$G$3:$G$665,MATCH($A251,'Input Statistiche 2025_26'!$A$3:$A$665,0)),"")</f>
        <v>5.84</v>
      </c>
      <c r="T251" s="30" t="n">
        <f aca="false">IFERROR(INDEX('Input Statistiche 2025_26'!$H$3:$H$665,MATCH($A251,'Input Statistiche 2025_26'!$A$3:$A$665,0)),"")</f>
        <v>5.96</v>
      </c>
      <c r="U251" s="26" t="str">
        <f aca="false">IF(OR('La Mia Rosa'!$O$12="",$D251&lt;&gt;""),"",IF($F251&lt;='La Mia Rosa'!$O$12*'Parametri Modello'!$B$24,"OK",IF($F251&lt;='La Mia Rosa'!$O$12*'Parametri Modello'!$B$25,"Attenzione","Rischio Alto")))</f>
        <v>OK</v>
      </c>
      <c r="V251" s="26" t="n">
        <f aca="false">IFERROR(COUNTIFS($B$2:$B$492,$B251,$O$2:$O$492,"&gt;"&amp;$O251)+1,"")</f>
        <v>69</v>
      </c>
      <c r="W251" s="21" t="n">
        <f aca="false">'Info Lega'!$B$4-SUMIFS($M$2:$M$492,$D$2:$D$492,'Info Lega'!$B$28)</f>
        <v>1000</v>
      </c>
      <c r="X251" s="21" t="n">
        <f aca="false">('Info Lega'!$B$5-COUNTIFS($D$2:$D$492,'Info Lega'!$B$28,$B$2:$B$492,"P"))+('Info Lega'!$B$6-COUNTIFS($D$2:$D$492,'Info Lega'!$B$28,$B$2:$B$492,"D"))+('Info Lega'!$B$7-COUNTIFS($D$2:$D$492,'Info Lega'!$B$28,$B$2:$B$492,"C"))+('Info Lega'!$B$8-COUNTIFS($D$2:$D$492,'Info Lega'!$B$28,$B$2:$B$492,"A"))</f>
        <v>25</v>
      </c>
      <c r="Y251" s="21" t="n">
        <f aca="false">X251*'Parametri Modello'!$B$30</f>
        <v>25</v>
      </c>
      <c r="Z251" s="21" t="n">
        <f aca="false">MAX(0,W251-Y251)</f>
        <v>975</v>
      </c>
      <c r="AA251" s="21" t="n">
        <f aca="false">MIN(F251,Z251)</f>
        <v>6</v>
      </c>
      <c r="AB251" s="21"/>
      <c r="AC251" s="21" t="str">
        <f aca="false">IF(AB251="","",IF(AB251&gt;AA251,"PASS",IF(AB251&lt;=AA251*0.85,"BID","ATTENZIONE")))</f>
        <v/>
      </c>
      <c r="AD251" s="31" t="n">
        <f aca="false">IF(I251="","",ROUND(100*(1-EXP(-I251/30)),0))</f>
        <v>61</v>
      </c>
      <c r="AE251" s="7" t="str">
        <f aca="false">IFERROR(INDEX('Stato Asta'!$G$9:$G$12,MATCH($B251,'Stato Asta'!$A$9:$A$12,0)),"")</f>
        <v>🟡 Attesa rischiosa</v>
      </c>
    </row>
    <row r="252" customFormat="false" ht="14.25" hidden="false" customHeight="true" outlineLevel="0" collapsed="false">
      <c r="A252" s="21" t="n">
        <v>5851</v>
      </c>
      <c r="B252" s="21" t="s">
        <v>44</v>
      </c>
      <c r="C252" s="21" t="s">
        <v>294</v>
      </c>
      <c r="E252" s="26" t="str">
        <f aca="false">IF(COUNTIF('Info Strategia'!$D$2:$D$51,$C252)&gt;0,"SI","NO")</f>
        <v>NO</v>
      </c>
      <c r="F252" s="27" t="n">
        <f aca="false">IFERROR(ROUND(($G252+($H252-$G252)*'Info Strategia'!$B$6)*(1+IF($E252="SI",'Parametri Modello'!$B$7*'Info Strategia'!$B$6,0)),0),"")</f>
        <v>6</v>
      </c>
      <c r="G252" s="27" t="n">
        <f aca="false">IFERROR(ROUND((IF(OR(INDEX('Parametri Modello'!$C$39:$C$42,MATCH($B252,'Parametri Modello'!$A$39:$A$42,0))="",INDEX('Parametri Modello'!$C$39:$C$42,MATCH($B252,'Parametri Modello'!$A$39:$A$42,0))=0),0,($O252/INDEX('Parametri Modello'!$C$39:$C$42,MATCH($B252,'Parametri Modello'!$A$39:$A$42,0)))*(INDEX('Parametri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5</v>
      </c>
      <c r="H252" s="27" t="n">
        <f aca="false">IFERROR(ROUND((IF(OR(INDEX('Parametri Modello'!$C$39:$C$42,MATCH($B252,'Parametri Modello'!$A$39:$A$42,0))="",INDEX('Parametri Modello'!$C$39:$C$42,MATCH($B252,'Parametri Modello'!$A$39:$A$42,0))=0),0,($O252/INDEX('Parametri Modello'!$C$39:$C$42,MATCH($B252,'Parametri Modello'!$A$39:$A$42,0)))*(INDEX('Parametri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7</v>
      </c>
      <c r="I252" s="26" t="n">
        <f aca="false">IFERROR(INDEX('Input Statistiche 2025_26'!$F$3:$F$665,MATCH($A252,'Input Statistiche 2025_26'!$A$3:$A$665,0)),"")</f>
        <v>27</v>
      </c>
      <c r="J252" s="26" t="n">
        <f aca="false">IFERROR(IF($I252="","",MAX(0,38-$I252)),"")</f>
        <v>11</v>
      </c>
      <c r="K252" s="26" t="n">
        <f aca="false">IFERROR(INDEX('Input Statistiche 2025_26'!$I$3:$I$665,MATCH($A252,'Input Statistiche 2025_26'!$A$3:$A$665,0)),"")</f>
        <v>0</v>
      </c>
      <c r="L252" s="26" t="n">
        <f aca="false">IFERROR(INDEX('Input Statistiche 2025_26'!$O$3:$O$665,MATCH($A252,'Input Statistiche 2025_26'!$A$3:$A$665,0)),"")</f>
        <v>0</v>
      </c>
      <c r="M252" s="28"/>
      <c r="N252" s="27" t="n">
        <f aca="false">IFERROR(INDEX('Input Giocatori 2026_27'!$E$3:$E$493,MATCH($A252,'Input Giocatori 2026_27'!$A$3:$A$493,0)),"")</f>
        <v>4</v>
      </c>
      <c r="O252" s="27" t="n">
        <f aca="false">IFERROR(INDEX('Input Giocatori 2026_27'!$G$3:$G$493,MATCH($A252,'Input Giocatori 2026_27'!$A$3:$A$493,0)),"")</f>
        <v>13</v>
      </c>
      <c r="P252" s="26" t="str">
        <f aca="false">IFERROR(IF($O252="","",IF((1-(COUNTIFS($B$2:$B$492,$B252,$O$2:$O$492,"&gt;"&amp;$O252)+1-1)/COUNTIF($B$2:$B$492,$B252))&gt;=0.85,"Top",IF((1-(COUNTIFS($B$2:$B$492,$B252,$O$2:$O$492,"&gt;"&amp;$O252)+1-1)/COUNTIF($B$2:$B$492,$B252))&gt;=0.6,"Buono",IF((1-(COUNTIFS($B$2:$B$492,$B252,$O$2:$O$492,"&gt;"&amp;$O252)+1-1)/COUNTIF($B$2:$B$492,$B252))&gt;=0.3,"Nella Media","Scommessa/Riserva")))),"")</f>
        <v>Buono</v>
      </c>
      <c r="Q252" s="29" t="n">
        <f aca="false">IF($D252="",COUNTIF($D$2:$D252,""),"")</f>
        <v>251</v>
      </c>
      <c r="R252" s="29" t="str">
        <f aca="false">IF($D252='Info Lega'!$B$28,COUNTIFS($D$2:$D252,'Info Lega'!$B$28),"")</f>
        <v/>
      </c>
      <c r="S252" s="30" t="n">
        <f aca="false">IFERROR(INDEX('Input Statistiche 2025_26'!$G$3:$G$665,MATCH($A252,'Input Statistiche 2025_26'!$A$3:$A$665,0)),"")</f>
        <v>5.85</v>
      </c>
      <c r="T252" s="30" t="n">
        <f aca="false">IFERROR(INDEX('Input Statistiche 2025_26'!$H$3:$H$665,MATCH($A252,'Input Statistiche 2025_26'!$A$3:$A$665,0)),"")</f>
        <v>5.76</v>
      </c>
      <c r="U252" s="26" t="str">
        <f aca="false">IF(OR('La Mia Rosa'!$O$12="",$D252&lt;&gt;""),"",IF($F252&lt;='La Mia Rosa'!$O$12*'Parametri Modello'!$B$24,"OK",IF($F252&lt;='La Mia Rosa'!$O$12*'Parametri Modello'!$B$25,"Attenzione","Rischio Alto")))</f>
        <v>OK</v>
      </c>
      <c r="V252" s="26" t="n">
        <f aca="false">IFERROR(COUNTIFS($B$2:$B$492,$B252,$O$2:$O$492,"&gt;"&amp;$O252)+1,"")</f>
        <v>69</v>
      </c>
      <c r="W252" s="21" t="n">
        <f aca="false">'Info Lega'!$B$4-SUMIFS($M$2:$M$492,$D$2:$D$492,'Info Lega'!$B$28)</f>
        <v>1000</v>
      </c>
      <c r="X252" s="21" t="n">
        <f aca="false">('Info Lega'!$B$5-COUNTIFS($D$2:$D$492,'Info Lega'!$B$28,$B$2:$B$492,"P"))+('Info Lega'!$B$6-COUNTIFS($D$2:$D$492,'Info Lega'!$B$28,$B$2:$B$492,"D"))+('Info Lega'!$B$7-COUNTIFS($D$2:$D$492,'Info Lega'!$B$28,$B$2:$B$492,"C"))+('Info Lega'!$B$8-COUNTIFS($D$2:$D$492,'Info Lega'!$B$28,$B$2:$B$492,"A"))</f>
        <v>25</v>
      </c>
      <c r="Y252" s="21" t="n">
        <f aca="false">X252*'Parametri Modello'!$B$30</f>
        <v>25</v>
      </c>
      <c r="Z252" s="21" t="n">
        <f aca="false">MAX(0,W252-Y252)</f>
        <v>975</v>
      </c>
      <c r="AA252" s="21" t="n">
        <f aca="false">MIN(F252,Z252)</f>
        <v>6</v>
      </c>
      <c r="AB252" s="21"/>
      <c r="AC252" s="21" t="str">
        <f aca="false">IF(AB252="","",IF(AB252&gt;AA252,"PASS",IF(AB252&lt;=AA252*0.85,"BID","ATTENZIONE")))</f>
        <v/>
      </c>
      <c r="AD252" s="31" t="n">
        <f aca="false">IF(I252="","",ROUND(100*(1-EXP(-I252/30)),0))</f>
        <v>59</v>
      </c>
      <c r="AE252" s="7" t="str">
        <f aca="false">IFERROR(INDEX('Stato Asta'!$G$9:$G$12,MATCH($B252,'Stato Asta'!$A$9:$A$12,0)),"")</f>
        <v>🟡 Attesa rischiosa</v>
      </c>
    </row>
    <row r="253" customFormat="false" ht="14.25" hidden="false" customHeight="true" outlineLevel="0" collapsed="false">
      <c r="A253" s="21" t="n">
        <v>2848</v>
      </c>
      <c r="B253" s="21" t="s">
        <v>45</v>
      </c>
      <c r="C253" s="21" t="s">
        <v>422</v>
      </c>
      <c r="E253" s="26" t="str">
        <f aca="false">IF(COUNTIF('Info Strategia'!$D$2:$D$51,$C253)&gt;0,"SI","NO")</f>
        <v>NO</v>
      </c>
      <c r="F253" s="27" t="n">
        <f aca="false">IFERROR(ROUND(($G253+($H253-$G253)*'Info Strategia'!$B$6)*(1+IF($E253="SI",'Parametri Modello'!$B$7*'Info Strategia'!$B$6,0)),0),"")</f>
        <v>7</v>
      </c>
      <c r="G253" s="27" t="n">
        <f aca="false">IFERROR(ROUND((IF(OR(INDEX('Parametri Modello'!$C$39:$C$42,MATCH($B253,'Parametri Modello'!$A$39:$A$42,0))="",INDEX('Parametri Modello'!$C$39:$C$42,MATCH($B253,'Parametri Modello'!$A$39:$A$42,0))=0),0,($O253/INDEX('Parametri Modello'!$C$39:$C$42,MATCH($B253,'Parametri Modello'!$A$39:$A$42,0)))*(INDEX('Parametri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5</v>
      </c>
      <c r="H253" s="27" t="n">
        <f aca="false">IFERROR(ROUND((IF(OR(INDEX('Parametri Modello'!$C$39:$C$42,MATCH($B253,'Parametri Modello'!$A$39:$A$42,0))="",INDEX('Parametri Modello'!$C$39:$C$42,MATCH($B253,'Parametri Modello'!$A$39:$A$42,0))=0),0,($O253/INDEX('Parametri Modello'!$C$39:$C$42,MATCH($B253,'Parametri Modello'!$A$39:$A$42,0)))*(INDEX('Parametri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8</v>
      </c>
      <c r="I253" s="26" t="n">
        <f aca="false">IFERROR(INDEX('Input Statistiche 2025_26'!$F$3:$F$665,MATCH($A253,'Input Statistiche 2025_26'!$A$3:$A$665,0)),"")</f>
        <v>14</v>
      </c>
      <c r="J253" s="26" t="n">
        <f aca="false">IFERROR(IF($I253="","",MAX(0,38-$I253)),"")</f>
        <v>24</v>
      </c>
      <c r="K253" s="26" t="n">
        <f aca="false">IFERROR(INDEX('Input Statistiche 2025_26'!$I$3:$I$665,MATCH($A253,'Input Statistiche 2025_26'!$A$3:$A$665,0)),"")</f>
        <v>0</v>
      </c>
      <c r="L253" s="26" t="n">
        <f aca="false">IFERROR(INDEX('Input Statistiche 2025_26'!$O$3:$O$665,MATCH($A253,'Input Statistiche 2025_26'!$A$3:$A$665,0)),"")</f>
        <v>0</v>
      </c>
      <c r="M253" s="28"/>
      <c r="N253" s="27" t="n">
        <f aca="false">IFERROR(INDEX('Input Giocatori 2026_27'!$E$3:$E$493,MATCH($A253,'Input Giocatori 2026_27'!$A$3:$A$493,0)),"")</f>
        <v>7</v>
      </c>
      <c r="O253" s="27" t="n">
        <f aca="false">IFERROR(INDEX('Input Giocatori 2026_27'!$G$3:$G$493,MATCH($A253,'Input Giocatori 2026_27'!$A$3:$A$493,0)),"")</f>
        <v>13</v>
      </c>
      <c r="P253" s="26" t="str">
        <f aca="false">IFERROR(IF($O253="","",IF((1-(COUNTIFS($B$2:$B$492,$B253,$O$2:$O$492,"&gt;"&amp;$O253)+1-1)/COUNTIF($B$2:$B$492,$B253))&gt;=0.85,"Top",IF((1-(COUNTIFS($B$2:$B$492,$B253,$O$2:$O$492,"&gt;"&amp;$O253)+1-1)/COUNTIF($B$2:$B$492,$B253))&gt;=0.6,"Buono",IF((1-(COUNTIFS($B$2:$B$492,$B253,$O$2:$O$492,"&gt;"&amp;$O253)+1-1)/COUNTIF($B$2:$B$492,$B253))&gt;=0.3,"Nella Media","Scommessa/Riserva")))),"")</f>
        <v>Nella Media</v>
      </c>
      <c r="Q253" s="29" t="n">
        <f aca="false">IF($D253="",COUNTIF($D$2:$D253,""),"")</f>
        <v>252</v>
      </c>
      <c r="R253" s="29" t="str">
        <f aca="false">IF($D253='Info Lega'!$B$28,COUNTIFS($D$2:$D253,'Info Lega'!$B$28),"")</f>
        <v/>
      </c>
      <c r="S253" s="30" t="n">
        <f aca="false">IFERROR(INDEX('Input Statistiche 2025_26'!$G$3:$G$665,MATCH($A253,'Input Statistiche 2025_26'!$A$3:$A$665,0)),"")</f>
        <v>5.89</v>
      </c>
      <c r="T253" s="30" t="n">
        <f aca="false">IFERROR(INDEX('Input Statistiche 2025_26'!$H$3:$H$665,MATCH($A253,'Input Statistiche 2025_26'!$A$3:$A$665,0)),"")</f>
        <v>5.89</v>
      </c>
      <c r="U253" s="26" t="str">
        <f aca="false">IF(OR('La Mia Rosa'!$O$12="",$D253&lt;&gt;""),"",IF($F253&lt;='La Mia Rosa'!$O$12*'Parametri Modello'!$B$24,"OK",IF($F253&lt;='La Mia Rosa'!$O$12*'Parametri Modello'!$B$25,"Attenzione","Rischio Alto")))</f>
        <v>OK</v>
      </c>
      <c r="V253" s="26" t="n">
        <f aca="false">IFERROR(COUNTIFS($B$2:$B$492,$B253,$O$2:$O$492,"&gt;"&amp;$O253)+1,"")</f>
        <v>98</v>
      </c>
      <c r="W253" s="21" t="n">
        <f aca="false">'Info Lega'!$B$4-SUMIFS($M$2:$M$492,$D$2:$D$492,'Info Lega'!$B$28)</f>
        <v>1000</v>
      </c>
      <c r="X253" s="21" t="n">
        <f aca="false">('Info Lega'!$B$5-COUNTIFS($D$2:$D$492,'Info Lega'!$B$28,$B$2:$B$492,"P"))+('Info Lega'!$B$6-COUNTIFS($D$2:$D$492,'Info Lega'!$B$28,$B$2:$B$492,"D"))+('Info Lega'!$B$7-COUNTIFS($D$2:$D$492,'Info Lega'!$B$28,$B$2:$B$492,"C"))+('Info Lega'!$B$8-COUNTIFS($D$2:$D$492,'Info Lega'!$B$28,$B$2:$B$492,"A"))</f>
        <v>25</v>
      </c>
      <c r="Y253" s="21" t="n">
        <f aca="false">X253*'Parametri Modello'!$B$30</f>
        <v>25</v>
      </c>
      <c r="Z253" s="21" t="n">
        <f aca="false">MAX(0,W253-Y253)</f>
        <v>975</v>
      </c>
      <c r="AA253" s="21" t="n">
        <f aca="false">MIN(F253,Z253)</f>
        <v>7</v>
      </c>
      <c r="AB253" s="21"/>
      <c r="AC253" s="21" t="str">
        <f aca="false">IF(AB253="","",IF(AB253&gt;AA253,"PASS",IF(AB253&lt;=AA253*0.85,"BID","ATTENZIONE")))</f>
        <v/>
      </c>
      <c r="AD253" s="31" t="n">
        <f aca="false">IF(I253="","",ROUND(100*(1-EXP(-I253/30)),0))</f>
        <v>37</v>
      </c>
      <c r="AE253" s="7" t="str">
        <f aca="false">IFERROR(INDEX('Stato Asta'!$G$9:$G$12,MATCH($B253,'Stato Asta'!$A$9:$A$12,0)),"")</f>
        <v>🟡 Attesa rischiosa</v>
      </c>
    </row>
    <row r="254" customFormat="false" ht="14.25" hidden="false" customHeight="true" outlineLevel="0" collapsed="false">
      <c r="A254" s="21" t="n">
        <v>4870</v>
      </c>
      <c r="B254" s="21" t="s">
        <v>45</v>
      </c>
      <c r="C254" s="21" t="s">
        <v>431</v>
      </c>
      <c r="E254" s="26" t="str">
        <f aca="false">IF(COUNTIF('Info Strategia'!$D$2:$D$51,$C254)&gt;0,"SI","NO")</f>
        <v>NO</v>
      </c>
      <c r="F254" s="27" t="n">
        <f aca="false">IFERROR(ROUND(($G254+($H254-$G254)*'Info Strategia'!$B$6)*(1+IF($E254="SI",'Parametri Modello'!$B$7*'Info Strategia'!$B$6,0)),0),"")</f>
        <v>7</v>
      </c>
      <c r="G254" s="27" t="n">
        <f aca="false">IFERROR(ROUND((IF(OR(INDEX('Parametri Modello'!$C$39:$C$42,MATCH($B254,'Parametri Modello'!$A$39:$A$42,0))="",INDEX('Parametri Modello'!$C$39:$C$42,MATCH($B254,'Parametri Modello'!$A$39:$A$42,0))=0),0,($O254/INDEX('Parametri Modello'!$C$39:$C$42,MATCH($B254,'Parametri Modello'!$A$39:$A$42,0)))*(INDEX('Parametri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5</v>
      </c>
      <c r="H254" s="27" t="n">
        <f aca="false">IFERROR(ROUND((IF(OR(INDEX('Parametri Modello'!$C$39:$C$42,MATCH($B254,'Parametri Modello'!$A$39:$A$42,0))="",INDEX('Parametri Modello'!$C$39:$C$42,MATCH($B254,'Parametri Modello'!$A$39:$A$42,0))=0),0,($O254/INDEX('Parametri Modello'!$C$39:$C$42,MATCH($B254,'Parametri Modello'!$A$39:$A$42,0)))*(INDEX('Parametri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8</v>
      </c>
      <c r="I254" s="26" t="n">
        <f aca="false">IFERROR(INDEX('Input Statistiche 2025_26'!$F$3:$F$665,MATCH($A254,'Input Statistiche 2025_26'!$A$3:$A$665,0)),"")</f>
        <v>38</v>
      </c>
      <c r="J254" s="26" t="n">
        <f aca="false">IFERROR(IF($I254="","",MAX(0,38-$I254)),"")</f>
        <v>0</v>
      </c>
      <c r="K254" s="26" t="n">
        <f aca="false">IFERROR(INDEX('Input Statistiche 2025_26'!$I$3:$I$665,MATCH($A254,'Input Statistiche 2025_26'!$A$3:$A$665,0)),"")</f>
        <v>1</v>
      </c>
      <c r="L254" s="26" t="n">
        <f aca="false">IFERROR(INDEX('Input Statistiche 2025_26'!$O$3:$O$665,MATCH($A254,'Input Statistiche 2025_26'!$A$3:$A$665,0)),"")</f>
        <v>1</v>
      </c>
      <c r="M254" s="28"/>
      <c r="N254" s="27" t="n">
        <f aca="false">IFERROR(INDEX('Input Giocatori 2026_27'!$E$3:$E$493,MATCH($A254,'Input Giocatori 2026_27'!$A$3:$A$493,0)),"")</f>
        <v>6</v>
      </c>
      <c r="O254" s="27" t="n">
        <f aca="false">IFERROR(INDEX('Input Giocatori 2026_27'!$G$3:$G$493,MATCH($A254,'Input Giocatori 2026_27'!$A$3:$A$493,0)),"")</f>
        <v>13</v>
      </c>
      <c r="P254" s="26" t="str">
        <f aca="false">IFERROR(IF($O254="","",IF((1-(COUNTIFS($B$2:$B$492,$B254,$O$2:$O$492,"&gt;"&amp;$O254)+1-1)/COUNTIF($B$2:$B$492,$B254))&gt;=0.85,"Top",IF((1-(COUNTIFS($B$2:$B$492,$B254,$O$2:$O$492,"&gt;"&amp;$O254)+1-1)/COUNTIF($B$2:$B$492,$B254))&gt;=0.6,"Buono",IF((1-(COUNTIFS($B$2:$B$492,$B254,$O$2:$O$492,"&gt;"&amp;$O254)+1-1)/COUNTIF($B$2:$B$492,$B254))&gt;=0.3,"Nella Media","Scommessa/Riserva")))),"")</f>
        <v>Nella Media</v>
      </c>
      <c r="Q254" s="29" t="n">
        <f aca="false">IF($D254="",COUNTIF($D$2:$D254,""),"")</f>
        <v>253</v>
      </c>
      <c r="R254" s="29" t="str">
        <f aca="false">IF($D254='Info Lega'!$B$28,COUNTIFS($D$2:$D254,'Info Lega'!$B$28),"")</f>
        <v/>
      </c>
      <c r="S254" s="30" t="n">
        <f aca="false">IFERROR(INDEX('Input Statistiche 2025_26'!$G$3:$G$665,MATCH($A254,'Input Statistiche 2025_26'!$A$3:$A$665,0)),"")</f>
        <v>5.83</v>
      </c>
      <c r="T254" s="30" t="n">
        <f aca="false">IFERROR(INDEX('Input Statistiche 2025_26'!$H$3:$H$665,MATCH($A254,'Input Statistiche 2025_26'!$A$3:$A$665,0)),"")</f>
        <v>5.88</v>
      </c>
      <c r="U254" s="26" t="str">
        <f aca="false">IF(OR('La Mia Rosa'!$O$12="",$D254&lt;&gt;""),"",IF($F254&lt;='La Mia Rosa'!$O$12*'Parametri Modello'!$B$24,"OK",IF($F254&lt;='La Mia Rosa'!$O$12*'Parametri Modello'!$B$25,"Attenzione","Rischio Alto")))</f>
        <v>OK</v>
      </c>
      <c r="V254" s="26" t="n">
        <f aca="false">IFERROR(COUNTIFS($B$2:$B$492,$B254,$O$2:$O$492,"&gt;"&amp;$O254)+1,"")</f>
        <v>98</v>
      </c>
      <c r="W254" s="21" t="n">
        <f aca="false">'Info Lega'!$B$4-SUMIFS($M$2:$M$492,$D$2:$D$492,'Info Lega'!$B$28)</f>
        <v>1000</v>
      </c>
      <c r="X254" s="21" t="n">
        <f aca="false">('Info Lega'!$B$5-COUNTIFS($D$2:$D$492,'Info Lega'!$B$28,$B$2:$B$492,"P"))+('Info Lega'!$B$6-COUNTIFS($D$2:$D$492,'Info Lega'!$B$28,$B$2:$B$492,"D"))+('Info Lega'!$B$7-COUNTIFS($D$2:$D$492,'Info Lega'!$B$28,$B$2:$B$492,"C"))+('Info Lega'!$B$8-COUNTIFS($D$2:$D$492,'Info Lega'!$B$28,$B$2:$B$492,"A"))</f>
        <v>25</v>
      </c>
      <c r="Y254" s="21" t="n">
        <f aca="false">X254*'Parametri Modello'!$B$30</f>
        <v>25</v>
      </c>
      <c r="Z254" s="21" t="n">
        <f aca="false">MAX(0,W254-Y254)</f>
        <v>975</v>
      </c>
      <c r="AA254" s="21" t="n">
        <f aca="false">MIN(F254,Z254)</f>
        <v>7</v>
      </c>
      <c r="AB254" s="21"/>
      <c r="AC254" s="21" t="str">
        <f aca="false">IF(AB254="","",IF(AB254&gt;AA254,"PASS",IF(AB254&lt;=AA254*0.85,"BID","ATTENZIONE")))</f>
        <v/>
      </c>
      <c r="AD254" s="31" t="n">
        <f aca="false">IF(I254="","",ROUND(100*(1-EXP(-I254/30)),0))</f>
        <v>72</v>
      </c>
      <c r="AE254" s="7" t="str">
        <f aca="false">IFERROR(INDEX('Stato Asta'!$G$9:$G$12,MATCH($B254,'Stato Asta'!$A$9:$A$12,0)),"")</f>
        <v>🟡 Attesa rischiosa</v>
      </c>
    </row>
    <row r="255" customFormat="false" ht="14.25" hidden="false" customHeight="true" outlineLevel="0" collapsed="false">
      <c r="A255" s="21" t="n">
        <v>5998</v>
      </c>
      <c r="B255" s="21" t="s">
        <v>45</v>
      </c>
      <c r="C255" s="21" t="s">
        <v>451</v>
      </c>
      <c r="E255" s="26" t="str">
        <f aca="false">IF(COUNTIF('Info Strategia'!$D$2:$D$51,$C255)&gt;0,"SI","NO")</f>
        <v>NO</v>
      </c>
      <c r="F255" s="27" t="n">
        <f aca="false">IFERROR(ROUND(($G255+($H255-$G255)*'Info Strategia'!$B$6)*(1+IF($E255="SI",'Parametri Modello'!$B$7*'Info Strategia'!$B$6,0)),0),"")</f>
        <v>7</v>
      </c>
      <c r="G255" s="27" t="n">
        <f aca="false">IFERROR(ROUND((IF(OR(INDEX('Parametri Modello'!$C$39:$C$42,MATCH($B255,'Parametri Modello'!$A$39:$A$42,0))="",INDEX('Parametri Modello'!$C$39:$C$42,MATCH($B255,'Parametri Modello'!$A$39:$A$42,0))=0),0,($O255/INDEX('Parametri Modello'!$C$39:$C$42,MATCH($B255,'Parametri Modello'!$A$39:$A$42,0)))*(INDEX('Parametri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5</v>
      </c>
      <c r="H255" s="27" t="n">
        <f aca="false">IFERROR(ROUND((IF(OR(INDEX('Parametri Modello'!$C$39:$C$42,MATCH($B255,'Parametri Modello'!$A$39:$A$42,0))="",INDEX('Parametri Modello'!$C$39:$C$42,MATCH($B255,'Parametri Modello'!$A$39:$A$42,0))=0),0,($O255/INDEX('Parametri Modello'!$C$39:$C$42,MATCH($B255,'Parametri Modello'!$A$39:$A$42,0)))*(INDEX('Parametri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8</v>
      </c>
      <c r="I255" s="26" t="n">
        <f aca="false">IFERROR(INDEX('Input Statistiche 2025_26'!$F$3:$F$665,MATCH($A255,'Input Statistiche 2025_26'!$A$3:$A$665,0)),"")</f>
        <v>29</v>
      </c>
      <c r="J255" s="26" t="n">
        <f aca="false">IFERROR(IF($I255="","",MAX(0,38-$I255)),"")</f>
        <v>9</v>
      </c>
      <c r="K255" s="26" t="n">
        <f aca="false">IFERROR(INDEX('Input Statistiche 2025_26'!$I$3:$I$665,MATCH($A255,'Input Statistiche 2025_26'!$A$3:$A$665,0)),"")</f>
        <v>0</v>
      </c>
      <c r="L255" s="26" t="n">
        <f aca="false">IFERROR(INDEX('Input Statistiche 2025_26'!$O$3:$O$665,MATCH($A255,'Input Statistiche 2025_26'!$A$3:$A$665,0)),"")</f>
        <v>2</v>
      </c>
      <c r="M255" s="28"/>
      <c r="N255" s="27" t="n">
        <f aca="false">IFERROR(INDEX('Input Giocatori 2026_27'!$E$3:$E$493,MATCH($A255,'Input Giocatori 2026_27'!$A$3:$A$493,0)),"")</f>
        <v>5</v>
      </c>
      <c r="O255" s="27" t="n">
        <f aca="false">IFERROR(INDEX('Input Giocatori 2026_27'!$G$3:$G$493,MATCH($A255,'Input Giocatori 2026_27'!$A$3:$A$493,0)),"")</f>
        <v>13</v>
      </c>
      <c r="P255" s="26" t="str">
        <f aca="false">IFERROR(IF($O255="","",IF((1-(COUNTIFS($B$2:$B$492,$B255,$O$2:$O$492,"&gt;"&amp;$O255)+1-1)/COUNTIF($B$2:$B$492,$B255))&gt;=0.85,"Top",IF((1-(COUNTIFS($B$2:$B$492,$B255,$O$2:$O$492,"&gt;"&amp;$O255)+1-1)/COUNTIF($B$2:$B$492,$B255))&gt;=0.6,"Buono",IF((1-(COUNTIFS($B$2:$B$492,$B255,$O$2:$O$492,"&gt;"&amp;$O255)+1-1)/COUNTIF($B$2:$B$492,$B255))&gt;=0.3,"Nella Media","Scommessa/Riserva")))),"")</f>
        <v>Nella Media</v>
      </c>
      <c r="Q255" s="29" t="n">
        <f aca="false">IF($D255="",COUNTIF($D$2:$D255,""),"")</f>
        <v>254</v>
      </c>
      <c r="R255" s="29" t="str">
        <f aca="false">IF($D255='Info Lega'!$B$28,COUNTIFS($D$2:$D255,'Info Lega'!$B$28),"")</f>
        <v/>
      </c>
      <c r="S255" s="30" t="n">
        <f aca="false">IFERROR(INDEX('Input Statistiche 2025_26'!$G$3:$G$665,MATCH($A255,'Input Statistiche 2025_26'!$A$3:$A$665,0)),"")</f>
        <v>5.76</v>
      </c>
      <c r="T255" s="30" t="n">
        <f aca="false">IFERROR(INDEX('Input Statistiche 2025_26'!$H$3:$H$665,MATCH($A255,'Input Statistiche 2025_26'!$A$3:$A$665,0)),"")</f>
        <v>5.79</v>
      </c>
      <c r="U255" s="26" t="str">
        <f aca="false">IF(OR('La Mia Rosa'!$O$12="",$D255&lt;&gt;""),"",IF($F255&lt;='La Mia Rosa'!$O$12*'Parametri Modello'!$B$24,"OK",IF($F255&lt;='La Mia Rosa'!$O$12*'Parametri Modello'!$B$25,"Attenzione","Rischio Alto")))</f>
        <v>OK</v>
      </c>
      <c r="V255" s="26" t="n">
        <f aca="false">IFERROR(COUNTIFS($B$2:$B$492,$B255,$O$2:$O$492,"&gt;"&amp;$O255)+1,"")</f>
        <v>98</v>
      </c>
      <c r="W255" s="21" t="n">
        <f aca="false">'Info Lega'!$B$4-SUMIFS($M$2:$M$492,$D$2:$D$492,'Info Lega'!$B$28)</f>
        <v>1000</v>
      </c>
      <c r="X255" s="21" t="n">
        <f aca="false">('Info Lega'!$B$5-COUNTIFS($D$2:$D$492,'Info Lega'!$B$28,$B$2:$B$492,"P"))+('Info Lega'!$B$6-COUNTIFS($D$2:$D$492,'Info Lega'!$B$28,$B$2:$B$492,"D"))+('Info Lega'!$B$7-COUNTIFS($D$2:$D$492,'Info Lega'!$B$28,$B$2:$B$492,"C"))+('Info Lega'!$B$8-COUNTIFS($D$2:$D$492,'Info Lega'!$B$28,$B$2:$B$492,"A"))</f>
        <v>25</v>
      </c>
      <c r="Y255" s="21" t="n">
        <f aca="false">X255*'Parametri Modello'!$B$30</f>
        <v>25</v>
      </c>
      <c r="Z255" s="21" t="n">
        <f aca="false">MAX(0,W255-Y255)</f>
        <v>975</v>
      </c>
      <c r="AA255" s="21" t="n">
        <f aca="false">MIN(F255,Z255)</f>
        <v>7</v>
      </c>
      <c r="AB255" s="21"/>
      <c r="AC255" s="21" t="str">
        <f aca="false">IF(AB255="","",IF(AB255&gt;AA255,"PASS",IF(AB255&lt;=AA255*0.85,"BID","ATTENZIONE")))</f>
        <v/>
      </c>
      <c r="AD255" s="31" t="n">
        <f aca="false">IF(I255="","",ROUND(100*(1-EXP(-I255/30)),0))</f>
        <v>62</v>
      </c>
      <c r="AE255" s="7" t="str">
        <f aca="false">IFERROR(INDEX('Stato Asta'!$G$9:$G$12,MATCH($B255,'Stato Asta'!$A$9:$A$12,0)),"")</f>
        <v>🟡 Attesa rischiosa</v>
      </c>
    </row>
    <row r="256" customFormat="false" ht="14.25" hidden="false" customHeight="true" outlineLevel="0" collapsed="false">
      <c r="A256" s="21" t="n">
        <v>6629</v>
      </c>
      <c r="B256" s="21" t="s">
        <v>45</v>
      </c>
      <c r="C256" s="21" t="s">
        <v>456</v>
      </c>
      <c r="E256" s="26" t="str">
        <f aca="false">IF(COUNTIF('Info Strategia'!$D$2:$D$51,$C256)&gt;0,"SI","NO")</f>
        <v>NO</v>
      </c>
      <c r="F256" s="27" t="n">
        <f aca="false">IFERROR(ROUND(($G256+($H256-$G256)*'Info Strategia'!$B$6)*(1+IF($E256="SI",'Parametri Modello'!$B$7*'Info Strategia'!$B$6,0)),0),"")</f>
        <v>7</v>
      </c>
      <c r="G256" s="27" t="n">
        <f aca="false">IFERROR(ROUND((IF(OR(INDEX('Parametri Modello'!$C$39:$C$42,MATCH($B256,'Parametri Modello'!$A$39:$A$42,0))="",INDEX('Parametri Modello'!$C$39:$C$42,MATCH($B256,'Parametri Modello'!$A$39:$A$42,0))=0),0,($O256/INDEX('Parametri Modello'!$C$39:$C$42,MATCH($B256,'Parametri Modello'!$A$39:$A$42,0)))*(INDEX('Parametri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5</v>
      </c>
      <c r="H256" s="27" t="n">
        <f aca="false">IFERROR(ROUND((IF(OR(INDEX('Parametri Modello'!$C$39:$C$42,MATCH($B256,'Parametri Modello'!$A$39:$A$42,0))="",INDEX('Parametri Modello'!$C$39:$C$42,MATCH($B256,'Parametri Modello'!$A$39:$A$42,0))=0),0,($O256/INDEX('Parametri Modello'!$C$39:$C$42,MATCH($B256,'Parametri Modello'!$A$39:$A$42,0)))*(INDEX('Parametri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8</v>
      </c>
      <c r="I256" s="26" t="n">
        <f aca="false">IFERROR(INDEX('Input Statistiche 2025_26'!$F$3:$F$665,MATCH($A256,'Input Statistiche 2025_26'!$A$3:$A$665,0)),"")</f>
        <v>21</v>
      </c>
      <c r="J256" s="26" t="n">
        <f aca="false">IFERROR(IF($I256="","",MAX(0,38-$I256)),"")</f>
        <v>17</v>
      </c>
      <c r="K256" s="26" t="n">
        <f aca="false">IFERROR(INDEX('Input Statistiche 2025_26'!$I$3:$I$665,MATCH($A256,'Input Statistiche 2025_26'!$A$3:$A$665,0)),"")</f>
        <v>1</v>
      </c>
      <c r="L256" s="26" t="n">
        <f aca="false">IFERROR(INDEX('Input Statistiche 2025_26'!$O$3:$O$665,MATCH($A256,'Input Statistiche 2025_26'!$A$3:$A$665,0)),"")</f>
        <v>0</v>
      </c>
      <c r="M256" s="28"/>
      <c r="N256" s="27" t="n">
        <f aca="false">IFERROR(INDEX('Input Giocatori 2026_27'!$E$3:$E$493,MATCH($A256,'Input Giocatori 2026_27'!$A$3:$A$493,0)),"")</f>
        <v>5</v>
      </c>
      <c r="O256" s="27" t="n">
        <f aca="false">IFERROR(INDEX('Input Giocatori 2026_27'!$G$3:$G$493,MATCH($A256,'Input Giocatori 2026_27'!$A$3:$A$493,0)),"")</f>
        <v>13</v>
      </c>
      <c r="P256" s="26" t="str">
        <f aca="false">IFERROR(IF($O256="","",IF((1-(COUNTIFS($B$2:$B$492,$B256,$O$2:$O$492,"&gt;"&amp;$O256)+1-1)/COUNTIF($B$2:$B$492,$B256))&gt;=0.85,"Top",IF((1-(COUNTIFS($B$2:$B$492,$B256,$O$2:$O$492,"&gt;"&amp;$O256)+1-1)/COUNTIF($B$2:$B$492,$B256))&gt;=0.6,"Buono",IF((1-(COUNTIFS($B$2:$B$492,$B256,$O$2:$O$492,"&gt;"&amp;$O256)+1-1)/COUNTIF($B$2:$B$492,$B256))&gt;=0.3,"Nella Media","Scommessa/Riserva")))),"")</f>
        <v>Nella Media</v>
      </c>
      <c r="Q256" s="29" t="n">
        <f aca="false">IF($D256="",COUNTIF($D$2:$D256,""),"")</f>
        <v>255</v>
      </c>
      <c r="R256" s="29" t="str">
        <f aca="false">IF($D256='Info Lega'!$B$28,COUNTIFS($D$2:$D256,'Info Lega'!$B$28),"")</f>
        <v/>
      </c>
      <c r="S256" s="30" t="n">
        <f aca="false">IFERROR(INDEX('Input Statistiche 2025_26'!$G$3:$G$665,MATCH($A256,'Input Statistiche 2025_26'!$A$3:$A$665,0)),"")</f>
        <v>5.69</v>
      </c>
      <c r="T256" s="30" t="n">
        <f aca="false">IFERROR(INDEX('Input Statistiche 2025_26'!$H$3:$H$665,MATCH($A256,'Input Statistiche 2025_26'!$A$3:$A$665,0)),"")</f>
        <v>5.83</v>
      </c>
      <c r="U256" s="26" t="str">
        <f aca="false">IF(OR('La Mia Rosa'!$O$12="",$D256&lt;&gt;""),"",IF($F256&lt;='La Mia Rosa'!$O$12*'Parametri Modello'!$B$24,"OK",IF($F256&lt;='La Mia Rosa'!$O$12*'Parametri Modello'!$B$25,"Attenzione","Rischio Alto")))</f>
        <v>OK</v>
      </c>
      <c r="V256" s="26" t="n">
        <f aca="false">IFERROR(COUNTIFS($B$2:$B$492,$B256,$O$2:$O$492,"&gt;"&amp;$O256)+1,"")</f>
        <v>98</v>
      </c>
      <c r="W256" s="21" t="n">
        <f aca="false">'Info Lega'!$B$4-SUMIFS($M$2:$M$492,$D$2:$D$492,'Info Lega'!$B$28)</f>
        <v>1000</v>
      </c>
      <c r="X256" s="21" t="n">
        <f aca="false">('Info Lega'!$B$5-COUNTIFS($D$2:$D$492,'Info Lega'!$B$28,$B$2:$B$492,"P"))+('Info Lega'!$B$6-COUNTIFS($D$2:$D$492,'Info Lega'!$B$28,$B$2:$B$492,"D"))+('Info Lega'!$B$7-COUNTIFS($D$2:$D$492,'Info Lega'!$B$28,$B$2:$B$492,"C"))+('Info Lega'!$B$8-COUNTIFS($D$2:$D$492,'Info Lega'!$B$28,$B$2:$B$492,"A"))</f>
        <v>25</v>
      </c>
      <c r="Y256" s="21" t="n">
        <f aca="false">X256*'Parametri Modello'!$B$30</f>
        <v>25</v>
      </c>
      <c r="Z256" s="21" t="n">
        <f aca="false">MAX(0,W256-Y256)</f>
        <v>975</v>
      </c>
      <c r="AA256" s="21" t="n">
        <f aca="false">MIN(F256,Z256)</f>
        <v>7</v>
      </c>
      <c r="AB256" s="21"/>
      <c r="AC256" s="21" t="str">
        <f aca="false">IF(AB256="","",IF(AB256&gt;AA256,"PASS",IF(AB256&lt;=AA256*0.85,"BID","ATTENZIONE")))</f>
        <v/>
      </c>
      <c r="AD256" s="31" t="n">
        <f aca="false">IF(I256="","",ROUND(100*(1-EXP(-I256/30)),0))</f>
        <v>50</v>
      </c>
      <c r="AE256" s="7" t="str">
        <f aca="false">IFERROR(INDEX('Stato Asta'!$G$9:$G$12,MATCH($B256,'Stato Asta'!$A$9:$A$12,0)),"")</f>
        <v>🟡 Attesa rischiosa</v>
      </c>
    </row>
    <row r="257" customFormat="false" ht="14.25" hidden="false" customHeight="true" outlineLevel="0" collapsed="false">
      <c r="A257" s="21" t="n">
        <v>6170</v>
      </c>
      <c r="B257" s="21" t="s">
        <v>45</v>
      </c>
      <c r="C257" s="21" t="s">
        <v>467</v>
      </c>
      <c r="E257" s="26" t="str">
        <f aca="false">IF(COUNTIF('Info Strategia'!$D$2:$D$51,$C257)&gt;0,"SI","NO")</f>
        <v>NO</v>
      </c>
      <c r="F257" s="27" t="n">
        <f aca="false">IFERROR(ROUND(($G257+($H257-$G257)*'Info Strategia'!$B$6)*(1+IF($E257="SI",'Parametri Modello'!$B$7*'Info Strategia'!$B$6,0)),0),"")</f>
        <v>7</v>
      </c>
      <c r="G257" s="27" t="n">
        <f aca="false">IFERROR(ROUND((IF(OR(INDEX('Parametri Modello'!$C$39:$C$42,MATCH($B257,'Parametri Modello'!$A$39:$A$42,0))="",INDEX('Parametri Modello'!$C$39:$C$42,MATCH($B257,'Parametri Modello'!$A$39:$A$42,0))=0),0,($O257/INDEX('Parametri Modello'!$C$39:$C$42,MATCH($B257,'Parametri Modello'!$A$39:$A$42,0)))*(INDEX('Parametri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5</v>
      </c>
      <c r="H257" s="27" t="n">
        <f aca="false">IFERROR(ROUND((IF(OR(INDEX('Parametri Modello'!$C$39:$C$42,MATCH($B257,'Parametri Modello'!$A$39:$A$42,0))="",INDEX('Parametri Modello'!$C$39:$C$42,MATCH($B257,'Parametri Modello'!$A$39:$A$42,0))=0),0,($O257/INDEX('Parametri Modello'!$C$39:$C$42,MATCH($B257,'Parametri Modello'!$A$39:$A$42,0)))*(INDEX('Parametri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8</v>
      </c>
      <c r="I257" s="26" t="n">
        <f aca="false">IFERROR(INDEX('Input Statistiche 2025_26'!$F$3:$F$665,MATCH($A257,'Input Statistiche 2025_26'!$A$3:$A$665,0)),"")</f>
        <v>27</v>
      </c>
      <c r="J257" s="26" t="n">
        <f aca="false">IFERROR(IF($I257="","",MAX(0,38-$I257)),"")</f>
        <v>11</v>
      </c>
      <c r="K257" s="26" t="n">
        <f aca="false">IFERROR(INDEX('Input Statistiche 2025_26'!$I$3:$I$665,MATCH($A257,'Input Statistiche 2025_26'!$A$3:$A$665,0)),"")</f>
        <v>0</v>
      </c>
      <c r="L257" s="26" t="n">
        <f aca="false">IFERROR(INDEX('Input Statistiche 2025_26'!$O$3:$O$665,MATCH($A257,'Input Statistiche 2025_26'!$A$3:$A$665,0)),"")</f>
        <v>1</v>
      </c>
      <c r="M257" s="28"/>
      <c r="N257" s="27" t="n">
        <f aca="false">IFERROR(INDEX('Input Giocatori 2026_27'!$E$3:$E$493,MATCH($A257,'Input Giocatori 2026_27'!$A$3:$A$493,0)),"")</f>
        <v>5</v>
      </c>
      <c r="O257" s="27" t="n">
        <f aca="false">IFERROR(INDEX('Input Giocatori 2026_27'!$G$3:$G$493,MATCH($A257,'Input Giocatori 2026_27'!$A$3:$A$493,0)),"")</f>
        <v>13</v>
      </c>
      <c r="P257" s="26" t="str">
        <f aca="false">IFERROR(IF($O257="","",IF((1-(COUNTIFS($B$2:$B$492,$B257,$O$2:$O$492,"&gt;"&amp;$O257)+1-1)/COUNTIF($B$2:$B$492,$B257))&gt;=0.85,"Top",IF((1-(COUNTIFS($B$2:$B$492,$B257,$O$2:$O$492,"&gt;"&amp;$O257)+1-1)/COUNTIF($B$2:$B$492,$B257))&gt;=0.6,"Buono",IF((1-(COUNTIFS($B$2:$B$492,$B257,$O$2:$O$492,"&gt;"&amp;$O257)+1-1)/COUNTIF($B$2:$B$492,$B257))&gt;=0.3,"Nella Media","Scommessa/Riserva")))),"")</f>
        <v>Nella Media</v>
      </c>
      <c r="Q257" s="29" t="n">
        <f aca="false">IF($D257="",COUNTIF($D$2:$D257,""),"")</f>
        <v>256</v>
      </c>
      <c r="R257" s="29" t="str">
        <f aca="false">IF($D257='Info Lega'!$B$28,COUNTIFS($D$2:$D257,'Info Lega'!$B$28),"")</f>
        <v/>
      </c>
      <c r="S257" s="30" t="n">
        <f aca="false">IFERROR(INDEX('Input Statistiche 2025_26'!$G$3:$G$665,MATCH($A257,'Input Statistiche 2025_26'!$A$3:$A$665,0)),"")</f>
        <v>5.87</v>
      </c>
      <c r="T257" s="30" t="n">
        <f aca="false">IFERROR(INDEX('Input Statistiche 2025_26'!$H$3:$H$665,MATCH($A257,'Input Statistiche 2025_26'!$A$3:$A$665,0)),"")</f>
        <v>5.81</v>
      </c>
      <c r="U257" s="26" t="str">
        <f aca="false">IF(OR('La Mia Rosa'!$O$12="",$D257&lt;&gt;""),"",IF($F257&lt;='La Mia Rosa'!$O$12*'Parametri Modello'!$B$24,"OK",IF($F257&lt;='La Mia Rosa'!$O$12*'Parametri Modello'!$B$25,"Attenzione","Rischio Alto")))</f>
        <v>OK</v>
      </c>
      <c r="V257" s="26" t="n">
        <f aca="false">IFERROR(COUNTIFS($B$2:$B$492,$B257,$O$2:$O$492,"&gt;"&amp;$O257)+1,"")</f>
        <v>98</v>
      </c>
      <c r="W257" s="21" t="n">
        <f aca="false">'Info Lega'!$B$4-SUMIFS($M$2:$M$492,$D$2:$D$492,'Info Lega'!$B$28)</f>
        <v>1000</v>
      </c>
      <c r="X257" s="21" t="n">
        <f aca="false">('Info Lega'!$B$5-COUNTIFS($D$2:$D$492,'Info Lega'!$B$28,$B$2:$B$492,"P"))+('Info Lega'!$B$6-COUNTIFS($D$2:$D$492,'Info Lega'!$B$28,$B$2:$B$492,"D"))+('Info Lega'!$B$7-COUNTIFS($D$2:$D$492,'Info Lega'!$B$28,$B$2:$B$492,"C"))+('Info Lega'!$B$8-COUNTIFS($D$2:$D$492,'Info Lega'!$B$28,$B$2:$B$492,"A"))</f>
        <v>25</v>
      </c>
      <c r="Y257" s="21" t="n">
        <f aca="false">X257*'Parametri Modello'!$B$30</f>
        <v>25</v>
      </c>
      <c r="Z257" s="21" t="n">
        <f aca="false">MAX(0,W257-Y257)</f>
        <v>975</v>
      </c>
      <c r="AA257" s="21" t="n">
        <f aca="false">MIN(F257,Z257)</f>
        <v>7</v>
      </c>
      <c r="AB257" s="21"/>
      <c r="AC257" s="21" t="str">
        <f aca="false">IF(AB257="","",IF(AB257&gt;AA257,"PASS",IF(AB257&lt;=AA257*0.85,"BID","ATTENZIONE")))</f>
        <v/>
      </c>
      <c r="AD257" s="31" t="n">
        <f aca="false">IF(I257="","",ROUND(100*(1-EXP(-I257/30)),0))</f>
        <v>59</v>
      </c>
      <c r="AE257" s="7" t="str">
        <f aca="false">IFERROR(INDEX('Stato Asta'!$G$9:$G$12,MATCH($B257,'Stato Asta'!$A$9:$A$12,0)),"")</f>
        <v>🟡 Attesa rischiosa</v>
      </c>
    </row>
    <row r="258" customFormat="false" ht="14.25" hidden="false" customHeight="true" outlineLevel="0" collapsed="false">
      <c r="A258" s="21" t="n">
        <v>5301</v>
      </c>
      <c r="B258" s="21" t="s">
        <v>45</v>
      </c>
      <c r="C258" s="21" t="s">
        <v>479</v>
      </c>
      <c r="E258" s="26" t="str">
        <f aca="false">IF(COUNTIF('Info Strategia'!$D$2:$D$51,$C258)&gt;0,"SI","NO")</f>
        <v>NO</v>
      </c>
      <c r="F258" s="27" t="n">
        <f aca="false">IFERROR(ROUND(($G258+($H258-$G258)*'Info Strategia'!$B$6)*(1+IF($E258="SI",'Parametri Modello'!$B$7*'Info Strategia'!$B$6,0)),0),"")</f>
        <v>7</v>
      </c>
      <c r="G258" s="27" t="n">
        <f aca="false">IFERROR(ROUND((IF(OR(INDEX('Parametri Modello'!$C$39:$C$42,MATCH($B258,'Parametri Modello'!$A$39:$A$42,0))="",INDEX('Parametri Modello'!$C$39:$C$42,MATCH($B258,'Parametri Modello'!$A$39:$A$42,0))=0),0,($O258/INDEX('Parametri Modello'!$C$39:$C$42,MATCH($B258,'Parametri Modello'!$A$39:$A$42,0)))*(INDEX('Parametri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5</v>
      </c>
      <c r="H258" s="27" t="n">
        <f aca="false">IFERROR(ROUND((IF(OR(INDEX('Parametri Modello'!$C$39:$C$42,MATCH($B258,'Parametri Modello'!$A$39:$A$42,0))="",INDEX('Parametri Modello'!$C$39:$C$42,MATCH($B258,'Parametri Modello'!$A$39:$A$42,0))=0),0,($O258/INDEX('Parametri Modello'!$C$39:$C$42,MATCH($B258,'Parametri Modello'!$A$39:$A$42,0)))*(INDEX('Parametri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8</v>
      </c>
      <c r="I258" s="26" t="n">
        <f aca="false">IFERROR(INDEX('Input Statistiche 2025_26'!$F$3:$F$665,MATCH($A258,'Input Statistiche 2025_26'!$A$3:$A$665,0)),"")</f>
        <v>27</v>
      </c>
      <c r="J258" s="26" t="n">
        <f aca="false">IFERROR(IF($I258="","",MAX(0,38-$I258)),"")</f>
        <v>11</v>
      </c>
      <c r="K258" s="26" t="n">
        <f aca="false">IFERROR(INDEX('Input Statistiche 2025_26'!$I$3:$I$665,MATCH($A258,'Input Statistiche 2025_26'!$A$3:$A$665,0)),"")</f>
        <v>1</v>
      </c>
      <c r="L258" s="26" t="n">
        <f aca="false">IFERROR(INDEX('Input Statistiche 2025_26'!$O$3:$O$665,MATCH($A258,'Input Statistiche 2025_26'!$A$3:$A$665,0)),"")</f>
        <v>2</v>
      </c>
      <c r="M258" s="28"/>
      <c r="N258" s="27" t="n">
        <f aca="false">IFERROR(INDEX('Input Giocatori 2026_27'!$E$3:$E$493,MATCH($A258,'Input Giocatori 2026_27'!$A$3:$A$493,0)),"")</f>
        <v>4</v>
      </c>
      <c r="O258" s="27" t="n">
        <f aca="false">IFERROR(INDEX('Input Giocatori 2026_27'!$G$3:$G$493,MATCH($A258,'Input Giocatori 2026_27'!$A$3:$A$493,0)),"")</f>
        <v>13</v>
      </c>
      <c r="P258" s="26" t="str">
        <f aca="false">IFERROR(IF($O258="","",IF((1-(COUNTIFS($B$2:$B$492,$B258,$O$2:$O$492,"&gt;"&amp;$O258)+1-1)/COUNTIF($B$2:$B$492,$B258))&gt;=0.85,"Top",IF((1-(COUNTIFS($B$2:$B$492,$B258,$O$2:$O$492,"&gt;"&amp;$O258)+1-1)/COUNTIF($B$2:$B$492,$B258))&gt;=0.6,"Buono",IF((1-(COUNTIFS($B$2:$B$492,$B258,$O$2:$O$492,"&gt;"&amp;$O258)+1-1)/COUNTIF($B$2:$B$492,$B258))&gt;=0.3,"Nella Media","Scommessa/Riserva")))),"")</f>
        <v>Nella Media</v>
      </c>
      <c r="Q258" s="29" t="n">
        <f aca="false">IF($D258="",COUNTIF($D$2:$D258,""),"")</f>
        <v>257</v>
      </c>
      <c r="R258" s="29" t="str">
        <f aca="false">IF($D258='Info Lega'!$B$28,COUNTIFS($D$2:$D258,'Info Lega'!$B$28),"")</f>
        <v/>
      </c>
      <c r="S258" s="30" t="n">
        <f aca="false">IFERROR(INDEX('Input Statistiche 2025_26'!$G$3:$G$665,MATCH($A258,'Input Statistiche 2025_26'!$A$3:$A$665,0)),"")</f>
        <v>5.89</v>
      </c>
      <c r="T258" s="30" t="n">
        <f aca="false">IFERROR(INDEX('Input Statistiche 2025_26'!$H$3:$H$665,MATCH($A258,'Input Statistiche 2025_26'!$A$3:$A$665,0)),"")</f>
        <v>6.06</v>
      </c>
      <c r="U258" s="26" t="str">
        <f aca="false">IF(OR('La Mia Rosa'!$O$12="",$D258&lt;&gt;""),"",IF($F258&lt;='La Mia Rosa'!$O$12*'Parametri Modello'!$B$24,"OK",IF($F258&lt;='La Mia Rosa'!$O$12*'Parametri Modello'!$B$25,"Attenzione","Rischio Alto")))</f>
        <v>OK</v>
      </c>
      <c r="V258" s="26" t="n">
        <f aca="false">IFERROR(COUNTIFS($B$2:$B$492,$B258,$O$2:$O$492,"&gt;"&amp;$O258)+1,"")</f>
        <v>98</v>
      </c>
      <c r="W258" s="21" t="n">
        <f aca="false">'Info Lega'!$B$4-SUMIFS($M$2:$M$492,$D$2:$D$492,'Info Lega'!$B$28)</f>
        <v>1000</v>
      </c>
      <c r="X258" s="21" t="n">
        <f aca="false">('Info Lega'!$B$5-COUNTIFS($D$2:$D$492,'Info Lega'!$B$28,$B$2:$B$492,"P"))+('Info Lega'!$B$6-COUNTIFS($D$2:$D$492,'Info Lega'!$B$28,$B$2:$B$492,"D"))+('Info Lega'!$B$7-COUNTIFS($D$2:$D$492,'Info Lega'!$B$28,$B$2:$B$492,"C"))+('Info Lega'!$B$8-COUNTIFS($D$2:$D$492,'Info Lega'!$B$28,$B$2:$B$492,"A"))</f>
        <v>25</v>
      </c>
      <c r="Y258" s="21" t="n">
        <f aca="false">X258*'Parametri Modello'!$B$30</f>
        <v>25</v>
      </c>
      <c r="Z258" s="21" t="n">
        <f aca="false">MAX(0,W258-Y258)</f>
        <v>975</v>
      </c>
      <c r="AA258" s="21" t="n">
        <f aca="false">MIN(F258,Z258)</f>
        <v>7</v>
      </c>
      <c r="AB258" s="21"/>
      <c r="AC258" s="21" t="str">
        <f aca="false">IF(AB258="","",IF(AB258&gt;AA258,"PASS",IF(AB258&lt;=AA258*0.85,"BID","ATTENZIONE")))</f>
        <v/>
      </c>
      <c r="AD258" s="31" t="n">
        <f aca="false">IF(I258="","",ROUND(100*(1-EXP(-I258/30)),0))</f>
        <v>59</v>
      </c>
      <c r="AE258" s="7" t="str">
        <f aca="false">IFERROR(INDEX('Stato Asta'!$G$9:$G$12,MATCH($B258,'Stato Asta'!$A$9:$A$12,0)),"")</f>
        <v>🟡 Attesa rischiosa</v>
      </c>
    </row>
    <row r="259" customFormat="false" ht="14.25" hidden="false" customHeight="true" outlineLevel="0" collapsed="false">
      <c r="A259" s="21" t="n">
        <v>7535</v>
      </c>
      <c r="B259" s="21" t="s">
        <v>45</v>
      </c>
      <c r="C259" s="21" t="s">
        <v>489</v>
      </c>
      <c r="E259" s="26" t="str">
        <f aca="false">IF(COUNTIF('Info Strategia'!$D$2:$D$51,$C259)&gt;0,"SI","NO")</f>
        <v>NO</v>
      </c>
      <c r="F259" s="27" t="n">
        <f aca="false">IFERROR(ROUND(($G259+($H259-$G259)*'Info Strategia'!$B$6)*(1+IF($E259="SI",'Parametri Modello'!$B$7*'Info Strategia'!$B$6,0)),0),"")</f>
        <v>7</v>
      </c>
      <c r="G259" s="27" t="n">
        <f aca="false">IFERROR(ROUND((IF(OR(INDEX('Parametri Modello'!$C$39:$C$42,MATCH($B259,'Parametri Modello'!$A$39:$A$42,0))="",INDEX('Parametri Modello'!$C$39:$C$42,MATCH($B259,'Parametri Modello'!$A$39:$A$42,0))=0),0,($O259/INDEX('Parametri Modello'!$C$39:$C$42,MATCH($B259,'Parametri Modello'!$A$39:$A$42,0)))*(INDEX('Parametri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5</v>
      </c>
      <c r="H259" s="27" t="n">
        <f aca="false">IFERROR(ROUND((IF(OR(INDEX('Parametri Modello'!$C$39:$C$42,MATCH($B259,'Parametri Modello'!$A$39:$A$42,0))="",INDEX('Parametri Modello'!$C$39:$C$42,MATCH($B259,'Parametri Modello'!$A$39:$A$42,0))=0),0,($O259/INDEX('Parametri Modello'!$C$39:$C$42,MATCH($B259,'Parametri Modello'!$A$39:$A$42,0)))*(INDEX('Parametri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8</v>
      </c>
      <c r="I259" s="26" t="str">
        <f aca="false">IFERROR(INDEX('Input Statistiche 2025_26'!$F$3:$F$665,MATCH($A259,'Input Statistiche 2025_26'!$A$3:$A$665,0)),"")</f>
        <v/>
      </c>
      <c r="J259" s="26" t="str">
        <f aca="false">IFERROR(IF($I259="","",MAX(0,38-$I259)),"")</f>
        <v/>
      </c>
      <c r="K259" s="26" t="str">
        <f aca="false">IFERROR(INDEX('Input Statistiche 2025_26'!$I$3:$I$665,MATCH($A259,'Input Statistiche 2025_26'!$A$3:$A$665,0)),"")</f>
        <v/>
      </c>
      <c r="L259" s="26" t="str">
        <f aca="false">IFERROR(INDEX('Input Statistiche 2025_26'!$O$3:$O$665,MATCH($A259,'Input Statistiche 2025_26'!$A$3:$A$665,0)),"")</f>
        <v/>
      </c>
      <c r="M259" s="28"/>
      <c r="N259" s="27" t="n">
        <f aca="false">IFERROR(INDEX('Input Giocatori 2026_27'!$E$3:$E$493,MATCH($A259,'Input Giocatori 2026_27'!$A$3:$A$493,0)),"")</f>
        <v>4</v>
      </c>
      <c r="O259" s="27" t="n">
        <f aca="false">IFERROR(INDEX('Input Giocatori 2026_27'!$G$3:$G$493,MATCH($A259,'Input Giocatori 2026_27'!$A$3:$A$493,0)),"")</f>
        <v>13</v>
      </c>
      <c r="P259" s="26" t="str">
        <f aca="false">IFERROR(IF($O259="","",IF((1-(COUNTIFS($B$2:$B$492,$B259,$O$2:$O$492,"&gt;"&amp;$O259)+1-1)/COUNTIF($B$2:$B$492,$B259))&gt;=0.85,"Top",IF((1-(COUNTIFS($B$2:$B$492,$B259,$O$2:$O$492,"&gt;"&amp;$O259)+1-1)/COUNTIF($B$2:$B$492,$B259))&gt;=0.6,"Buono",IF((1-(COUNTIFS($B$2:$B$492,$B259,$O$2:$O$492,"&gt;"&amp;$O259)+1-1)/COUNTIF($B$2:$B$492,$B259))&gt;=0.3,"Nella Media","Scommessa/Riserva")))),"")</f>
        <v>Nella Media</v>
      </c>
      <c r="Q259" s="29" t="n">
        <f aca="false">IF($D259="",COUNTIF($D$2:$D259,""),"")</f>
        <v>258</v>
      </c>
      <c r="R259" s="29" t="str">
        <f aca="false">IF($D259='Info Lega'!$B$28,COUNTIFS($D$2:$D259,'Info Lega'!$B$28),"")</f>
        <v/>
      </c>
      <c r="S259" s="30" t="str">
        <f aca="false">IFERROR(INDEX('Input Statistiche 2025_26'!$G$3:$G$665,MATCH($A259,'Input Statistiche 2025_26'!$A$3:$A$665,0)),"")</f>
        <v/>
      </c>
      <c r="T259" s="30" t="str">
        <f aca="false">IFERROR(INDEX('Input Statistiche 2025_26'!$H$3:$H$665,MATCH($A259,'Input Statistiche 2025_26'!$A$3:$A$665,0)),"")</f>
        <v/>
      </c>
      <c r="U259" s="26" t="str">
        <f aca="false">IF(OR('La Mia Rosa'!$O$12="",$D259&lt;&gt;""),"",IF($F259&lt;='La Mia Rosa'!$O$12*'Parametri Modello'!$B$24,"OK",IF($F259&lt;='La Mia Rosa'!$O$12*'Parametri Modello'!$B$25,"Attenzione","Rischio Alto")))</f>
        <v>OK</v>
      </c>
      <c r="V259" s="26" t="n">
        <f aca="false">IFERROR(COUNTIFS($B$2:$B$492,$B259,$O$2:$O$492,"&gt;"&amp;$O259)+1,"")</f>
        <v>98</v>
      </c>
      <c r="W259" s="21" t="n">
        <f aca="false">'Info Lega'!$B$4-SUMIFS($M$2:$M$492,$D$2:$D$492,'Info Lega'!$B$28)</f>
        <v>1000</v>
      </c>
      <c r="X259" s="21" t="n">
        <f aca="false">('Info Lega'!$B$5-COUNTIFS($D$2:$D$492,'Info Lega'!$B$28,$B$2:$B$492,"P"))+('Info Lega'!$B$6-COUNTIFS($D$2:$D$492,'Info Lega'!$B$28,$B$2:$B$492,"D"))+('Info Lega'!$B$7-COUNTIFS($D$2:$D$492,'Info Lega'!$B$28,$B$2:$B$492,"C"))+('Info Lega'!$B$8-COUNTIFS($D$2:$D$492,'Info Lega'!$B$28,$B$2:$B$492,"A"))</f>
        <v>25</v>
      </c>
      <c r="Y259" s="21" t="n">
        <f aca="false">X259*'Parametri Modello'!$B$30</f>
        <v>25</v>
      </c>
      <c r="Z259" s="21" t="n">
        <f aca="false">MAX(0,W259-Y259)</f>
        <v>975</v>
      </c>
      <c r="AA259" s="21" t="n">
        <f aca="false">MIN(F259,Z259)</f>
        <v>7</v>
      </c>
      <c r="AB259" s="21"/>
      <c r="AC259" s="21" t="str">
        <f aca="false">IF(AB259="","",IF(AB259&gt;AA259,"PASS",IF(AB259&lt;=AA259*0.85,"BID","ATTENZIONE")))</f>
        <v/>
      </c>
      <c r="AD259" s="31" t="str">
        <f aca="false">IF(I259="","",ROUND(100*(1-EXP(-I259/30)),0))</f>
        <v/>
      </c>
      <c r="AE259" s="7" t="str">
        <f aca="false">IFERROR(INDEX('Stato Asta'!$G$9:$G$12,MATCH($B259,'Stato Asta'!$A$9:$A$12,0)),"")</f>
        <v>🟡 Attesa rischiosa</v>
      </c>
    </row>
    <row r="260" customFormat="false" ht="14.25" hidden="false" customHeight="true" outlineLevel="0" collapsed="false">
      <c r="A260" s="21" t="n">
        <v>7213</v>
      </c>
      <c r="B260" s="21" t="s">
        <v>46</v>
      </c>
      <c r="C260" s="21" t="s">
        <v>596</v>
      </c>
      <c r="E260" s="26" t="str">
        <f aca="false">IF(COUNTIF('Info Strategia'!$D$2:$D$51,$C260)&gt;0,"SI","NO")</f>
        <v>NO</v>
      </c>
      <c r="F260" s="27" t="n">
        <f aca="false">IFERROR(ROUND(($G260+($H260-$G260)*'Info Strategia'!$B$6)*(1+IF($E260="SI",'Parametri Modello'!$B$7*'Info Strategia'!$B$6,0)),0),"")</f>
        <v>11</v>
      </c>
      <c r="G260" s="27" t="n">
        <f aca="false">IFERROR(ROUND((IF(OR(INDEX('Parametri Modello'!$C$39:$C$42,MATCH($B260,'Parametri Modello'!$A$39:$A$42,0))="",INDEX('Parametri Modello'!$C$39:$C$42,MATCH($B260,'Parametri Modello'!$A$39:$A$42,0))=0),0,($O260/INDEX('Parametri Modello'!$C$39:$C$42,MATCH($B260,'Parametri Modello'!$A$39:$A$42,0)))*(INDEX('Parametri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7</v>
      </c>
      <c r="H260" s="27" t="n">
        <f aca="false">IFERROR(ROUND((IF(OR(INDEX('Parametri Modello'!$C$39:$C$42,MATCH($B260,'Parametri Modello'!$A$39:$A$42,0))="",INDEX('Parametri Modello'!$C$39:$C$42,MATCH($B260,'Parametri Modello'!$A$39:$A$42,0))=0),0,($O260/INDEX('Parametri Modello'!$C$39:$C$42,MATCH($B260,'Parametri Modello'!$A$39:$A$42,0)))*(INDEX('Parametri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13</v>
      </c>
      <c r="I260" s="26" t="n">
        <f aca="false">IFERROR(INDEX('Input Statistiche 2025_26'!$F$3:$F$665,MATCH($A260,'Input Statistiche 2025_26'!$A$3:$A$665,0)),"")</f>
        <v>0</v>
      </c>
      <c r="J260" s="26" t="n">
        <f aca="false">IFERROR(IF($I260="","",MAX(0,38-$I260)),"")</f>
        <v>38</v>
      </c>
      <c r="K260" s="26" t="n">
        <f aca="false">IFERROR(INDEX('Input Statistiche 2025_26'!$I$3:$I$665,MATCH($A260,'Input Statistiche 2025_26'!$A$3:$A$665,0)),"")</f>
        <v>0</v>
      </c>
      <c r="L260" s="26" t="n">
        <f aca="false">IFERROR(INDEX('Input Statistiche 2025_26'!$O$3:$O$665,MATCH($A260,'Input Statistiche 2025_26'!$A$3:$A$665,0)),"")</f>
        <v>0</v>
      </c>
      <c r="M260" s="28"/>
      <c r="N260" s="27" t="n">
        <f aca="false">IFERROR(INDEX('Input Giocatori 2026_27'!$E$3:$E$493,MATCH($A260,'Input Giocatori 2026_27'!$A$3:$A$493,0)),"")</f>
        <v>5</v>
      </c>
      <c r="O260" s="27" t="n">
        <f aca="false">IFERROR(INDEX('Input Giocatori 2026_27'!$G$3:$G$493,MATCH($A260,'Input Giocatori 2026_27'!$A$3:$A$493,0)),"")</f>
        <v>13</v>
      </c>
      <c r="P260" s="26" t="str">
        <f aca="false">IFERROR(IF($O260="","",IF((1-(COUNTIFS($B$2:$B$492,$B260,$O$2:$O$492,"&gt;"&amp;$O260)+1-1)/COUNTIF($B$2:$B$492,$B260))&gt;=0.85,"Top",IF((1-(COUNTIFS($B$2:$B$492,$B260,$O$2:$O$492,"&gt;"&amp;$O260)+1-1)/COUNTIF($B$2:$B$492,$B260))&gt;=0.6,"Buono",IF((1-(COUNTIFS($B$2:$B$492,$B260,$O$2:$O$492,"&gt;"&amp;$O260)+1-1)/COUNTIF($B$2:$B$492,$B260))&gt;=0.3,"Nella Media","Scommessa/Riserva")))),"")</f>
        <v>Scommessa/Riserva</v>
      </c>
      <c r="Q260" s="29" t="n">
        <f aca="false">IF($D260="",COUNTIF($D$2:$D260,""),"")</f>
        <v>259</v>
      </c>
      <c r="R260" s="29" t="str">
        <f aca="false">IF($D260='Info Lega'!$B$28,COUNTIFS($D$2:$D260,'Info Lega'!$B$28),"")</f>
        <v/>
      </c>
      <c r="S260" s="30" t="n">
        <f aca="false">IFERROR(INDEX('Input Statistiche 2025_26'!$G$3:$G$665,MATCH($A260,'Input Statistiche 2025_26'!$A$3:$A$665,0)),"")</f>
        <v>0</v>
      </c>
      <c r="T260" s="30" t="n">
        <f aca="false">IFERROR(INDEX('Input Statistiche 2025_26'!$H$3:$H$665,MATCH($A260,'Input Statistiche 2025_26'!$A$3:$A$665,0)),"")</f>
        <v>0</v>
      </c>
      <c r="U260" s="26" t="str">
        <f aca="false">IF(OR('La Mia Rosa'!$O$12="",$D260&lt;&gt;""),"",IF($F260&lt;='La Mia Rosa'!$O$12*'Parametri Modello'!$B$24,"OK",IF($F260&lt;='La Mia Rosa'!$O$12*'Parametri Modello'!$B$25,"Attenzione","Rischio Alto")))</f>
        <v>OK</v>
      </c>
      <c r="V260" s="26" t="n">
        <f aca="false">IFERROR(COUNTIFS($B$2:$B$492,$B260,$O$2:$O$492,"&gt;"&amp;$O260)+1,"")</f>
        <v>61</v>
      </c>
      <c r="W260" s="21" t="n">
        <f aca="false">'Info Lega'!$B$4-SUMIFS($M$2:$M$492,$D$2:$D$492,'Info Lega'!$B$28)</f>
        <v>1000</v>
      </c>
      <c r="X260" s="21" t="n">
        <f aca="false">('Info Lega'!$B$5-COUNTIFS($D$2:$D$492,'Info Lega'!$B$28,$B$2:$B$492,"P"))+('Info Lega'!$B$6-COUNTIFS($D$2:$D$492,'Info Lega'!$B$28,$B$2:$B$492,"D"))+('Info Lega'!$B$7-COUNTIFS($D$2:$D$492,'Info Lega'!$B$28,$B$2:$B$492,"C"))+('Info Lega'!$B$8-COUNTIFS($D$2:$D$492,'Info Lega'!$B$28,$B$2:$B$492,"A"))</f>
        <v>25</v>
      </c>
      <c r="Y260" s="21" t="n">
        <f aca="false">X260*'Parametri Modello'!$B$30</f>
        <v>25</v>
      </c>
      <c r="Z260" s="21" t="n">
        <f aca="false">MAX(0,W260-Y260)</f>
        <v>975</v>
      </c>
      <c r="AA260" s="21" t="n">
        <f aca="false">MIN(F260,Z260)</f>
        <v>11</v>
      </c>
      <c r="AB260" s="21"/>
      <c r="AC260" s="21" t="str">
        <f aca="false">IF(AB260="","",IF(AB260&gt;AA260,"PASS",IF(AB260&lt;=AA260*0.85,"BID","ATTENZIONE")))</f>
        <v/>
      </c>
      <c r="AD260" s="31" t="n">
        <f aca="false">IF(I260="","",ROUND(100*(1-EXP(-I260/30)),0))</f>
        <v>0</v>
      </c>
      <c r="AE260" s="7" t="str">
        <f aca="false">IFERROR(INDEX('Stato Asta'!$G$9:$G$12,MATCH($B260,'Stato Asta'!$A$9:$A$12,0)),"")</f>
        <v>🔴 Non aspettare</v>
      </c>
    </row>
    <row r="261" customFormat="false" ht="14.25" hidden="false" customHeight="true" outlineLevel="0" collapsed="false">
      <c r="A261" s="21" t="n">
        <v>4485</v>
      </c>
      <c r="B261" s="21" t="s">
        <v>43</v>
      </c>
      <c r="C261" s="21" t="s">
        <v>148</v>
      </c>
      <c r="E261" s="26" t="str">
        <f aca="false">IF(COUNTIF('Info Strategia'!$D$2:$D$51,$C261)&gt;0,"SI","NO")</f>
        <v>NO</v>
      </c>
      <c r="F261" s="27" t="n">
        <f aca="false">IFERROR(ROUND(($G261+($H261-$G261)*'Info Strategia'!$B$6)*(1+IF($E261="SI",'Parametri Modello'!$B$7*'Info Strategia'!$B$6,0)),0),"")</f>
        <v>14</v>
      </c>
      <c r="G261" s="27" t="n">
        <f aca="false">IFERROR(ROUND((IF(OR(INDEX('Parametri Modello'!$C$39:$C$42,MATCH($B261,'Parametri Modello'!$A$39:$A$42,0))="",INDEX('Parametri Modello'!$C$39:$C$42,MATCH($B261,'Parametri Modello'!$A$39:$A$42,0))=0),0,($O261/INDEX('Parametri Modello'!$C$39:$C$42,MATCH($B261,'Parametri Modello'!$A$39:$A$42,0)))*(INDEX('Parametri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11</v>
      </c>
      <c r="H261" s="27" t="n">
        <f aca="false">IFERROR(ROUND((IF(OR(INDEX('Parametri Modello'!$C$39:$C$42,MATCH($B261,'Parametri Modello'!$A$39:$A$42,0))="",INDEX('Parametri Modello'!$C$39:$C$42,MATCH($B261,'Parametri Modello'!$A$39:$A$42,0))=0),0,($O261/INDEX('Parametri Modello'!$C$39:$C$42,MATCH($B261,'Parametri Modello'!$A$39:$A$42,0)))*(INDEX('Parametri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15</v>
      </c>
      <c r="I261" s="26" t="str">
        <f aca="false">IFERROR(INDEX('Input Statistiche 2025_26'!$F$3:$F$665,MATCH($A261,'Input Statistiche 2025_26'!$A$3:$A$665,0)),"")</f>
        <v/>
      </c>
      <c r="J261" s="26" t="str">
        <f aca="false">IFERROR(IF($I261="","",MAX(0,38-$I261)),"")</f>
        <v/>
      </c>
      <c r="K261" s="26" t="str">
        <f aca="false">IFERROR(INDEX('Input Statistiche 2025_26'!$I$3:$I$665,MATCH($A261,'Input Statistiche 2025_26'!$A$3:$A$665,0)),"")</f>
        <v/>
      </c>
      <c r="L261" s="26" t="str">
        <f aca="false">IFERROR(INDEX('Input Statistiche 2025_26'!$O$3:$O$665,MATCH($A261,'Input Statistiche 2025_26'!$A$3:$A$665,0)),"")</f>
        <v/>
      </c>
      <c r="M261" s="28"/>
      <c r="N261" s="27" t="n">
        <f aca="false">IFERROR(INDEX('Input Giocatori 2026_27'!$E$3:$E$493,MATCH($A261,'Input Giocatori 2026_27'!$A$3:$A$493,0)),"")</f>
        <v>5</v>
      </c>
      <c r="O261" s="27" t="n">
        <f aca="false">IFERROR(INDEX('Input Giocatori 2026_27'!$G$3:$G$493,MATCH($A261,'Input Giocatori 2026_27'!$A$3:$A$493,0)),"")</f>
        <v>12</v>
      </c>
      <c r="P261" s="26" t="str">
        <f aca="false">IFERROR(IF($O261="","",IF((1-(COUNTIFS($B$2:$B$492,$B261,$O$2:$O$492,"&gt;"&amp;$O261)+1-1)/COUNTIF($B$2:$B$492,$B261))&gt;=0.85,"Top",IF((1-(COUNTIFS($B$2:$B$492,$B261,$O$2:$O$492,"&gt;"&amp;$O261)+1-1)/COUNTIF($B$2:$B$492,$B261))&gt;=0.6,"Buono",IF((1-(COUNTIFS($B$2:$B$492,$B261,$O$2:$O$492,"&gt;"&amp;$O261)+1-1)/COUNTIF($B$2:$B$492,$B261))&gt;=0.3,"Nella Media","Scommessa/Riserva")))),"")</f>
        <v>Buono</v>
      </c>
      <c r="Q261" s="29" t="n">
        <f aca="false">IF($D261="",COUNTIF($D$2:$D261,""),"")</f>
        <v>260</v>
      </c>
      <c r="R261" s="29" t="str">
        <f aca="false">IF($D261='Info Lega'!$B$28,COUNTIFS($D$2:$D261,'Info Lega'!$B$28),"")</f>
        <v/>
      </c>
      <c r="S261" s="30" t="str">
        <f aca="false">IFERROR(INDEX('Input Statistiche 2025_26'!$G$3:$G$665,MATCH($A261,'Input Statistiche 2025_26'!$A$3:$A$665,0)),"")</f>
        <v/>
      </c>
      <c r="T261" s="30" t="str">
        <f aca="false">IFERROR(INDEX('Input Statistiche 2025_26'!$H$3:$H$665,MATCH($A261,'Input Statistiche 2025_26'!$A$3:$A$665,0)),"")</f>
        <v/>
      </c>
      <c r="U261" s="26" t="str">
        <f aca="false">IF(OR('La Mia Rosa'!$O$12="",$D261&lt;&gt;""),"",IF($F261&lt;='La Mia Rosa'!$O$12*'Parametri Modello'!$B$24,"OK",IF($F261&lt;='La Mia Rosa'!$O$12*'Parametri Modello'!$B$25,"Attenzione","Rischio Alto")))</f>
        <v>OK</v>
      </c>
      <c r="V261" s="26" t="n">
        <f aca="false">IFERROR(COUNTIFS($B$2:$B$492,$B261,$O$2:$O$492,"&gt;"&amp;$O261)+1,"")</f>
        <v>18</v>
      </c>
      <c r="W261" s="21" t="n">
        <f aca="false">'Info Lega'!$B$4-SUMIFS($M$2:$M$492,$D$2:$D$492,'Info Lega'!$B$28)</f>
        <v>1000</v>
      </c>
      <c r="X261" s="21" t="n">
        <f aca="false">('Info Lega'!$B$5-COUNTIFS($D$2:$D$492,'Info Lega'!$B$28,$B$2:$B$492,"P"))+('Info Lega'!$B$6-COUNTIFS($D$2:$D$492,'Info Lega'!$B$28,$B$2:$B$492,"D"))+('Info Lega'!$B$7-COUNTIFS($D$2:$D$492,'Info Lega'!$B$28,$B$2:$B$492,"C"))+('Info Lega'!$B$8-COUNTIFS($D$2:$D$492,'Info Lega'!$B$28,$B$2:$B$492,"A"))</f>
        <v>25</v>
      </c>
      <c r="Y261" s="21" t="n">
        <f aca="false">X261*'Parametri Modello'!$B$30</f>
        <v>25</v>
      </c>
      <c r="Z261" s="21" t="n">
        <f aca="false">MAX(0,W261-Y261)</f>
        <v>975</v>
      </c>
      <c r="AA261" s="21" t="n">
        <f aca="false">MIN(F261,Z261)</f>
        <v>14</v>
      </c>
      <c r="AB261" s="21"/>
      <c r="AC261" s="21" t="str">
        <f aca="false">IF(AB261="","",IF(AB261&gt;AA261,"PASS",IF(AB261&lt;=AA261*0.85,"BID","ATTENZIONE")))</f>
        <v/>
      </c>
      <c r="AD261" s="31" t="str">
        <f aca="false">IF(I261="","",ROUND(100*(1-EXP(-I261/30)),0))</f>
        <v/>
      </c>
      <c r="AE261" s="7" t="str">
        <f aca="false">IFERROR(INDEX('Stato Asta'!$G$9:$G$12,MATCH($B261,'Stato Asta'!$A$9:$A$12,0)),"")</f>
        <v>🟡 Attesa rischiosa</v>
      </c>
    </row>
    <row r="262" customFormat="false" ht="14.25" hidden="false" customHeight="true" outlineLevel="0" collapsed="false">
      <c r="A262" s="21" t="n">
        <v>5555</v>
      </c>
      <c r="B262" s="21" t="s">
        <v>44</v>
      </c>
      <c r="C262" s="21" t="s">
        <v>260</v>
      </c>
      <c r="E262" s="26" t="str">
        <f aca="false">IF(COUNTIF('Info Strategia'!$D$2:$D$51,$C262)&gt;0,"SI","NO")</f>
        <v>NO</v>
      </c>
      <c r="F262" s="27" t="n">
        <f aca="false">IFERROR(ROUND(($G262+($H262-$G262)*'Info Strategia'!$B$6)*(1+IF($E262="SI",'Parametri Modello'!$B$7*'Info Strategia'!$B$6,0)),0),"")</f>
        <v>5</v>
      </c>
      <c r="G262" s="27" t="n">
        <f aca="false">IFERROR(ROUND((IF(OR(INDEX('Parametri Modello'!$C$39:$C$42,MATCH($B262,'Parametri Modello'!$A$39:$A$42,0))="",INDEX('Parametri Modello'!$C$39:$C$42,MATCH($B262,'Parametri Modello'!$A$39:$A$42,0))=0),0,($O262/INDEX('Parametri Modello'!$C$39:$C$42,MATCH($B262,'Parametri Modello'!$A$39:$A$42,0)))*(INDEX('Parametri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4</v>
      </c>
      <c r="H262" s="27" t="n">
        <f aca="false">IFERROR(ROUND((IF(OR(INDEX('Parametri Modello'!$C$39:$C$42,MATCH($B262,'Parametri Modello'!$A$39:$A$42,0))="",INDEX('Parametri Modello'!$C$39:$C$42,MATCH($B262,'Parametri Modello'!$A$39:$A$42,0))=0),0,($O262/INDEX('Parametri Modello'!$C$39:$C$42,MATCH($B262,'Parametri Modello'!$A$39:$A$42,0)))*(INDEX('Parametri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6</v>
      </c>
      <c r="I262" s="26" t="n">
        <f aca="false">IFERROR(INDEX('Input Statistiche 2025_26'!$F$3:$F$665,MATCH($A262,'Input Statistiche 2025_26'!$A$3:$A$665,0)),"")</f>
        <v>26</v>
      </c>
      <c r="J262" s="26" t="n">
        <f aca="false">IFERROR(IF($I262="","",MAX(0,38-$I262)),"")</f>
        <v>12</v>
      </c>
      <c r="K262" s="26" t="n">
        <f aca="false">IFERROR(INDEX('Input Statistiche 2025_26'!$I$3:$I$665,MATCH($A262,'Input Statistiche 2025_26'!$A$3:$A$665,0)),"")</f>
        <v>0</v>
      </c>
      <c r="L262" s="26" t="n">
        <f aca="false">IFERROR(INDEX('Input Statistiche 2025_26'!$O$3:$O$665,MATCH($A262,'Input Statistiche 2025_26'!$A$3:$A$665,0)),"")</f>
        <v>2</v>
      </c>
      <c r="M262" s="28"/>
      <c r="N262" s="27" t="n">
        <f aca="false">IFERROR(INDEX('Input Giocatori 2026_27'!$E$3:$E$493,MATCH($A262,'Input Giocatori 2026_27'!$A$3:$A$493,0)),"")</f>
        <v>6</v>
      </c>
      <c r="O262" s="27" t="n">
        <f aca="false">IFERROR(INDEX('Input Giocatori 2026_27'!$G$3:$G$493,MATCH($A262,'Input Giocatori 2026_27'!$A$3:$A$493,0)),"")</f>
        <v>12</v>
      </c>
      <c r="P262" s="26" t="str">
        <f aca="false">IFERROR(IF($O262="","",IF((1-(COUNTIFS($B$2:$B$492,$B262,$O$2:$O$492,"&gt;"&amp;$O262)+1-1)/COUNTIF($B$2:$B$492,$B262))&gt;=0.85,"Top",IF((1-(COUNTIFS($B$2:$B$492,$B262,$O$2:$O$492,"&gt;"&amp;$O262)+1-1)/COUNTIF($B$2:$B$492,$B262))&gt;=0.6,"Buono",IF((1-(COUNTIFS($B$2:$B$492,$B262,$O$2:$O$492,"&gt;"&amp;$O262)+1-1)/COUNTIF($B$2:$B$492,$B262))&gt;=0.3,"Nella Media","Scommessa/Riserva")))),"")</f>
        <v>Nella Media</v>
      </c>
      <c r="Q262" s="29" t="n">
        <f aca="false">IF($D262="",COUNTIF($D$2:$D262,""),"")</f>
        <v>261</v>
      </c>
      <c r="R262" s="29" t="str">
        <f aca="false">IF($D262='Info Lega'!$B$28,COUNTIFS($D$2:$D262,'Info Lega'!$B$28),"")</f>
        <v/>
      </c>
      <c r="S262" s="30" t="n">
        <f aca="false">IFERROR(INDEX('Input Statistiche 2025_26'!$G$3:$G$665,MATCH($A262,'Input Statistiche 2025_26'!$A$3:$A$665,0)),"")</f>
        <v>5.88</v>
      </c>
      <c r="T262" s="30" t="n">
        <f aca="false">IFERROR(INDEX('Input Statistiche 2025_26'!$H$3:$H$665,MATCH($A262,'Input Statistiche 2025_26'!$A$3:$A$665,0)),"")</f>
        <v>5.87</v>
      </c>
      <c r="U262" s="26" t="str">
        <f aca="false">IF(OR('La Mia Rosa'!$O$12="",$D262&lt;&gt;""),"",IF($F262&lt;='La Mia Rosa'!$O$12*'Parametri Modello'!$B$24,"OK",IF($F262&lt;='La Mia Rosa'!$O$12*'Parametri Modello'!$B$25,"Attenzione","Rischio Alto")))</f>
        <v>OK</v>
      </c>
      <c r="V262" s="26" t="n">
        <f aca="false">IFERROR(COUNTIFS($B$2:$B$492,$B262,$O$2:$O$492,"&gt;"&amp;$O262)+1,"")</f>
        <v>78</v>
      </c>
      <c r="W262" s="21" t="n">
        <f aca="false">'Info Lega'!$B$4-SUMIFS($M$2:$M$492,$D$2:$D$492,'Info Lega'!$B$28)</f>
        <v>1000</v>
      </c>
      <c r="X262" s="21" t="n">
        <f aca="false">('Info Lega'!$B$5-COUNTIFS($D$2:$D$492,'Info Lega'!$B$28,$B$2:$B$492,"P"))+('Info Lega'!$B$6-COUNTIFS($D$2:$D$492,'Info Lega'!$B$28,$B$2:$B$492,"D"))+('Info Lega'!$B$7-COUNTIFS($D$2:$D$492,'Info Lega'!$B$28,$B$2:$B$492,"C"))+('Info Lega'!$B$8-COUNTIFS($D$2:$D$492,'Info Lega'!$B$28,$B$2:$B$492,"A"))</f>
        <v>25</v>
      </c>
      <c r="Y262" s="21" t="n">
        <f aca="false">X262*'Parametri Modello'!$B$30</f>
        <v>25</v>
      </c>
      <c r="Z262" s="21" t="n">
        <f aca="false">MAX(0,W262-Y262)</f>
        <v>975</v>
      </c>
      <c r="AA262" s="21" t="n">
        <f aca="false">MIN(F262,Z262)</f>
        <v>5</v>
      </c>
      <c r="AB262" s="21"/>
      <c r="AC262" s="21" t="str">
        <f aca="false">IF(AB262="","",IF(AB262&gt;AA262,"PASS",IF(AB262&lt;=AA262*0.85,"BID","ATTENZIONE")))</f>
        <v/>
      </c>
      <c r="AD262" s="31" t="n">
        <f aca="false">IF(I262="","",ROUND(100*(1-EXP(-I262/30)),0))</f>
        <v>58</v>
      </c>
      <c r="AE262" s="7" t="str">
        <f aca="false">IFERROR(INDEX('Stato Asta'!$G$9:$G$12,MATCH($B262,'Stato Asta'!$A$9:$A$12,0)),"")</f>
        <v>🟡 Attesa rischiosa</v>
      </c>
    </row>
    <row r="263" customFormat="false" ht="14.25" hidden="false" customHeight="true" outlineLevel="0" collapsed="false">
      <c r="A263" s="21" t="n">
        <v>2640</v>
      </c>
      <c r="B263" s="21" t="s">
        <v>44</v>
      </c>
      <c r="C263" s="21" t="s">
        <v>262</v>
      </c>
      <c r="E263" s="26" t="str">
        <f aca="false">IF(COUNTIF('Info Strategia'!$D$2:$D$51,$C263)&gt;0,"SI","NO")</f>
        <v>NO</v>
      </c>
      <c r="F263" s="27" t="n">
        <f aca="false">IFERROR(ROUND(($G263+($H263-$G263)*'Info Strategia'!$B$6)*(1+IF($E263="SI",'Parametri Modello'!$B$7*'Info Strategia'!$B$6,0)),0),"")</f>
        <v>5</v>
      </c>
      <c r="G263" s="27" t="n">
        <f aca="false">IFERROR(ROUND((IF(OR(INDEX('Parametri Modello'!$C$39:$C$42,MATCH($B263,'Parametri Modello'!$A$39:$A$42,0))="",INDEX('Parametri Modello'!$C$39:$C$42,MATCH($B263,'Parametri Modello'!$A$39:$A$42,0))=0),0,($O263/INDEX('Parametri Modello'!$C$39:$C$42,MATCH($B263,'Parametri Modello'!$A$39:$A$42,0)))*(INDEX('Parametri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4</v>
      </c>
      <c r="H263" s="27" t="n">
        <f aca="false">IFERROR(ROUND((IF(OR(INDEX('Parametri Modello'!$C$39:$C$42,MATCH($B263,'Parametri Modello'!$A$39:$A$42,0))="",INDEX('Parametri Modello'!$C$39:$C$42,MATCH($B263,'Parametri Modello'!$A$39:$A$42,0))=0),0,($O263/INDEX('Parametri Modello'!$C$39:$C$42,MATCH($B263,'Parametri Modello'!$A$39:$A$42,0)))*(INDEX('Parametri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6</v>
      </c>
      <c r="I263" s="26" t="n">
        <f aca="false">IFERROR(INDEX('Input Statistiche 2025_26'!$F$3:$F$665,MATCH($A263,'Input Statistiche 2025_26'!$A$3:$A$665,0)),"")</f>
        <v>17</v>
      </c>
      <c r="J263" s="26" t="n">
        <f aca="false">IFERROR(IF($I263="","",MAX(0,38-$I263)),"")</f>
        <v>21</v>
      </c>
      <c r="K263" s="26" t="n">
        <f aca="false">IFERROR(INDEX('Input Statistiche 2025_26'!$I$3:$I$665,MATCH($A263,'Input Statistiche 2025_26'!$A$3:$A$665,0)),"")</f>
        <v>0</v>
      </c>
      <c r="L263" s="26" t="n">
        <f aca="false">IFERROR(INDEX('Input Statistiche 2025_26'!$O$3:$O$665,MATCH($A263,'Input Statistiche 2025_26'!$A$3:$A$665,0)),"")</f>
        <v>0</v>
      </c>
      <c r="M263" s="28"/>
      <c r="N263" s="27" t="n">
        <f aca="false">IFERROR(INDEX('Input Giocatori 2026_27'!$E$3:$E$493,MATCH($A263,'Input Giocatori 2026_27'!$A$3:$A$493,0)),"")</f>
        <v>5</v>
      </c>
      <c r="O263" s="27" t="n">
        <f aca="false">IFERROR(INDEX('Input Giocatori 2026_27'!$G$3:$G$493,MATCH($A263,'Input Giocatori 2026_27'!$A$3:$A$493,0)),"")</f>
        <v>12</v>
      </c>
      <c r="P263" s="26" t="str">
        <f aca="false">IFERROR(IF($O263="","",IF((1-(COUNTIFS($B$2:$B$492,$B263,$O$2:$O$492,"&gt;"&amp;$O263)+1-1)/COUNTIF($B$2:$B$492,$B263))&gt;=0.85,"Top",IF((1-(COUNTIFS($B$2:$B$492,$B263,$O$2:$O$492,"&gt;"&amp;$O263)+1-1)/COUNTIF($B$2:$B$492,$B263))&gt;=0.6,"Buono",IF((1-(COUNTIFS($B$2:$B$492,$B263,$O$2:$O$492,"&gt;"&amp;$O263)+1-1)/COUNTIF($B$2:$B$492,$B263))&gt;=0.3,"Nella Media","Scommessa/Riserva")))),"")</f>
        <v>Nella Media</v>
      </c>
      <c r="Q263" s="29" t="n">
        <f aca="false">IF($D263="",COUNTIF($D$2:$D263,""),"")</f>
        <v>262</v>
      </c>
      <c r="R263" s="29" t="str">
        <f aca="false">IF($D263='Info Lega'!$B$28,COUNTIFS($D$2:$D263,'Info Lega'!$B$28),"")</f>
        <v/>
      </c>
      <c r="S263" s="30" t="n">
        <f aca="false">IFERROR(INDEX('Input Statistiche 2025_26'!$G$3:$G$665,MATCH($A263,'Input Statistiche 2025_26'!$A$3:$A$665,0)),"")</f>
        <v>6.03</v>
      </c>
      <c r="T263" s="30" t="n">
        <f aca="false">IFERROR(INDEX('Input Statistiche 2025_26'!$H$3:$H$665,MATCH($A263,'Input Statistiche 2025_26'!$A$3:$A$665,0)),"")</f>
        <v>5.94</v>
      </c>
      <c r="U263" s="26" t="str">
        <f aca="false">IF(OR('La Mia Rosa'!$O$12="",$D263&lt;&gt;""),"",IF($F263&lt;='La Mia Rosa'!$O$12*'Parametri Modello'!$B$24,"OK",IF($F263&lt;='La Mia Rosa'!$O$12*'Parametri Modello'!$B$25,"Attenzione","Rischio Alto")))</f>
        <v>OK</v>
      </c>
      <c r="V263" s="26" t="n">
        <f aca="false">IFERROR(COUNTIFS($B$2:$B$492,$B263,$O$2:$O$492,"&gt;"&amp;$O263)+1,"")</f>
        <v>78</v>
      </c>
      <c r="W263" s="21" t="n">
        <f aca="false">'Info Lega'!$B$4-SUMIFS($M$2:$M$492,$D$2:$D$492,'Info Lega'!$B$28)</f>
        <v>1000</v>
      </c>
      <c r="X263" s="21" t="n">
        <f aca="false">('Info Lega'!$B$5-COUNTIFS($D$2:$D$492,'Info Lega'!$B$28,$B$2:$B$492,"P"))+('Info Lega'!$B$6-COUNTIFS($D$2:$D$492,'Info Lega'!$B$28,$B$2:$B$492,"D"))+('Info Lega'!$B$7-COUNTIFS($D$2:$D$492,'Info Lega'!$B$28,$B$2:$B$492,"C"))+('Info Lega'!$B$8-COUNTIFS($D$2:$D$492,'Info Lega'!$B$28,$B$2:$B$492,"A"))</f>
        <v>25</v>
      </c>
      <c r="Y263" s="21" t="n">
        <f aca="false">X263*'Parametri Modello'!$B$30</f>
        <v>25</v>
      </c>
      <c r="Z263" s="21" t="n">
        <f aca="false">MAX(0,W263-Y263)</f>
        <v>975</v>
      </c>
      <c r="AA263" s="21" t="n">
        <f aca="false">MIN(F263,Z263)</f>
        <v>5</v>
      </c>
      <c r="AB263" s="21"/>
      <c r="AC263" s="21" t="str">
        <f aca="false">IF(AB263="","",IF(AB263&gt;AA263,"PASS",IF(AB263&lt;=AA263*0.85,"BID","ATTENZIONE")))</f>
        <v/>
      </c>
      <c r="AD263" s="31" t="n">
        <f aca="false">IF(I263="","",ROUND(100*(1-EXP(-I263/30)),0))</f>
        <v>43</v>
      </c>
      <c r="AE263" s="7" t="str">
        <f aca="false">IFERROR(INDEX('Stato Asta'!$G$9:$G$12,MATCH($B263,'Stato Asta'!$A$9:$A$12,0)),"")</f>
        <v>🟡 Attesa rischiosa</v>
      </c>
    </row>
    <row r="264" customFormat="false" ht="14.25" hidden="false" customHeight="true" outlineLevel="0" collapsed="false">
      <c r="A264" s="21" t="n">
        <v>5449</v>
      </c>
      <c r="B264" s="21" t="s">
        <v>44</v>
      </c>
      <c r="C264" s="21" t="s">
        <v>268</v>
      </c>
      <c r="E264" s="26" t="str">
        <f aca="false">IF(COUNTIF('Info Strategia'!$D$2:$D$51,$C264)&gt;0,"SI","NO")</f>
        <v>NO</v>
      </c>
      <c r="F264" s="27" t="n">
        <f aca="false">IFERROR(ROUND(($G264+($H264-$G264)*'Info Strategia'!$B$6)*(1+IF($E264="SI",'Parametri Modello'!$B$7*'Info Strategia'!$B$6,0)),0),"")</f>
        <v>5</v>
      </c>
      <c r="G264" s="27" t="n">
        <f aca="false">IFERROR(ROUND((IF(OR(INDEX('Parametri Modello'!$C$39:$C$42,MATCH($B264,'Parametri Modello'!$A$39:$A$42,0))="",INDEX('Parametri Modello'!$C$39:$C$42,MATCH($B264,'Parametri Modello'!$A$39:$A$42,0))=0),0,($O264/INDEX('Parametri Modello'!$C$39:$C$42,MATCH($B264,'Parametri Modello'!$A$39:$A$42,0)))*(INDEX('Parametri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4</v>
      </c>
      <c r="H264" s="27" t="n">
        <f aca="false">IFERROR(ROUND((IF(OR(INDEX('Parametri Modello'!$C$39:$C$42,MATCH($B264,'Parametri Modello'!$A$39:$A$42,0))="",INDEX('Parametri Modello'!$C$39:$C$42,MATCH($B264,'Parametri Modello'!$A$39:$A$42,0))=0),0,($O264/INDEX('Parametri Modello'!$C$39:$C$42,MATCH($B264,'Parametri Modello'!$A$39:$A$42,0)))*(INDEX('Parametri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6</v>
      </c>
      <c r="I264" s="26" t="n">
        <f aca="false">IFERROR(INDEX('Input Statistiche 2025_26'!$F$3:$F$665,MATCH($A264,'Input Statistiche 2025_26'!$A$3:$A$665,0)),"")</f>
        <v>23</v>
      </c>
      <c r="J264" s="26" t="n">
        <f aca="false">IFERROR(IF($I264="","",MAX(0,38-$I264)),"")</f>
        <v>15</v>
      </c>
      <c r="K264" s="26" t="n">
        <f aca="false">IFERROR(INDEX('Input Statistiche 2025_26'!$I$3:$I$665,MATCH($A264,'Input Statistiche 2025_26'!$A$3:$A$665,0)),"")</f>
        <v>1</v>
      </c>
      <c r="L264" s="26" t="n">
        <f aca="false">IFERROR(INDEX('Input Statistiche 2025_26'!$O$3:$O$665,MATCH($A264,'Input Statistiche 2025_26'!$A$3:$A$665,0)),"")</f>
        <v>1</v>
      </c>
      <c r="M264" s="28"/>
      <c r="N264" s="27" t="n">
        <f aca="false">IFERROR(INDEX('Input Giocatori 2026_27'!$E$3:$E$493,MATCH($A264,'Input Giocatori 2026_27'!$A$3:$A$493,0)),"")</f>
        <v>5</v>
      </c>
      <c r="O264" s="27" t="n">
        <f aca="false">IFERROR(INDEX('Input Giocatori 2026_27'!$G$3:$G$493,MATCH($A264,'Input Giocatori 2026_27'!$A$3:$A$493,0)),"")</f>
        <v>12</v>
      </c>
      <c r="P264" s="26" t="str">
        <f aca="false">IFERROR(IF($O264="","",IF((1-(COUNTIFS($B$2:$B$492,$B264,$O$2:$O$492,"&gt;"&amp;$O264)+1-1)/COUNTIF($B$2:$B$492,$B264))&gt;=0.85,"Top",IF((1-(COUNTIFS($B$2:$B$492,$B264,$O$2:$O$492,"&gt;"&amp;$O264)+1-1)/COUNTIF($B$2:$B$492,$B264))&gt;=0.6,"Buono",IF((1-(COUNTIFS($B$2:$B$492,$B264,$O$2:$O$492,"&gt;"&amp;$O264)+1-1)/COUNTIF($B$2:$B$492,$B264))&gt;=0.3,"Nella Media","Scommessa/Riserva")))),"")</f>
        <v>Nella Media</v>
      </c>
      <c r="Q264" s="29" t="n">
        <f aca="false">IF($D264="",COUNTIF($D$2:$D264,""),"")</f>
        <v>263</v>
      </c>
      <c r="R264" s="29" t="str">
        <f aca="false">IF($D264='Info Lega'!$B$28,COUNTIFS($D$2:$D264,'Info Lega'!$B$28),"")</f>
        <v/>
      </c>
      <c r="S264" s="30" t="n">
        <f aca="false">IFERROR(INDEX('Input Statistiche 2025_26'!$G$3:$G$665,MATCH($A264,'Input Statistiche 2025_26'!$A$3:$A$665,0)),"")</f>
        <v>6.02</v>
      </c>
      <c r="T264" s="30" t="n">
        <f aca="false">IFERROR(INDEX('Input Statistiche 2025_26'!$H$3:$H$665,MATCH($A264,'Input Statistiche 2025_26'!$A$3:$A$665,0)),"")</f>
        <v>5.98</v>
      </c>
      <c r="U264" s="26" t="str">
        <f aca="false">IF(OR('La Mia Rosa'!$O$12="",$D264&lt;&gt;""),"",IF($F264&lt;='La Mia Rosa'!$O$12*'Parametri Modello'!$B$24,"OK",IF($F264&lt;='La Mia Rosa'!$O$12*'Parametri Modello'!$B$25,"Attenzione","Rischio Alto")))</f>
        <v>OK</v>
      </c>
      <c r="V264" s="26" t="n">
        <f aca="false">IFERROR(COUNTIFS($B$2:$B$492,$B264,$O$2:$O$492,"&gt;"&amp;$O264)+1,"")</f>
        <v>78</v>
      </c>
      <c r="W264" s="21" t="n">
        <f aca="false">'Info Lega'!$B$4-SUMIFS($M$2:$M$492,$D$2:$D$492,'Info Lega'!$B$28)</f>
        <v>1000</v>
      </c>
      <c r="X264" s="21" t="n">
        <f aca="false">('Info Lega'!$B$5-COUNTIFS($D$2:$D$492,'Info Lega'!$B$28,$B$2:$B$492,"P"))+('Info Lega'!$B$6-COUNTIFS($D$2:$D$492,'Info Lega'!$B$28,$B$2:$B$492,"D"))+('Info Lega'!$B$7-COUNTIFS($D$2:$D$492,'Info Lega'!$B$28,$B$2:$B$492,"C"))+('Info Lega'!$B$8-COUNTIFS($D$2:$D$492,'Info Lega'!$B$28,$B$2:$B$492,"A"))</f>
        <v>25</v>
      </c>
      <c r="Y264" s="21" t="n">
        <f aca="false">X264*'Parametri Modello'!$B$30</f>
        <v>25</v>
      </c>
      <c r="Z264" s="21" t="n">
        <f aca="false">MAX(0,W264-Y264)</f>
        <v>975</v>
      </c>
      <c r="AA264" s="21" t="n">
        <f aca="false">MIN(F264,Z264)</f>
        <v>5</v>
      </c>
      <c r="AB264" s="21"/>
      <c r="AC264" s="21" t="str">
        <f aca="false">IF(AB264="","",IF(AB264&gt;AA264,"PASS",IF(AB264&lt;=AA264*0.85,"BID","ATTENZIONE")))</f>
        <v/>
      </c>
      <c r="AD264" s="31" t="n">
        <f aca="false">IF(I264="","",ROUND(100*(1-EXP(-I264/30)),0))</f>
        <v>54</v>
      </c>
      <c r="AE264" s="7" t="str">
        <f aca="false">IFERROR(INDEX('Stato Asta'!$G$9:$G$12,MATCH($B264,'Stato Asta'!$A$9:$A$12,0)),"")</f>
        <v>🟡 Attesa rischiosa</v>
      </c>
    </row>
    <row r="265" customFormat="false" ht="14.25" hidden="false" customHeight="true" outlineLevel="0" collapsed="false">
      <c r="A265" s="21" t="n">
        <v>6238</v>
      </c>
      <c r="B265" s="21" t="s">
        <v>44</v>
      </c>
      <c r="C265" s="21" t="s">
        <v>270</v>
      </c>
      <c r="E265" s="26" t="str">
        <f aca="false">IF(COUNTIF('Info Strategia'!$D$2:$D$51,$C265)&gt;0,"SI","NO")</f>
        <v>NO</v>
      </c>
      <c r="F265" s="27" t="n">
        <f aca="false">IFERROR(ROUND(($G265+($H265-$G265)*'Info Strategia'!$B$6)*(1+IF($E265="SI",'Parametri Modello'!$B$7*'Info Strategia'!$B$6,0)),0),"")</f>
        <v>5</v>
      </c>
      <c r="G265" s="27" t="n">
        <f aca="false">IFERROR(ROUND((IF(OR(INDEX('Parametri Modello'!$C$39:$C$42,MATCH($B265,'Parametri Modello'!$A$39:$A$42,0))="",INDEX('Parametri Modello'!$C$39:$C$42,MATCH($B265,'Parametri Modello'!$A$39:$A$42,0))=0),0,($O265/INDEX('Parametri Modello'!$C$39:$C$42,MATCH($B265,'Parametri Modello'!$A$39:$A$42,0)))*(INDEX('Parametri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4</v>
      </c>
      <c r="H265" s="27" t="n">
        <f aca="false">IFERROR(ROUND((IF(OR(INDEX('Parametri Modello'!$C$39:$C$42,MATCH($B265,'Parametri Modello'!$A$39:$A$42,0))="",INDEX('Parametri Modello'!$C$39:$C$42,MATCH($B265,'Parametri Modello'!$A$39:$A$42,0))=0),0,($O265/INDEX('Parametri Modello'!$C$39:$C$42,MATCH($B265,'Parametri Modello'!$A$39:$A$42,0)))*(INDEX('Parametri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6</v>
      </c>
      <c r="I265" s="26" t="str">
        <f aca="false">IFERROR(INDEX('Input Statistiche 2025_26'!$F$3:$F$665,MATCH($A265,'Input Statistiche 2025_26'!$A$3:$A$665,0)),"")</f>
        <v/>
      </c>
      <c r="J265" s="26" t="str">
        <f aca="false">IFERROR(IF($I265="","",MAX(0,38-$I265)),"")</f>
        <v/>
      </c>
      <c r="K265" s="26" t="str">
        <f aca="false">IFERROR(INDEX('Input Statistiche 2025_26'!$I$3:$I$665,MATCH($A265,'Input Statistiche 2025_26'!$A$3:$A$665,0)),"")</f>
        <v/>
      </c>
      <c r="L265" s="26" t="str">
        <f aca="false">IFERROR(INDEX('Input Statistiche 2025_26'!$O$3:$O$665,MATCH($A265,'Input Statistiche 2025_26'!$A$3:$A$665,0)),"")</f>
        <v/>
      </c>
      <c r="M265" s="28"/>
      <c r="N265" s="27" t="n">
        <f aca="false">IFERROR(INDEX('Input Giocatori 2026_27'!$E$3:$E$493,MATCH($A265,'Input Giocatori 2026_27'!$A$3:$A$493,0)),"")</f>
        <v>5</v>
      </c>
      <c r="O265" s="27" t="n">
        <f aca="false">IFERROR(INDEX('Input Giocatori 2026_27'!$G$3:$G$493,MATCH($A265,'Input Giocatori 2026_27'!$A$3:$A$493,0)),"")</f>
        <v>12</v>
      </c>
      <c r="P265" s="26" t="str">
        <f aca="false">IFERROR(IF($O265="","",IF((1-(COUNTIFS($B$2:$B$492,$B265,$O$2:$O$492,"&gt;"&amp;$O265)+1-1)/COUNTIF($B$2:$B$492,$B265))&gt;=0.85,"Top",IF((1-(COUNTIFS($B$2:$B$492,$B265,$O$2:$O$492,"&gt;"&amp;$O265)+1-1)/COUNTIF($B$2:$B$492,$B265))&gt;=0.6,"Buono",IF((1-(COUNTIFS($B$2:$B$492,$B265,$O$2:$O$492,"&gt;"&amp;$O265)+1-1)/COUNTIF($B$2:$B$492,$B265))&gt;=0.3,"Nella Media","Scommessa/Riserva")))),"")</f>
        <v>Nella Media</v>
      </c>
      <c r="Q265" s="29" t="n">
        <f aca="false">IF($D265="",COUNTIF($D$2:$D265,""),"")</f>
        <v>264</v>
      </c>
      <c r="R265" s="29" t="str">
        <f aca="false">IF($D265='Info Lega'!$B$28,COUNTIFS($D$2:$D265,'Info Lega'!$B$28),"")</f>
        <v/>
      </c>
      <c r="S265" s="30" t="str">
        <f aca="false">IFERROR(INDEX('Input Statistiche 2025_26'!$G$3:$G$665,MATCH($A265,'Input Statistiche 2025_26'!$A$3:$A$665,0)),"")</f>
        <v/>
      </c>
      <c r="T265" s="30" t="str">
        <f aca="false">IFERROR(INDEX('Input Statistiche 2025_26'!$H$3:$H$665,MATCH($A265,'Input Statistiche 2025_26'!$A$3:$A$665,0)),"")</f>
        <v/>
      </c>
      <c r="U265" s="26" t="str">
        <f aca="false">IF(OR('La Mia Rosa'!$O$12="",$D265&lt;&gt;""),"",IF($F265&lt;='La Mia Rosa'!$O$12*'Parametri Modello'!$B$24,"OK",IF($F265&lt;='La Mia Rosa'!$O$12*'Parametri Modello'!$B$25,"Attenzione","Rischio Alto")))</f>
        <v>OK</v>
      </c>
      <c r="V265" s="26" t="n">
        <f aca="false">IFERROR(COUNTIFS($B$2:$B$492,$B265,$O$2:$O$492,"&gt;"&amp;$O265)+1,"")</f>
        <v>78</v>
      </c>
      <c r="W265" s="21" t="n">
        <f aca="false">'Info Lega'!$B$4-SUMIFS($M$2:$M$492,$D$2:$D$492,'Info Lega'!$B$28)</f>
        <v>1000</v>
      </c>
      <c r="X265" s="21" t="n">
        <f aca="false">('Info Lega'!$B$5-COUNTIFS($D$2:$D$492,'Info Lega'!$B$28,$B$2:$B$492,"P"))+('Info Lega'!$B$6-COUNTIFS($D$2:$D$492,'Info Lega'!$B$28,$B$2:$B$492,"D"))+('Info Lega'!$B$7-COUNTIFS($D$2:$D$492,'Info Lega'!$B$28,$B$2:$B$492,"C"))+('Info Lega'!$B$8-COUNTIFS($D$2:$D$492,'Info Lega'!$B$28,$B$2:$B$492,"A"))</f>
        <v>25</v>
      </c>
      <c r="Y265" s="21" t="n">
        <f aca="false">X265*'Parametri Modello'!$B$30</f>
        <v>25</v>
      </c>
      <c r="Z265" s="21" t="n">
        <f aca="false">MAX(0,W265-Y265)</f>
        <v>975</v>
      </c>
      <c r="AA265" s="21" t="n">
        <f aca="false">MIN(F265,Z265)</f>
        <v>5</v>
      </c>
      <c r="AB265" s="21"/>
      <c r="AC265" s="21" t="str">
        <f aca="false">IF(AB265="","",IF(AB265&gt;AA265,"PASS",IF(AB265&lt;=AA265*0.85,"BID","ATTENZIONE")))</f>
        <v/>
      </c>
      <c r="AD265" s="31" t="str">
        <f aca="false">IF(I265="","",ROUND(100*(1-EXP(-I265/30)),0))</f>
        <v/>
      </c>
      <c r="AE265" s="7" t="str">
        <f aca="false">IFERROR(INDEX('Stato Asta'!$G$9:$G$12,MATCH($B265,'Stato Asta'!$A$9:$A$12,0)),"")</f>
        <v>🟡 Attesa rischiosa</v>
      </c>
    </row>
    <row r="266" customFormat="false" ht="14.25" hidden="false" customHeight="true" outlineLevel="0" collapsed="false">
      <c r="A266" s="21" t="n">
        <v>6632</v>
      </c>
      <c r="B266" s="21" t="s">
        <v>44</v>
      </c>
      <c r="C266" s="21" t="s">
        <v>274</v>
      </c>
      <c r="E266" s="26" t="str">
        <f aca="false">IF(COUNTIF('Info Strategia'!$D$2:$D$51,$C266)&gt;0,"SI","NO")</f>
        <v>NO</v>
      </c>
      <c r="F266" s="27" t="n">
        <f aca="false">IFERROR(ROUND(($G266+($H266-$G266)*'Info Strategia'!$B$6)*(1+IF($E266="SI",'Parametri Modello'!$B$7*'Info Strategia'!$B$6,0)),0),"")</f>
        <v>5</v>
      </c>
      <c r="G266" s="27" t="n">
        <f aca="false">IFERROR(ROUND((IF(OR(INDEX('Parametri Modello'!$C$39:$C$42,MATCH($B266,'Parametri Modello'!$A$39:$A$42,0))="",INDEX('Parametri Modello'!$C$39:$C$42,MATCH($B266,'Parametri Modello'!$A$39:$A$42,0))=0),0,($O266/INDEX('Parametri Modello'!$C$39:$C$42,MATCH($B266,'Parametri Modello'!$A$39:$A$42,0)))*(INDEX('Parametri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4</v>
      </c>
      <c r="H266" s="27" t="n">
        <f aca="false">IFERROR(ROUND((IF(OR(INDEX('Parametri Modello'!$C$39:$C$42,MATCH($B266,'Parametri Modello'!$A$39:$A$42,0))="",INDEX('Parametri Modello'!$C$39:$C$42,MATCH($B266,'Parametri Modello'!$A$39:$A$42,0))=0),0,($O266/INDEX('Parametri Modello'!$C$39:$C$42,MATCH($B266,'Parametri Modello'!$A$39:$A$42,0)))*(INDEX('Parametri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6</v>
      </c>
      <c r="I266" s="26" t="n">
        <f aca="false">IFERROR(INDEX('Input Statistiche 2025_26'!$F$3:$F$665,MATCH($A266,'Input Statistiche 2025_26'!$A$3:$A$665,0)),"")</f>
        <v>21</v>
      </c>
      <c r="J266" s="26" t="n">
        <f aca="false">IFERROR(IF($I266="","",MAX(0,38-$I266)),"")</f>
        <v>17</v>
      </c>
      <c r="K266" s="26" t="n">
        <f aca="false">IFERROR(INDEX('Input Statistiche 2025_26'!$I$3:$I$665,MATCH($A266,'Input Statistiche 2025_26'!$A$3:$A$665,0)),"")</f>
        <v>0</v>
      </c>
      <c r="L266" s="26" t="n">
        <f aca="false">IFERROR(INDEX('Input Statistiche 2025_26'!$O$3:$O$665,MATCH($A266,'Input Statistiche 2025_26'!$A$3:$A$665,0)),"")</f>
        <v>0</v>
      </c>
      <c r="M266" s="28"/>
      <c r="N266" s="27" t="n">
        <f aca="false">IFERROR(INDEX('Input Giocatori 2026_27'!$E$3:$E$493,MATCH($A266,'Input Giocatori 2026_27'!$A$3:$A$493,0)),"")</f>
        <v>5</v>
      </c>
      <c r="O266" s="27" t="n">
        <f aca="false">IFERROR(INDEX('Input Giocatori 2026_27'!$G$3:$G$493,MATCH($A266,'Input Giocatori 2026_27'!$A$3:$A$493,0)),"")</f>
        <v>12</v>
      </c>
      <c r="P266" s="26" t="str">
        <f aca="false">IFERROR(IF($O266="","",IF((1-(COUNTIFS($B$2:$B$492,$B266,$O$2:$O$492,"&gt;"&amp;$O266)+1-1)/COUNTIF($B$2:$B$492,$B266))&gt;=0.85,"Top",IF((1-(COUNTIFS($B$2:$B$492,$B266,$O$2:$O$492,"&gt;"&amp;$O266)+1-1)/COUNTIF($B$2:$B$492,$B266))&gt;=0.6,"Buono",IF((1-(COUNTIFS($B$2:$B$492,$B266,$O$2:$O$492,"&gt;"&amp;$O266)+1-1)/COUNTIF($B$2:$B$492,$B266))&gt;=0.3,"Nella Media","Scommessa/Riserva")))),"")</f>
        <v>Nella Media</v>
      </c>
      <c r="Q266" s="29" t="n">
        <f aca="false">IF($D266="",COUNTIF($D$2:$D266,""),"")</f>
        <v>265</v>
      </c>
      <c r="R266" s="29" t="str">
        <f aca="false">IF($D266='Info Lega'!$B$28,COUNTIFS($D$2:$D266,'Info Lega'!$B$28),"")</f>
        <v/>
      </c>
      <c r="S266" s="30" t="n">
        <f aca="false">IFERROR(INDEX('Input Statistiche 2025_26'!$G$3:$G$665,MATCH($A266,'Input Statistiche 2025_26'!$A$3:$A$665,0)),"")</f>
        <v>5.83</v>
      </c>
      <c r="T266" s="30" t="n">
        <f aca="false">IFERROR(INDEX('Input Statistiche 2025_26'!$H$3:$H$665,MATCH($A266,'Input Statistiche 2025_26'!$A$3:$A$665,0)),"")</f>
        <v>5.64</v>
      </c>
      <c r="U266" s="26" t="str">
        <f aca="false">IF(OR('La Mia Rosa'!$O$12="",$D266&lt;&gt;""),"",IF($F266&lt;='La Mia Rosa'!$O$12*'Parametri Modello'!$B$24,"OK",IF($F266&lt;='La Mia Rosa'!$O$12*'Parametri Modello'!$B$25,"Attenzione","Rischio Alto")))</f>
        <v>OK</v>
      </c>
      <c r="V266" s="26" t="n">
        <f aca="false">IFERROR(COUNTIFS($B$2:$B$492,$B266,$O$2:$O$492,"&gt;"&amp;$O266)+1,"")</f>
        <v>78</v>
      </c>
      <c r="W266" s="21" t="n">
        <f aca="false">'Info Lega'!$B$4-SUMIFS($M$2:$M$492,$D$2:$D$492,'Info Lega'!$B$28)</f>
        <v>1000</v>
      </c>
      <c r="X266" s="21" t="n">
        <f aca="false">('Info Lega'!$B$5-COUNTIFS($D$2:$D$492,'Info Lega'!$B$28,$B$2:$B$492,"P"))+('Info Lega'!$B$6-COUNTIFS($D$2:$D$492,'Info Lega'!$B$28,$B$2:$B$492,"D"))+('Info Lega'!$B$7-COUNTIFS($D$2:$D$492,'Info Lega'!$B$28,$B$2:$B$492,"C"))+('Info Lega'!$B$8-COUNTIFS($D$2:$D$492,'Info Lega'!$B$28,$B$2:$B$492,"A"))</f>
        <v>25</v>
      </c>
      <c r="Y266" s="21" t="n">
        <f aca="false">X266*'Parametri Modello'!$B$30</f>
        <v>25</v>
      </c>
      <c r="Z266" s="21" t="n">
        <f aca="false">MAX(0,W266-Y266)</f>
        <v>975</v>
      </c>
      <c r="AA266" s="21" t="n">
        <f aca="false">MIN(F266,Z266)</f>
        <v>5</v>
      </c>
      <c r="AB266" s="21"/>
      <c r="AC266" s="21" t="str">
        <f aca="false">IF(AB266="","",IF(AB266&gt;AA266,"PASS",IF(AB266&lt;=AA266*0.85,"BID","ATTENZIONE")))</f>
        <v/>
      </c>
      <c r="AD266" s="31" t="n">
        <f aca="false">IF(I266="","",ROUND(100*(1-EXP(-I266/30)),0))</f>
        <v>50</v>
      </c>
      <c r="AE266" s="7" t="str">
        <f aca="false">IFERROR(INDEX('Stato Asta'!$G$9:$G$12,MATCH($B266,'Stato Asta'!$A$9:$A$12,0)),"")</f>
        <v>🟡 Attesa rischiosa</v>
      </c>
    </row>
    <row r="267" customFormat="false" ht="14.25" hidden="false" customHeight="true" outlineLevel="0" collapsed="false">
      <c r="A267" s="21" t="n">
        <v>7240</v>
      </c>
      <c r="B267" s="21" t="s">
        <v>44</v>
      </c>
      <c r="C267" s="21" t="s">
        <v>287</v>
      </c>
      <c r="E267" s="26" t="str">
        <f aca="false">IF(COUNTIF('Info Strategia'!$D$2:$D$51,$C267)&gt;0,"SI","NO")</f>
        <v>NO</v>
      </c>
      <c r="F267" s="27" t="n">
        <f aca="false">IFERROR(ROUND(($G267+($H267-$G267)*'Info Strategia'!$B$6)*(1+IF($E267="SI",'Parametri Modello'!$B$7*'Info Strategia'!$B$6,0)),0),"")</f>
        <v>5</v>
      </c>
      <c r="G267" s="27" t="n">
        <f aca="false">IFERROR(ROUND((IF(OR(INDEX('Parametri Modello'!$C$39:$C$42,MATCH($B267,'Parametri Modello'!$A$39:$A$42,0))="",INDEX('Parametri Modello'!$C$39:$C$42,MATCH($B267,'Parametri Modello'!$A$39:$A$42,0))=0),0,($O267/INDEX('Parametri Modello'!$C$39:$C$42,MATCH($B267,'Parametri Modello'!$A$39:$A$42,0)))*(INDEX('Parametri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4</v>
      </c>
      <c r="H267" s="27" t="n">
        <f aca="false">IFERROR(ROUND((IF(OR(INDEX('Parametri Modello'!$C$39:$C$42,MATCH($B267,'Parametri Modello'!$A$39:$A$42,0))="",INDEX('Parametri Modello'!$C$39:$C$42,MATCH($B267,'Parametri Modello'!$A$39:$A$42,0))=0),0,($O267/INDEX('Parametri Modello'!$C$39:$C$42,MATCH($B267,'Parametri Modello'!$A$39:$A$42,0)))*(INDEX('Parametri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6</v>
      </c>
      <c r="I267" s="26" t="n">
        <f aca="false">IFERROR(INDEX('Input Statistiche 2025_26'!$F$3:$F$665,MATCH($A267,'Input Statistiche 2025_26'!$A$3:$A$665,0)),"")</f>
        <v>19</v>
      </c>
      <c r="J267" s="26" t="n">
        <f aca="false">IFERROR(IF($I267="","",MAX(0,38-$I267)),"")</f>
        <v>19</v>
      </c>
      <c r="K267" s="26" t="n">
        <f aca="false">IFERROR(INDEX('Input Statistiche 2025_26'!$I$3:$I$665,MATCH($A267,'Input Statistiche 2025_26'!$A$3:$A$665,0)),"")</f>
        <v>1</v>
      </c>
      <c r="L267" s="26" t="n">
        <f aca="false">IFERROR(INDEX('Input Statistiche 2025_26'!$O$3:$O$665,MATCH($A267,'Input Statistiche 2025_26'!$A$3:$A$665,0)),"")</f>
        <v>0</v>
      </c>
      <c r="M267" s="28"/>
      <c r="N267" s="27" t="n">
        <f aca="false">IFERROR(INDEX('Input Giocatori 2026_27'!$E$3:$E$493,MATCH($A267,'Input Giocatori 2026_27'!$A$3:$A$493,0)),"")</f>
        <v>4</v>
      </c>
      <c r="O267" s="27" t="n">
        <f aca="false">IFERROR(INDEX('Input Giocatori 2026_27'!$G$3:$G$493,MATCH($A267,'Input Giocatori 2026_27'!$A$3:$A$493,0)),"")</f>
        <v>12</v>
      </c>
      <c r="P267" s="26" t="str">
        <f aca="false">IFERROR(IF($O267="","",IF((1-(COUNTIFS($B$2:$B$492,$B267,$O$2:$O$492,"&gt;"&amp;$O267)+1-1)/COUNTIF($B$2:$B$492,$B267))&gt;=0.85,"Top",IF((1-(COUNTIFS($B$2:$B$492,$B267,$O$2:$O$492,"&gt;"&amp;$O267)+1-1)/COUNTIF($B$2:$B$492,$B267))&gt;=0.6,"Buono",IF((1-(COUNTIFS($B$2:$B$492,$B267,$O$2:$O$492,"&gt;"&amp;$O267)+1-1)/COUNTIF($B$2:$B$492,$B267))&gt;=0.3,"Nella Media","Scommessa/Riserva")))),"")</f>
        <v>Nella Media</v>
      </c>
      <c r="Q267" s="29" t="n">
        <f aca="false">IF($D267="",COUNTIF($D$2:$D267,""),"")</f>
        <v>266</v>
      </c>
      <c r="R267" s="29" t="str">
        <f aca="false">IF($D267='Info Lega'!$B$28,COUNTIFS($D$2:$D267,'Info Lega'!$B$28),"")</f>
        <v/>
      </c>
      <c r="S267" s="30" t="n">
        <f aca="false">IFERROR(INDEX('Input Statistiche 2025_26'!$G$3:$G$665,MATCH($A267,'Input Statistiche 2025_26'!$A$3:$A$665,0)),"")</f>
        <v>5.68</v>
      </c>
      <c r="T267" s="30" t="n">
        <f aca="false">IFERROR(INDEX('Input Statistiche 2025_26'!$H$3:$H$665,MATCH($A267,'Input Statistiche 2025_26'!$A$3:$A$665,0)),"")</f>
        <v>5.76</v>
      </c>
      <c r="U267" s="26" t="str">
        <f aca="false">IF(OR('La Mia Rosa'!$O$12="",$D267&lt;&gt;""),"",IF($F267&lt;='La Mia Rosa'!$O$12*'Parametri Modello'!$B$24,"OK",IF($F267&lt;='La Mia Rosa'!$O$12*'Parametri Modello'!$B$25,"Attenzione","Rischio Alto")))</f>
        <v>OK</v>
      </c>
      <c r="V267" s="26" t="n">
        <f aca="false">IFERROR(COUNTIFS($B$2:$B$492,$B267,$O$2:$O$492,"&gt;"&amp;$O267)+1,"")</f>
        <v>78</v>
      </c>
      <c r="W267" s="21" t="n">
        <f aca="false">'Info Lega'!$B$4-SUMIFS($M$2:$M$492,$D$2:$D$492,'Info Lega'!$B$28)</f>
        <v>1000</v>
      </c>
      <c r="X267" s="21" t="n">
        <f aca="false">('Info Lega'!$B$5-COUNTIFS($D$2:$D$492,'Info Lega'!$B$28,$B$2:$B$492,"P"))+('Info Lega'!$B$6-COUNTIFS($D$2:$D$492,'Info Lega'!$B$28,$B$2:$B$492,"D"))+('Info Lega'!$B$7-COUNTIFS($D$2:$D$492,'Info Lega'!$B$28,$B$2:$B$492,"C"))+('Info Lega'!$B$8-COUNTIFS($D$2:$D$492,'Info Lega'!$B$28,$B$2:$B$492,"A"))</f>
        <v>25</v>
      </c>
      <c r="Y267" s="21" t="n">
        <f aca="false">X267*'Parametri Modello'!$B$30</f>
        <v>25</v>
      </c>
      <c r="Z267" s="21" t="n">
        <f aca="false">MAX(0,W267-Y267)</f>
        <v>975</v>
      </c>
      <c r="AA267" s="21" t="n">
        <f aca="false">MIN(F267,Z267)</f>
        <v>5</v>
      </c>
      <c r="AB267" s="21"/>
      <c r="AC267" s="21" t="str">
        <f aca="false">IF(AB267="","",IF(AB267&gt;AA267,"PASS",IF(AB267&lt;=AA267*0.85,"BID","ATTENZIONE")))</f>
        <v/>
      </c>
      <c r="AD267" s="31" t="n">
        <f aca="false">IF(I267="","",ROUND(100*(1-EXP(-I267/30)),0))</f>
        <v>47</v>
      </c>
      <c r="AE267" s="7" t="str">
        <f aca="false">IFERROR(INDEX('Stato Asta'!$G$9:$G$12,MATCH($B267,'Stato Asta'!$A$9:$A$12,0)),"")</f>
        <v>🟡 Attesa rischiosa</v>
      </c>
    </row>
    <row r="268" customFormat="false" ht="14.25" hidden="false" customHeight="true" outlineLevel="0" collapsed="false">
      <c r="A268" s="21" t="n">
        <v>6659</v>
      </c>
      <c r="B268" s="21" t="s">
        <v>44</v>
      </c>
      <c r="C268" s="21" t="s">
        <v>289</v>
      </c>
      <c r="E268" s="26" t="str">
        <f aca="false">IF(COUNTIF('Info Strategia'!$D$2:$D$51,$C268)&gt;0,"SI","NO")</f>
        <v>NO</v>
      </c>
      <c r="F268" s="27" t="n">
        <f aca="false">IFERROR(ROUND(($G268+($H268-$G268)*'Info Strategia'!$B$6)*(1+IF($E268="SI",'Parametri Modello'!$B$7*'Info Strategia'!$B$6,0)),0),"")</f>
        <v>5</v>
      </c>
      <c r="G268" s="27" t="n">
        <f aca="false">IFERROR(ROUND((IF(OR(INDEX('Parametri Modello'!$C$39:$C$42,MATCH($B268,'Parametri Modello'!$A$39:$A$42,0))="",INDEX('Parametri Modello'!$C$39:$C$42,MATCH($B268,'Parametri Modello'!$A$39:$A$42,0))=0),0,($O268/INDEX('Parametri Modello'!$C$39:$C$42,MATCH($B268,'Parametri Modello'!$A$39:$A$42,0)))*(INDEX('Parametri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4</v>
      </c>
      <c r="H268" s="27" t="n">
        <f aca="false">IFERROR(ROUND((IF(OR(INDEX('Parametri Modello'!$C$39:$C$42,MATCH($B268,'Parametri Modello'!$A$39:$A$42,0))="",INDEX('Parametri Modello'!$C$39:$C$42,MATCH($B268,'Parametri Modello'!$A$39:$A$42,0))=0),0,($O268/INDEX('Parametri Modello'!$C$39:$C$42,MATCH($B268,'Parametri Modello'!$A$39:$A$42,0)))*(INDEX('Parametri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6</v>
      </c>
      <c r="I268" s="26" t="str">
        <f aca="false">IFERROR(INDEX('Input Statistiche 2025_26'!$F$3:$F$665,MATCH($A268,'Input Statistiche 2025_26'!$A$3:$A$665,0)),"")</f>
        <v/>
      </c>
      <c r="J268" s="26" t="str">
        <f aca="false">IFERROR(IF($I268="","",MAX(0,38-$I268)),"")</f>
        <v/>
      </c>
      <c r="K268" s="26" t="str">
        <f aca="false">IFERROR(INDEX('Input Statistiche 2025_26'!$I$3:$I$665,MATCH($A268,'Input Statistiche 2025_26'!$A$3:$A$665,0)),"")</f>
        <v/>
      </c>
      <c r="L268" s="26" t="str">
        <f aca="false">IFERROR(INDEX('Input Statistiche 2025_26'!$O$3:$O$665,MATCH($A268,'Input Statistiche 2025_26'!$A$3:$A$665,0)),"")</f>
        <v/>
      </c>
      <c r="M268" s="28"/>
      <c r="N268" s="27" t="n">
        <f aca="false">IFERROR(INDEX('Input Giocatori 2026_27'!$E$3:$E$493,MATCH($A268,'Input Giocatori 2026_27'!$A$3:$A$493,0)),"")</f>
        <v>4</v>
      </c>
      <c r="O268" s="27" t="n">
        <f aca="false">IFERROR(INDEX('Input Giocatori 2026_27'!$G$3:$G$493,MATCH($A268,'Input Giocatori 2026_27'!$A$3:$A$493,0)),"")</f>
        <v>12</v>
      </c>
      <c r="P268" s="26" t="str">
        <f aca="false">IFERROR(IF($O268="","",IF((1-(COUNTIFS($B$2:$B$492,$B268,$O$2:$O$492,"&gt;"&amp;$O268)+1-1)/COUNTIF($B$2:$B$492,$B268))&gt;=0.85,"Top",IF((1-(COUNTIFS($B$2:$B$492,$B268,$O$2:$O$492,"&gt;"&amp;$O268)+1-1)/COUNTIF($B$2:$B$492,$B268))&gt;=0.6,"Buono",IF((1-(COUNTIFS($B$2:$B$492,$B268,$O$2:$O$492,"&gt;"&amp;$O268)+1-1)/COUNTIF($B$2:$B$492,$B268))&gt;=0.3,"Nella Media","Scommessa/Riserva")))),"")</f>
        <v>Nella Media</v>
      </c>
      <c r="Q268" s="29" t="n">
        <f aca="false">IF($D268="",COUNTIF($D$2:$D268,""),"")</f>
        <v>267</v>
      </c>
      <c r="R268" s="29" t="str">
        <f aca="false">IF($D268='Info Lega'!$B$28,COUNTIFS($D$2:$D268,'Info Lega'!$B$28),"")</f>
        <v/>
      </c>
      <c r="S268" s="30" t="str">
        <f aca="false">IFERROR(INDEX('Input Statistiche 2025_26'!$G$3:$G$665,MATCH($A268,'Input Statistiche 2025_26'!$A$3:$A$665,0)),"")</f>
        <v/>
      </c>
      <c r="T268" s="30" t="str">
        <f aca="false">IFERROR(INDEX('Input Statistiche 2025_26'!$H$3:$H$665,MATCH($A268,'Input Statistiche 2025_26'!$A$3:$A$665,0)),"")</f>
        <v/>
      </c>
      <c r="U268" s="26" t="str">
        <f aca="false">IF(OR('La Mia Rosa'!$O$12="",$D268&lt;&gt;""),"",IF($F268&lt;='La Mia Rosa'!$O$12*'Parametri Modello'!$B$24,"OK",IF($F268&lt;='La Mia Rosa'!$O$12*'Parametri Modello'!$B$25,"Attenzione","Rischio Alto")))</f>
        <v>OK</v>
      </c>
      <c r="V268" s="26" t="n">
        <f aca="false">IFERROR(COUNTIFS($B$2:$B$492,$B268,$O$2:$O$492,"&gt;"&amp;$O268)+1,"")</f>
        <v>78</v>
      </c>
      <c r="W268" s="21" t="n">
        <f aca="false">'Info Lega'!$B$4-SUMIFS($M$2:$M$492,$D$2:$D$492,'Info Lega'!$B$28)</f>
        <v>1000</v>
      </c>
      <c r="X268" s="21" t="n">
        <f aca="false">('Info Lega'!$B$5-COUNTIFS($D$2:$D$492,'Info Lega'!$B$28,$B$2:$B$492,"P"))+('Info Lega'!$B$6-COUNTIFS($D$2:$D$492,'Info Lega'!$B$28,$B$2:$B$492,"D"))+('Info Lega'!$B$7-COUNTIFS($D$2:$D$492,'Info Lega'!$B$28,$B$2:$B$492,"C"))+('Info Lega'!$B$8-COUNTIFS($D$2:$D$492,'Info Lega'!$B$28,$B$2:$B$492,"A"))</f>
        <v>25</v>
      </c>
      <c r="Y268" s="21" t="n">
        <f aca="false">X268*'Parametri Modello'!$B$30</f>
        <v>25</v>
      </c>
      <c r="Z268" s="21" t="n">
        <f aca="false">MAX(0,W268-Y268)</f>
        <v>975</v>
      </c>
      <c r="AA268" s="21" t="n">
        <f aca="false">MIN(F268,Z268)</f>
        <v>5</v>
      </c>
      <c r="AB268" s="21"/>
      <c r="AC268" s="21" t="str">
        <f aca="false">IF(AB268="","",IF(AB268&gt;AA268,"PASS",IF(AB268&lt;=AA268*0.85,"BID","ATTENZIONE")))</f>
        <v/>
      </c>
      <c r="AD268" s="31" t="str">
        <f aca="false">IF(I268="","",ROUND(100*(1-EXP(-I268/30)),0))</f>
        <v/>
      </c>
      <c r="AE268" s="7" t="str">
        <f aca="false">IFERROR(INDEX('Stato Asta'!$G$9:$G$12,MATCH($B268,'Stato Asta'!$A$9:$A$12,0)),"")</f>
        <v>🟡 Attesa rischiosa</v>
      </c>
    </row>
    <row r="269" customFormat="false" ht="14.25" hidden="false" customHeight="true" outlineLevel="0" collapsed="false">
      <c r="A269" s="21" t="n">
        <v>5838</v>
      </c>
      <c r="B269" s="21" t="s">
        <v>44</v>
      </c>
      <c r="C269" s="21" t="s">
        <v>290</v>
      </c>
      <c r="E269" s="26" t="str">
        <f aca="false">IF(COUNTIF('Info Strategia'!$D$2:$D$51,$C269)&gt;0,"SI","NO")</f>
        <v>NO</v>
      </c>
      <c r="F269" s="27" t="n">
        <f aca="false">IFERROR(ROUND(($G269+($H269-$G269)*'Info Strategia'!$B$6)*(1+IF($E269="SI",'Parametri Modello'!$B$7*'Info Strategia'!$B$6,0)),0),"")</f>
        <v>5</v>
      </c>
      <c r="G269" s="27" t="n">
        <f aca="false">IFERROR(ROUND((IF(OR(INDEX('Parametri Modello'!$C$39:$C$42,MATCH($B269,'Parametri Modello'!$A$39:$A$42,0))="",INDEX('Parametri Modello'!$C$39:$C$42,MATCH($B269,'Parametri Modello'!$A$39:$A$42,0))=0),0,($O269/INDEX('Parametri Modello'!$C$39:$C$42,MATCH($B269,'Parametri Modello'!$A$39:$A$42,0)))*(INDEX('Parametri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4</v>
      </c>
      <c r="H269" s="27" t="n">
        <f aca="false">IFERROR(ROUND((IF(OR(INDEX('Parametri Modello'!$C$39:$C$42,MATCH($B269,'Parametri Modello'!$A$39:$A$42,0))="",INDEX('Parametri Modello'!$C$39:$C$42,MATCH($B269,'Parametri Modello'!$A$39:$A$42,0))=0),0,($O269/INDEX('Parametri Modello'!$C$39:$C$42,MATCH($B269,'Parametri Modello'!$A$39:$A$42,0)))*(INDEX('Parametri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6</v>
      </c>
      <c r="I269" s="26" t="str">
        <f aca="false">IFERROR(INDEX('Input Statistiche 2025_26'!$F$3:$F$665,MATCH($A269,'Input Statistiche 2025_26'!$A$3:$A$665,0)),"")</f>
        <v/>
      </c>
      <c r="J269" s="26" t="str">
        <f aca="false">IFERROR(IF($I269="","",MAX(0,38-$I269)),"")</f>
        <v/>
      </c>
      <c r="K269" s="26" t="str">
        <f aca="false">IFERROR(INDEX('Input Statistiche 2025_26'!$I$3:$I$665,MATCH($A269,'Input Statistiche 2025_26'!$A$3:$A$665,0)),"")</f>
        <v/>
      </c>
      <c r="L269" s="26" t="str">
        <f aca="false">IFERROR(INDEX('Input Statistiche 2025_26'!$O$3:$O$665,MATCH($A269,'Input Statistiche 2025_26'!$A$3:$A$665,0)),"")</f>
        <v/>
      </c>
      <c r="M269" s="28"/>
      <c r="N269" s="27" t="n">
        <f aca="false">IFERROR(INDEX('Input Giocatori 2026_27'!$E$3:$E$493,MATCH($A269,'Input Giocatori 2026_27'!$A$3:$A$493,0)),"")</f>
        <v>4</v>
      </c>
      <c r="O269" s="27" t="n">
        <f aca="false">IFERROR(INDEX('Input Giocatori 2026_27'!$G$3:$G$493,MATCH($A269,'Input Giocatori 2026_27'!$A$3:$A$493,0)),"")</f>
        <v>12</v>
      </c>
      <c r="P269" s="26" t="str">
        <f aca="false">IFERROR(IF($O269="","",IF((1-(COUNTIFS($B$2:$B$492,$B269,$O$2:$O$492,"&gt;"&amp;$O269)+1-1)/COUNTIF($B$2:$B$492,$B269))&gt;=0.85,"Top",IF((1-(COUNTIFS($B$2:$B$492,$B269,$O$2:$O$492,"&gt;"&amp;$O269)+1-1)/COUNTIF($B$2:$B$492,$B269))&gt;=0.6,"Buono",IF((1-(COUNTIFS($B$2:$B$492,$B269,$O$2:$O$492,"&gt;"&amp;$O269)+1-1)/COUNTIF($B$2:$B$492,$B269))&gt;=0.3,"Nella Media","Scommessa/Riserva")))),"")</f>
        <v>Nella Media</v>
      </c>
      <c r="Q269" s="29" t="n">
        <f aca="false">IF($D269="",COUNTIF($D$2:$D269,""),"")</f>
        <v>268</v>
      </c>
      <c r="R269" s="29" t="str">
        <f aca="false">IF($D269='Info Lega'!$B$28,COUNTIFS($D$2:$D269,'Info Lega'!$B$28),"")</f>
        <v/>
      </c>
      <c r="S269" s="30" t="str">
        <f aca="false">IFERROR(INDEX('Input Statistiche 2025_26'!$G$3:$G$665,MATCH($A269,'Input Statistiche 2025_26'!$A$3:$A$665,0)),"")</f>
        <v/>
      </c>
      <c r="T269" s="30" t="str">
        <f aca="false">IFERROR(INDEX('Input Statistiche 2025_26'!$H$3:$H$665,MATCH($A269,'Input Statistiche 2025_26'!$A$3:$A$665,0)),"")</f>
        <v/>
      </c>
      <c r="U269" s="26" t="str">
        <f aca="false">IF(OR('La Mia Rosa'!$O$12="",$D269&lt;&gt;""),"",IF($F269&lt;='La Mia Rosa'!$O$12*'Parametri Modello'!$B$24,"OK",IF($F269&lt;='La Mia Rosa'!$O$12*'Parametri Modello'!$B$25,"Attenzione","Rischio Alto")))</f>
        <v>OK</v>
      </c>
      <c r="V269" s="26" t="n">
        <f aca="false">IFERROR(COUNTIFS($B$2:$B$492,$B269,$O$2:$O$492,"&gt;"&amp;$O269)+1,"")</f>
        <v>78</v>
      </c>
      <c r="W269" s="21" t="n">
        <f aca="false">'Info Lega'!$B$4-SUMIFS($M$2:$M$492,$D$2:$D$492,'Info Lega'!$B$28)</f>
        <v>1000</v>
      </c>
      <c r="X269" s="21" t="n">
        <f aca="false">('Info Lega'!$B$5-COUNTIFS($D$2:$D$492,'Info Lega'!$B$28,$B$2:$B$492,"P"))+('Info Lega'!$B$6-COUNTIFS($D$2:$D$492,'Info Lega'!$B$28,$B$2:$B$492,"D"))+('Info Lega'!$B$7-COUNTIFS($D$2:$D$492,'Info Lega'!$B$28,$B$2:$B$492,"C"))+('Info Lega'!$B$8-COUNTIFS($D$2:$D$492,'Info Lega'!$B$28,$B$2:$B$492,"A"))</f>
        <v>25</v>
      </c>
      <c r="Y269" s="21" t="n">
        <f aca="false">X269*'Parametri Modello'!$B$30</f>
        <v>25</v>
      </c>
      <c r="Z269" s="21" t="n">
        <f aca="false">MAX(0,W269-Y269)</f>
        <v>975</v>
      </c>
      <c r="AA269" s="21" t="n">
        <f aca="false">MIN(F269,Z269)</f>
        <v>5</v>
      </c>
      <c r="AB269" s="21"/>
      <c r="AC269" s="21" t="str">
        <f aca="false">IF(AB269="","",IF(AB269&gt;AA269,"PASS",IF(AB269&lt;=AA269*0.85,"BID","ATTENZIONE")))</f>
        <v/>
      </c>
      <c r="AD269" s="31" t="str">
        <f aca="false">IF(I269="","",ROUND(100*(1-EXP(-I269/30)),0))</f>
        <v/>
      </c>
      <c r="AE269" s="7" t="str">
        <f aca="false">IFERROR(INDEX('Stato Asta'!$G$9:$G$12,MATCH($B269,'Stato Asta'!$A$9:$A$12,0)),"")</f>
        <v>🟡 Attesa rischiosa</v>
      </c>
    </row>
    <row r="270" customFormat="false" ht="14.25" hidden="false" customHeight="true" outlineLevel="0" collapsed="false">
      <c r="A270" s="21" t="n">
        <v>4845</v>
      </c>
      <c r="B270" s="21" t="s">
        <v>44</v>
      </c>
      <c r="C270" s="21" t="s">
        <v>301</v>
      </c>
      <c r="E270" s="26" t="str">
        <f aca="false">IF(COUNTIF('Info Strategia'!$D$2:$D$51,$C270)&gt;0,"SI","NO")</f>
        <v>NO</v>
      </c>
      <c r="F270" s="27" t="n">
        <f aca="false">IFERROR(ROUND(($G270+($H270-$G270)*'Info Strategia'!$B$6)*(1+IF($E270="SI",'Parametri Modello'!$B$7*'Info Strategia'!$B$6,0)),0),"")</f>
        <v>5</v>
      </c>
      <c r="G270" s="27" t="n">
        <f aca="false">IFERROR(ROUND((IF(OR(INDEX('Parametri Modello'!$C$39:$C$42,MATCH($B270,'Parametri Modello'!$A$39:$A$42,0))="",INDEX('Parametri Modello'!$C$39:$C$42,MATCH($B270,'Parametri Modello'!$A$39:$A$42,0))=0),0,($O270/INDEX('Parametri Modello'!$C$39:$C$42,MATCH($B270,'Parametri Modello'!$A$39:$A$42,0)))*(INDEX('Parametri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4</v>
      </c>
      <c r="H270" s="27" t="n">
        <f aca="false">IFERROR(ROUND((IF(OR(INDEX('Parametri Modello'!$C$39:$C$42,MATCH($B270,'Parametri Modello'!$A$39:$A$42,0))="",INDEX('Parametri Modello'!$C$39:$C$42,MATCH($B270,'Parametri Modello'!$A$39:$A$42,0))=0),0,($O270/INDEX('Parametri Modello'!$C$39:$C$42,MATCH($B270,'Parametri Modello'!$A$39:$A$42,0)))*(INDEX('Parametri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6</v>
      </c>
      <c r="I270" s="26" t="str">
        <f aca="false">IFERROR(INDEX('Input Statistiche 2025_26'!$F$3:$F$665,MATCH($A270,'Input Statistiche 2025_26'!$A$3:$A$665,0)),"")</f>
        <v/>
      </c>
      <c r="J270" s="26" t="str">
        <f aca="false">IFERROR(IF($I270="","",MAX(0,38-$I270)),"")</f>
        <v/>
      </c>
      <c r="K270" s="26" t="str">
        <f aca="false">IFERROR(INDEX('Input Statistiche 2025_26'!$I$3:$I$665,MATCH($A270,'Input Statistiche 2025_26'!$A$3:$A$665,0)),"")</f>
        <v/>
      </c>
      <c r="L270" s="26" t="str">
        <f aca="false">IFERROR(INDEX('Input Statistiche 2025_26'!$O$3:$O$665,MATCH($A270,'Input Statistiche 2025_26'!$A$3:$A$665,0)),"")</f>
        <v/>
      </c>
      <c r="M270" s="28"/>
      <c r="N270" s="27" t="n">
        <f aca="false">IFERROR(INDEX('Input Giocatori 2026_27'!$E$3:$E$493,MATCH($A270,'Input Giocatori 2026_27'!$A$3:$A$493,0)),"")</f>
        <v>4</v>
      </c>
      <c r="O270" s="27" t="n">
        <f aca="false">IFERROR(INDEX('Input Giocatori 2026_27'!$G$3:$G$493,MATCH($A270,'Input Giocatori 2026_27'!$A$3:$A$493,0)),"")</f>
        <v>12</v>
      </c>
      <c r="P270" s="26" t="str">
        <f aca="false">IFERROR(IF($O270="","",IF((1-(COUNTIFS($B$2:$B$492,$B270,$O$2:$O$492,"&gt;"&amp;$O270)+1-1)/COUNTIF($B$2:$B$492,$B270))&gt;=0.85,"Top",IF((1-(COUNTIFS($B$2:$B$492,$B270,$O$2:$O$492,"&gt;"&amp;$O270)+1-1)/COUNTIF($B$2:$B$492,$B270))&gt;=0.6,"Buono",IF((1-(COUNTIFS($B$2:$B$492,$B270,$O$2:$O$492,"&gt;"&amp;$O270)+1-1)/COUNTIF($B$2:$B$492,$B270))&gt;=0.3,"Nella Media","Scommessa/Riserva")))),"")</f>
        <v>Nella Media</v>
      </c>
      <c r="Q270" s="29" t="n">
        <f aca="false">IF($D270="",COUNTIF($D$2:$D270,""),"")</f>
        <v>269</v>
      </c>
      <c r="R270" s="29" t="str">
        <f aca="false">IF($D270='Info Lega'!$B$28,COUNTIFS($D$2:$D270,'Info Lega'!$B$28),"")</f>
        <v/>
      </c>
      <c r="S270" s="30" t="str">
        <f aca="false">IFERROR(INDEX('Input Statistiche 2025_26'!$G$3:$G$665,MATCH($A270,'Input Statistiche 2025_26'!$A$3:$A$665,0)),"")</f>
        <v/>
      </c>
      <c r="T270" s="30" t="str">
        <f aca="false">IFERROR(INDEX('Input Statistiche 2025_26'!$H$3:$H$665,MATCH($A270,'Input Statistiche 2025_26'!$A$3:$A$665,0)),"")</f>
        <v/>
      </c>
      <c r="U270" s="26" t="str">
        <f aca="false">IF(OR('La Mia Rosa'!$O$12="",$D270&lt;&gt;""),"",IF($F270&lt;='La Mia Rosa'!$O$12*'Parametri Modello'!$B$24,"OK",IF($F270&lt;='La Mia Rosa'!$O$12*'Parametri Modello'!$B$25,"Attenzione","Rischio Alto")))</f>
        <v>OK</v>
      </c>
      <c r="V270" s="26" t="n">
        <f aca="false">IFERROR(COUNTIFS($B$2:$B$492,$B270,$O$2:$O$492,"&gt;"&amp;$O270)+1,"")</f>
        <v>78</v>
      </c>
      <c r="W270" s="21" t="n">
        <f aca="false">'Info Lega'!$B$4-SUMIFS($M$2:$M$492,$D$2:$D$492,'Info Lega'!$B$28)</f>
        <v>1000</v>
      </c>
      <c r="X270" s="21" t="n">
        <f aca="false">('Info Lega'!$B$5-COUNTIFS($D$2:$D$492,'Info Lega'!$B$28,$B$2:$B$492,"P"))+('Info Lega'!$B$6-COUNTIFS($D$2:$D$492,'Info Lega'!$B$28,$B$2:$B$492,"D"))+('Info Lega'!$B$7-COUNTIFS($D$2:$D$492,'Info Lega'!$B$28,$B$2:$B$492,"C"))+('Info Lega'!$B$8-COUNTIFS($D$2:$D$492,'Info Lega'!$B$28,$B$2:$B$492,"A"))</f>
        <v>25</v>
      </c>
      <c r="Y270" s="21" t="n">
        <f aca="false">X270*'Parametri Modello'!$B$30</f>
        <v>25</v>
      </c>
      <c r="Z270" s="21" t="n">
        <f aca="false">MAX(0,W270-Y270)</f>
        <v>975</v>
      </c>
      <c r="AA270" s="21" t="n">
        <f aca="false">MIN(F270,Z270)</f>
        <v>5</v>
      </c>
      <c r="AB270" s="21"/>
      <c r="AC270" s="21" t="str">
        <f aca="false">IF(AB270="","",IF(AB270&gt;AA270,"PASS",IF(AB270&lt;=AA270*0.85,"BID","ATTENZIONE")))</f>
        <v/>
      </c>
      <c r="AD270" s="31" t="str">
        <f aca="false">IF(I270="","",ROUND(100*(1-EXP(-I270/30)),0))</f>
        <v/>
      </c>
      <c r="AE270" s="7" t="str">
        <f aca="false">IFERROR(INDEX('Stato Asta'!$G$9:$G$12,MATCH($B270,'Stato Asta'!$A$9:$A$12,0)),"")</f>
        <v>🟡 Attesa rischiosa</v>
      </c>
    </row>
    <row r="271" customFormat="false" ht="14.25" hidden="false" customHeight="true" outlineLevel="0" collapsed="false">
      <c r="A271" s="21" t="n">
        <v>7131</v>
      </c>
      <c r="B271" s="21" t="s">
        <v>44</v>
      </c>
      <c r="C271" s="21" t="s">
        <v>311</v>
      </c>
      <c r="E271" s="26" t="str">
        <f aca="false">IF(COUNTIF('Info Strategia'!$D$2:$D$51,$C271)&gt;0,"SI","NO")</f>
        <v>NO</v>
      </c>
      <c r="F271" s="27" t="n">
        <f aca="false">IFERROR(ROUND(($G271+($H271-$G271)*'Info Strategia'!$B$6)*(1+IF($E271="SI",'Parametri Modello'!$B$7*'Info Strategia'!$B$6,0)),0),"")</f>
        <v>5</v>
      </c>
      <c r="G271" s="27" t="n">
        <f aca="false">IFERROR(ROUND((IF(OR(INDEX('Parametri Modello'!$C$39:$C$42,MATCH($B271,'Parametri Modello'!$A$39:$A$42,0))="",INDEX('Parametri Modello'!$C$39:$C$42,MATCH($B271,'Parametri Modello'!$A$39:$A$42,0))=0),0,($O271/INDEX('Parametri Modello'!$C$39:$C$42,MATCH($B271,'Parametri Modello'!$A$39:$A$42,0)))*(INDEX('Parametri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4</v>
      </c>
      <c r="H271" s="27" t="n">
        <f aca="false">IFERROR(ROUND((IF(OR(INDEX('Parametri Modello'!$C$39:$C$42,MATCH($B271,'Parametri Modello'!$A$39:$A$42,0))="",INDEX('Parametri Modello'!$C$39:$C$42,MATCH($B271,'Parametri Modello'!$A$39:$A$42,0))=0),0,($O271/INDEX('Parametri Modello'!$C$39:$C$42,MATCH($B271,'Parametri Modello'!$A$39:$A$42,0)))*(INDEX('Parametri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6</v>
      </c>
      <c r="I271" s="26" t="n">
        <f aca="false">IFERROR(INDEX('Input Statistiche 2025_26'!$F$3:$F$665,MATCH($A271,'Input Statistiche 2025_26'!$A$3:$A$665,0)),"")</f>
        <v>23</v>
      </c>
      <c r="J271" s="26" t="n">
        <f aca="false">IFERROR(IF($I271="","",MAX(0,38-$I271)),"")</f>
        <v>15</v>
      </c>
      <c r="K271" s="26" t="n">
        <f aca="false">IFERROR(INDEX('Input Statistiche 2025_26'!$I$3:$I$665,MATCH($A271,'Input Statistiche 2025_26'!$A$3:$A$665,0)),"")</f>
        <v>0</v>
      </c>
      <c r="L271" s="26" t="n">
        <f aca="false">IFERROR(INDEX('Input Statistiche 2025_26'!$O$3:$O$665,MATCH($A271,'Input Statistiche 2025_26'!$A$3:$A$665,0)),"")</f>
        <v>1</v>
      </c>
      <c r="M271" s="28"/>
      <c r="N271" s="27" t="n">
        <f aca="false">IFERROR(INDEX('Input Giocatori 2026_27'!$E$3:$E$493,MATCH($A271,'Input Giocatori 2026_27'!$A$3:$A$493,0)),"")</f>
        <v>3</v>
      </c>
      <c r="O271" s="27" t="n">
        <f aca="false">IFERROR(INDEX('Input Giocatori 2026_27'!$G$3:$G$493,MATCH($A271,'Input Giocatori 2026_27'!$A$3:$A$493,0)),"")</f>
        <v>12</v>
      </c>
      <c r="P271" s="26" t="str">
        <f aca="false">IFERROR(IF($O271="","",IF((1-(COUNTIFS($B$2:$B$492,$B271,$O$2:$O$492,"&gt;"&amp;$O271)+1-1)/COUNTIF($B$2:$B$492,$B271))&gt;=0.85,"Top",IF((1-(COUNTIFS($B$2:$B$492,$B271,$O$2:$O$492,"&gt;"&amp;$O271)+1-1)/COUNTIF($B$2:$B$492,$B271))&gt;=0.6,"Buono",IF((1-(COUNTIFS($B$2:$B$492,$B271,$O$2:$O$492,"&gt;"&amp;$O271)+1-1)/COUNTIF($B$2:$B$492,$B271))&gt;=0.3,"Nella Media","Scommessa/Riserva")))),"")</f>
        <v>Nella Media</v>
      </c>
      <c r="Q271" s="29" t="n">
        <f aca="false">IF($D271="",COUNTIF($D$2:$D271,""),"")</f>
        <v>270</v>
      </c>
      <c r="R271" s="29" t="str">
        <f aca="false">IF($D271='Info Lega'!$B$28,COUNTIFS($D$2:$D271,'Info Lega'!$B$28),"")</f>
        <v/>
      </c>
      <c r="S271" s="30" t="n">
        <f aca="false">IFERROR(INDEX('Input Statistiche 2025_26'!$G$3:$G$665,MATCH($A271,'Input Statistiche 2025_26'!$A$3:$A$665,0)),"")</f>
        <v>5.72</v>
      </c>
      <c r="T271" s="30" t="n">
        <f aca="false">IFERROR(INDEX('Input Statistiche 2025_26'!$H$3:$H$665,MATCH($A271,'Input Statistiche 2025_26'!$A$3:$A$665,0)),"")</f>
        <v>5.72</v>
      </c>
      <c r="U271" s="26" t="str">
        <f aca="false">IF(OR('La Mia Rosa'!$O$12="",$D271&lt;&gt;""),"",IF($F271&lt;='La Mia Rosa'!$O$12*'Parametri Modello'!$B$24,"OK",IF($F271&lt;='La Mia Rosa'!$O$12*'Parametri Modello'!$B$25,"Attenzione","Rischio Alto")))</f>
        <v>OK</v>
      </c>
      <c r="V271" s="26" t="n">
        <f aca="false">IFERROR(COUNTIFS($B$2:$B$492,$B271,$O$2:$O$492,"&gt;"&amp;$O271)+1,"")</f>
        <v>78</v>
      </c>
      <c r="W271" s="21" t="n">
        <f aca="false">'Info Lega'!$B$4-SUMIFS($M$2:$M$492,$D$2:$D$492,'Info Lega'!$B$28)</f>
        <v>1000</v>
      </c>
      <c r="X271" s="21" t="n">
        <f aca="false">('Info Lega'!$B$5-COUNTIFS($D$2:$D$492,'Info Lega'!$B$28,$B$2:$B$492,"P"))+('Info Lega'!$B$6-COUNTIFS($D$2:$D$492,'Info Lega'!$B$28,$B$2:$B$492,"D"))+('Info Lega'!$B$7-COUNTIFS($D$2:$D$492,'Info Lega'!$B$28,$B$2:$B$492,"C"))+('Info Lega'!$B$8-COUNTIFS($D$2:$D$492,'Info Lega'!$B$28,$B$2:$B$492,"A"))</f>
        <v>25</v>
      </c>
      <c r="Y271" s="21" t="n">
        <f aca="false">X271*'Parametri Modello'!$B$30</f>
        <v>25</v>
      </c>
      <c r="Z271" s="21" t="n">
        <f aca="false">MAX(0,W271-Y271)</f>
        <v>975</v>
      </c>
      <c r="AA271" s="21" t="n">
        <f aca="false">MIN(F271,Z271)</f>
        <v>5</v>
      </c>
      <c r="AB271" s="21"/>
      <c r="AC271" s="21" t="str">
        <f aca="false">IF(AB271="","",IF(AB271&gt;AA271,"PASS",IF(AB271&lt;=AA271*0.85,"BID","ATTENZIONE")))</f>
        <v/>
      </c>
      <c r="AD271" s="31" t="n">
        <f aca="false">IF(I271="","",ROUND(100*(1-EXP(-I271/30)),0))</f>
        <v>54</v>
      </c>
      <c r="AE271" s="7" t="str">
        <f aca="false">IFERROR(INDEX('Stato Asta'!$G$9:$G$12,MATCH($B271,'Stato Asta'!$A$9:$A$12,0)),"")</f>
        <v>🟡 Attesa rischiosa</v>
      </c>
    </row>
    <row r="272" customFormat="false" ht="14.25" hidden="false" customHeight="true" outlineLevel="0" collapsed="false">
      <c r="A272" s="21" t="n">
        <v>5739</v>
      </c>
      <c r="B272" s="21" t="s">
        <v>44</v>
      </c>
      <c r="C272" s="21" t="s">
        <v>312</v>
      </c>
      <c r="E272" s="26" t="str">
        <f aca="false">IF(COUNTIF('Info Strategia'!$D$2:$D$51,$C272)&gt;0,"SI","NO")</f>
        <v>NO</v>
      </c>
      <c r="F272" s="27" t="n">
        <f aca="false">IFERROR(ROUND(($G272+($H272-$G272)*'Info Strategia'!$B$6)*(1+IF($E272="SI",'Parametri Modello'!$B$7*'Info Strategia'!$B$6,0)),0),"")</f>
        <v>5</v>
      </c>
      <c r="G272" s="27" t="n">
        <f aca="false">IFERROR(ROUND((IF(OR(INDEX('Parametri Modello'!$C$39:$C$42,MATCH($B272,'Parametri Modello'!$A$39:$A$42,0))="",INDEX('Parametri Modello'!$C$39:$C$42,MATCH($B272,'Parametri Modello'!$A$39:$A$42,0))=0),0,($O272/INDEX('Parametri Modello'!$C$39:$C$42,MATCH($B272,'Parametri Modello'!$A$39:$A$42,0)))*(INDEX('Parametri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4</v>
      </c>
      <c r="H272" s="27" t="n">
        <f aca="false">IFERROR(ROUND((IF(OR(INDEX('Parametri Modello'!$C$39:$C$42,MATCH($B272,'Parametri Modello'!$A$39:$A$42,0))="",INDEX('Parametri Modello'!$C$39:$C$42,MATCH($B272,'Parametri Modello'!$A$39:$A$42,0))=0),0,($O272/INDEX('Parametri Modello'!$C$39:$C$42,MATCH($B272,'Parametri Modello'!$A$39:$A$42,0)))*(INDEX('Parametri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6</v>
      </c>
      <c r="I272" s="26" t="n">
        <f aca="false">IFERROR(INDEX('Input Statistiche 2025_26'!$F$3:$F$665,MATCH($A272,'Input Statistiche 2025_26'!$A$3:$A$665,0)),"")</f>
        <v>24</v>
      </c>
      <c r="J272" s="26" t="n">
        <f aca="false">IFERROR(IF($I272="","",MAX(0,38-$I272)),"")</f>
        <v>14</v>
      </c>
      <c r="K272" s="26" t="n">
        <f aca="false">IFERROR(INDEX('Input Statistiche 2025_26'!$I$3:$I$665,MATCH($A272,'Input Statistiche 2025_26'!$A$3:$A$665,0)),"")</f>
        <v>1</v>
      </c>
      <c r="L272" s="26" t="n">
        <f aca="false">IFERROR(INDEX('Input Statistiche 2025_26'!$O$3:$O$665,MATCH($A272,'Input Statistiche 2025_26'!$A$3:$A$665,0)),"")</f>
        <v>1</v>
      </c>
      <c r="M272" s="28"/>
      <c r="N272" s="27" t="n">
        <f aca="false">IFERROR(INDEX('Input Giocatori 2026_27'!$E$3:$E$493,MATCH($A272,'Input Giocatori 2026_27'!$A$3:$A$493,0)),"")</f>
        <v>3</v>
      </c>
      <c r="O272" s="27" t="n">
        <f aca="false">IFERROR(INDEX('Input Giocatori 2026_27'!$G$3:$G$493,MATCH($A272,'Input Giocatori 2026_27'!$A$3:$A$493,0)),"")</f>
        <v>12</v>
      </c>
      <c r="P272" s="26" t="str">
        <f aca="false">IFERROR(IF($O272="","",IF((1-(COUNTIFS($B$2:$B$492,$B272,$O$2:$O$492,"&gt;"&amp;$O272)+1-1)/COUNTIF($B$2:$B$492,$B272))&gt;=0.85,"Top",IF((1-(COUNTIFS($B$2:$B$492,$B272,$O$2:$O$492,"&gt;"&amp;$O272)+1-1)/COUNTIF($B$2:$B$492,$B272))&gt;=0.6,"Buono",IF((1-(COUNTIFS($B$2:$B$492,$B272,$O$2:$O$492,"&gt;"&amp;$O272)+1-1)/COUNTIF($B$2:$B$492,$B272))&gt;=0.3,"Nella Media","Scommessa/Riserva")))),"")</f>
        <v>Nella Media</v>
      </c>
      <c r="Q272" s="29" t="n">
        <f aca="false">IF($D272="",COUNTIF($D$2:$D272,""),"")</f>
        <v>271</v>
      </c>
      <c r="R272" s="29" t="str">
        <f aca="false">IF($D272='Info Lega'!$B$28,COUNTIFS($D$2:$D272,'Info Lega'!$B$28),"")</f>
        <v/>
      </c>
      <c r="S272" s="30" t="n">
        <f aca="false">IFERROR(INDEX('Input Statistiche 2025_26'!$G$3:$G$665,MATCH($A272,'Input Statistiche 2025_26'!$A$3:$A$665,0)),"")</f>
        <v>5.75</v>
      </c>
      <c r="T272" s="30" t="n">
        <f aca="false">IFERROR(INDEX('Input Statistiche 2025_26'!$H$3:$H$665,MATCH($A272,'Input Statistiche 2025_26'!$A$3:$A$665,0)),"")</f>
        <v>5.9</v>
      </c>
      <c r="U272" s="26" t="str">
        <f aca="false">IF(OR('La Mia Rosa'!$O$12="",$D272&lt;&gt;""),"",IF($F272&lt;='La Mia Rosa'!$O$12*'Parametri Modello'!$B$24,"OK",IF($F272&lt;='La Mia Rosa'!$O$12*'Parametri Modello'!$B$25,"Attenzione","Rischio Alto")))</f>
        <v>OK</v>
      </c>
      <c r="V272" s="26" t="n">
        <f aca="false">IFERROR(COUNTIFS($B$2:$B$492,$B272,$O$2:$O$492,"&gt;"&amp;$O272)+1,"")</f>
        <v>78</v>
      </c>
      <c r="W272" s="21" t="n">
        <f aca="false">'Info Lega'!$B$4-SUMIFS($M$2:$M$492,$D$2:$D$492,'Info Lega'!$B$28)</f>
        <v>1000</v>
      </c>
      <c r="X272" s="21" t="n">
        <f aca="false">('Info Lega'!$B$5-COUNTIFS($D$2:$D$492,'Info Lega'!$B$28,$B$2:$B$492,"P"))+('Info Lega'!$B$6-COUNTIFS($D$2:$D$492,'Info Lega'!$B$28,$B$2:$B$492,"D"))+('Info Lega'!$B$7-COUNTIFS($D$2:$D$492,'Info Lega'!$B$28,$B$2:$B$492,"C"))+('Info Lega'!$B$8-COUNTIFS($D$2:$D$492,'Info Lega'!$B$28,$B$2:$B$492,"A"))</f>
        <v>25</v>
      </c>
      <c r="Y272" s="21" t="n">
        <f aca="false">X272*'Parametri Modello'!$B$30</f>
        <v>25</v>
      </c>
      <c r="Z272" s="21" t="n">
        <f aca="false">MAX(0,W272-Y272)</f>
        <v>975</v>
      </c>
      <c r="AA272" s="21" t="n">
        <f aca="false">MIN(F272,Z272)</f>
        <v>5</v>
      </c>
      <c r="AB272" s="21"/>
      <c r="AC272" s="21" t="str">
        <f aca="false">IF(AB272="","",IF(AB272&gt;AA272,"PASS",IF(AB272&lt;=AA272*0.85,"BID","ATTENZIONE")))</f>
        <v/>
      </c>
      <c r="AD272" s="31" t="n">
        <f aca="false">IF(I272="","",ROUND(100*(1-EXP(-I272/30)),0))</f>
        <v>55</v>
      </c>
      <c r="AE272" s="7" t="str">
        <f aca="false">IFERROR(INDEX('Stato Asta'!$G$9:$G$12,MATCH($B272,'Stato Asta'!$A$9:$A$12,0)),"")</f>
        <v>🟡 Attesa rischiosa</v>
      </c>
    </row>
    <row r="273" customFormat="false" ht="14.25" hidden="false" customHeight="true" outlineLevel="0" collapsed="false">
      <c r="A273" s="21" t="n">
        <v>6985</v>
      </c>
      <c r="B273" s="21" t="s">
        <v>44</v>
      </c>
      <c r="C273" s="21" t="s">
        <v>319</v>
      </c>
      <c r="E273" s="26" t="str">
        <f aca="false">IF(COUNTIF('Info Strategia'!$D$2:$D$51,$C273)&gt;0,"SI","NO")</f>
        <v>NO</v>
      </c>
      <c r="F273" s="27" t="n">
        <f aca="false">IFERROR(ROUND(($G273+($H273-$G273)*'Info Strategia'!$B$6)*(1+IF($E273="SI",'Parametri Modello'!$B$7*'Info Strategia'!$B$6,0)),0),"")</f>
        <v>5</v>
      </c>
      <c r="G273" s="27" t="n">
        <f aca="false">IFERROR(ROUND((IF(OR(INDEX('Parametri Modello'!$C$39:$C$42,MATCH($B273,'Parametri Modello'!$A$39:$A$42,0))="",INDEX('Parametri Modello'!$C$39:$C$42,MATCH($B273,'Parametri Modello'!$A$39:$A$42,0))=0),0,($O273/INDEX('Parametri Modello'!$C$39:$C$42,MATCH($B273,'Parametri Modello'!$A$39:$A$42,0)))*(INDEX('Parametri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4</v>
      </c>
      <c r="H273" s="27" t="n">
        <f aca="false">IFERROR(ROUND((IF(OR(INDEX('Parametri Modello'!$C$39:$C$42,MATCH($B273,'Parametri Modello'!$A$39:$A$42,0))="",INDEX('Parametri Modello'!$C$39:$C$42,MATCH($B273,'Parametri Modello'!$A$39:$A$42,0))=0),0,($O273/INDEX('Parametri Modello'!$C$39:$C$42,MATCH($B273,'Parametri Modello'!$A$39:$A$42,0)))*(INDEX('Parametri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6</v>
      </c>
      <c r="I273" s="26" t="n">
        <f aca="false">IFERROR(INDEX('Input Statistiche 2025_26'!$F$3:$F$665,MATCH($A273,'Input Statistiche 2025_26'!$A$3:$A$665,0)),"")</f>
        <v>8</v>
      </c>
      <c r="J273" s="26" t="n">
        <f aca="false">IFERROR(IF($I273="","",MAX(0,38-$I273)),"")</f>
        <v>30</v>
      </c>
      <c r="K273" s="26" t="n">
        <f aca="false">IFERROR(INDEX('Input Statistiche 2025_26'!$I$3:$I$665,MATCH($A273,'Input Statistiche 2025_26'!$A$3:$A$665,0)),"")</f>
        <v>0</v>
      </c>
      <c r="L273" s="26" t="n">
        <f aca="false">IFERROR(INDEX('Input Statistiche 2025_26'!$O$3:$O$665,MATCH($A273,'Input Statistiche 2025_26'!$A$3:$A$665,0)),"")</f>
        <v>0</v>
      </c>
      <c r="M273" s="28"/>
      <c r="N273" s="27" t="n">
        <f aca="false">IFERROR(INDEX('Input Giocatori 2026_27'!$E$3:$E$493,MATCH($A273,'Input Giocatori 2026_27'!$A$3:$A$493,0)),"")</f>
        <v>3</v>
      </c>
      <c r="O273" s="27" t="n">
        <f aca="false">IFERROR(INDEX('Input Giocatori 2026_27'!$G$3:$G$493,MATCH($A273,'Input Giocatori 2026_27'!$A$3:$A$493,0)),"")</f>
        <v>12</v>
      </c>
      <c r="P273" s="26" t="str">
        <f aca="false">IFERROR(IF($O273="","",IF((1-(COUNTIFS($B$2:$B$492,$B273,$O$2:$O$492,"&gt;"&amp;$O273)+1-1)/COUNTIF($B$2:$B$492,$B273))&gt;=0.85,"Top",IF((1-(COUNTIFS($B$2:$B$492,$B273,$O$2:$O$492,"&gt;"&amp;$O273)+1-1)/COUNTIF($B$2:$B$492,$B273))&gt;=0.6,"Buono",IF((1-(COUNTIFS($B$2:$B$492,$B273,$O$2:$O$492,"&gt;"&amp;$O273)+1-1)/COUNTIF($B$2:$B$492,$B273))&gt;=0.3,"Nella Media","Scommessa/Riserva")))),"")</f>
        <v>Nella Media</v>
      </c>
      <c r="Q273" s="29" t="n">
        <f aca="false">IF($D273="",COUNTIF($D$2:$D273,""),"")</f>
        <v>272</v>
      </c>
      <c r="R273" s="29" t="str">
        <f aca="false">IF($D273='Info Lega'!$B$28,COUNTIFS($D$2:$D273,'Info Lega'!$B$28),"")</f>
        <v/>
      </c>
      <c r="S273" s="30" t="n">
        <f aca="false">IFERROR(INDEX('Input Statistiche 2025_26'!$G$3:$G$665,MATCH($A273,'Input Statistiche 2025_26'!$A$3:$A$665,0)),"")</f>
        <v>5.69</v>
      </c>
      <c r="T273" s="30" t="n">
        <f aca="false">IFERROR(INDEX('Input Statistiche 2025_26'!$H$3:$H$665,MATCH($A273,'Input Statistiche 2025_26'!$A$3:$A$665,0)),"")</f>
        <v>5.56</v>
      </c>
      <c r="U273" s="26" t="str">
        <f aca="false">IF(OR('La Mia Rosa'!$O$12="",$D273&lt;&gt;""),"",IF($F273&lt;='La Mia Rosa'!$O$12*'Parametri Modello'!$B$24,"OK",IF($F273&lt;='La Mia Rosa'!$O$12*'Parametri Modello'!$B$25,"Attenzione","Rischio Alto")))</f>
        <v>OK</v>
      </c>
      <c r="V273" s="26" t="n">
        <f aca="false">IFERROR(COUNTIFS($B$2:$B$492,$B273,$O$2:$O$492,"&gt;"&amp;$O273)+1,"")</f>
        <v>78</v>
      </c>
      <c r="W273" s="21" t="n">
        <f aca="false">'Info Lega'!$B$4-SUMIFS($M$2:$M$492,$D$2:$D$492,'Info Lega'!$B$28)</f>
        <v>1000</v>
      </c>
      <c r="X273" s="21" t="n">
        <f aca="false">('Info Lega'!$B$5-COUNTIFS($D$2:$D$492,'Info Lega'!$B$28,$B$2:$B$492,"P"))+('Info Lega'!$B$6-COUNTIFS($D$2:$D$492,'Info Lega'!$B$28,$B$2:$B$492,"D"))+('Info Lega'!$B$7-COUNTIFS($D$2:$D$492,'Info Lega'!$B$28,$B$2:$B$492,"C"))+('Info Lega'!$B$8-COUNTIFS($D$2:$D$492,'Info Lega'!$B$28,$B$2:$B$492,"A"))</f>
        <v>25</v>
      </c>
      <c r="Y273" s="21" t="n">
        <f aca="false">X273*'Parametri Modello'!$B$30</f>
        <v>25</v>
      </c>
      <c r="Z273" s="21" t="n">
        <f aca="false">MAX(0,W273-Y273)</f>
        <v>975</v>
      </c>
      <c r="AA273" s="21" t="n">
        <f aca="false">MIN(F273,Z273)</f>
        <v>5</v>
      </c>
      <c r="AB273" s="21"/>
      <c r="AC273" s="21" t="str">
        <f aca="false">IF(AB273="","",IF(AB273&gt;AA273,"PASS",IF(AB273&lt;=AA273*0.85,"BID","ATTENZIONE")))</f>
        <v/>
      </c>
      <c r="AD273" s="31" t="n">
        <f aca="false">IF(I273="","",ROUND(100*(1-EXP(-I273/30)),0))</f>
        <v>23</v>
      </c>
      <c r="AE273" s="7" t="str">
        <f aca="false">IFERROR(INDEX('Stato Asta'!$G$9:$G$12,MATCH($B273,'Stato Asta'!$A$9:$A$12,0)),"")</f>
        <v>🟡 Attesa rischiosa</v>
      </c>
    </row>
    <row r="274" customFormat="false" ht="14.25" hidden="false" customHeight="true" outlineLevel="0" collapsed="false">
      <c r="A274" s="21" t="n">
        <v>7528</v>
      </c>
      <c r="B274" s="21" t="s">
        <v>45</v>
      </c>
      <c r="C274" s="21" t="s">
        <v>446</v>
      </c>
      <c r="E274" s="26" t="str">
        <f aca="false">IF(COUNTIF('Info Strategia'!$D$2:$D$51,$C274)&gt;0,"SI","NO")</f>
        <v>NO</v>
      </c>
      <c r="F274" s="27" t="n">
        <f aca="false">IFERROR(ROUND(($G274+($H274-$G274)*'Info Strategia'!$B$6)*(1+IF($E274="SI",'Parametri Modello'!$B$7*'Info Strategia'!$B$6,0)),0),"")</f>
        <v>6</v>
      </c>
      <c r="G274" s="27" t="n">
        <f aca="false">IFERROR(ROUND((IF(OR(INDEX('Parametri Modello'!$C$39:$C$42,MATCH($B274,'Parametri Modello'!$A$39:$A$42,0))="",INDEX('Parametri Modello'!$C$39:$C$42,MATCH($B274,'Parametri Modello'!$A$39:$A$42,0))=0),0,($O274/INDEX('Parametri Modello'!$C$39:$C$42,MATCH($B274,'Parametri Modello'!$A$39:$A$42,0)))*(INDEX('Parametri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4</v>
      </c>
      <c r="H274" s="27" t="n">
        <f aca="false">IFERROR(ROUND((IF(OR(INDEX('Parametri Modello'!$C$39:$C$42,MATCH($B274,'Parametri Modello'!$A$39:$A$42,0))="",INDEX('Parametri Modello'!$C$39:$C$42,MATCH($B274,'Parametri Modello'!$A$39:$A$42,0))=0),0,($O274/INDEX('Parametri Modello'!$C$39:$C$42,MATCH($B274,'Parametri Modello'!$A$39:$A$42,0)))*(INDEX('Parametri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7</v>
      </c>
      <c r="I274" s="26" t="str">
        <f aca="false">IFERROR(INDEX('Input Statistiche 2025_26'!$F$3:$F$665,MATCH($A274,'Input Statistiche 2025_26'!$A$3:$A$665,0)),"")</f>
        <v/>
      </c>
      <c r="J274" s="26" t="str">
        <f aca="false">IFERROR(IF($I274="","",MAX(0,38-$I274)),"")</f>
        <v/>
      </c>
      <c r="K274" s="26" t="str">
        <f aca="false">IFERROR(INDEX('Input Statistiche 2025_26'!$I$3:$I$665,MATCH($A274,'Input Statistiche 2025_26'!$A$3:$A$665,0)),"")</f>
        <v/>
      </c>
      <c r="L274" s="26" t="str">
        <f aca="false">IFERROR(INDEX('Input Statistiche 2025_26'!$O$3:$O$665,MATCH($A274,'Input Statistiche 2025_26'!$A$3:$A$665,0)),"")</f>
        <v/>
      </c>
      <c r="M274" s="28"/>
      <c r="N274" s="27" t="n">
        <f aca="false">IFERROR(INDEX('Input Giocatori 2026_27'!$E$3:$E$493,MATCH($A274,'Input Giocatori 2026_27'!$A$3:$A$493,0)),"")</f>
        <v>5</v>
      </c>
      <c r="O274" s="27" t="n">
        <f aca="false">IFERROR(INDEX('Input Giocatori 2026_27'!$G$3:$G$493,MATCH($A274,'Input Giocatori 2026_27'!$A$3:$A$493,0)),"")</f>
        <v>12</v>
      </c>
      <c r="P274" s="26" t="str">
        <f aca="false">IFERROR(IF($O274="","",IF((1-(COUNTIFS($B$2:$B$492,$B274,$O$2:$O$492,"&gt;"&amp;$O274)+1-1)/COUNTIF($B$2:$B$492,$B274))&gt;=0.85,"Top",IF((1-(COUNTIFS($B$2:$B$492,$B274,$O$2:$O$492,"&gt;"&amp;$O274)+1-1)/COUNTIF($B$2:$B$492,$B274))&gt;=0.6,"Buono",IF((1-(COUNTIFS($B$2:$B$492,$B274,$O$2:$O$492,"&gt;"&amp;$O274)+1-1)/COUNTIF($B$2:$B$492,$B274))&gt;=0.3,"Nella Media","Scommessa/Riserva")))),"")</f>
        <v>Nella Media</v>
      </c>
      <c r="Q274" s="29" t="n">
        <f aca="false">IF($D274="",COUNTIF($D$2:$D274,""),"")</f>
        <v>273</v>
      </c>
      <c r="R274" s="29" t="str">
        <f aca="false">IF($D274='Info Lega'!$B$28,COUNTIFS($D$2:$D274,'Info Lega'!$B$28),"")</f>
        <v/>
      </c>
      <c r="S274" s="30" t="str">
        <f aca="false">IFERROR(INDEX('Input Statistiche 2025_26'!$G$3:$G$665,MATCH($A274,'Input Statistiche 2025_26'!$A$3:$A$665,0)),"")</f>
        <v/>
      </c>
      <c r="T274" s="30" t="str">
        <f aca="false">IFERROR(INDEX('Input Statistiche 2025_26'!$H$3:$H$665,MATCH($A274,'Input Statistiche 2025_26'!$A$3:$A$665,0)),"")</f>
        <v/>
      </c>
      <c r="U274" s="26" t="str">
        <f aca="false">IF(OR('La Mia Rosa'!$O$12="",$D274&lt;&gt;""),"",IF($F274&lt;='La Mia Rosa'!$O$12*'Parametri Modello'!$B$24,"OK",IF($F274&lt;='La Mia Rosa'!$O$12*'Parametri Modello'!$B$25,"Attenzione","Rischio Alto")))</f>
        <v>OK</v>
      </c>
      <c r="V274" s="26" t="n">
        <f aca="false">IFERROR(COUNTIFS($B$2:$B$492,$B274,$O$2:$O$492,"&gt;"&amp;$O274)+1,"")</f>
        <v>105</v>
      </c>
      <c r="W274" s="21" t="n">
        <f aca="false">'Info Lega'!$B$4-SUMIFS($M$2:$M$492,$D$2:$D$492,'Info Lega'!$B$28)</f>
        <v>1000</v>
      </c>
      <c r="X274" s="21" t="n">
        <f aca="false">('Info Lega'!$B$5-COUNTIFS($D$2:$D$492,'Info Lega'!$B$28,$B$2:$B$492,"P"))+('Info Lega'!$B$6-COUNTIFS($D$2:$D$492,'Info Lega'!$B$28,$B$2:$B$492,"D"))+('Info Lega'!$B$7-COUNTIFS($D$2:$D$492,'Info Lega'!$B$28,$B$2:$B$492,"C"))+('Info Lega'!$B$8-COUNTIFS($D$2:$D$492,'Info Lega'!$B$28,$B$2:$B$492,"A"))</f>
        <v>25</v>
      </c>
      <c r="Y274" s="21" t="n">
        <f aca="false">X274*'Parametri Modello'!$B$30</f>
        <v>25</v>
      </c>
      <c r="Z274" s="21" t="n">
        <f aca="false">MAX(0,W274-Y274)</f>
        <v>975</v>
      </c>
      <c r="AA274" s="21" t="n">
        <f aca="false">MIN(F274,Z274)</f>
        <v>6</v>
      </c>
      <c r="AB274" s="21"/>
      <c r="AC274" s="21" t="str">
        <f aca="false">IF(AB274="","",IF(AB274&gt;AA274,"PASS",IF(AB274&lt;=AA274*0.85,"BID","ATTENZIONE")))</f>
        <v/>
      </c>
      <c r="AD274" s="31" t="str">
        <f aca="false">IF(I274="","",ROUND(100*(1-EXP(-I274/30)),0))</f>
        <v/>
      </c>
      <c r="AE274" s="7" t="str">
        <f aca="false">IFERROR(INDEX('Stato Asta'!$G$9:$G$12,MATCH($B274,'Stato Asta'!$A$9:$A$12,0)),"")</f>
        <v>🟡 Attesa rischiosa</v>
      </c>
    </row>
    <row r="275" customFormat="false" ht="14.25" hidden="false" customHeight="true" outlineLevel="0" collapsed="false">
      <c r="A275" s="21" t="n">
        <v>7311</v>
      </c>
      <c r="B275" s="21" t="s">
        <v>45</v>
      </c>
      <c r="C275" s="21" t="s">
        <v>447</v>
      </c>
      <c r="E275" s="26" t="str">
        <f aca="false">IF(COUNTIF('Info Strategia'!$D$2:$D$51,$C275)&gt;0,"SI","NO")</f>
        <v>NO</v>
      </c>
      <c r="F275" s="27" t="n">
        <f aca="false">IFERROR(ROUND(($G275+($H275-$G275)*'Info Strategia'!$B$6)*(1+IF($E275="SI",'Parametri Modello'!$B$7*'Info Strategia'!$B$6,0)),0),"")</f>
        <v>6</v>
      </c>
      <c r="G275" s="27" t="n">
        <f aca="false">IFERROR(ROUND((IF(OR(INDEX('Parametri Modello'!$C$39:$C$42,MATCH($B275,'Parametri Modello'!$A$39:$A$42,0))="",INDEX('Parametri Modello'!$C$39:$C$42,MATCH($B275,'Parametri Modello'!$A$39:$A$42,0))=0),0,($O275/INDEX('Parametri Modello'!$C$39:$C$42,MATCH($B275,'Parametri Modello'!$A$39:$A$42,0)))*(INDEX('Parametri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4</v>
      </c>
      <c r="H275" s="27" t="n">
        <f aca="false">IFERROR(ROUND((IF(OR(INDEX('Parametri Modello'!$C$39:$C$42,MATCH($B275,'Parametri Modello'!$A$39:$A$42,0))="",INDEX('Parametri Modello'!$C$39:$C$42,MATCH($B275,'Parametri Modello'!$A$39:$A$42,0))=0),0,($O275/INDEX('Parametri Modello'!$C$39:$C$42,MATCH($B275,'Parametri Modello'!$A$39:$A$42,0)))*(INDEX('Parametri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7</v>
      </c>
      <c r="I275" s="26" t="str">
        <f aca="false">IFERROR(INDEX('Input Statistiche 2025_26'!$F$3:$F$665,MATCH($A275,'Input Statistiche 2025_26'!$A$3:$A$665,0)),"")</f>
        <v/>
      </c>
      <c r="J275" s="26" t="str">
        <f aca="false">IFERROR(IF($I275="","",MAX(0,38-$I275)),"")</f>
        <v/>
      </c>
      <c r="K275" s="26" t="str">
        <f aca="false">IFERROR(INDEX('Input Statistiche 2025_26'!$I$3:$I$665,MATCH($A275,'Input Statistiche 2025_26'!$A$3:$A$665,0)),"")</f>
        <v/>
      </c>
      <c r="L275" s="26" t="str">
        <f aca="false">IFERROR(INDEX('Input Statistiche 2025_26'!$O$3:$O$665,MATCH($A275,'Input Statistiche 2025_26'!$A$3:$A$665,0)),"")</f>
        <v/>
      </c>
      <c r="M275" s="28"/>
      <c r="N275" s="27" t="n">
        <f aca="false">IFERROR(INDEX('Input Giocatori 2026_27'!$E$3:$E$493,MATCH($A275,'Input Giocatori 2026_27'!$A$3:$A$493,0)),"")</f>
        <v>5</v>
      </c>
      <c r="O275" s="27" t="n">
        <f aca="false">IFERROR(INDEX('Input Giocatori 2026_27'!$G$3:$G$493,MATCH($A275,'Input Giocatori 2026_27'!$A$3:$A$493,0)),"")</f>
        <v>12</v>
      </c>
      <c r="P275" s="26" t="str">
        <f aca="false">IFERROR(IF($O275="","",IF((1-(COUNTIFS($B$2:$B$492,$B275,$O$2:$O$492,"&gt;"&amp;$O275)+1-1)/COUNTIF($B$2:$B$492,$B275))&gt;=0.85,"Top",IF((1-(COUNTIFS($B$2:$B$492,$B275,$O$2:$O$492,"&gt;"&amp;$O275)+1-1)/COUNTIF($B$2:$B$492,$B275))&gt;=0.6,"Buono",IF((1-(COUNTIFS($B$2:$B$492,$B275,$O$2:$O$492,"&gt;"&amp;$O275)+1-1)/COUNTIF($B$2:$B$492,$B275))&gt;=0.3,"Nella Media","Scommessa/Riserva")))),"")</f>
        <v>Nella Media</v>
      </c>
      <c r="Q275" s="29" t="n">
        <f aca="false">IF($D275="",COUNTIF($D$2:$D275,""),"")</f>
        <v>274</v>
      </c>
      <c r="R275" s="29" t="str">
        <f aca="false">IF($D275='Info Lega'!$B$28,COUNTIFS($D$2:$D275,'Info Lega'!$B$28),"")</f>
        <v/>
      </c>
      <c r="S275" s="30" t="str">
        <f aca="false">IFERROR(INDEX('Input Statistiche 2025_26'!$G$3:$G$665,MATCH($A275,'Input Statistiche 2025_26'!$A$3:$A$665,0)),"")</f>
        <v/>
      </c>
      <c r="T275" s="30" t="str">
        <f aca="false">IFERROR(INDEX('Input Statistiche 2025_26'!$H$3:$H$665,MATCH($A275,'Input Statistiche 2025_26'!$A$3:$A$665,0)),"")</f>
        <v/>
      </c>
      <c r="U275" s="26" t="str">
        <f aca="false">IF(OR('La Mia Rosa'!$O$12="",$D275&lt;&gt;""),"",IF($F275&lt;='La Mia Rosa'!$O$12*'Parametri Modello'!$B$24,"OK",IF($F275&lt;='La Mia Rosa'!$O$12*'Parametri Modello'!$B$25,"Attenzione","Rischio Alto")))</f>
        <v>OK</v>
      </c>
      <c r="V275" s="26" t="n">
        <f aca="false">IFERROR(COUNTIFS($B$2:$B$492,$B275,$O$2:$O$492,"&gt;"&amp;$O275)+1,"")</f>
        <v>105</v>
      </c>
      <c r="W275" s="21" t="n">
        <f aca="false">'Info Lega'!$B$4-SUMIFS($M$2:$M$492,$D$2:$D$492,'Info Lega'!$B$28)</f>
        <v>1000</v>
      </c>
      <c r="X275" s="21" t="n">
        <f aca="false">('Info Lega'!$B$5-COUNTIFS($D$2:$D$492,'Info Lega'!$B$28,$B$2:$B$492,"P"))+('Info Lega'!$B$6-COUNTIFS($D$2:$D$492,'Info Lega'!$B$28,$B$2:$B$492,"D"))+('Info Lega'!$B$7-COUNTIFS($D$2:$D$492,'Info Lega'!$B$28,$B$2:$B$492,"C"))+('Info Lega'!$B$8-COUNTIFS($D$2:$D$492,'Info Lega'!$B$28,$B$2:$B$492,"A"))</f>
        <v>25</v>
      </c>
      <c r="Y275" s="21" t="n">
        <f aca="false">X275*'Parametri Modello'!$B$30</f>
        <v>25</v>
      </c>
      <c r="Z275" s="21" t="n">
        <f aca="false">MAX(0,W275-Y275)</f>
        <v>975</v>
      </c>
      <c r="AA275" s="21" t="n">
        <f aca="false">MIN(F275,Z275)</f>
        <v>6</v>
      </c>
      <c r="AB275" s="21"/>
      <c r="AC275" s="21" t="str">
        <f aca="false">IF(AB275="","",IF(AB275&gt;AA275,"PASS",IF(AB275&lt;=AA275*0.85,"BID","ATTENZIONE")))</f>
        <v/>
      </c>
      <c r="AD275" s="31" t="str">
        <f aca="false">IF(I275="","",ROUND(100*(1-EXP(-I275/30)),0))</f>
        <v/>
      </c>
      <c r="AE275" s="7" t="str">
        <f aca="false">IFERROR(INDEX('Stato Asta'!$G$9:$G$12,MATCH($B275,'Stato Asta'!$A$9:$A$12,0)),"")</f>
        <v>🟡 Attesa rischiosa</v>
      </c>
    </row>
    <row r="276" customFormat="false" ht="14.25" hidden="false" customHeight="true" outlineLevel="0" collapsed="false">
      <c r="A276" s="21" t="n">
        <v>22</v>
      </c>
      <c r="B276" s="21" t="s">
        <v>45</v>
      </c>
      <c r="C276" s="21" t="s">
        <v>472</v>
      </c>
      <c r="E276" s="26" t="str">
        <f aca="false">IF(COUNTIF('Info Strategia'!$D$2:$D$51,$C276)&gt;0,"SI","NO")</f>
        <v>NO</v>
      </c>
      <c r="F276" s="27" t="n">
        <f aca="false">IFERROR(ROUND(($G276+($H276-$G276)*'Info Strategia'!$B$6)*(1+IF($E276="SI",'Parametri Modello'!$B$7*'Info Strategia'!$B$6,0)),0),"")</f>
        <v>6</v>
      </c>
      <c r="G276" s="27" t="n">
        <f aca="false">IFERROR(ROUND((IF(OR(INDEX('Parametri Modello'!$C$39:$C$42,MATCH($B276,'Parametri Modello'!$A$39:$A$42,0))="",INDEX('Parametri Modello'!$C$39:$C$42,MATCH($B276,'Parametri Modello'!$A$39:$A$42,0))=0),0,($O276/INDEX('Parametri Modello'!$C$39:$C$42,MATCH($B276,'Parametri Modello'!$A$39:$A$42,0)))*(INDEX('Parametri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4</v>
      </c>
      <c r="H276" s="27" t="n">
        <f aca="false">IFERROR(ROUND((IF(OR(INDEX('Parametri Modello'!$C$39:$C$42,MATCH($B276,'Parametri Modello'!$A$39:$A$42,0))="",INDEX('Parametri Modello'!$C$39:$C$42,MATCH($B276,'Parametri Modello'!$A$39:$A$42,0))=0),0,($O276/INDEX('Parametri Modello'!$C$39:$C$42,MATCH($B276,'Parametri Modello'!$A$39:$A$42,0)))*(INDEX('Parametri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7</v>
      </c>
      <c r="I276" s="26" t="n">
        <f aca="false">IFERROR(INDEX('Input Statistiche 2025_26'!$F$3:$F$665,MATCH($A276,'Input Statistiche 2025_26'!$A$3:$A$665,0)),"")</f>
        <v>34</v>
      </c>
      <c r="J276" s="26" t="n">
        <f aca="false">IFERROR(IF($I276="","",MAX(0,38-$I276)),"")</f>
        <v>4</v>
      </c>
      <c r="K276" s="26" t="n">
        <f aca="false">IFERROR(INDEX('Input Statistiche 2025_26'!$I$3:$I$665,MATCH($A276,'Input Statistiche 2025_26'!$A$3:$A$665,0)),"")</f>
        <v>1</v>
      </c>
      <c r="L276" s="26" t="n">
        <f aca="false">IFERROR(INDEX('Input Statistiche 2025_26'!$O$3:$O$665,MATCH($A276,'Input Statistiche 2025_26'!$A$3:$A$665,0)),"")</f>
        <v>2</v>
      </c>
      <c r="M276" s="28"/>
      <c r="N276" s="27" t="n">
        <f aca="false">IFERROR(INDEX('Input Giocatori 2026_27'!$E$3:$E$493,MATCH($A276,'Input Giocatori 2026_27'!$A$3:$A$493,0)),"")</f>
        <v>4</v>
      </c>
      <c r="O276" s="27" t="n">
        <f aca="false">IFERROR(INDEX('Input Giocatori 2026_27'!$G$3:$G$493,MATCH($A276,'Input Giocatori 2026_27'!$A$3:$A$493,0)),"")</f>
        <v>12</v>
      </c>
      <c r="P276" s="26" t="str">
        <f aca="false">IFERROR(IF($O276="","",IF((1-(COUNTIFS($B$2:$B$492,$B276,$O$2:$O$492,"&gt;"&amp;$O276)+1-1)/COUNTIF($B$2:$B$492,$B276))&gt;=0.85,"Top",IF((1-(COUNTIFS($B$2:$B$492,$B276,$O$2:$O$492,"&gt;"&amp;$O276)+1-1)/COUNTIF($B$2:$B$492,$B276))&gt;=0.6,"Buono",IF((1-(COUNTIFS($B$2:$B$492,$B276,$O$2:$O$492,"&gt;"&amp;$O276)+1-1)/COUNTIF($B$2:$B$492,$B276))&gt;=0.3,"Nella Media","Scommessa/Riserva")))),"")</f>
        <v>Nella Media</v>
      </c>
      <c r="Q276" s="29" t="n">
        <f aca="false">IF($D276="",COUNTIF($D$2:$D276,""),"")</f>
        <v>275</v>
      </c>
      <c r="R276" s="29" t="str">
        <f aca="false">IF($D276='Info Lega'!$B$28,COUNTIFS($D$2:$D276,'Info Lega'!$B$28),"")</f>
        <v/>
      </c>
      <c r="S276" s="30" t="n">
        <f aca="false">IFERROR(INDEX('Input Statistiche 2025_26'!$G$3:$G$665,MATCH($A276,'Input Statistiche 2025_26'!$A$3:$A$665,0)),"")</f>
        <v>5.97</v>
      </c>
      <c r="T276" s="30" t="n">
        <f aca="false">IFERROR(INDEX('Input Statistiche 2025_26'!$H$3:$H$665,MATCH($A276,'Input Statistiche 2025_26'!$A$3:$A$665,0)),"")</f>
        <v>6</v>
      </c>
      <c r="U276" s="26" t="str">
        <f aca="false">IF(OR('La Mia Rosa'!$O$12="",$D276&lt;&gt;""),"",IF($F276&lt;='La Mia Rosa'!$O$12*'Parametri Modello'!$B$24,"OK",IF($F276&lt;='La Mia Rosa'!$O$12*'Parametri Modello'!$B$25,"Attenzione","Rischio Alto")))</f>
        <v>OK</v>
      </c>
      <c r="V276" s="26" t="n">
        <f aca="false">IFERROR(COUNTIFS($B$2:$B$492,$B276,$O$2:$O$492,"&gt;"&amp;$O276)+1,"")</f>
        <v>105</v>
      </c>
      <c r="W276" s="21" t="n">
        <f aca="false">'Info Lega'!$B$4-SUMIFS($M$2:$M$492,$D$2:$D$492,'Info Lega'!$B$28)</f>
        <v>1000</v>
      </c>
      <c r="X276" s="21" t="n">
        <f aca="false">('Info Lega'!$B$5-COUNTIFS($D$2:$D$492,'Info Lega'!$B$28,$B$2:$B$492,"P"))+('Info Lega'!$B$6-COUNTIFS($D$2:$D$492,'Info Lega'!$B$28,$B$2:$B$492,"D"))+('Info Lega'!$B$7-COUNTIFS($D$2:$D$492,'Info Lega'!$B$28,$B$2:$B$492,"C"))+('Info Lega'!$B$8-COUNTIFS($D$2:$D$492,'Info Lega'!$B$28,$B$2:$B$492,"A"))</f>
        <v>25</v>
      </c>
      <c r="Y276" s="21" t="n">
        <f aca="false">X276*'Parametri Modello'!$B$30</f>
        <v>25</v>
      </c>
      <c r="Z276" s="21" t="n">
        <f aca="false">MAX(0,W276-Y276)</f>
        <v>975</v>
      </c>
      <c r="AA276" s="21" t="n">
        <f aca="false">MIN(F276,Z276)</f>
        <v>6</v>
      </c>
      <c r="AB276" s="21"/>
      <c r="AC276" s="21" t="str">
        <f aca="false">IF(AB276="","",IF(AB276&gt;AA276,"PASS",IF(AB276&lt;=AA276*0.85,"BID","ATTENZIONE")))</f>
        <v/>
      </c>
      <c r="AD276" s="31" t="n">
        <f aca="false">IF(I276="","",ROUND(100*(1-EXP(-I276/30)),0))</f>
        <v>68</v>
      </c>
      <c r="AE276" s="7" t="str">
        <f aca="false">IFERROR(INDEX('Stato Asta'!$G$9:$G$12,MATCH($B276,'Stato Asta'!$A$9:$A$12,0)),"")</f>
        <v>🟡 Attesa rischiosa</v>
      </c>
    </row>
    <row r="277" customFormat="false" ht="14.25" hidden="false" customHeight="true" outlineLevel="0" collapsed="false">
      <c r="A277" s="21" t="n">
        <v>7474</v>
      </c>
      <c r="B277" s="21" t="s">
        <v>45</v>
      </c>
      <c r="C277" s="21" t="s">
        <v>477</v>
      </c>
      <c r="E277" s="26" t="str">
        <f aca="false">IF(COUNTIF('Info Strategia'!$D$2:$D$51,$C277)&gt;0,"SI","NO")</f>
        <v>NO</v>
      </c>
      <c r="F277" s="27" t="n">
        <f aca="false">IFERROR(ROUND(($G277+($H277-$G277)*'Info Strategia'!$B$6)*(1+IF($E277="SI",'Parametri Modello'!$B$7*'Info Strategia'!$B$6,0)),0),"")</f>
        <v>6</v>
      </c>
      <c r="G277" s="27" t="n">
        <f aca="false">IFERROR(ROUND((IF(OR(INDEX('Parametri Modello'!$C$39:$C$42,MATCH($B277,'Parametri Modello'!$A$39:$A$42,0))="",INDEX('Parametri Modello'!$C$39:$C$42,MATCH($B277,'Parametri Modello'!$A$39:$A$42,0))=0),0,($O277/INDEX('Parametri Modello'!$C$39:$C$42,MATCH($B277,'Parametri Modello'!$A$39:$A$42,0)))*(INDEX('Parametri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4</v>
      </c>
      <c r="H277" s="27" t="n">
        <f aca="false">IFERROR(ROUND((IF(OR(INDEX('Parametri Modello'!$C$39:$C$42,MATCH($B277,'Parametri Modello'!$A$39:$A$42,0))="",INDEX('Parametri Modello'!$C$39:$C$42,MATCH($B277,'Parametri Modello'!$A$39:$A$42,0))=0),0,($O277/INDEX('Parametri Modello'!$C$39:$C$42,MATCH($B277,'Parametri Modello'!$A$39:$A$42,0)))*(INDEX('Parametri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7</v>
      </c>
      <c r="I277" s="26" t="str">
        <f aca="false">IFERROR(INDEX('Input Statistiche 2025_26'!$F$3:$F$665,MATCH($A277,'Input Statistiche 2025_26'!$A$3:$A$665,0)),"")</f>
        <v/>
      </c>
      <c r="J277" s="26" t="str">
        <f aca="false">IFERROR(IF($I277="","",MAX(0,38-$I277)),"")</f>
        <v/>
      </c>
      <c r="K277" s="26" t="str">
        <f aca="false">IFERROR(INDEX('Input Statistiche 2025_26'!$I$3:$I$665,MATCH($A277,'Input Statistiche 2025_26'!$A$3:$A$665,0)),"")</f>
        <v/>
      </c>
      <c r="L277" s="26" t="str">
        <f aca="false">IFERROR(INDEX('Input Statistiche 2025_26'!$O$3:$O$665,MATCH($A277,'Input Statistiche 2025_26'!$A$3:$A$665,0)),"")</f>
        <v/>
      </c>
      <c r="M277" s="28"/>
      <c r="N277" s="27" t="n">
        <f aca="false">IFERROR(INDEX('Input Giocatori 2026_27'!$E$3:$E$493,MATCH($A277,'Input Giocatori 2026_27'!$A$3:$A$493,0)),"")</f>
        <v>4</v>
      </c>
      <c r="O277" s="27" t="n">
        <f aca="false">IFERROR(INDEX('Input Giocatori 2026_27'!$G$3:$G$493,MATCH($A277,'Input Giocatori 2026_27'!$A$3:$A$493,0)),"")</f>
        <v>12</v>
      </c>
      <c r="P277" s="26" t="str">
        <f aca="false">IFERROR(IF($O277="","",IF((1-(COUNTIFS($B$2:$B$492,$B277,$O$2:$O$492,"&gt;"&amp;$O277)+1-1)/COUNTIF($B$2:$B$492,$B277))&gt;=0.85,"Top",IF((1-(COUNTIFS($B$2:$B$492,$B277,$O$2:$O$492,"&gt;"&amp;$O277)+1-1)/COUNTIF($B$2:$B$492,$B277))&gt;=0.6,"Buono",IF((1-(COUNTIFS($B$2:$B$492,$B277,$O$2:$O$492,"&gt;"&amp;$O277)+1-1)/COUNTIF($B$2:$B$492,$B277))&gt;=0.3,"Nella Media","Scommessa/Riserva")))),"")</f>
        <v>Nella Media</v>
      </c>
      <c r="Q277" s="29" t="n">
        <f aca="false">IF($D277="",COUNTIF($D$2:$D277,""),"")</f>
        <v>276</v>
      </c>
      <c r="R277" s="29" t="str">
        <f aca="false">IF($D277='Info Lega'!$B$28,COUNTIFS($D$2:$D277,'Info Lega'!$B$28),"")</f>
        <v/>
      </c>
      <c r="S277" s="30" t="str">
        <f aca="false">IFERROR(INDEX('Input Statistiche 2025_26'!$G$3:$G$665,MATCH($A277,'Input Statistiche 2025_26'!$A$3:$A$665,0)),"")</f>
        <v/>
      </c>
      <c r="T277" s="30" t="str">
        <f aca="false">IFERROR(INDEX('Input Statistiche 2025_26'!$H$3:$H$665,MATCH($A277,'Input Statistiche 2025_26'!$A$3:$A$665,0)),"")</f>
        <v/>
      </c>
      <c r="U277" s="26" t="str">
        <f aca="false">IF(OR('La Mia Rosa'!$O$12="",$D277&lt;&gt;""),"",IF($F277&lt;='La Mia Rosa'!$O$12*'Parametri Modello'!$B$24,"OK",IF($F277&lt;='La Mia Rosa'!$O$12*'Parametri Modello'!$B$25,"Attenzione","Rischio Alto")))</f>
        <v>OK</v>
      </c>
      <c r="V277" s="26" t="n">
        <f aca="false">IFERROR(COUNTIFS($B$2:$B$492,$B277,$O$2:$O$492,"&gt;"&amp;$O277)+1,"")</f>
        <v>105</v>
      </c>
      <c r="W277" s="21" t="n">
        <f aca="false">'Info Lega'!$B$4-SUMIFS($M$2:$M$492,$D$2:$D$492,'Info Lega'!$B$28)</f>
        <v>1000</v>
      </c>
      <c r="X277" s="21" t="n">
        <f aca="false">('Info Lega'!$B$5-COUNTIFS($D$2:$D$492,'Info Lega'!$B$28,$B$2:$B$492,"P"))+('Info Lega'!$B$6-COUNTIFS($D$2:$D$492,'Info Lega'!$B$28,$B$2:$B$492,"D"))+('Info Lega'!$B$7-COUNTIFS($D$2:$D$492,'Info Lega'!$B$28,$B$2:$B$492,"C"))+('Info Lega'!$B$8-COUNTIFS($D$2:$D$492,'Info Lega'!$B$28,$B$2:$B$492,"A"))</f>
        <v>25</v>
      </c>
      <c r="Y277" s="21" t="n">
        <f aca="false">X277*'Parametri Modello'!$B$30</f>
        <v>25</v>
      </c>
      <c r="Z277" s="21" t="n">
        <f aca="false">MAX(0,W277-Y277)</f>
        <v>975</v>
      </c>
      <c r="AA277" s="21" t="n">
        <f aca="false">MIN(F277,Z277)</f>
        <v>6</v>
      </c>
      <c r="AB277" s="21"/>
      <c r="AC277" s="21" t="str">
        <f aca="false">IF(AB277="","",IF(AB277&gt;AA277,"PASS",IF(AB277&lt;=AA277*0.85,"BID","ATTENZIONE")))</f>
        <v/>
      </c>
      <c r="AD277" s="31" t="str">
        <f aca="false">IF(I277="","",ROUND(100*(1-EXP(-I277/30)),0))</f>
        <v/>
      </c>
      <c r="AE277" s="7" t="str">
        <f aca="false">IFERROR(INDEX('Stato Asta'!$G$9:$G$12,MATCH($B277,'Stato Asta'!$A$9:$A$12,0)),"")</f>
        <v>🟡 Attesa rischiosa</v>
      </c>
    </row>
    <row r="278" customFormat="false" ht="14.25" hidden="false" customHeight="true" outlineLevel="0" collapsed="false">
      <c r="A278" s="21" t="n">
        <v>4911</v>
      </c>
      <c r="B278" s="21" t="s">
        <v>45</v>
      </c>
      <c r="C278" s="21" t="s">
        <v>480</v>
      </c>
      <c r="E278" s="26" t="str">
        <f aca="false">IF(COUNTIF('Info Strategia'!$D$2:$D$51,$C278)&gt;0,"SI","NO")</f>
        <v>NO</v>
      </c>
      <c r="F278" s="27" t="n">
        <f aca="false">IFERROR(ROUND(($G278+($H278-$G278)*'Info Strategia'!$B$6)*(1+IF($E278="SI",'Parametri Modello'!$B$7*'Info Strategia'!$B$6,0)),0),"")</f>
        <v>6</v>
      </c>
      <c r="G278" s="27" t="n">
        <f aca="false">IFERROR(ROUND((IF(OR(INDEX('Parametri Modello'!$C$39:$C$42,MATCH($B278,'Parametri Modello'!$A$39:$A$42,0))="",INDEX('Parametri Modello'!$C$39:$C$42,MATCH($B278,'Parametri Modello'!$A$39:$A$42,0))=0),0,($O278/INDEX('Parametri Modello'!$C$39:$C$42,MATCH($B278,'Parametri Modello'!$A$39:$A$42,0)))*(INDEX('Parametri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4</v>
      </c>
      <c r="H278" s="27" t="n">
        <f aca="false">IFERROR(ROUND((IF(OR(INDEX('Parametri Modello'!$C$39:$C$42,MATCH($B278,'Parametri Modello'!$A$39:$A$42,0))="",INDEX('Parametri Modello'!$C$39:$C$42,MATCH($B278,'Parametri Modello'!$A$39:$A$42,0))=0),0,($O278/INDEX('Parametri Modello'!$C$39:$C$42,MATCH($B278,'Parametri Modello'!$A$39:$A$42,0)))*(INDEX('Parametri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7</v>
      </c>
      <c r="I278" s="26" t="n">
        <f aca="false">IFERROR(INDEX('Input Statistiche 2025_26'!$F$3:$F$665,MATCH($A278,'Input Statistiche 2025_26'!$A$3:$A$665,0)),"")</f>
        <v>0</v>
      </c>
      <c r="J278" s="26" t="n">
        <f aca="false">IFERROR(IF($I278="","",MAX(0,38-$I278)),"")</f>
        <v>38</v>
      </c>
      <c r="K278" s="26" t="n">
        <f aca="false">IFERROR(INDEX('Input Statistiche 2025_26'!$I$3:$I$665,MATCH($A278,'Input Statistiche 2025_26'!$A$3:$A$665,0)),"")</f>
        <v>0</v>
      </c>
      <c r="L278" s="26" t="n">
        <f aca="false">IFERROR(INDEX('Input Statistiche 2025_26'!$O$3:$O$665,MATCH($A278,'Input Statistiche 2025_26'!$A$3:$A$665,0)),"")</f>
        <v>0</v>
      </c>
      <c r="M278" s="28"/>
      <c r="N278" s="27" t="n">
        <f aca="false">IFERROR(INDEX('Input Giocatori 2026_27'!$E$3:$E$493,MATCH($A278,'Input Giocatori 2026_27'!$A$3:$A$493,0)),"")</f>
        <v>4</v>
      </c>
      <c r="O278" s="27" t="n">
        <f aca="false">IFERROR(INDEX('Input Giocatori 2026_27'!$G$3:$G$493,MATCH($A278,'Input Giocatori 2026_27'!$A$3:$A$493,0)),"")</f>
        <v>12</v>
      </c>
      <c r="P278" s="26" t="str">
        <f aca="false">IFERROR(IF($O278="","",IF((1-(COUNTIFS($B$2:$B$492,$B278,$O$2:$O$492,"&gt;"&amp;$O278)+1-1)/COUNTIF($B$2:$B$492,$B278))&gt;=0.85,"Top",IF((1-(COUNTIFS($B$2:$B$492,$B278,$O$2:$O$492,"&gt;"&amp;$O278)+1-1)/COUNTIF($B$2:$B$492,$B278))&gt;=0.6,"Buono",IF((1-(COUNTIFS($B$2:$B$492,$B278,$O$2:$O$492,"&gt;"&amp;$O278)+1-1)/COUNTIF($B$2:$B$492,$B278))&gt;=0.3,"Nella Media","Scommessa/Riserva")))),"")</f>
        <v>Nella Media</v>
      </c>
      <c r="Q278" s="29" t="n">
        <f aca="false">IF($D278="",COUNTIF($D$2:$D278,""),"")</f>
        <v>277</v>
      </c>
      <c r="R278" s="29" t="str">
        <f aca="false">IF($D278='Info Lega'!$B$28,COUNTIFS($D$2:$D278,'Info Lega'!$B$28),"")</f>
        <v/>
      </c>
      <c r="S278" s="30" t="n">
        <f aca="false">IFERROR(INDEX('Input Statistiche 2025_26'!$G$3:$G$665,MATCH($A278,'Input Statistiche 2025_26'!$A$3:$A$665,0)),"")</f>
        <v>0</v>
      </c>
      <c r="T278" s="30" t="n">
        <f aca="false">IFERROR(INDEX('Input Statistiche 2025_26'!$H$3:$H$665,MATCH($A278,'Input Statistiche 2025_26'!$A$3:$A$665,0)),"")</f>
        <v>0</v>
      </c>
      <c r="U278" s="26" t="str">
        <f aca="false">IF(OR('La Mia Rosa'!$O$12="",$D278&lt;&gt;""),"",IF($F278&lt;='La Mia Rosa'!$O$12*'Parametri Modello'!$B$24,"OK",IF($F278&lt;='La Mia Rosa'!$O$12*'Parametri Modello'!$B$25,"Attenzione","Rischio Alto")))</f>
        <v>OK</v>
      </c>
      <c r="V278" s="26" t="n">
        <f aca="false">IFERROR(COUNTIFS($B$2:$B$492,$B278,$O$2:$O$492,"&gt;"&amp;$O278)+1,"")</f>
        <v>105</v>
      </c>
      <c r="W278" s="21" t="n">
        <f aca="false">'Info Lega'!$B$4-SUMIFS($M$2:$M$492,$D$2:$D$492,'Info Lega'!$B$28)</f>
        <v>1000</v>
      </c>
      <c r="X278" s="21" t="n">
        <f aca="false">('Info Lega'!$B$5-COUNTIFS($D$2:$D$492,'Info Lega'!$B$28,$B$2:$B$492,"P"))+('Info Lega'!$B$6-COUNTIFS($D$2:$D$492,'Info Lega'!$B$28,$B$2:$B$492,"D"))+('Info Lega'!$B$7-COUNTIFS($D$2:$D$492,'Info Lega'!$B$28,$B$2:$B$492,"C"))+('Info Lega'!$B$8-COUNTIFS($D$2:$D$492,'Info Lega'!$B$28,$B$2:$B$492,"A"))</f>
        <v>25</v>
      </c>
      <c r="Y278" s="21" t="n">
        <f aca="false">X278*'Parametri Modello'!$B$30</f>
        <v>25</v>
      </c>
      <c r="Z278" s="21" t="n">
        <f aca="false">MAX(0,W278-Y278)</f>
        <v>975</v>
      </c>
      <c r="AA278" s="21" t="n">
        <f aca="false">MIN(F278,Z278)</f>
        <v>6</v>
      </c>
      <c r="AB278" s="21"/>
      <c r="AC278" s="21" t="str">
        <f aca="false">IF(AB278="","",IF(AB278&gt;AA278,"PASS",IF(AB278&lt;=AA278*0.85,"BID","ATTENZIONE")))</f>
        <v/>
      </c>
      <c r="AD278" s="31" t="n">
        <f aca="false">IF(I278="","",ROUND(100*(1-EXP(-I278/30)),0))</f>
        <v>0</v>
      </c>
      <c r="AE278" s="7" t="str">
        <f aca="false">IFERROR(INDEX('Stato Asta'!$G$9:$G$12,MATCH($B278,'Stato Asta'!$A$9:$A$12,0)),"")</f>
        <v>🟡 Attesa rischiosa</v>
      </c>
    </row>
    <row r="279" customFormat="false" ht="14.25" hidden="false" customHeight="true" outlineLevel="0" collapsed="false">
      <c r="A279" s="21" t="n">
        <v>333</v>
      </c>
      <c r="B279" s="21" t="s">
        <v>45</v>
      </c>
      <c r="C279" s="21" t="s">
        <v>481</v>
      </c>
      <c r="E279" s="26" t="str">
        <f aca="false">IF(COUNTIF('Info Strategia'!$D$2:$D$51,$C279)&gt;0,"SI","NO")</f>
        <v>NO</v>
      </c>
      <c r="F279" s="27" t="n">
        <f aca="false">IFERROR(ROUND(($G279+($H279-$G279)*'Info Strategia'!$B$6)*(1+IF($E279="SI",'Parametri Modello'!$B$7*'Info Strategia'!$B$6,0)),0),"")</f>
        <v>7</v>
      </c>
      <c r="G279" s="27" t="n">
        <f aca="false">IFERROR(ROUND((IF(OR(INDEX('Parametri Modello'!$C$39:$C$42,MATCH($B279,'Parametri Modello'!$A$39:$A$42,0))="",INDEX('Parametri Modello'!$C$39:$C$42,MATCH($B279,'Parametri Modello'!$A$39:$A$42,0))=0),0,($O279/INDEX('Parametri Modello'!$C$39:$C$42,MATCH($B279,'Parametri Modello'!$A$39:$A$42,0)))*(INDEX('Parametri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5</v>
      </c>
      <c r="H279" s="27" t="n">
        <f aca="false">IFERROR(ROUND((IF(OR(INDEX('Parametri Modello'!$C$39:$C$42,MATCH($B279,'Parametri Modello'!$A$39:$A$42,0))="",INDEX('Parametri Modello'!$C$39:$C$42,MATCH($B279,'Parametri Modello'!$A$39:$A$42,0))=0),0,($O279/INDEX('Parametri Modello'!$C$39:$C$42,MATCH($B279,'Parametri Modello'!$A$39:$A$42,0)))*(INDEX('Parametri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8</v>
      </c>
      <c r="I279" s="26" t="n">
        <f aca="false">IFERROR(INDEX('Input Statistiche 2025_26'!$F$3:$F$665,MATCH($A279,'Input Statistiche 2025_26'!$A$3:$A$665,0)),"")</f>
        <v>27</v>
      </c>
      <c r="J279" s="26" t="n">
        <f aca="false">IFERROR(IF($I279="","",MAX(0,38-$I279)),"")</f>
        <v>11</v>
      </c>
      <c r="K279" s="26" t="n">
        <f aca="false">IFERROR(INDEX('Input Statistiche 2025_26'!$I$3:$I$665,MATCH($A279,'Input Statistiche 2025_26'!$A$3:$A$665,0)),"")</f>
        <v>3</v>
      </c>
      <c r="L279" s="26" t="n">
        <f aca="false">IFERROR(INDEX('Input Statistiche 2025_26'!$O$3:$O$665,MATCH($A279,'Input Statistiche 2025_26'!$A$3:$A$665,0)),"")</f>
        <v>3</v>
      </c>
      <c r="M279" s="28"/>
      <c r="N279" s="27" t="n">
        <f aca="false">IFERROR(INDEX('Input Giocatori 2026_27'!$E$3:$E$493,MATCH($A279,'Input Giocatori 2026_27'!$A$3:$A$493,0)),"")</f>
        <v>4</v>
      </c>
      <c r="O279" s="27" t="n">
        <f aca="false">IFERROR(INDEX('Input Giocatori 2026_27'!$G$3:$G$493,MATCH($A279,'Input Giocatori 2026_27'!$A$3:$A$493,0)),"")</f>
        <v>12</v>
      </c>
      <c r="P279" s="26" t="str">
        <f aca="false">IFERROR(IF($O279="","",IF((1-(COUNTIFS($B$2:$B$492,$B279,$O$2:$O$492,"&gt;"&amp;$O279)+1-1)/COUNTIF($B$2:$B$492,$B279))&gt;=0.85,"Top",IF((1-(COUNTIFS($B$2:$B$492,$B279,$O$2:$O$492,"&gt;"&amp;$O279)+1-1)/COUNTIF($B$2:$B$492,$B279))&gt;=0.6,"Buono",IF((1-(COUNTIFS($B$2:$B$492,$B279,$O$2:$O$492,"&gt;"&amp;$O279)+1-1)/COUNTIF($B$2:$B$492,$B279))&gt;=0.3,"Nella Media","Scommessa/Riserva")))),"")</f>
        <v>Nella Media</v>
      </c>
      <c r="Q279" s="29" t="n">
        <f aca="false">IF($D279="",COUNTIF($D$2:$D279,""),"")</f>
        <v>278</v>
      </c>
      <c r="R279" s="29" t="str">
        <f aca="false">IF($D279='Info Lega'!$B$28,COUNTIFS($D$2:$D279,'Info Lega'!$B$28),"")</f>
        <v/>
      </c>
      <c r="S279" s="30" t="n">
        <f aca="false">IFERROR(INDEX('Input Statistiche 2025_26'!$G$3:$G$665,MATCH($A279,'Input Statistiche 2025_26'!$A$3:$A$665,0)),"")</f>
        <v>6.07</v>
      </c>
      <c r="T279" s="30" t="n">
        <f aca="false">IFERROR(INDEX('Input Statistiche 2025_26'!$H$3:$H$665,MATCH($A279,'Input Statistiche 2025_26'!$A$3:$A$665,0)),"")</f>
        <v>6.41</v>
      </c>
      <c r="U279" s="26" t="str">
        <f aca="false">IF(OR('La Mia Rosa'!$O$12="",$D279&lt;&gt;""),"",IF($F279&lt;='La Mia Rosa'!$O$12*'Parametri Modello'!$B$24,"OK",IF($F279&lt;='La Mia Rosa'!$O$12*'Parametri Modello'!$B$25,"Attenzione","Rischio Alto")))</f>
        <v>OK</v>
      </c>
      <c r="V279" s="26" t="n">
        <f aca="false">IFERROR(COUNTIFS($B$2:$B$492,$B279,$O$2:$O$492,"&gt;"&amp;$O279)+1,"")</f>
        <v>105</v>
      </c>
      <c r="W279" s="21" t="n">
        <f aca="false">'Info Lega'!$B$4-SUMIFS($M$2:$M$492,$D$2:$D$492,'Info Lega'!$B$28)</f>
        <v>1000</v>
      </c>
      <c r="X279" s="21" t="n">
        <f aca="false">('Info Lega'!$B$5-COUNTIFS($D$2:$D$492,'Info Lega'!$B$28,$B$2:$B$492,"P"))+('Info Lega'!$B$6-COUNTIFS($D$2:$D$492,'Info Lega'!$B$28,$B$2:$B$492,"D"))+('Info Lega'!$B$7-COUNTIFS($D$2:$D$492,'Info Lega'!$B$28,$B$2:$B$492,"C"))+('Info Lega'!$B$8-COUNTIFS($D$2:$D$492,'Info Lega'!$B$28,$B$2:$B$492,"A"))</f>
        <v>25</v>
      </c>
      <c r="Y279" s="21" t="n">
        <f aca="false">X279*'Parametri Modello'!$B$30</f>
        <v>25</v>
      </c>
      <c r="Z279" s="21" t="n">
        <f aca="false">MAX(0,W279-Y279)</f>
        <v>975</v>
      </c>
      <c r="AA279" s="21" t="n">
        <f aca="false">MIN(F279,Z279)</f>
        <v>7</v>
      </c>
      <c r="AB279" s="21"/>
      <c r="AC279" s="21" t="str">
        <f aca="false">IF(AB279="","",IF(AB279&gt;AA279,"PASS",IF(AB279&lt;=AA279*0.85,"BID","ATTENZIONE")))</f>
        <v/>
      </c>
      <c r="AD279" s="31" t="n">
        <f aca="false">IF(I279="","",ROUND(100*(1-EXP(-I279/30)),0))</f>
        <v>59</v>
      </c>
      <c r="AE279" s="7" t="str">
        <f aca="false">IFERROR(INDEX('Stato Asta'!$G$9:$G$12,MATCH($B279,'Stato Asta'!$A$9:$A$12,0)),"")</f>
        <v>🟡 Attesa rischiosa</v>
      </c>
    </row>
    <row r="280" customFormat="false" ht="14.25" hidden="false" customHeight="true" outlineLevel="0" collapsed="false">
      <c r="A280" s="21" t="n">
        <v>6827</v>
      </c>
      <c r="B280" s="21" t="s">
        <v>45</v>
      </c>
      <c r="C280" s="21" t="s">
        <v>491</v>
      </c>
      <c r="E280" s="26" t="str">
        <f aca="false">IF(COUNTIF('Info Strategia'!$D$2:$D$51,$C280)&gt;0,"SI","NO")</f>
        <v>NO</v>
      </c>
      <c r="F280" s="27" t="n">
        <f aca="false">IFERROR(ROUND(($G280+($H280-$G280)*'Info Strategia'!$B$6)*(1+IF($E280="SI",'Parametri Modello'!$B$7*'Info Strategia'!$B$6,0)),0),"")</f>
        <v>6</v>
      </c>
      <c r="G280" s="27" t="n">
        <f aca="false">IFERROR(ROUND((IF(OR(INDEX('Parametri Modello'!$C$39:$C$42,MATCH($B280,'Parametri Modello'!$A$39:$A$42,0))="",INDEX('Parametri Modello'!$C$39:$C$42,MATCH($B280,'Parametri Modello'!$A$39:$A$42,0))=0),0,($O280/INDEX('Parametri Modello'!$C$39:$C$42,MATCH($B280,'Parametri Modello'!$A$39:$A$42,0)))*(INDEX('Parametri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4</v>
      </c>
      <c r="H280" s="27" t="n">
        <f aca="false">IFERROR(ROUND((IF(OR(INDEX('Parametri Modello'!$C$39:$C$42,MATCH($B280,'Parametri Modello'!$A$39:$A$42,0))="",INDEX('Parametri Modello'!$C$39:$C$42,MATCH($B280,'Parametri Modello'!$A$39:$A$42,0))=0),0,($O280/INDEX('Parametri Modello'!$C$39:$C$42,MATCH($B280,'Parametri Modello'!$A$39:$A$42,0)))*(INDEX('Parametri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7</v>
      </c>
      <c r="I280" s="26" t="n">
        <f aca="false">IFERROR(INDEX('Input Statistiche 2025_26'!$F$3:$F$665,MATCH($A280,'Input Statistiche 2025_26'!$A$3:$A$665,0)),"")</f>
        <v>10</v>
      </c>
      <c r="J280" s="26" t="n">
        <f aca="false">IFERROR(IF($I280="","",MAX(0,38-$I280)),"")</f>
        <v>28</v>
      </c>
      <c r="K280" s="26" t="n">
        <f aca="false">IFERROR(INDEX('Input Statistiche 2025_26'!$I$3:$I$665,MATCH($A280,'Input Statistiche 2025_26'!$A$3:$A$665,0)),"")</f>
        <v>1</v>
      </c>
      <c r="L280" s="26" t="n">
        <f aca="false">IFERROR(INDEX('Input Statistiche 2025_26'!$O$3:$O$665,MATCH($A280,'Input Statistiche 2025_26'!$A$3:$A$665,0)),"")</f>
        <v>1</v>
      </c>
      <c r="M280" s="28"/>
      <c r="N280" s="27" t="n">
        <f aca="false">IFERROR(INDEX('Input Giocatori 2026_27'!$E$3:$E$493,MATCH($A280,'Input Giocatori 2026_27'!$A$3:$A$493,0)),"")</f>
        <v>4</v>
      </c>
      <c r="O280" s="27" t="n">
        <f aca="false">IFERROR(INDEX('Input Giocatori 2026_27'!$G$3:$G$493,MATCH($A280,'Input Giocatori 2026_27'!$A$3:$A$493,0)),"")</f>
        <v>12</v>
      </c>
      <c r="P280" s="26" t="str">
        <f aca="false">IFERROR(IF($O280="","",IF((1-(COUNTIFS($B$2:$B$492,$B280,$O$2:$O$492,"&gt;"&amp;$O280)+1-1)/COUNTIF($B$2:$B$492,$B280))&gt;=0.85,"Top",IF((1-(COUNTIFS($B$2:$B$492,$B280,$O$2:$O$492,"&gt;"&amp;$O280)+1-1)/COUNTIF($B$2:$B$492,$B280))&gt;=0.6,"Buono",IF((1-(COUNTIFS($B$2:$B$492,$B280,$O$2:$O$492,"&gt;"&amp;$O280)+1-1)/COUNTIF($B$2:$B$492,$B280))&gt;=0.3,"Nella Media","Scommessa/Riserva")))),"")</f>
        <v>Nella Media</v>
      </c>
      <c r="Q280" s="29" t="n">
        <f aca="false">IF($D280="",COUNTIF($D$2:$D280,""),"")</f>
        <v>279</v>
      </c>
      <c r="R280" s="29" t="str">
        <f aca="false">IF($D280='Info Lega'!$B$28,COUNTIFS($D$2:$D280,'Info Lega'!$B$28),"")</f>
        <v/>
      </c>
      <c r="S280" s="30" t="n">
        <f aca="false">IFERROR(INDEX('Input Statistiche 2025_26'!$G$3:$G$665,MATCH($A280,'Input Statistiche 2025_26'!$A$3:$A$665,0)),"")</f>
        <v>5.8</v>
      </c>
      <c r="T280" s="30" t="n">
        <f aca="false">IFERROR(INDEX('Input Statistiche 2025_26'!$H$3:$H$665,MATCH($A280,'Input Statistiche 2025_26'!$A$3:$A$665,0)),"")</f>
        <v>6.15</v>
      </c>
      <c r="U280" s="26" t="str">
        <f aca="false">IF(OR('La Mia Rosa'!$O$12="",$D280&lt;&gt;""),"",IF($F280&lt;='La Mia Rosa'!$O$12*'Parametri Modello'!$B$24,"OK",IF($F280&lt;='La Mia Rosa'!$O$12*'Parametri Modello'!$B$25,"Attenzione","Rischio Alto")))</f>
        <v>OK</v>
      </c>
      <c r="V280" s="26" t="n">
        <f aca="false">IFERROR(COUNTIFS($B$2:$B$492,$B280,$O$2:$O$492,"&gt;"&amp;$O280)+1,"")</f>
        <v>105</v>
      </c>
      <c r="W280" s="21" t="n">
        <f aca="false">'Info Lega'!$B$4-SUMIFS($M$2:$M$492,$D$2:$D$492,'Info Lega'!$B$28)</f>
        <v>1000</v>
      </c>
      <c r="X280" s="21" t="n">
        <f aca="false">('Info Lega'!$B$5-COUNTIFS($D$2:$D$492,'Info Lega'!$B$28,$B$2:$B$492,"P"))+('Info Lega'!$B$6-COUNTIFS($D$2:$D$492,'Info Lega'!$B$28,$B$2:$B$492,"D"))+('Info Lega'!$B$7-COUNTIFS($D$2:$D$492,'Info Lega'!$B$28,$B$2:$B$492,"C"))+('Info Lega'!$B$8-COUNTIFS($D$2:$D$492,'Info Lega'!$B$28,$B$2:$B$492,"A"))</f>
        <v>25</v>
      </c>
      <c r="Y280" s="21" t="n">
        <f aca="false">X280*'Parametri Modello'!$B$30</f>
        <v>25</v>
      </c>
      <c r="Z280" s="21" t="n">
        <f aca="false">MAX(0,W280-Y280)</f>
        <v>975</v>
      </c>
      <c r="AA280" s="21" t="n">
        <f aca="false">MIN(F280,Z280)</f>
        <v>6</v>
      </c>
      <c r="AB280" s="21"/>
      <c r="AC280" s="21" t="str">
        <f aca="false">IF(AB280="","",IF(AB280&gt;AA280,"PASS",IF(AB280&lt;=AA280*0.85,"BID","ATTENZIONE")))</f>
        <v/>
      </c>
      <c r="AD280" s="31" t="n">
        <f aca="false">IF(I280="","",ROUND(100*(1-EXP(-I280/30)),0))</f>
        <v>28</v>
      </c>
      <c r="AE280" s="7" t="str">
        <f aca="false">IFERROR(INDEX('Stato Asta'!$G$9:$G$12,MATCH($B280,'Stato Asta'!$A$9:$A$12,0)),"")</f>
        <v>🟡 Attesa rischiosa</v>
      </c>
    </row>
    <row r="281" customFormat="false" ht="14.25" hidden="false" customHeight="true" outlineLevel="0" collapsed="false">
      <c r="A281" s="21" t="n">
        <v>7209</v>
      </c>
      <c r="B281" s="21" t="s">
        <v>45</v>
      </c>
      <c r="C281" s="21" t="s">
        <v>503</v>
      </c>
      <c r="E281" s="26" t="str">
        <f aca="false">IF(COUNTIF('Info Strategia'!$D$2:$D$51,$C281)&gt;0,"SI","NO")</f>
        <v>NO</v>
      </c>
      <c r="F281" s="27" t="n">
        <f aca="false">IFERROR(ROUND(($G281+($H281-$G281)*'Info Strategia'!$B$6)*(1+IF($E281="SI",'Parametri Modello'!$B$7*'Info Strategia'!$B$6,0)),0),"")</f>
        <v>6</v>
      </c>
      <c r="G281" s="27" t="n">
        <f aca="false">IFERROR(ROUND((IF(OR(INDEX('Parametri Modello'!$C$39:$C$42,MATCH($B281,'Parametri Modello'!$A$39:$A$42,0))="",INDEX('Parametri Modello'!$C$39:$C$42,MATCH($B281,'Parametri Modello'!$A$39:$A$42,0))=0),0,($O281/INDEX('Parametri Modello'!$C$39:$C$42,MATCH($B281,'Parametri Modello'!$A$39:$A$42,0)))*(INDEX('Parametri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4</v>
      </c>
      <c r="H281" s="27" t="n">
        <f aca="false">IFERROR(ROUND((IF(OR(INDEX('Parametri Modello'!$C$39:$C$42,MATCH($B281,'Parametri Modello'!$A$39:$A$42,0))="",INDEX('Parametri Modello'!$C$39:$C$42,MATCH($B281,'Parametri Modello'!$A$39:$A$42,0))=0),0,($O281/INDEX('Parametri Modello'!$C$39:$C$42,MATCH($B281,'Parametri Modello'!$A$39:$A$42,0)))*(INDEX('Parametri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7</v>
      </c>
      <c r="I281" s="26" t="n">
        <f aca="false">IFERROR(INDEX('Input Statistiche 2025_26'!$F$3:$F$665,MATCH($A281,'Input Statistiche 2025_26'!$A$3:$A$665,0)),"")</f>
        <v>30</v>
      </c>
      <c r="J281" s="26" t="n">
        <f aca="false">IFERROR(IF($I281="","",MAX(0,38-$I281)),"")</f>
        <v>8</v>
      </c>
      <c r="K281" s="26" t="n">
        <f aca="false">IFERROR(INDEX('Input Statistiche 2025_26'!$I$3:$I$665,MATCH($A281,'Input Statistiche 2025_26'!$A$3:$A$665,0)),"")</f>
        <v>1</v>
      </c>
      <c r="L281" s="26" t="n">
        <f aca="false">IFERROR(INDEX('Input Statistiche 2025_26'!$O$3:$O$665,MATCH($A281,'Input Statistiche 2025_26'!$A$3:$A$665,0)),"")</f>
        <v>1</v>
      </c>
      <c r="M281" s="28"/>
      <c r="N281" s="27" t="n">
        <f aca="false">IFERROR(INDEX('Input Giocatori 2026_27'!$E$3:$E$493,MATCH($A281,'Input Giocatori 2026_27'!$A$3:$A$493,0)),"")</f>
        <v>3</v>
      </c>
      <c r="O281" s="27" t="n">
        <f aca="false">IFERROR(INDEX('Input Giocatori 2026_27'!$G$3:$G$493,MATCH($A281,'Input Giocatori 2026_27'!$A$3:$A$493,0)),"")</f>
        <v>12</v>
      </c>
      <c r="P281" s="26" t="str">
        <f aca="false">IFERROR(IF($O281="","",IF((1-(COUNTIFS($B$2:$B$492,$B281,$O$2:$O$492,"&gt;"&amp;$O281)+1-1)/COUNTIF($B$2:$B$492,$B281))&gt;=0.85,"Top",IF((1-(COUNTIFS($B$2:$B$492,$B281,$O$2:$O$492,"&gt;"&amp;$O281)+1-1)/COUNTIF($B$2:$B$492,$B281))&gt;=0.6,"Buono",IF((1-(COUNTIFS($B$2:$B$492,$B281,$O$2:$O$492,"&gt;"&amp;$O281)+1-1)/COUNTIF($B$2:$B$492,$B281))&gt;=0.3,"Nella Media","Scommessa/Riserva")))),"")</f>
        <v>Nella Media</v>
      </c>
      <c r="Q281" s="29" t="n">
        <f aca="false">IF($D281="",COUNTIF($D$2:$D281,""),"")</f>
        <v>280</v>
      </c>
      <c r="R281" s="29" t="str">
        <f aca="false">IF($D281='Info Lega'!$B$28,COUNTIFS($D$2:$D281,'Info Lega'!$B$28),"")</f>
        <v/>
      </c>
      <c r="S281" s="30" t="n">
        <f aca="false">IFERROR(INDEX('Input Statistiche 2025_26'!$G$3:$G$665,MATCH($A281,'Input Statistiche 2025_26'!$A$3:$A$665,0)),"")</f>
        <v>5.85</v>
      </c>
      <c r="T281" s="30" t="n">
        <f aca="false">IFERROR(INDEX('Input Statistiche 2025_26'!$H$3:$H$665,MATCH($A281,'Input Statistiche 2025_26'!$A$3:$A$665,0)),"")</f>
        <v>5.95</v>
      </c>
      <c r="U281" s="26" t="str">
        <f aca="false">IF(OR('La Mia Rosa'!$O$12="",$D281&lt;&gt;""),"",IF($F281&lt;='La Mia Rosa'!$O$12*'Parametri Modello'!$B$24,"OK",IF($F281&lt;='La Mia Rosa'!$O$12*'Parametri Modello'!$B$25,"Attenzione","Rischio Alto")))</f>
        <v>OK</v>
      </c>
      <c r="V281" s="26" t="n">
        <f aca="false">IFERROR(COUNTIFS($B$2:$B$492,$B281,$O$2:$O$492,"&gt;"&amp;$O281)+1,"")</f>
        <v>105</v>
      </c>
      <c r="W281" s="21" t="n">
        <f aca="false">'Info Lega'!$B$4-SUMIFS($M$2:$M$492,$D$2:$D$492,'Info Lega'!$B$28)</f>
        <v>1000</v>
      </c>
      <c r="X281" s="21" t="n">
        <f aca="false">('Info Lega'!$B$5-COUNTIFS($D$2:$D$492,'Info Lega'!$B$28,$B$2:$B$492,"P"))+('Info Lega'!$B$6-COUNTIFS($D$2:$D$492,'Info Lega'!$B$28,$B$2:$B$492,"D"))+('Info Lega'!$B$7-COUNTIFS($D$2:$D$492,'Info Lega'!$B$28,$B$2:$B$492,"C"))+('Info Lega'!$B$8-COUNTIFS($D$2:$D$492,'Info Lega'!$B$28,$B$2:$B$492,"A"))</f>
        <v>25</v>
      </c>
      <c r="Y281" s="21" t="n">
        <f aca="false">X281*'Parametri Modello'!$B$30</f>
        <v>25</v>
      </c>
      <c r="Z281" s="21" t="n">
        <f aca="false">MAX(0,W281-Y281)</f>
        <v>975</v>
      </c>
      <c r="AA281" s="21" t="n">
        <f aca="false">MIN(F281,Z281)</f>
        <v>6</v>
      </c>
      <c r="AB281" s="21"/>
      <c r="AC281" s="21" t="str">
        <f aca="false">IF(AB281="","",IF(AB281&gt;AA281,"PASS",IF(AB281&lt;=AA281*0.85,"BID","ATTENZIONE")))</f>
        <v/>
      </c>
      <c r="AD281" s="31" t="n">
        <f aca="false">IF(I281="","",ROUND(100*(1-EXP(-I281/30)),0))</f>
        <v>63</v>
      </c>
      <c r="AE281" s="7" t="str">
        <f aca="false">IFERROR(INDEX('Stato Asta'!$G$9:$G$12,MATCH($B281,'Stato Asta'!$A$9:$A$12,0)),"")</f>
        <v>🟡 Attesa rischiosa</v>
      </c>
    </row>
    <row r="282" customFormat="false" ht="14.25" hidden="false" customHeight="true" outlineLevel="0" collapsed="false">
      <c r="A282" s="21" t="n">
        <v>7536</v>
      </c>
      <c r="B282" s="21" t="s">
        <v>45</v>
      </c>
      <c r="C282" s="21" t="s">
        <v>504</v>
      </c>
      <c r="E282" s="26" t="str">
        <f aca="false">IF(COUNTIF('Info Strategia'!$D$2:$D$51,$C282)&gt;0,"SI","NO")</f>
        <v>NO</v>
      </c>
      <c r="F282" s="27" t="n">
        <f aca="false">IFERROR(ROUND(($G282+($H282-$G282)*'Info Strategia'!$B$6)*(1+IF($E282="SI",'Parametri Modello'!$B$7*'Info Strategia'!$B$6,0)),0),"")</f>
        <v>6</v>
      </c>
      <c r="G282" s="27" t="n">
        <f aca="false">IFERROR(ROUND((IF(OR(INDEX('Parametri Modello'!$C$39:$C$42,MATCH($B282,'Parametri Modello'!$A$39:$A$42,0))="",INDEX('Parametri Modello'!$C$39:$C$42,MATCH($B282,'Parametri Modello'!$A$39:$A$42,0))=0),0,($O282/INDEX('Parametri Modello'!$C$39:$C$42,MATCH($B282,'Parametri Modello'!$A$39:$A$42,0)))*(INDEX('Parametri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4</v>
      </c>
      <c r="H282" s="27" t="n">
        <f aca="false">IFERROR(ROUND((IF(OR(INDEX('Parametri Modello'!$C$39:$C$42,MATCH($B282,'Parametri Modello'!$A$39:$A$42,0))="",INDEX('Parametri Modello'!$C$39:$C$42,MATCH($B282,'Parametri Modello'!$A$39:$A$42,0))=0),0,($O282/INDEX('Parametri Modello'!$C$39:$C$42,MATCH($B282,'Parametri Modello'!$A$39:$A$42,0)))*(INDEX('Parametri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7</v>
      </c>
      <c r="I282" s="26" t="str">
        <f aca="false">IFERROR(INDEX('Input Statistiche 2025_26'!$F$3:$F$665,MATCH($A282,'Input Statistiche 2025_26'!$A$3:$A$665,0)),"")</f>
        <v/>
      </c>
      <c r="J282" s="26" t="str">
        <f aca="false">IFERROR(IF($I282="","",MAX(0,38-$I282)),"")</f>
        <v/>
      </c>
      <c r="K282" s="26" t="str">
        <f aca="false">IFERROR(INDEX('Input Statistiche 2025_26'!$I$3:$I$665,MATCH($A282,'Input Statistiche 2025_26'!$A$3:$A$665,0)),"")</f>
        <v/>
      </c>
      <c r="L282" s="26" t="str">
        <f aca="false">IFERROR(INDEX('Input Statistiche 2025_26'!$O$3:$O$665,MATCH($A282,'Input Statistiche 2025_26'!$A$3:$A$665,0)),"")</f>
        <v/>
      </c>
      <c r="M282" s="28"/>
      <c r="N282" s="27" t="n">
        <f aca="false">IFERROR(INDEX('Input Giocatori 2026_27'!$E$3:$E$493,MATCH($A282,'Input Giocatori 2026_27'!$A$3:$A$493,0)),"")</f>
        <v>3</v>
      </c>
      <c r="O282" s="27" t="n">
        <f aca="false">IFERROR(INDEX('Input Giocatori 2026_27'!$G$3:$G$493,MATCH($A282,'Input Giocatori 2026_27'!$A$3:$A$493,0)),"")</f>
        <v>12</v>
      </c>
      <c r="P282" s="26" t="str">
        <f aca="false">IFERROR(IF($O282="","",IF((1-(COUNTIFS($B$2:$B$492,$B282,$O$2:$O$492,"&gt;"&amp;$O282)+1-1)/COUNTIF($B$2:$B$492,$B282))&gt;=0.85,"Top",IF((1-(COUNTIFS($B$2:$B$492,$B282,$O$2:$O$492,"&gt;"&amp;$O282)+1-1)/COUNTIF($B$2:$B$492,$B282))&gt;=0.6,"Buono",IF((1-(COUNTIFS($B$2:$B$492,$B282,$O$2:$O$492,"&gt;"&amp;$O282)+1-1)/COUNTIF($B$2:$B$492,$B282))&gt;=0.3,"Nella Media","Scommessa/Riserva")))),"")</f>
        <v>Nella Media</v>
      </c>
      <c r="Q282" s="29" t="n">
        <f aca="false">IF($D282="",COUNTIF($D$2:$D282,""),"")</f>
        <v>281</v>
      </c>
      <c r="R282" s="29" t="str">
        <f aca="false">IF($D282='Info Lega'!$B$28,COUNTIFS($D$2:$D282,'Info Lega'!$B$28),"")</f>
        <v/>
      </c>
      <c r="S282" s="30" t="str">
        <f aca="false">IFERROR(INDEX('Input Statistiche 2025_26'!$G$3:$G$665,MATCH($A282,'Input Statistiche 2025_26'!$A$3:$A$665,0)),"")</f>
        <v/>
      </c>
      <c r="T282" s="30" t="str">
        <f aca="false">IFERROR(INDEX('Input Statistiche 2025_26'!$H$3:$H$665,MATCH($A282,'Input Statistiche 2025_26'!$A$3:$A$665,0)),"")</f>
        <v/>
      </c>
      <c r="U282" s="26" t="str">
        <f aca="false">IF(OR('La Mia Rosa'!$O$12="",$D282&lt;&gt;""),"",IF($F282&lt;='La Mia Rosa'!$O$12*'Parametri Modello'!$B$24,"OK",IF($F282&lt;='La Mia Rosa'!$O$12*'Parametri Modello'!$B$25,"Attenzione","Rischio Alto")))</f>
        <v>OK</v>
      </c>
      <c r="V282" s="26" t="n">
        <f aca="false">IFERROR(COUNTIFS($B$2:$B$492,$B282,$O$2:$O$492,"&gt;"&amp;$O282)+1,"")</f>
        <v>105</v>
      </c>
      <c r="W282" s="21" t="n">
        <f aca="false">'Info Lega'!$B$4-SUMIFS($M$2:$M$492,$D$2:$D$492,'Info Lega'!$B$28)</f>
        <v>1000</v>
      </c>
      <c r="X282" s="21" t="n">
        <f aca="false">('Info Lega'!$B$5-COUNTIFS($D$2:$D$492,'Info Lega'!$B$28,$B$2:$B$492,"P"))+('Info Lega'!$B$6-COUNTIFS($D$2:$D$492,'Info Lega'!$B$28,$B$2:$B$492,"D"))+('Info Lega'!$B$7-COUNTIFS($D$2:$D$492,'Info Lega'!$B$28,$B$2:$B$492,"C"))+('Info Lega'!$B$8-COUNTIFS($D$2:$D$492,'Info Lega'!$B$28,$B$2:$B$492,"A"))</f>
        <v>25</v>
      </c>
      <c r="Y282" s="21" t="n">
        <f aca="false">X282*'Parametri Modello'!$B$30</f>
        <v>25</v>
      </c>
      <c r="Z282" s="21" t="n">
        <f aca="false">MAX(0,W282-Y282)</f>
        <v>975</v>
      </c>
      <c r="AA282" s="21" t="n">
        <f aca="false">MIN(F282,Z282)</f>
        <v>6</v>
      </c>
      <c r="AB282" s="21"/>
      <c r="AC282" s="21" t="str">
        <f aca="false">IF(AB282="","",IF(AB282&gt;AA282,"PASS",IF(AB282&lt;=AA282*0.85,"BID","ATTENZIONE")))</f>
        <v/>
      </c>
      <c r="AD282" s="31" t="str">
        <f aca="false">IF(I282="","",ROUND(100*(1-EXP(-I282/30)),0))</f>
        <v/>
      </c>
      <c r="AE282" s="7" t="str">
        <f aca="false">IFERROR(INDEX('Stato Asta'!$G$9:$G$12,MATCH($B282,'Stato Asta'!$A$9:$A$12,0)),"")</f>
        <v>🟡 Attesa rischiosa</v>
      </c>
    </row>
    <row r="283" customFormat="false" ht="14.25" hidden="false" customHeight="true" outlineLevel="0" collapsed="false">
      <c r="A283" s="21" t="n">
        <v>7208</v>
      </c>
      <c r="B283" s="21" t="s">
        <v>45</v>
      </c>
      <c r="C283" s="21" t="s">
        <v>506</v>
      </c>
      <c r="E283" s="26" t="str">
        <f aca="false">IF(COUNTIF('Info Strategia'!$D$2:$D$51,$C283)&gt;0,"SI","NO")</f>
        <v>NO</v>
      </c>
      <c r="F283" s="27" t="n">
        <f aca="false">IFERROR(ROUND(($G283+($H283-$G283)*'Info Strategia'!$B$6)*(1+IF($E283="SI",'Parametri Modello'!$B$7*'Info Strategia'!$B$6,0)),0),"")</f>
        <v>6</v>
      </c>
      <c r="G283" s="27" t="n">
        <f aca="false">IFERROR(ROUND((IF(OR(INDEX('Parametri Modello'!$C$39:$C$42,MATCH($B283,'Parametri Modello'!$A$39:$A$42,0))="",INDEX('Parametri Modello'!$C$39:$C$42,MATCH($B283,'Parametri Modello'!$A$39:$A$42,0))=0),0,($O283/INDEX('Parametri Modello'!$C$39:$C$42,MATCH($B283,'Parametri Modello'!$A$39:$A$42,0)))*(INDEX('Parametri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4</v>
      </c>
      <c r="H283" s="27" t="n">
        <f aca="false">IFERROR(ROUND((IF(OR(INDEX('Parametri Modello'!$C$39:$C$42,MATCH($B283,'Parametri Modello'!$A$39:$A$42,0))="",INDEX('Parametri Modello'!$C$39:$C$42,MATCH($B283,'Parametri Modello'!$A$39:$A$42,0))=0),0,($O283/INDEX('Parametri Modello'!$C$39:$C$42,MATCH($B283,'Parametri Modello'!$A$39:$A$42,0)))*(INDEX('Parametri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7</v>
      </c>
      <c r="I283" s="26" t="n">
        <f aca="false">IFERROR(INDEX('Input Statistiche 2025_26'!$F$3:$F$665,MATCH($A283,'Input Statistiche 2025_26'!$A$3:$A$665,0)),"")</f>
        <v>19</v>
      </c>
      <c r="J283" s="26" t="n">
        <f aca="false">IFERROR(IF($I283="","",MAX(0,38-$I283)),"")</f>
        <v>19</v>
      </c>
      <c r="K283" s="26" t="n">
        <f aca="false">IFERROR(INDEX('Input Statistiche 2025_26'!$I$3:$I$665,MATCH($A283,'Input Statistiche 2025_26'!$A$3:$A$665,0)),"")</f>
        <v>0</v>
      </c>
      <c r="L283" s="26" t="n">
        <f aca="false">IFERROR(INDEX('Input Statistiche 2025_26'!$O$3:$O$665,MATCH($A283,'Input Statistiche 2025_26'!$A$3:$A$665,0)),"")</f>
        <v>2</v>
      </c>
      <c r="M283" s="28"/>
      <c r="N283" s="27" t="n">
        <f aca="false">IFERROR(INDEX('Input Giocatori 2026_27'!$E$3:$E$493,MATCH($A283,'Input Giocatori 2026_27'!$A$3:$A$493,0)),"")</f>
        <v>3</v>
      </c>
      <c r="O283" s="27" t="n">
        <f aca="false">IFERROR(INDEX('Input Giocatori 2026_27'!$G$3:$G$493,MATCH($A283,'Input Giocatori 2026_27'!$A$3:$A$493,0)),"")</f>
        <v>12</v>
      </c>
      <c r="P283" s="26" t="str">
        <f aca="false">IFERROR(IF($O283="","",IF((1-(COUNTIFS($B$2:$B$492,$B283,$O$2:$O$492,"&gt;"&amp;$O283)+1-1)/COUNTIF($B$2:$B$492,$B283))&gt;=0.85,"Top",IF((1-(COUNTIFS($B$2:$B$492,$B283,$O$2:$O$492,"&gt;"&amp;$O283)+1-1)/COUNTIF($B$2:$B$492,$B283))&gt;=0.6,"Buono",IF((1-(COUNTIFS($B$2:$B$492,$B283,$O$2:$O$492,"&gt;"&amp;$O283)+1-1)/COUNTIF($B$2:$B$492,$B283))&gt;=0.3,"Nella Media","Scommessa/Riserva")))),"")</f>
        <v>Nella Media</v>
      </c>
      <c r="Q283" s="29" t="n">
        <f aca="false">IF($D283="",COUNTIF($D$2:$D283,""),"")</f>
        <v>282</v>
      </c>
      <c r="R283" s="29" t="str">
        <f aca="false">IF($D283='Info Lega'!$B$28,COUNTIFS($D$2:$D283,'Info Lega'!$B$28),"")</f>
        <v/>
      </c>
      <c r="S283" s="30" t="n">
        <f aca="false">IFERROR(INDEX('Input Statistiche 2025_26'!$G$3:$G$665,MATCH($A283,'Input Statistiche 2025_26'!$A$3:$A$665,0)),"")</f>
        <v>5.92</v>
      </c>
      <c r="T283" s="30" t="n">
        <f aca="false">IFERROR(INDEX('Input Statistiche 2025_26'!$H$3:$H$665,MATCH($A283,'Input Statistiche 2025_26'!$A$3:$A$665,0)),"")</f>
        <v>5.95</v>
      </c>
      <c r="U283" s="26" t="str">
        <f aca="false">IF(OR('La Mia Rosa'!$O$12="",$D283&lt;&gt;""),"",IF($F283&lt;='La Mia Rosa'!$O$12*'Parametri Modello'!$B$24,"OK",IF($F283&lt;='La Mia Rosa'!$O$12*'Parametri Modello'!$B$25,"Attenzione","Rischio Alto")))</f>
        <v>OK</v>
      </c>
      <c r="V283" s="26" t="n">
        <f aca="false">IFERROR(COUNTIFS($B$2:$B$492,$B283,$O$2:$O$492,"&gt;"&amp;$O283)+1,"")</f>
        <v>105</v>
      </c>
      <c r="W283" s="21" t="n">
        <f aca="false">'Info Lega'!$B$4-SUMIFS($M$2:$M$492,$D$2:$D$492,'Info Lega'!$B$28)</f>
        <v>1000</v>
      </c>
      <c r="X283" s="21" t="n">
        <f aca="false">('Info Lega'!$B$5-COUNTIFS($D$2:$D$492,'Info Lega'!$B$28,$B$2:$B$492,"P"))+('Info Lega'!$B$6-COUNTIFS($D$2:$D$492,'Info Lega'!$B$28,$B$2:$B$492,"D"))+('Info Lega'!$B$7-COUNTIFS($D$2:$D$492,'Info Lega'!$B$28,$B$2:$B$492,"C"))+('Info Lega'!$B$8-COUNTIFS($D$2:$D$492,'Info Lega'!$B$28,$B$2:$B$492,"A"))</f>
        <v>25</v>
      </c>
      <c r="Y283" s="21" t="n">
        <f aca="false">X283*'Parametri Modello'!$B$30</f>
        <v>25</v>
      </c>
      <c r="Z283" s="21" t="n">
        <f aca="false">MAX(0,W283-Y283)</f>
        <v>975</v>
      </c>
      <c r="AA283" s="21" t="n">
        <f aca="false">MIN(F283,Z283)</f>
        <v>6</v>
      </c>
      <c r="AB283" s="21"/>
      <c r="AC283" s="21" t="str">
        <f aca="false">IF(AB283="","",IF(AB283&gt;AA283,"PASS",IF(AB283&lt;=AA283*0.85,"BID","ATTENZIONE")))</f>
        <v/>
      </c>
      <c r="AD283" s="31" t="n">
        <f aca="false">IF(I283="","",ROUND(100*(1-EXP(-I283/30)),0))</f>
        <v>47</v>
      </c>
      <c r="AE283" s="7" t="str">
        <f aca="false">IFERROR(INDEX('Stato Asta'!$G$9:$G$12,MATCH($B283,'Stato Asta'!$A$9:$A$12,0)),"")</f>
        <v>🟡 Attesa rischiosa</v>
      </c>
    </row>
    <row r="284" customFormat="false" ht="14.25" hidden="false" customHeight="true" outlineLevel="0" collapsed="false">
      <c r="A284" s="21" t="n">
        <v>6495</v>
      </c>
      <c r="B284" s="21" t="s">
        <v>44</v>
      </c>
      <c r="C284" s="21" t="s">
        <v>259</v>
      </c>
      <c r="E284" s="26" t="str">
        <f aca="false">IF(COUNTIF('Info Strategia'!$D$2:$D$51,$C284)&gt;0,"SI","NO")</f>
        <v>NO</v>
      </c>
      <c r="F284" s="27" t="n">
        <f aca="false">IFERROR(ROUND(($G284+($H284-$G284)*'Info Strategia'!$B$6)*(1+IF($E284="SI",'Parametri Modello'!$B$7*'Info Strategia'!$B$6,0)),0),"")</f>
        <v>5</v>
      </c>
      <c r="G284" s="27" t="n">
        <f aca="false">IFERROR(ROUND((IF(OR(INDEX('Parametri Modello'!$C$39:$C$42,MATCH($B284,'Parametri Modello'!$A$39:$A$42,0))="",INDEX('Parametri Modello'!$C$39:$C$42,MATCH($B284,'Parametri Modello'!$A$39:$A$42,0))=0),0,($O284/INDEX('Parametri Modello'!$C$39:$C$42,MATCH($B284,'Parametri Modello'!$A$39:$A$42,0)))*(INDEX('Parametri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4</v>
      </c>
      <c r="H284" s="27" t="n">
        <f aca="false">IFERROR(ROUND((IF(OR(INDEX('Parametri Modello'!$C$39:$C$42,MATCH($B284,'Parametri Modello'!$A$39:$A$42,0))="",INDEX('Parametri Modello'!$C$39:$C$42,MATCH($B284,'Parametri Modello'!$A$39:$A$42,0))=0),0,($O284/INDEX('Parametri Modello'!$C$39:$C$42,MATCH($B284,'Parametri Modello'!$A$39:$A$42,0)))*(INDEX('Parametri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6</v>
      </c>
      <c r="I284" s="26" t="n">
        <f aca="false">IFERROR(INDEX('Input Statistiche 2025_26'!$F$3:$F$665,MATCH($A284,'Input Statistiche 2025_26'!$A$3:$A$665,0)),"")</f>
        <v>24</v>
      </c>
      <c r="J284" s="26" t="n">
        <f aca="false">IFERROR(IF($I284="","",MAX(0,38-$I284)),"")</f>
        <v>14</v>
      </c>
      <c r="K284" s="26" t="n">
        <f aca="false">IFERROR(INDEX('Input Statistiche 2025_26'!$I$3:$I$665,MATCH($A284,'Input Statistiche 2025_26'!$A$3:$A$665,0)),"")</f>
        <v>1</v>
      </c>
      <c r="L284" s="26" t="n">
        <f aca="false">IFERROR(INDEX('Input Statistiche 2025_26'!$O$3:$O$665,MATCH($A284,'Input Statistiche 2025_26'!$A$3:$A$665,0)),"")</f>
        <v>0</v>
      </c>
      <c r="M284" s="28"/>
      <c r="N284" s="27" t="n">
        <f aca="false">IFERROR(INDEX('Input Giocatori 2026_27'!$E$3:$E$493,MATCH($A284,'Input Giocatori 2026_27'!$A$3:$A$493,0)),"")</f>
        <v>6</v>
      </c>
      <c r="O284" s="27" t="n">
        <f aca="false">IFERROR(INDEX('Input Giocatori 2026_27'!$G$3:$G$493,MATCH($A284,'Input Giocatori 2026_27'!$A$3:$A$493,0)),"")</f>
        <v>11</v>
      </c>
      <c r="P284" s="26" t="str">
        <f aca="false">IFERROR(IF($O284="","",IF((1-(COUNTIFS($B$2:$B$492,$B284,$O$2:$O$492,"&gt;"&amp;$O284)+1-1)/COUNTIF($B$2:$B$492,$B284))&gt;=0.85,"Top",IF((1-(COUNTIFS($B$2:$B$492,$B284,$O$2:$O$492,"&gt;"&amp;$O284)+1-1)/COUNTIF($B$2:$B$492,$B284))&gt;=0.6,"Buono",IF((1-(COUNTIFS($B$2:$B$492,$B284,$O$2:$O$492,"&gt;"&amp;$O284)+1-1)/COUNTIF($B$2:$B$492,$B284))&gt;=0.3,"Nella Media","Scommessa/Riserva")))),"")</f>
        <v>Nella Media</v>
      </c>
      <c r="Q284" s="29" t="n">
        <f aca="false">IF($D284="",COUNTIF($D$2:$D284,""),"")</f>
        <v>283</v>
      </c>
      <c r="R284" s="29" t="str">
        <f aca="false">IF($D284='Info Lega'!$B$28,COUNTIFS($D$2:$D284,'Info Lega'!$B$28),"")</f>
        <v/>
      </c>
      <c r="S284" s="30" t="n">
        <f aca="false">IFERROR(INDEX('Input Statistiche 2025_26'!$G$3:$G$665,MATCH($A284,'Input Statistiche 2025_26'!$A$3:$A$665,0)),"")</f>
        <v>5.75</v>
      </c>
      <c r="T284" s="30" t="n">
        <f aca="false">IFERROR(INDEX('Input Statistiche 2025_26'!$H$3:$H$665,MATCH($A284,'Input Statistiche 2025_26'!$A$3:$A$665,0)),"")</f>
        <v>5.75</v>
      </c>
      <c r="U284" s="26" t="str">
        <f aca="false">IF(OR('La Mia Rosa'!$O$12="",$D284&lt;&gt;""),"",IF($F284&lt;='La Mia Rosa'!$O$12*'Parametri Modello'!$B$24,"OK",IF($F284&lt;='La Mia Rosa'!$O$12*'Parametri Modello'!$B$25,"Attenzione","Rischio Alto")))</f>
        <v>OK</v>
      </c>
      <c r="V284" s="26" t="n">
        <f aca="false">IFERROR(COUNTIFS($B$2:$B$492,$B284,$O$2:$O$492,"&gt;"&amp;$O284)+1,"")</f>
        <v>90</v>
      </c>
      <c r="W284" s="21" t="n">
        <f aca="false">'Info Lega'!$B$4-SUMIFS($M$2:$M$492,$D$2:$D$492,'Info Lega'!$B$28)</f>
        <v>1000</v>
      </c>
      <c r="X284" s="21" t="n">
        <f aca="false">('Info Lega'!$B$5-COUNTIFS($D$2:$D$492,'Info Lega'!$B$28,$B$2:$B$492,"P"))+('Info Lega'!$B$6-COUNTIFS($D$2:$D$492,'Info Lega'!$B$28,$B$2:$B$492,"D"))+('Info Lega'!$B$7-COUNTIFS($D$2:$D$492,'Info Lega'!$B$28,$B$2:$B$492,"C"))+('Info Lega'!$B$8-COUNTIFS($D$2:$D$492,'Info Lega'!$B$28,$B$2:$B$492,"A"))</f>
        <v>25</v>
      </c>
      <c r="Y284" s="21" t="n">
        <f aca="false">X284*'Parametri Modello'!$B$30</f>
        <v>25</v>
      </c>
      <c r="Z284" s="21" t="n">
        <f aca="false">MAX(0,W284-Y284)</f>
        <v>975</v>
      </c>
      <c r="AA284" s="21" t="n">
        <f aca="false">MIN(F284,Z284)</f>
        <v>5</v>
      </c>
      <c r="AB284" s="21"/>
      <c r="AC284" s="21" t="str">
        <f aca="false">IF(AB284="","",IF(AB284&gt;AA284,"PASS",IF(AB284&lt;=AA284*0.85,"BID","ATTENZIONE")))</f>
        <v/>
      </c>
      <c r="AD284" s="31" t="n">
        <f aca="false">IF(I284="","",ROUND(100*(1-EXP(-I284/30)),0))</f>
        <v>55</v>
      </c>
      <c r="AE284" s="7" t="str">
        <f aca="false">IFERROR(INDEX('Stato Asta'!$G$9:$G$12,MATCH($B284,'Stato Asta'!$A$9:$A$12,0)),"")</f>
        <v>🟡 Attesa rischiosa</v>
      </c>
    </row>
    <row r="285" customFormat="false" ht="14.25" hidden="false" customHeight="true" outlineLevel="0" collapsed="false">
      <c r="A285" s="21" t="n">
        <v>7068</v>
      </c>
      <c r="B285" s="21" t="s">
        <v>44</v>
      </c>
      <c r="C285" s="21" t="s">
        <v>263</v>
      </c>
      <c r="E285" s="26" t="str">
        <f aca="false">IF(COUNTIF('Info Strategia'!$D$2:$D$51,$C285)&gt;0,"SI","NO")</f>
        <v>NO</v>
      </c>
      <c r="F285" s="27" t="n">
        <f aca="false">IFERROR(ROUND(($G285+($H285-$G285)*'Info Strategia'!$B$6)*(1+IF($E285="SI",'Parametri Modello'!$B$7*'Info Strategia'!$B$6,0)),0),"")</f>
        <v>5</v>
      </c>
      <c r="G285" s="27" t="n">
        <f aca="false">IFERROR(ROUND((IF(OR(INDEX('Parametri Modello'!$C$39:$C$42,MATCH($B285,'Parametri Modello'!$A$39:$A$42,0))="",INDEX('Parametri Modello'!$C$39:$C$42,MATCH($B285,'Parametri Modello'!$A$39:$A$42,0))=0),0,($O285/INDEX('Parametri Modello'!$C$39:$C$42,MATCH($B285,'Parametri Modello'!$A$39:$A$42,0)))*(INDEX('Parametri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4</v>
      </c>
      <c r="H285" s="27" t="n">
        <f aca="false">IFERROR(ROUND((IF(OR(INDEX('Parametri Modello'!$C$39:$C$42,MATCH($B285,'Parametri Modello'!$A$39:$A$42,0))="",INDEX('Parametri Modello'!$C$39:$C$42,MATCH($B285,'Parametri Modello'!$A$39:$A$42,0))=0),0,($O285/INDEX('Parametri Modello'!$C$39:$C$42,MATCH($B285,'Parametri Modello'!$A$39:$A$42,0)))*(INDEX('Parametri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6</v>
      </c>
      <c r="I285" s="26" t="n">
        <f aca="false">IFERROR(INDEX('Input Statistiche 2025_26'!$F$3:$F$665,MATCH($A285,'Input Statistiche 2025_26'!$A$3:$A$665,0)),"")</f>
        <v>18</v>
      </c>
      <c r="J285" s="26" t="n">
        <f aca="false">IFERROR(IF($I285="","",MAX(0,38-$I285)),"")</f>
        <v>20</v>
      </c>
      <c r="K285" s="26" t="n">
        <f aca="false">IFERROR(INDEX('Input Statistiche 2025_26'!$I$3:$I$665,MATCH($A285,'Input Statistiche 2025_26'!$A$3:$A$665,0)),"")</f>
        <v>0</v>
      </c>
      <c r="L285" s="26" t="n">
        <f aca="false">IFERROR(INDEX('Input Statistiche 2025_26'!$O$3:$O$665,MATCH($A285,'Input Statistiche 2025_26'!$A$3:$A$665,0)),"")</f>
        <v>0</v>
      </c>
      <c r="M285" s="28"/>
      <c r="N285" s="27" t="n">
        <f aca="false">IFERROR(INDEX('Input Giocatori 2026_27'!$E$3:$E$493,MATCH($A285,'Input Giocatori 2026_27'!$A$3:$A$493,0)),"")</f>
        <v>5</v>
      </c>
      <c r="O285" s="27" t="n">
        <f aca="false">IFERROR(INDEX('Input Giocatori 2026_27'!$G$3:$G$493,MATCH($A285,'Input Giocatori 2026_27'!$A$3:$A$493,0)),"")</f>
        <v>11</v>
      </c>
      <c r="P285" s="26" t="str">
        <f aca="false">IFERROR(IF($O285="","",IF((1-(COUNTIFS($B$2:$B$492,$B285,$O$2:$O$492,"&gt;"&amp;$O285)+1-1)/COUNTIF($B$2:$B$492,$B285))&gt;=0.85,"Top",IF((1-(COUNTIFS($B$2:$B$492,$B285,$O$2:$O$492,"&gt;"&amp;$O285)+1-1)/COUNTIF($B$2:$B$492,$B285))&gt;=0.6,"Buono",IF((1-(COUNTIFS($B$2:$B$492,$B285,$O$2:$O$492,"&gt;"&amp;$O285)+1-1)/COUNTIF($B$2:$B$492,$B285))&gt;=0.3,"Nella Media","Scommessa/Riserva")))),"")</f>
        <v>Nella Media</v>
      </c>
      <c r="Q285" s="29" t="n">
        <f aca="false">IF($D285="",COUNTIF($D$2:$D285,""),"")</f>
        <v>284</v>
      </c>
      <c r="R285" s="29" t="str">
        <f aca="false">IF($D285='Info Lega'!$B$28,COUNTIFS($D$2:$D285,'Info Lega'!$B$28),"")</f>
        <v/>
      </c>
      <c r="S285" s="30" t="n">
        <f aca="false">IFERROR(INDEX('Input Statistiche 2025_26'!$G$3:$G$665,MATCH($A285,'Input Statistiche 2025_26'!$A$3:$A$665,0)),"")</f>
        <v>5.94</v>
      </c>
      <c r="T285" s="30" t="n">
        <f aca="false">IFERROR(INDEX('Input Statistiche 2025_26'!$H$3:$H$665,MATCH($A285,'Input Statistiche 2025_26'!$A$3:$A$665,0)),"")</f>
        <v>5.86</v>
      </c>
      <c r="U285" s="26" t="str">
        <f aca="false">IF(OR('La Mia Rosa'!$O$12="",$D285&lt;&gt;""),"",IF($F285&lt;='La Mia Rosa'!$O$12*'Parametri Modello'!$B$24,"OK",IF($F285&lt;='La Mia Rosa'!$O$12*'Parametri Modello'!$B$25,"Attenzione","Rischio Alto")))</f>
        <v>OK</v>
      </c>
      <c r="V285" s="26" t="n">
        <f aca="false">IFERROR(COUNTIFS($B$2:$B$492,$B285,$O$2:$O$492,"&gt;"&amp;$O285)+1,"")</f>
        <v>90</v>
      </c>
      <c r="W285" s="21" t="n">
        <f aca="false">'Info Lega'!$B$4-SUMIFS($M$2:$M$492,$D$2:$D$492,'Info Lega'!$B$28)</f>
        <v>1000</v>
      </c>
      <c r="X285" s="21" t="n">
        <f aca="false">('Info Lega'!$B$5-COUNTIFS($D$2:$D$492,'Info Lega'!$B$28,$B$2:$B$492,"P"))+('Info Lega'!$B$6-COUNTIFS($D$2:$D$492,'Info Lega'!$B$28,$B$2:$B$492,"D"))+('Info Lega'!$B$7-COUNTIFS($D$2:$D$492,'Info Lega'!$B$28,$B$2:$B$492,"C"))+('Info Lega'!$B$8-COUNTIFS($D$2:$D$492,'Info Lega'!$B$28,$B$2:$B$492,"A"))</f>
        <v>25</v>
      </c>
      <c r="Y285" s="21" t="n">
        <f aca="false">X285*'Parametri Modello'!$B$30</f>
        <v>25</v>
      </c>
      <c r="Z285" s="21" t="n">
        <f aca="false">MAX(0,W285-Y285)</f>
        <v>975</v>
      </c>
      <c r="AA285" s="21" t="n">
        <f aca="false">MIN(F285,Z285)</f>
        <v>5</v>
      </c>
      <c r="AB285" s="21"/>
      <c r="AC285" s="21" t="str">
        <f aca="false">IF(AB285="","",IF(AB285&gt;AA285,"PASS",IF(AB285&lt;=AA285*0.85,"BID","ATTENZIONE")))</f>
        <v/>
      </c>
      <c r="AD285" s="31" t="n">
        <f aca="false">IF(I285="","",ROUND(100*(1-EXP(-I285/30)),0))</f>
        <v>45</v>
      </c>
      <c r="AE285" s="7" t="str">
        <f aca="false">IFERROR(INDEX('Stato Asta'!$G$9:$G$12,MATCH($B285,'Stato Asta'!$A$9:$A$12,0)),"")</f>
        <v>🟡 Attesa rischiosa</v>
      </c>
    </row>
    <row r="286" customFormat="false" ht="14.25" hidden="false" customHeight="true" outlineLevel="0" collapsed="false">
      <c r="A286" s="21" t="n">
        <v>7532</v>
      </c>
      <c r="B286" s="21" t="s">
        <v>44</v>
      </c>
      <c r="C286" s="21" t="s">
        <v>265</v>
      </c>
      <c r="E286" s="26" t="str">
        <f aca="false">IF(COUNTIF('Info Strategia'!$D$2:$D$51,$C286)&gt;0,"SI","NO")</f>
        <v>NO</v>
      </c>
      <c r="F286" s="27" t="n">
        <f aca="false">IFERROR(ROUND(($G286+($H286-$G286)*'Info Strategia'!$B$6)*(1+IF($E286="SI",'Parametri Modello'!$B$7*'Info Strategia'!$B$6,0)),0),"")</f>
        <v>5</v>
      </c>
      <c r="G286" s="27" t="n">
        <f aca="false">IFERROR(ROUND((IF(OR(INDEX('Parametri Modello'!$C$39:$C$42,MATCH($B286,'Parametri Modello'!$A$39:$A$42,0))="",INDEX('Parametri Modello'!$C$39:$C$42,MATCH($B286,'Parametri Modello'!$A$39:$A$42,0))=0),0,($O286/INDEX('Parametri Modello'!$C$39:$C$42,MATCH($B286,'Parametri Modello'!$A$39:$A$42,0)))*(INDEX('Parametri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4</v>
      </c>
      <c r="H286" s="27" t="n">
        <f aca="false">IFERROR(ROUND((IF(OR(INDEX('Parametri Modello'!$C$39:$C$42,MATCH($B286,'Parametri Modello'!$A$39:$A$42,0))="",INDEX('Parametri Modello'!$C$39:$C$42,MATCH($B286,'Parametri Modello'!$A$39:$A$42,0))=0),0,($O286/INDEX('Parametri Modello'!$C$39:$C$42,MATCH($B286,'Parametri Modello'!$A$39:$A$42,0)))*(INDEX('Parametri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6</v>
      </c>
      <c r="I286" s="26" t="str">
        <f aca="false">IFERROR(INDEX('Input Statistiche 2025_26'!$F$3:$F$665,MATCH($A286,'Input Statistiche 2025_26'!$A$3:$A$665,0)),"")</f>
        <v/>
      </c>
      <c r="J286" s="26" t="str">
        <f aca="false">IFERROR(IF($I286="","",MAX(0,38-$I286)),"")</f>
        <v/>
      </c>
      <c r="K286" s="26" t="str">
        <f aca="false">IFERROR(INDEX('Input Statistiche 2025_26'!$I$3:$I$665,MATCH($A286,'Input Statistiche 2025_26'!$A$3:$A$665,0)),"")</f>
        <v/>
      </c>
      <c r="L286" s="26" t="str">
        <f aca="false">IFERROR(INDEX('Input Statistiche 2025_26'!$O$3:$O$665,MATCH($A286,'Input Statistiche 2025_26'!$A$3:$A$665,0)),"")</f>
        <v/>
      </c>
      <c r="M286" s="28"/>
      <c r="N286" s="27" t="n">
        <f aca="false">IFERROR(INDEX('Input Giocatori 2026_27'!$E$3:$E$493,MATCH($A286,'Input Giocatori 2026_27'!$A$3:$A$493,0)),"")</f>
        <v>5</v>
      </c>
      <c r="O286" s="27" t="n">
        <f aca="false">IFERROR(INDEX('Input Giocatori 2026_27'!$G$3:$G$493,MATCH($A286,'Input Giocatori 2026_27'!$A$3:$A$493,0)),"")</f>
        <v>11</v>
      </c>
      <c r="P286" s="26" t="str">
        <f aca="false">IFERROR(IF($O286="","",IF((1-(COUNTIFS($B$2:$B$492,$B286,$O$2:$O$492,"&gt;"&amp;$O286)+1-1)/COUNTIF($B$2:$B$492,$B286))&gt;=0.85,"Top",IF((1-(COUNTIFS($B$2:$B$492,$B286,$O$2:$O$492,"&gt;"&amp;$O286)+1-1)/COUNTIF($B$2:$B$492,$B286))&gt;=0.6,"Buono",IF((1-(COUNTIFS($B$2:$B$492,$B286,$O$2:$O$492,"&gt;"&amp;$O286)+1-1)/COUNTIF($B$2:$B$492,$B286))&gt;=0.3,"Nella Media","Scommessa/Riserva")))),"")</f>
        <v>Nella Media</v>
      </c>
      <c r="Q286" s="29" t="n">
        <f aca="false">IF($D286="",COUNTIF($D$2:$D286,""),"")</f>
        <v>285</v>
      </c>
      <c r="R286" s="29" t="str">
        <f aca="false">IF($D286='Info Lega'!$B$28,COUNTIFS($D$2:$D286,'Info Lega'!$B$28),"")</f>
        <v/>
      </c>
      <c r="S286" s="30" t="str">
        <f aca="false">IFERROR(INDEX('Input Statistiche 2025_26'!$G$3:$G$665,MATCH($A286,'Input Statistiche 2025_26'!$A$3:$A$665,0)),"")</f>
        <v/>
      </c>
      <c r="T286" s="30" t="str">
        <f aca="false">IFERROR(INDEX('Input Statistiche 2025_26'!$H$3:$H$665,MATCH($A286,'Input Statistiche 2025_26'!$A$3:$A$665,0)),"")</f>
        <v/>
      </c>
      <c r="U286" s="26" t="str">
        <f aca="false">IF(OR('La Mia Rosa'!$O$12="",$D286&lt;&gt;""),"",IF($F286&lt;='La Mia Rosa'!$O$12*'Parametri Modello'!$B$24,"OK",IF($F286&lt;='La Mia Rosa'!$O$12*'Parametri Modello'!$B$25,"Attenzione","Rischio Alto")))</f>
        <v>OK</v>
      </c>
      <c r="V286" s="26" t="n">
        <f aca="false">IFERROR(COUNTIFS($B$2:$B$492,$B286,$O$2:$O$492,"&gt;"&amp;$O286)+1,"")</f>
        <v>90</v>
      </c>
      <c r="W286" s="21" t="n">
        <f aca="false">'Info Lega'!$B$4-SUMIFS($M$2:$M$492,$D$2:$D$492,'Info Lega'!$B$28)</f>
        <v>1000</v>
      </c>
      <c r="X286" s="21" t="n">
        <f aca="false">('Info Lega'!$B$5-COUNTIFS($D$2:$D$492,'Info Lega'!$B$28,$B$2:$B$492,"P"))+('Info Lega'!$B$6-COUNTIFS($D$2:$D$492,'Info Lega'!$B$28,$B$2:$B$492,"D"))+('Info Lega'!$B$7-COUNTIFS($D$2:$D$492,'Info Lega'!$B$28,$B$2:$B$492,"C"))+('Info Lega'!$B$8-COUNTIFS($D$2:$D$492,'Info Lega'!$B$28,$B$2:$B$492,"A"))</f>
        <v>25</v>
      </c>
      <c r="Y286" s="21" t="n">
        <f aca="false">X286*'Parametri Modello'!$B$30</f>
        <v>25</v>
      </c>
      <c r="Z286" s="21" t="n">
        <f aca="false">MAX(0,W286-Y286)</f>
        <v>975</v>
      </c>
      <c r="AA286" s="21" t="n">
        <f aca="false">MIN(F286,Z286)</f>
        <v>5</v>
      </c>
      <c r="AB286" s="21"/>
      <c r="AC286" s="21" t="str">
        <f aca="false">IF(AB286="","",IF(AB286&gt;AA286,"PASS",IF(AB286&lt;=AA286*0.85,"BID","ATTENZIONE")))</f>
        <v/>
      </c>
      <c r="AD286" s="31" t="str">
        <f aca="false">IF(I286="","",ROUND(100*(1-EXP(-I286/30)),0))</f>
        <v/>
      </c>
      <c r="AE286" s="7" t="str">
        <f aca="false">IFERROR(INDEX('Stato Asta'!$G$9:$G$12,MATCH($B286,'Stato Asta'!$A$9:$A$12,0)),"")</f>
        <v>🟡 Attesa rischiosa</v>
      </c>
    </row>
    <row r="287" customFormat="false" ht="14.25" hidden="false" customHeight="true" outlineLevel="0" collapsed="false">
      <c r="A287" s="21" t="n">
        <v>7274</v>
      </c>
      <c r="B287" s="21" t="s">
        <v>44</v>
      </c>
      <c r="C287" s="21" t="s">
        <v>266</v>
      </c>
      <c r="E287" s="26" t="str">
        <f aca="false">IF(COUNTIF('Info Strategia'!$D$2:$D$51,$C287)&gt;0,"SI","NO")</f>
        <v>NO</v>
      </c>
      <c r="F287" s="27" t="n">
        <f aca="false">IFERROR(ROUND(($G287+($H287-$G287)*'Info Strategia'!$B$6)*(1+IF($E287="SI",'Parametri Modello'!$B$7*'Info Strategia'!$B$6,0)),0),"")</f>
        <v>5</v>
      </c>
      <c r="G287" s="27" t="n">
        <f aca="false">IFERROR(ROUND((IF(OR(INDEX('Parametri Modello'!$C$39:$C$42,MATCH($B287,'Parametri Modello'!$A$39:$A$42,0))="",INDEX('Parametri Modello'!$C$39:$C$42,MATCH($B287,'Parametri Modello'!$A$39:$A$42,0))=0),0,($O287/INDEX('Parametri Modello'!$C$39:$C$42,MATCH($B287,'Parametri Modello'!$A$39:$A$42,0)))*(INDEX('Parametri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4</v>
      </c>
      <c r="H287" s="27" t="n">
        <f aca="false">IFERROR(ROUND((IF(OR(INDEX('Parametri Modello'!$C$39:$C$42,MATCH($B287,'Parametri Modello'!$A$39:$A$42,0))="",INDEX('Parametri Modello'!$C$39:$C$42,MATCH($B287,'Parametri Modello'!$A$39:$A$42,0))=0),0,($O287/INDEX('Parametri Modello'!$C$39:$C$42,MATCH($B287,'Parametri Modello'!$A$39:$A$42,0)))*(INDEX('Parametri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6</v>
      </c>
      <c r="I287" s="26" t="n">
        <f aca="false">IFERROR(INDEX('Input Statistiche 2025_26'!$F$3:$F$665,MATCH($A287,'Input Statistiche 2025_26'!$A$3:$A$665,0)),"")</f>
        <v>22</v>
      </c>
      <c r="J287" s="26" t="n">
        <f aca="false">IFERROR(IF($I287="","",MAX(0,38-$I287)),"")</f>
        <v>16</v>
      </c>
      <c r="K287" s="26" t="n">
        <f aca="false">IFERROR(INDEX('Input Statistiche 2025_26'!$I$3:$I$665,MATCH($A287,'Input Statistiche 2025_26'!$A$3:$A$665,0)),"")</f>
        <v>0</v>
      </c>
      <c r="L287" s="26" t="n">
        <f aca="false">IFERROR(INDEX('Input Statistiche 2025_26'!$O$3:$O$665,MATCH($A287,'Input Statistiche 2025_26'!$A$3:$A$665,0)),"")</f>
        <v>1</v>
      </c>
      <c r="M287" s="28"/>
      <c r="N287" s="27" t="n">
        <f aca="false">IFERROR(INDEX('Input Giocatori 2026_27'!$E$3:$E$493,MATCH($A287,'Input Giocatori 2026_27'!$A$3:$A$493,0)),"")</f>
        <v>5</v>
      </c>
      <c r="O287" s="27" t="n">
        <f aca="false">IFERROR(INDEX('Input Giocatori 2026_27'!$G$3:$G$493,MATCH($A287,'Input Giocatori 2026_27'!$A$3:$A$493,0)),"")</f>
        <v>11</v>
      </c>
      <c r="P287" s="26" t="str">
        <f aca="false">IFERROR(IF($O287="","",IF((1-(COUNTIFS($B$2:$B$492,$B287,$O$2:$O$492,"&gt;"&amp;$O287)+1-1)/COUNTIF($B$2:$B$492,$B287))&gt;=0.85,"Top",IF((1-(COUNTIFS($B$2:$B$492,$B287,$O$2:$O$492,"&gt;"&amp;$O287)+1-1)/COUNTIF($B$2:$B$492,$B287))&gt;=0.6,"Buono",IF((1-(COUNTIFS($B$2:$B$492,$B287,$O$2:$O$492,"&gt;"&amp;$O287)+1-1)/COUNTIF($B$2:$B$492,$B287))&gt;=0.3,"Nella Media","Scommessa/Riserva")))),"")</f>
        <v>Nella Media</v>
      </c>
      <c r="Q287" s="29" t="n">
        <f aca="false">IF($D287="",COUNTIF($D$2:$D287,""),"")</f>
        <v>286</v>
      </c>
      <c r="R287" s="29" t="str">
        <f aca="false">IF($D287='Info Lega'!$B$28,COUNTIFS($D$2:$D287,'Info Lega'!$B$28),"")</f>
        <v/>
      </c>
      <c r="S287" s="30" t="n">
        <f aca="false">IFERROR(INDEX('Input Statistiche 2025_26'!$G$3:$G$665,MATCH($A287,'Input Statistiche 2025_26'!$A$3:$A$665,0)),"")</f>
        <v>5.77</v>
      </c>
      <c r="T287" s="30" t="n">
        <f aca="false">IFERROR(INDEX('Input Statistiche 2025_26'!$H$3:$H$665,MATCH($A287,'Input Statistiche 2025_26'!$A$3:$A$665,0)),"")</f>
        <v>5.68</v>
      </c>
      <c r="U287" s="26" t="str">
        <f aca="false">IF(OR('La Mia Rosa'!$O$12="",$D287&lt;&gt;""),"",IF($F287&lt;='La Mia Rosa'!$O$12*'Parametri Modello'!$B$24,"OK",IF($F287&lt;='La Mia Rosa'!$O$12*'Parametri Modello'!$B$25,"Attenzione","Rischio Alto")))</f>
        <v>OK</v>
      </c>
      <c r="V287" s="26" t="n">
        <f aca="false">IFERROR(COUNTIFS($B$2:$B$492,$B287,$O$2:$O$492,"&gt;"&amp;$O287)+1,"")</f>
        <v>90</v>
      </c>
      <c r="W287" s="21" t="n">
        <f aca="false">'Info Lega'!$B$4-SUMIFS($M$2:$M$492,$D$2:$D$492,'Info Lega'!$B$28)</f>
        <v>1000</v>
      </c>
      <c r="X287" s="21" t="n">
        <f aca="false">('Info Lega'!$B$5-COUNTIFS($D$2:$D$492,'Info Lega'!$B$28,$B$2:$B$492,"P"))+('Info Lega'!$B$6-COUNTIFS($D$2:$D$492,'Info Lega'!$B$28,$B$2:$B$492,"D"))+('Info Lega'!$B$7-COUNTIFS($D$2:$D$492,'Info Lega'!$B$28,$B$2:$B$492,"C"))+('Info Lega'!$B$8-COUNTIFS($D$2:$D$492,'Info Lega'!$B$28,$B$2:$B$492,"A"))</f>
        <v>25</v>
      </c>
      <c r="Y287" s="21" t="n">
        <f aca="false">X287*'Parametri Modello'!$B$30</f>
        <v>25</v>
      </c>
      <c r="Z287" s="21" t="n">
        <f aca="false">MAX(0,W287-Y287)</f>
        <v>975</v>
      </c>
      <c r="AA287" s="21" t="n">
        <f aca="false">MIN(F287,Z287)</f>
        <v>5</v>
      </c>
      <c r="AB287" s="21"/>
      <c r="AC287" s="21" t="str">
        <f aca="false">IF(AB287="","",IF(AB287&gt;AA287,"PASS",IF(AB287&lt;=AA287*0.85,"BID","ATTENZIONE")))</f>
        <v/>
      </c>
      <c r="AD287" s="31" t="n">
        <f aca="false">IF(I287="","",ROUND(100*(1-EXP(-I287/30)),0))</f>
        <v>52</v>
      </c>
      <c r="AE287" s="7" t="str">
        <f aca="false">IFERROR(INDEX('Stato Asta'!$G$9:$G$12,MATCH($B287,'Stato Asta'!$A$9:$A$12,0)),"")</f>
        <v>🟡 Attesa rischiosa</v>
      </c>
    </row>
    <row r="288" customFormat="false" ht="14.25" hidden="false" customHeight="true" outlineLevel="0" collapsed="false">
      <c r="A288" s="21" t="n">
        <v>7469</v>
      </c>
      <c r="B288" s="21" t="s">
        <v>44</v>
      </c>
      <c r="C288" s="21" t="s">
        <v>269</v>
      </c>
      <c r="E288" s="26" t="str">
        <f aca="false">IF(COUNTIF('Info Strategia'!$D$2:$D$51,$C288)&gt;0,"SI","NO")</f>
        <v>NO</v>
      </c>
      <c r="F288" s="27" t="n">
        <f aca="false">IFERROR(ROUND(($G288+($H288-$G288)*'Info Strategia'!$B$6)*(1+IF($E288="SI",'Parametri Modello'!$B$7*'Info Strategia'!$B$6,0)),0),"")</f>
        <v>5</v>
      </c>
      <c r="G288" s="27" t="n">
        <f aca="false">IFERROR(ROUND((IF(OR(INDEX('Parametri Modello'!$C$39:$C$42,MATCH($B288,'Parametri Modello'!$A$39:$A$42,0))="",INDEX('Parametri Modello'!$C$39:$C$42,MATCH($B288,'Parametri Modello'!$A$39:$A$42,0))=0),0,($O288/INDEX('Parametri Modello'!$C$39:$C$42,MATCH($B288,'Parametri Modello'!$A$39:$A$42,0)))*(INDEX('Parametri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4</v>
      </c>
      <c r="H288" s="27" t="n">
        <f aca="false">IFERROR(ROUND((IF(OR(INDEX('Parametri Modello'!$C$39:$C$42,MATCH($B288,'Parametri Modello'!$A$39:$A$42,0))="",INDEX('Parametri Modello'!$C$39:$C$42,MATCH($B288,'Parametri Modello'!$A$39:$A$42,0))=0),0,($O288/INDEX('Parametri Modello'!$C$39:$C$42,MATCH($B288,'Parametri Modello'!$A$39:$A$42,0)))*(INDEX('Parametri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6</v>
      </c>
      <c r="I288" s="26" t="str">
        <f aca="false">IFERROR(INDEX('Input Statistiche 2025_26'!$F$3:$F$665,MATCH($A288,'Input Statistiche 2025_26'!$A$3:$A$665,0)),"")</f>
        <v/>
      </c>
      <c r="J288" s="26" t="str">
        <f aca="false">IFERROR(IF($I288="","",MAX(0,38-$I288)),"")</f>
        <v/>
      </c>
      <c r="K288" s="26" t="str">
        <f aca="false">IFERROR(INDEX('Input Statistiche 2025_26'!$I$3:$I$665,MATCH($A288,'Input Statistiche 2025_26'!$A$3:$A$665,0)),"")</f>
        <v/>
      </c>
      <c r="L288" s="26" t="str">
        <f aca="false">IFERROR(INDEX('Input Statistiche 2025_26'!$O$3:$O$665,MATCH($A288,'Input Statistiche 2025_26'!$A$3:$A$665,0)),"")</f>
        <v/>
      </c>
      <c r="M288" s="28"/>
      <c r="N288" s="27" t="n">
        <f aca="false">IFERROR(INDEX('Input Giocatori 2026_27'!$E$3:$E$493,MATCH($A288,'Input Giocatori 2026_27'!$A$3:$A$493,0)),"")</f>
        <v>5</v>
      </c>
      <c r="O288" s="27" t="n">
        <f aca="false">IFERROR(INDEX('Input Giocatori 2026_27'!$G$3:$G$493,MATCH($A288,'Input Giocatori 2026_27'!$A$3:$A$493,0)),"")</f>
        <v>11</v>
      </c>
      <c r="P288" s="26" t="str">
        <f aca="false">IFERROR(IF($O288="","",IF((1-(COUNTIFS($B$2:$B$492,$B288,$O$2:$O$492,"&gt;"&amp;$O288)+1-1)/COUNTIF($B$2:$B$492,$B288))&gt;=0.85,"Top",IF((1-(COUNTIFS($B$2:$B$492,$B288,$O$2:$O$492,"&gt;"&amp;$O288)+1-1)/COUNTIF($B$2:$B$492,$B288))&gt;=0.6,"Buono",IF((1-(COUNTIFS($B$2:$B$492,$B288,$O$2:$O$492,"&gt;"&amp;$O288)+1-1)/COUNTIF($B$2:$B$492,$B288))&gt;=0.3,"Nella Media","Scommessa/Riserva")))),"")</f>
        <v>Nella Media</v>
      </c>
      <c r="Q288" s="29" t="n">
        <f aca="false">IF($D288="",COUNTIF($D$2:$D288,""),"")</f>
        <v>287</v>
      </c>
      <c r="R288" s="29" t="str">
        <f aca="false">IF($D288='Info Lega'!$B$28,COUNTIFS($D$2:$D288,'Info Lega'!$B$28),"")</f>
        <v/>
      </c>
      <c r="S288" s="30" t="str">
        <f aca="false">IFERROR(INDEX('Input Statistiche 2025_26'!$G$3:$G$665,MATCH($A288,'Input Statistiche 2025_26'!$A$3:$A$665,0)),"")</f>
        <v/>
      </c>
      <c r="T288" s="30" t="str">
        <f aca="false">IFERROR(INDEX('Input Statistiche 2025_26'!$H$3:$H$665,MATCH($A288,'Input Statistiche 2025_26'!$A$3:$A$665,0)),"")</f>
        <v/>
      </c>
      <c r="U288" s="26" t="str">
        <f aca="false">IF(OR('La Mia Rosa'!$O$12="",$D288&lt;&gt;""),"",IF($F288&lt;='La Mia Rosa'!$O$12*'Parametri Modello'!$B$24,"OK",IF($F288&lt;='La Mia Rosa'!$O$12*'Parametri Modello'!$B$25,"Attenzione","Rischio Alto")))</f>
        <v>OK</v>
      </c>
      <c r="V288" s="26" t="n">
        <f aca="false">IFERROR(COUNTIFS($B$2:$B$492,$B288,$O$2:$O$492,"&gt;"&amp;$O288)+1,"")</f>
        <v>90</v>
      </c>
      <c r="W288" s="21" t="n">
        <f aca="false">'Info Lega'!$B$4-SUMIFS($M$2:$M$492,$D$2:$D$492,'Info Lega'!$B$28)</f>
        <v>1000</v>
      </c>
      <c r="X288" s="21" t="n">
        <f aca="false">('Info Lega'!$B$5-COUNTIFS($D$2:$D$492,'Info Lega'!$B$28,$B$2:$B$492,"P"))+('Info Lega'!$B$6-COUNTIFS($D$2:$D$492,'Info Lega'!$B$28,$B$2:$B$492,"D"))+('Info Lega'!$B$7-COUNTIFS($D$2:$D$492,'Info Lega'!$B$28,$B$2:$B$492,"C"))+('Info Lega'!$B$8-COUNTIFS($D$2:$D$492,'Info Lega'!$B$28,$B$2:$B$492,"A"))</f>
        <v>25</v>
      </c>
      <c r="Y288" s="21" t="n">
        <f aca="false">X288*'Parametri Modello'!$B$30</f>
        <v>25</v>
      </c>
      <c r="Z288" s="21" t="n">
        <f aca="false">MAX(0,W288-Y288)</f>
        <v>975</v>
      </c>
      <c r="AA288" s="21" t="n">
        <f aca="false">MIN(F288,Z288)</f>
        <v>5</v>
      </c>
      <c r="AB288" s="21"/>
      <c r="AC288" s="21" t="str">
        <f aca="false">IF(AB288="","",IF(AB288&gt;AA288,"PASS",IF(AB288&lt;=AA288*0.85,"BID","ATTENZIONE")))</f>
        <v/>
      </c>
      <c r="AD288" s="31" t="str">
        <f aca="false">IF(I288="","",ROUND(100*(1-EXP(-I288/30)),0))</f>
        <v/>
      </c>
      <c r="AE288" s="7" t="str">
        <f aca="false">IFERROR(INDEX('Stato Asta'!$G$9:$G$12,MATCH($B288,'Stato Asta'!$A$9:$A$12,0)),"")</f>
        <v>🟡 Attesa rischiosa</v>
      </c>
    </row>
    <row r="289" customFormat="false" ht="14.25" hidden="false" customHeight="true" outlineLevel="0" collapsed="false">
      <c r="A289" s="21" t="n">
        <v>6990</v>
      </c>
      <c r="B289" s="21" t="s">
        <v>44</v>
      </c>
      <c r="C289" s="21" t="s">
        <v>275</v>
      </c>
      <c r="E289" s="26" t="str">
        <f aca="false">IF(COUNTIF('Info Strategia'!$D$2:$D$51,$C289)&gt;0,"SI","NO")</f>
        <v>NO</v>
      </c>
      <c r="F289" s="27" t="n">
        <f aca="false">IFERROR(ROUND(($G289+($H289-$G289)*'Info Strategia'!$B$6)*(1+IF($E289="SI",'Parametri Modello'!$B$7*'Info Strategia'!$B$6,0)),0),"")</f>
        <v>5</v>
      </c>
      <c r="G289" s="27" t="n">
        <f aca="false">IFERROR(ROUND((IF(OR(INDEX('Parametri Modello'!$C$39:$C$42,MATCH($B289,'Parametri Modello'!$A$39:$A$42,0))="",INDEX('Parametri Modello'!$C$39:$C$42,MATCH($B289,'Parametri Modello'!$A$39:$A$42,0))=0),0,($O289/INDEX('Parametri Modello'!$C$39:$C$42,MATCH($B289,'Parametri Modello'!$A$39:$A$42,0)))*(INDEX('Parametri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4</v>
      </c>
      <c r="H289" s="27" t="n">
        <f aca="false">IFERROR(ROUND((IF(OR(INDEX('Parametri Modello'!$C$39:$C$42,MATCH($B289,'Parametri Modello'!$A$39:$A$42,0))="",INDEX('Parametri Modello'!$C$39:$C$42,MATCH($B289,'Parametri Modello'!$A$39:$A$42,0))=0),0,($O289/INDEX('Parametri Modello'!$C$39:$C$42,MATCH($B289,'Parametri Modello'!$A$39:$A$42,0)))*(INDEX('Parametri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6</v>
      </c>
      <c r="I289" s="26" t="n">
        <f aca="false">IFERROR(INDEX('Input Statistiche 2025_26'!$F$3:$F$665,MATCH($A289,'Input Statistiche 2025_26'!$A$3:$A$665,0)),"")</f>
        <v>36</v>
      </c>
      <c r="J289" s="26" t="n">
        <f aca="false">IFERROR(IF($I289="","",MAX(0,38-$I289)),"")</f>
        <v>2</v>
      </c>
      <c r="K289" s="26" t="n">
        <f aca="false">IFERROR(INDEX('Input Statistiche 2025_26'!$I$3:$I$665,MATCH($A289,'Input Statistiche 2025_26'!$A$3:$A$665,0)),"")</f>
        <v>0</v>
      </c>
      <c r="L289" s="26" t="n">
        <f aca="false">IFERROR(INDEX('Input Statistiche 2025_26'!$O$3:$O$665,MATCH($A289,'Input Statistiche 2025_26'!$A$3:$A$665,0)),"")</f>
        <v>0</v>
      </c>
      <c r="M289" s="28"/>
      <c r="N289" s="27" t="n">
        <f aca="false">IFERROR(INDEX('Input Giocatori 2026_27'!$E$3:$E$493,MATCH($A289,'Input Giocatori 2026_27'!$A$3:$A$493,0)),"")</f>
        <v>5</v>
      </c>
      <c r="O289" s="27" t="n">
        <f aca="false">IFERROR(INDEX('Input Giocatori 2026_27'!$G$3:$G$493,MATCH($A289,'Input Giocatori 2026_27'!$A$3:$A$493,0)),"")</f>
        <v>11</v>
      </c>
      <c r="P289" s="26" t="str">
        <f aca="false">IFERROR(IF($O289="","",IF((1-(COUNTIFS($B$2:$B$492,$B289,$O$2:$O$492,"&gt;"&amp;$O289)+1-1)/COUNTIF($B$2:$B$492,$B289))&gt;=0.85,"Top",IF((1-(COUNTIFS($B$2:$B$492,$B289,$O$2:$O$492,"&gt;"&amp;$O289)+1-1)/COUNTIF($B$2:$B$492,$B289))&gt;=0.6,"Buono",IF((1-(COUNTIFS($B$2:$B$492,$B289,$O$2:$O$492,"&gt;"&amp;$O289)+1-1)/COUNTIF($B$2:$B$492,$B289))&gt;=0.3,"Nella Media","Scommessa/Riserva")))),"")</f>
        <v>Nella Media</v>
      </c>
      <c r="Q289" s="29" t="n">
        <f aca="false">IF($D289="",COUNTIF($D$2:$D289,""),"")</f>
        <v>288</v>
      </c>
      <c r="R289" s="29" t="str">
        <f aca="false">IF($D289='Info Lega'!$B$28,COUNTIFS($D$2:$D289,'Info Lega'!$B$28),"")</f>
        <v/>
      </c>
      <c r="S289" s="30" t="n">
        <f aca="false">IFERROR(INDEX('Input Statistiche 2025_26'!$G$3:$G$665,MATCH($A289,'Input Statistiche 2025_26'!$A$3:$A$665,0)),"")</f>
        <v>5.82</v>
      </c>
      <c r="T289" s="30" t="n">
        <f aca="false">IFERROR(INDEX('Input Statistiche 2025_26'!$H$3:$H$665,MATCH($A289,'Input Statistiche 2025_26'!$A$3:$A$665,0)),"")</f>
        <v>5.69</v>
      </c>
      <c r="U289" s="26" t="str">
        <f aca="false">IF(OR('La Mia Rosa'!$O$12="",$D289&lt;&gt;""),"",IF($F289&lt;='La Mia Rosa'!$O$12*'Parametri Modello'!$B$24,"OK",IF($F289&lt;='La Mia Rosa'!$O$12*'Parametri Modello'!$B$25,"Attenzione","Rischio Alto")))</f>
        <v>OK</v>
      </c>
      <c r="V289" s="26" t="n">
        <f aca="false">IFERROR(COUNTIFS($B$2:$B$492,$B289,$O$2:$O$492,"&gt;"&amp;$O289)+1,"")</f>
        <v>90</v>
      </c>
      <c r="W289" s="21" t="n">
        <f aca="false">'Info Lega'!$B$4-SUMIFS($M$2:$M$492,$D$2:$D$492,'Info Lega'!$B$28)</f>
        <v>1000</v>
      </c>
      <c r="X289" s="21" t="n">
        <f aca="false">('Info Lega'!$B$5-COUNTIFS($D$2:$D$492,'Info Lega'!$B$28,$B$2:$B$492,"P"))+('Info Lega'!$B$6-COUNTIFS($D$2:$D$492,'Info Lega'!$B$28,$B$2:$B$492,"D"))+('Info Lega'!$B$7-COUNTIFS($D$2:$D$492,'Info Lega'!$B$28,$B$2:$B$492,"C"))+('Info Lega'!$B$8-COUNTIFS($D$2:$D$492,'Info Lega'!$B$28,$B$2:$B$492,"A"))</f>
        <v>25</v>
      </c>
      <c r="Y289" s="21" t="n">
        <f aca="false">X289*'Parametri Modello'!$B$30</f>
        <v>25</v>
      </c>
      <c r="Z289" s="21" t="n">
        <f aca="false">MAX(0,W289-Y289)</f>
        <v>975</v>
      </c>
      <c r="AA289" s="21" t="n">
        <f aca="false">MIN(F289,Z289)</f>
        <v>5</v>
      </c>
      <c r="AB289" s="21"/>
      <c r="AC289" s="21" t="str">
        <f aca="false">IF(AB289="","",IF(AB289&gt;AA289,"PASS",IF(AB289&lt;=AA289*0.85,"BID","ATTENZIONE")))</f>
        <v/>
      </c>
      <c r="AD289" s="31" t="n">
        <f aca="false">IF(I289="","",ROUND(100*(1-EXP(-I289/30)),0))</f>
        <v>70</v>
      </c>
      <c r="AE289" s="7" t="str">
        <f aca="false">IFERROR(INDEX('Stato Asta'!$G$9:$G$12,MATCH($B289,'Stato Asta'!$A$9:$A$12,0)),"")</f>
        <v>🟡 Attesa rischiosa</v>
      </c>
    </row>
    <row r="290" customFormat="false" ht="14.25" hidden="false" customHeight="true" outlineLevel="0" collapsed="false">
      <c r="A290" s="21" t="n">
        <v>6890</v>
      </c>
      <c r="B290" s="21" t="s">
        <v>44</v>
      </c>
      <c r="C290" s="21" t="s">
        <v>279</v>
      </c>
      <c r="E290" s="26" t="str">
        <f aca="false">IF(COUNTIF('Info Strategia'!$D$2:$D$51,$C290)&gt;0,"SI","NO")</f>
        <v>NO</v>
      </c>
      <c r="F290" s="27" t="n">
        <f aca="false">IFERROR(ROUND(($G290+($H290-$G290)*'Info Strategia'!$B$6)*(1+IF($E290="SI",'Parametri Modello'!$B$7*'Info Strategia'!$B$6,0)),0),"")</f>
        <v>5</v>
      </c>
      <c r="G290" s="27" t="n">
        <f aca="false">IFERROR(ROUND((IF(OR(INDEX('Parametri Modello'!$C$39:$C$42,MATCH($B290,'Parametri Modello'!$A$39:$A$42,0))="",INDEX('Parametri Modello'!$C$39:$C$42,MATCH($B290,'Parametri Modello'!$A$39:$A$42,0))=0),0,($O290/INDEX('Parametri Modello'!$C$39:$C$42,MATCH($B290,'Parametri Modello'!$A$39:$A$42,0)))*(INDEX('Parametri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4</v>
      </c>
      <c r="H290" s="27" t="n">
        <f aca="false">IFERROR(ROUND((IF(OR(INDEX('Parametri Modello'!$C$39:$C$42,MATCH($B290,'Parametri Modello'!$A$39:$A$42,0))="",INDEX('Parametri Modello'!$C$39:$C$42,MATCH($B290,'Parametri Modello'!$A$39:$A$42,0))=0),0,($O290/INDEX('Parametri Modello'!$C$39:$C$42,MATCH($B290,'Parametri Modello'!$A$39:$A$42,0)))*(INDEX('Parametri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6</v>
      </c>
      <c r="I290" s="26" t="str">
        <f aca="false">IFERROR(INDEX('Input Statistiche 2025_26'!$F$3:$F$665,MATCH($A290,'Input Statistiche 2025_26'!$A$3:$A$665,0)),"")</f>
        <v/>
      </c>
      <c r="J290" s="26" t="str">
        <f aca="false">IFERROR(IF($I290="","",MAX(0,38-$I290)),"")</f>
        <v/>
      </c>
      <c r="K290" s="26" t="str">
        <f aca="false">IFERROR(INDEX('Input Statistiche 2025_26'!$I$3:$I$665,MATCH($A290,'Input Statistiche 2025_26'!$A$3:$A$665,0)),"")</f>
        <v/>
      </c>
      <c r="L290" s="26" t="str">
        <f aca="false">IFERROR(INDEX('Input Statistiche 2025_26'!$O$3:$O$665,MATCH($A290,'Input Statistiche 2025_26'!$A$3:$A$665,0)),"")</f>
        <v/>
      </c>
      <c r="M290" s="28"/>
      <c r="N290" s="27" t="n">
        <f aca="false">IFERROR(INDEX('Input Giocatori 2026_27'!$E$3:$E$493,MATCH($A290,'Input Giocatori 2026_27'!$A$3:$A$493,0)),"")</f>
        <v>5</v>
      </c>
      <c r="O290" s="27" t="n">
        <f aca="false">IFERROR(INDEX('Input Giocatori 2026_27'!$G$3:$G$493,MATCH($A290,'Input Giocatori 2026_27'!$A$3:$A$493,0)),"")</f>
        <v>11</v>
      </c>
      <c r="P290" s="26" t="str">
        <f aca="false">IFERROR(IF($O290="","",IF((1-(COUNTIFS($B$2:$B$492,$B290,$O$2:$O$492,"&gt;"&amp;$O290)+1-1)/COUNTIF($B$2:$B$492,$B290))&gt;=0.85,"Top",IF((1-(COUNTIFS($B$2:$B$492,$B290,$O$2:$O$492,"&gt;"&amp;$O290)+1-1)/COUNTIF($B$2:$B$492,$B290))&gt;=0.6,"Buono",IF((1-(COUNTIFS($B$2:$B$492,$B290,$O$2:$O$492,"&gt;"&amp;$O290)+1-1)/COUNTIF($B$2:$B$492,$B290))&gt;=0.3,"Nella Media","Scommessa/Riserva")))),"")</f>
        <v>Nella Media</v>
      </c>
      <c r="Q290" s="29" t="n">
        <f aca="false">IF($D290="",COUNTIF($D$2:$D290,""),"")</f>
        <v>289</v>
      </c>
      <c r="R290" s="29" t="str">
        <f aca="false">IF($D290='Info Lega'!$B$28,COUNTIFS($D$2:$D290,'Info Lega'!$B$28),"")</f>
        <v/>
      </c>
      <c r="S290" s="30" t="str">
        <f aca="false">IFERROR(INDEX('Input Statistiche 2025_26'!$G$3:$G$665,MATCH($A290,'Input Statistiche 2025_26'!$A$3:$A$665,0)),"")</f>
        <v/>
      </c>
      <c r="T290" s="30" t="str">
        <f aca="false">IFERROR(INDEX('Input Statistiche 2025_26'!$H$3:$H$665,MATCH($A290,'Input Statistiche 2025_26'!$A$3:$A$665,0)),"")</f>
        <v/>
      </c>
      <c r="U290" s="26" t="str">
        <f aca="false">IF(OR('La Mia Rosa'!$O$12="",$D290&lt;&gt;""),"",IF($F290&lt;='La Mia Rosa'!$O$12*'Parametri Modello'!$B$24,"OK",IF($F290&lt;='La Mia Rosa'!$O$12*'Parametri Modello'!$B$25,"Attenzione","Rischio Alto")))</f>
        <v>OK</v>
      </c>
      <c r="V290" s="26" t="n">
        <f aca="false">IFERROR(COUNTIFS($B$2:$B$492,$B290,$O$2:$O$492,"&gt;"&amp;$O290)+1,"")</f>
        <v>90</v>
      </c>
      <c r="W290" s="21" t="n">
        <f aca="false">'Info Lega'!$B$4-SUMIFS($M$2:$M$492,$D$2:$D$492,'Info Lega'!$B$28)</f>
        <v>1000</v>
      </c>
      <c r="X290" s="21" t="n">
        <f aca="false">('Info Lega'!$B$5-COUNTIFS($D$2:$D$492,'Info Lega'!$B$28,$B$2:$B$492,"P"))+('Info Lega'!$B$6-COUNTIFS($D$2:$D$492,'Info Lega'!$B$28,$B$2:$B$492,"D"))+('Info Lega'!$B$7-COUNTIFS($D$2:$D$492,'Info Lega'!$B$28,$B$2:$B$492,"C"))+('Info Lega'!$B$8-COUNTIFS($D$2:$D$492,'Info Lega'!$B$28,$B$2:$B$492,"A"))</f>
        <v>25</v>
      </c>
      <c r="Y290" s="21" t="n">
        <f aca="false">X290*'Parametri Modello'!$B$30</f>
        <v>25</v>
      </c>
      <c r="Z290" s="21" t="n">
        <f aca="false">MAX(0,W290-Y290)</f>
        <v>975</v>
      </c>
      <c r="AA290" s="21" t="n">
        <f aca="false">MIN(F290,Z290)</f>
        <v>5</v>
      </c>
      <c r="AB290" s="21"/>
      <c r="AC290" s="21" t="str">
        <f aca="false">IF(AB290="","",IF(AB290&gt;AA290,"PASS",IF(AB290&lt;=AA290*0.85,"BID","ATTENZIONE")))</f>
        <v/>
      </c>
      <c r="AD290" s="31" t="str">
        <f aca="false">IF(I290="","",ROUND(100*(1-EXP(-I290/30)),0))</f>
        <v/>
      </c>
      <c r="AE290" s="7" t="str">
        <f aca="false">IFERROR(INDEX('Stato Asta'!$G$9:$G$12,MATCH($B290,'Stato Asta'!$A$9:$A$12,0)),"")</f>
        <v>🟡 Attesa rischiosa</v>
      </c>
    </row>
    <row r="291" customFormat="false" ht="14.25" hidden="false" customHeight="true" outlineLevel="0" collapsed="false">
      <c r="A291" s="21" t="n">
        <v>5695</v>
      </c>
      <c r="B291" s="21" t="s">
        <v>44</v>
      </c>
      <c r="C291" s="21" t="s">
        <v>280</v>
      </c>
      <c r="E291" s="26" t="str">
        <f aca="false">IF(COUNTIF('Info Strategia'!$D$2:$D$51,$C291)&gt;0,"SI","NO")</f>
        <v>NO</v>
      </c>
      <c r="F291" s="27" t="n">
        <f aca="false">IFERROR(ROUND(($G291+($H291-$G291)*'Info Strategia'!$B$6)*(1+IF($E291="SI",'Parametri Modello'!$B$7*'Info Strategia'!$B$6,0)),0),"")</f>
        <v>5</v>
      </c>
      <c r="G291" s="27" t="n">
        <f aca="false">IFERROR(ROUND((IF(OR(INDEX('Parametri Modello'!$C$39:$C$42,MATCH($B291,'Parametri Modello'!$A$39:$A$42,0))="",INDEX('Parametri Modello'!$C$39:$C$42,MATCH($B291,'Parametri Modello'!$A$39:$A$42,0))=0),0,($O291/INDEX('Parametri Modello'!$C$39:$C$42,MATCH($B291,'Parametri Modello'!$A$39:$A$42,0)))*(INDEX('Parametri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4</v>
      </c>
      <c r="H291" s="27" t="n">
        <f aca="false">IFERROR(ROUND((IF(OR(INDEX('Parametri Modello'!$C$39:$C$42,MATCH($B291,'Parametri Modello'!$A$39:$A$42,0))="",INDEX('Parametri Modello'!$C$39:$C$42,MATCH($B291,'Parametri Modello'!$A$39:$A$42,0))=0),0,($O291/INDEX('Parametri Modello'!$C$39:$C$42,MATCH($B291,'Parametri Modello'!$A$39:$A$42,0)))*(INDEX('Parametri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6</v>
      </c>
      <c r="I291" s="26" t="str">
        <f aca="false">IFERROR(INDEX('Input Statistiche 2025_26'!$F$3:$F$665,MATCH($A291,'Input Statistiche 2025_26'!$A$3:$A$665,0)),"")</f>
        <v/>
      </c>
      <c r="J291" s="26" t="str">
        <f aca="false">IFERROR(IF($I291="","",MAX(0,38-$I291)),"")</f>
        <v/>
      </c>
      <c r="K291" s="26" t="str">
        <f aca="false">IFERROR(INDEX('Input Statistiche 2025_26'!$I$3:$I$665,MATCH($A291,'Input Statistiche 2025_26'!$A$3:$A$665,0)),"")</f>
        <v/>
      </c>
      <c r="L291" s="26" t="str">
        <f aca="false">IFERROR(INDEX('Input Statistiche 2025_26'!$O$3:$O$665,MATCH($A291,'Input Statistiche 2025_26'!$A$3:$A$665,0)),"")</f>
        <v/>
      </c>
      <c r="M291" s="28"/>
      <c r="N291" s="27" t="n">
        <f aca="false">IFERROR(INDEX('Input Giocatori 2026_27'!$E$3:$E$493,MATCH($A291,'Input Giocatori 2026_27'!$A$3:$A$493,0)),"")</f>
        <v>5</v>
      </c>
      <c r="O291" s="27" t="n">
        <f aca="false">IFERROR(INDEX('Input Giocatori 2026_27'!$G$3:$G$493,MATCH($A291,'Input Giocatori 2026_27'!$A$3:$A$493,0)),"")</f>
        <v>11</v>
      </c>
      <c r="P291" s="26" t="str">
        <f aca="false">IFERROR(IF($O291="","",IF((1-(COUNTIFS($B$2:$B$492,$B291,$O$2:$O$492,"&gt;"&amp;$O291)+1-1)/COUNTIF($B$2:$B$492,$B291))&gt;=0.85,"Top",IF((1-(COUNTIFS($B$2:$B$492,$B291,$O$2:$O$492,"&gt;"&amp;$O291)+1-1)/COUNTIF($B$2:$B$492,$B291))&gt;=0.6,"Buono",IF((1-(COUNTIFS($B$2:$B$492,$B291,$O$2:$O$492,"&gt;"&amp;$O291)+1-1)/COUNTIF($B$2:$B$492,$B291))&gt;=0.3,"Nella Media","Scommessa/Riserva")))),"")</f>
        <v>Nella Media</v>
      </c>
      <c r="Q291" s="29" t="n">
        <f aca="false">IF($D291="",COUNTIF($D$2:$D291,""),"")</f>
        <v>290</v>
      </c>
      <c r="R291" s="29" t="str">
        <f aca="false">IF($D291='Info Lega'!$B$28,COUNTIFS($D$2:$D291,'Info Lega'!$B$28),"")</f>
        <v/>
      </c>
      <c r="S291" s="30" t="str">
        <f aca="false">IFERROR(INDEX('Input Statistiche 2025_26'!$G$3:$G$665,MATCH($A291,'Input Statistiche 2025_26'!$A$3:$A$665,0)),"")</f>
        <v/>
      </c>
      <c r="T291" s="30" t="str">
        <f aca="false">IFERROR(INDEX('Input Statistiche 2025_26'!$H$3:$H$665,MATCH($A291,'Input Statistiche 2025_26'!$A$3:$A$665,0)),"")</f>
        <v/>
      </c>
      <c r="U291" s="26" t="str">
        <f aca="false">IF(OR('La Mia Rosa'!$O$12="",$D291&lt;&gt;""),"",IF($F291&lt;='La Mia Rosa'!$O$12*'Parametri Modello'!$B$24,"OK",IF($F291&lt;='La Mia Rosa'!$O$12*'Parametri Modello'!$B$25,"Attenzione","Rischio Alto")))</f>
        <v>OK</v>
      </c>
      <c r="V291" s="26" t="n">
        <f aca="false">IFERROR(COUNTIFS($B$2:$B$492,$B291,$O$2:$O$492,"&gt;"&amp;$O291)+1,"")</f>
        <v>90</v>
      </c>
      <c r="W291" s="21" t="n">
        <f aca="false">'Info Lega'!$B$4-SUMIFS($M$2:$M$492,$D$2:$D$492,'Info Lega'!$B$28)</f>
        <v>1000</v>
      </c>
      <c r="X291" s="21" t="n">
        <f aca="false">('Info Lega'!$B$5-COUNTIFS($D$2:$D$492,'Info Lega'!$B$28,$B$2:$B$492,"P"))+('Info Lega'!$B$6-COUNTIFS($D$2:$D$492,'Info Lega'!$B$28,$B$2:$B$492,"D"))+('Info Lega'!$B$7-COUNTIFS($D$2:$D$492,'Info Lega'!$B$28,$B$2:$B$492,"C"))+('Info Lega'!$B$8-COUNTIFS($D$2:$D$492,'Info Lega'!$B$28,$B$2:$B$492,"A"))</f>
        <v>25</v>
      </c>
      <c r="Y291" s="21" t="n">
        <f aca="false">X291*'Parametri Modello'!$B$30</f>
        <v>25</v>
      </c>
      <c r="Z291" s="21" t="n">
        <f aca="false">MAX(0,W291-Y291)</f>
        <v>975</v>
      </c>
      <c r="AA291" s="21" t="n">
        <f aca="false">MIN(F291,Z291)</f>
        <v>5</v>
      </c>
      <c r="AB291" s="21"/>
      <c r="AC291" s="21" t="str">
        <f aca="false">IF(AB291="","",IF(AB291&gt;AA291,"PASS",IF(AB291&lt;=AA291*0.85,"BID","ATTENZIONE")))</f>
        <v/>
      </c>
      <c r="AD291" s="31" t="str">
        <f aca="false">IF(I291="","",ROUND(100*(1-EXP(-I291/30)),0))</f>
        <v/>
      </c>
      <c r="AE291" s="7" t="str">
        <f aca="false">IFERROR(INDEX('Stato Asta'!$G$9:$G$12,MATCH($B291,'Stato Asta'!$A$9:$A$12,0)),"")</f>
        <v>🟡 Attesa rischiosa</v>
      </c>
    </row>
    <row r="292" customFormat="false" ht="14.25" hidden="false" customHeight="true" outlineLevel="0" collapsed="false">
      <c r="A292" s="21" t="n">
        <v>2115</v>
      </c>
      <c r="B292" s="21" t="s">
        <v>44</v>
      </c>
      <c r="C292" s="21" t="s">
        <v>288</v>
      </c>
      <c r="E292" s="26" t="str">
        <f aca="false">IF(COUNTIF('Info Strategia'!$D$2:$D$51,$C292)&gt;0,"SI","NO")</f>
        <v>NO</v>
      </c>
      <c r="F292" s="27" t="n">
        <f aca="false">IFERROR(ROUND(($G292+($H292-$G292)*'Info Strategia'!$B$6)*(1+IF($E292="SI",'Parametri Modello'!$B$7*'Info Strategia'!$B$6,0)),0),"")</f>
        <v>5</v>
      </c>
      <c r="G292" s="27" t="n">
        <f aca="false">IFERROR(ROUND((IF(OR(INDEX('Parametri Modello'!$C$39:$C$42,MATCH($B292,'Parametri Modello'!$A$39:$A$42,0))="",INDEX('Parametri Modello'!$C$39:$C$42,MATCH($B292,'Parametri Modello'!$A$39:$A$42,0))=0),0,($O292/INDEX('Parametri Modello'!$C$39:$C$42,MATCH($B292,'Parametri Modello'!$A$39:$A$42,0)))*(INDEX('Parametri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4</v>
      </c>
      <c r="H292" s="27" t="n">
        <f aca="false">IFERROR(ROUND((IF(OR(INDEX('Parametri Modello'!$C$39:$C$42,MATCH($B292,'Parametri Modello'!$A$39:$A$42,0))="",INDEX('Parametri Modello'!$C$39:$C$42,MATCH($B292,'Parametri Modello'!$A$39:$A$42,0))=0),0,($O292/INDEX('Parametri Modello'!$C$39:$C$42,MATCH($B292,'Parametri Modello'!$A$39:$A$42,0)))*(INDEX('Parametri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6</v>
      </c>
      <c r="I292" s="26" t="str">
        <f aca="false">IFERROR(INDEX('Input Statistiche 2025_26'!$F$3:$F$665,MATCH($A292,'Input Statistiche 2025_26'!$A$3:$A$665,0)),"")</f>
        <v/>
      </c>
      <c r="J292" s="26" t="str">
        <f aca="false">IFERROR(IF($I292="","",MAX(0,38-$I292)),"")</f>
        <v/>
      </c>
      <c r="K292" s="26" t="str">
        <f aca="false">IFERROR(INDEX('Input Statistiche 2025_26'!$I$3:$I$665,MATCH($A292,'Input Statistiche 2025_26'!$A$3:$A$665,0)),"")</f>
        <v/>
      </c>
      <c r="L292" s="26" t="str">
        <f aca="false">IFERROR(INDEX('Input Statistiche 2025_26'!$O$3:$O$665,MATCH($A292,'Input Statistiche 2025_26'!$A$3:$A$665,0)),"")</f>
        <v/>
      </c>
      <c r="M292" s="28"/>
      <c r="N292" s="27" t="n">
        <f aca="false">IFERROR(INDEX('Input Giocatori 2026_27'!$E$3:$E$493,MATCH($A292,'Input Giocatori 2026_27'!$A$3:$A$493,0)),"")</f>
        <v>4</v>
      </c>
      <c r="O292" s="27" t="n">
        <f aca="false">IFERROR(INDEX('Input Giocatori 2026_27'!$G$3:$G$493,MATCH($A292,'Input Giocatori 2026_27'!$A$3:$A$493,0)),"")</f>
        <v>11</v>
      </c>
      <c r="P292" s="26" t="str">
        <f aca="false">IFERROR(IF($O292="","",IF((1-(COUNTIFS($B$2:$B$492,$B292,$O$2:$O$492,"&gt;"&amp;$O292)+1-1)/COUNTIF($B$2:$B$492,$B292))&gt;=0.85,"Top",IF((1-(COUNTIFS($B$2:$B$492,$B292,$O$2:$O$492,"&gt;"&amp;$O292)+1-1)/COUNTIF($B$2:$B$492,$B292))&gt;=0.6,"Buono",IF((1-(COUNTIFS($B$2:$B$492,$B292,$O$2:$O$492,"&gt;"&amp;$O292)+1-1)/COUNTIF($B$2:$B$492,$B292))&gt;=0.3,"Nella Media","Scommessa/Riserva")))),"")</f>
        <v>Nella Media</v>
      </c>
      <c r="Q292" s="29" t="n">
        <f aca="false">IF($D292="",COUNTIF($D$2:$D292,""),"")</f>
        <v>291</v>
      </c>
      <c r="R292" s="29" t="str">
        <f aca="false">IF($D292='Info Lega'!$B$28,COUNTIFS($D$2:$D292,'Info Lega'!$B$28),"")</f>
        <v/>
      </c>
      <c r="S292" s="30" t="str">
        <f aca="false">IFERROR(INDEX('Input Statistiche 2025_26'!$G$3:$G$665,MATCH($A292,'Input Statistiche 2025_26'!$A$3:$A$665,0)),"")</f>
        <v/>
      </c>
      <c r="T292" s="30" t="str">
        <f aca="false">IFERROR(INDEX('Input Statistiche 2025_26'!$H$3:$H$665,MATCH($A292,'Input Statistiche 2025_26'!$A$3:$A$665,0)),"")</f>
        <v/>
      </c>
      <c r="U292" s="26" t="str">
        <f aca="false">IF(OR('La Mia Rosa'!$O$12="",$D292&lt;&gt;""),"",IF($F292&lt;='La Mia Rosa'!$O$12*'Parametri Modello'!$B$24,"OK",IF($F292&lt;='La Mia Rosa'!$O$12*'Parametri Modello'!$B$25,"Attenzione","Rischio Alto")))</f>
        <v>OK</v>
      </c>
      <c r="V292" s="26" t="n">
        <f aca="false">IFERROR(COUNTIFS($B$2:$B$492,$B292,$O$2:$O$492,"&gt;"&amp;$O292)+1,"")</f>
        <v>90</v>
      </c>
      <c r="W292" s="21" t="n">
        <f aca="false">'Info Lega'!$B$4-SUMIFS($M$2:$M$492,$D$2:$D$492,'Info Lega'!$B$28)</f>
        <v>1000</v>
      </c>
      <c r="X292" s="21" t="n">
        <f aca="false">('Info Lega'!$B$5-COUNTIFS($D$2:$D$492,'Info Lega'!$B$28,$B$2:$B$492,"P"))+('Info Lega'!$B$6-COUNTIFS($D$2:$D$492,'Info Lega'!$B$28,$B$2:$B$492,"D"))+('Info Lega'!$B$7-COUNTIFS($D$2:$D$492,'Info Lega'!$B$28,$B$2:$B$492,"C"))+('Info Lega'!$B$8-COUNTIFS($D$2:$D$492,'Info Lega'!$B$28,$B$2:$B$492,"A"))</f>
        <v>25</v>
      </c>
      <c r="Y292" s="21" t="n">
        <f aca="false">X292*'Parametri Modello'!$B$30</f>
        <v>25</v>
      </c>
      <c r="Z292" s="21" t="n">
        <f aca="false">MAX(0,W292-Y292)</f>
        <v>975</v>
      </c>
      <c r="AA292" s="21" t="n">
        <f aca="false">MIN(F292,Z292)</f>
        <v>5</v>
      </c>
      <c r="AB292" s="21"/>
      <c r="AC292" s="21" t="str">
        <f aca="false">IF(AB292="","",IF(AB292&gt;AA292,"PASS",IF(AB292&lt;=AA292*0.85,"BID","ATTENZIONE")))</f>
        <v/>
      </c>
      <c r="AD292" s="31" t="str">
        <f aca="false">IF(I292="","",ROUND(100*(1-EXP(-I292/30)),0))</f>
        <v/>
      </c>
      <c r="AE292" s="7" t="str">
        <f aca="false">IFERROR(INDEX('Stato Asta'!$G$9:$G$12,MATCH($B292,'Stato Asta'!$A$9:$A$12,0)),"")</f>
        <v>🟡 Attesa rischiosa</v>
      </c>
    </row>
    <row r="293" customFormat="false" ht="14.25" hidden="false" customHeight="true" outlineLevel="0" collapsed="false">
      <c r="A293" s="21" t="n">
        <v>4856</v>
      </c>
      <c r="B293" s="21" t="s">
        <v>45</v>
      </c>
      <c r="C293" s="21" t="s">
        <v>441</v>
      </c>
      <c r="E293" s="26" t="str">
        <f aca="false">IF(COUNTIF('Info Strategia'!$D$2:$D$51,$C293)&gt;0,"SI","NO")</f>
        <v>NO</v>
      </c>
      <c r="F293" s="27" t="n">
        <f aca="false">IFERROR(ROUND(($G293+($H293-$G293)*'Info Strategia'!$B$6)*(1+IF($E293="SI",'Parametri Modello'!$B$7*'Info Strategia'!$B$6,0)),0),"")</f>
        <v>6</v>
      </c>
      <c r="G293" s="27" t="n">
        <f aca="false">IFERROR(ROUND((IF(OR(INDEX('Parametri Modello'!$C$39:$C$42,MATCH($B293,'Parametri Modello'!$A$39:$A$42,0))="",INDEX('Parametri Modello'!$C$39:$C$42,MATCH($B293,'Parametri Modello'!$A$39:$A$42,0))=0),0,($O293/INDEX('Parametri Modello'!$C$39:$C$42,MATCH($B293,'Parametri Modello'!$A$39:$A$42,0)))*(INDEX('Parametri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4</v>
      </c>
      <c r="H293" s="27" t="n">
        <f aca="false">IFERROR(ROUND((IF(OR(INDEX('Parametri Modello'!$C$39:$C$42,MATCH($B293,'Parametri Modello'!$A$39:$A$42,0))="",INDEX('Parametri Modello'!$C$39:$C$42,MATCH($B293,'Parametri Modello'!$A$39:$A$42,0))=0),0,($O293/INDEX('Parametri Modello'!$C$39:$C$42,MATCH($B293,'Parametri Modello'!$A$39:$A$42,0)))*(INDEX('Parametri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7</v>
      </c>
      <c r="I293" s="26" t="n">
        <f aca="false">IFERROR(INDEX('Input Statistiche 2025_26'!$F$3:$F$665,MATCH($A293,'Input Statistiche 2025_26'!$A$3:$A$665,0)),"")</f>
        <v>1</v>
      </c>
      <c r="J293" s="26" t="n">
        <f aca="false">IFERROR(IF($I293="","",MAX(0,38-$I293)),"")</f>
        <v>37</v>
      </c>
      <c r="K293" s="26" t="n">
        <f aca="false">IFERROR(INDEX('Input Statistiche 2025_26'!$I$3:$I$665,MATCH($A293,'Input Statistiche 2025_26'!$A$3:$A$665,0)),"")</f>
        <v>0</v>
      </c>
      <c r="L293" s="26" t="n">
        <f aca="false">IFERROR(INDEX('Input Statistiche 2025_26'!$O$3:$O$665,MATCH($A293,'Input Statistiche 2025_26'!$A$3:$A$665,0)),"")</f>
        <v>0</v>
      </c>
      <c r="M293" s="28"/>
      <c r="N293" s="27" t="n">
        <f aca="false">IFERROR(INDEX('Input Giocatori 2026_27'!$E$3:$E$493,MATCH($A293,'Input Giocatori 2026_27'!$A$3:$A$493,0)),"")</f>
        <v>6</v>
      </c>
      <c r="O293" s="27" t="n">
        <f aca="false">IFERROR(INDEX('Input Giocatori 2026_27'!$G$3:$G$493,MATCH($A293,'Input Giocatori 2026_27'!$A$3:$A$493,0)),"")</f>
        <v>11</v>
      </c>
      <c r="P293" s="26" t="str">
        <f aca="false">IFERROR(IF($O293="","",IF((1-(COUNTIFS($B$2:$B$492,$B293,$O$2:$O$492,"&gt;"&amp;$O293)+1-1)/COUNTIF($B$2:$B$492,$B293))&gt;=0.85,"Top",IF((1-(COUNTIFS($B$2:$B$492,$B293,$O$2:$O$492,"&gt;"&amp;$O293)+1-1)/COUNTIF($B$2:$B$492,$B293))&gt;=0.6,"Buono",IF((1-(COUNTIFS($B$2:$B$492,$B293,$O$2:$O$492,"&gt;"&amp;$O293)+1-1)/COUNTIF($B$2:$B$492,$B293))&gt;=0.3,"Nella Media","Scommessa/Riserva")))),"")</f>
        <v>Nella Media</v>
      </c>
      <c r="Q293" s="29" t="n">
        <f aca="false">IF($D293="",COUNTIF($D$2:$D293,""),"")</f>
        <v>292</v>
      </c>
      <c r="R293" s="29" t="str">
        <f aca="false">IF($D293='Info Lega'!$B$28,COUNTIFS($D$2:$D293,'Info Lega'!$B$28),"")</f>
        <v/>
      </c>
      <c r="S293" s="30" t="n">
        <f aca="false">IFERROR(INDEX('Input Statistiche 2025_26'!$G$3:$G$665,MATCH($A293,'Input Statistiche 2025_26'!$A$3:$A$665,0)),"")</f>
        <v>5.5</v>
      </c>
      <c r="T293" s="30" t="n">
        <f aca="false">IFERROR(INDEX('Input Statistiche 2025_26'!$H$3:$H$665,MATCH($A293,'Input Statistiche 2025_26'!$A$3:$A$665,0)),"")</f>
        <v>5.5</v>
      </c>
      <c r="U293" s="26" t="str">
        <f aca="false">IF(OR('La Mia Rosa'!$O$12="",$D293&lt;&gt;""),"",IF($F293&lt;='La Mia Rosa'!$O$12*'Parametri Modello'!$B$24,"OK",IF($F293&lt;='La Mia Rosa'!$O$12*'Parametri Modello'!$B$25,"Attenzione","Rischio Alto")))</f>
        <v>OK</v>
      </c>
      <c r="V293" s="26" t="n">
        <f aca="false">IFERROR(COUNTIFS($B$2:$B$492,$B293,$O$2:$O$492,"&gt;"&amp;$O293)+1,"")</f>
        <v>115</v>
      </c>
      <c r="W293" s="21" t="n">
        <f aca="false">'Info Lega'!$B$4-SUMIFS($M$2:$M$492,$D$2:$D$492,'Info Lega'!$B$28)</f>
        <v>1000</v>
      </c>
      <c r="X293" s="21" t="n">
        <f aca="false">('Info Lega'!$B$5-COUNTIFS($D$2:$D$492,'Info Lega'!$B$28,$B$2:$B$492,"P"))+('Info Lega'!$B$6-COUNTIFS($D$2:$D$492,'Info Lega'!$B$28,$B$2:$B$492,"D"))+('Info Lega'!$B$7-COUNTIFS($D$2:$D$492,'Info Lega'!$B$28,$B$2:$B$492,"C"))+('Info Lega'!$B$8-COUNTIFS($D$2:$D$492,'Info Lega'!$B$28,$B$2:$B$492,"A"))</f>
        <v>25</v>
      </c>
      <c r="Y293" s="21" t="n">
        <f aca="false">X293*'Parametri Modello'!$B$30</f>
        <v>25</v>
      </c>
      <c r="Z293" s="21" t="n">
        <f aca="false">MAX(0,W293-Y293)</f>
        <v>975</v>
      </c>
      <c r="AA293" s="21" t="n">
        <f aca="false">MIN(F293,Z293)</f>
        <v>6</v>
      </c>
      <c r="AB293" s="21"/>
      <c r="AC293" s="21" t="str">
        <f aca="false">IF(AB293="","",IF(AB293&gt;AA293,"PASS",IF(AB293&lt;=AA293*0.85,"BID","ATTENZIONE")))</f>
        <v/>
      </c>
      <c r="AD293" s="31" t="n">
        <f aca="false">IF(I293="","",ROUND(100*(1-EXP(-I293/30)),0))</f>
        <v>3</v>
      </c>
      <c r="AE293" s="7" t="str">
        <f aca="false">IFERROR(INDEX('Stato Asta'!$G$9:$G$12,MATCH($B293,'Stato Asta'!$A$9:$A$12,0)),"")</f>
        <v>🟡 Attesa rischiosa</v>
      </c>
    </row>
    <row r="294" customFormat="false" ht="14.25" hidden="false" customHeight="true" outlineLevel="0" collapsed="false">
      <c r="A294" s="21" t="n">
        <v>2857</v>
      </c>
      <c r="B294" s="21" t="s">
        <v>45</v>
      </c>
      <c r="C294" s="21" t="s">
        <v>453</v>
      </c>
      <c r="E294" s="26" t="str">
        <f aca="false">IF(COUNTIF('Info Strategia'!$D$2:$D$51,$C294)&gt;0,"SI","NO")</f>
        <v>NO</v>
      </c>
      <c r="F294" s="27" t="n">
        <f aca="false">IFERROR(ROUND(($G294+($H294-$G294)*'Info Strategia'!$B$6)*(1+IF($E294="SI",'Parametri Modello'!$B$7*'Info Strategia'!$B$6,0)),0),"")</f>
        <v>6</v>
      </c>
      <c r="G294" s="27" t="n">
        <f aca="false">IFERROR(ROUND((IF(OR(INDEX('Parametri Modello'!$C$39:$C$42,MATCH($B294,'Parametri Modello'!$A$39:$A$42,0))="",INDEX('Parametri Modello'!$C$39:$C$42,MATCH($B294,'Parametri Modello'!$A$39:$A$42,0))=0),0,($O294/INDEX('Parametri Modello'!$C$39:$C$42,MATCH($B294,'Parametri Modello'!$A$39:$A$42,0)))*(INDEX('Parametri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4</v>
      </c>
      <c r="H294" s="27" t="n">
        <f aca="false">IFERROR(ROUND((IF(OR(INDEX('Parametri Modello'!$C$39:$C$42,MATCH($B294,'Parametri Modello'!$A$39:$A$42,0))="",INDEX('Parametri Modello'!$C$39:$C$42,MATCH($B294,'Parametri Modello'!$A$39:$A$42,0))=0),0,($O294/INDEX('Parametri Modello'!$C$39:$C$42,MATCH($B294,'Parametri Modello'!$A$39:$A$42,0)))*(INDEX('Parametri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7</v>
      </c>
      <c r="I294" s="26" t="str">
        <f aca="false">IFERROR(INDEX('Input Statistiche 2025_26'!$F$3:$F$665,MATCH($A294,'Input Statistiche 2025_26'!$A$3:$A$665,0)),"")</f>
        <v/>
      </c>
      <c r="J294" s="26" t="str">
        <f aca="false">IFERROR(IF($I294="","",MAX(0,38-$I294)),"")</f>
        <v/>
      </c>
      <c r="K294" s="26" t="str">
        <f aca="false">IFERROR(INDEX('Input Statistiche 2025_26'!$I$3:$I$665,MATCH($A294,'Input Statistiche 2025_26'!$A$3:$A$665,0)),"")</f>
        <v/>
      </c>
      <c r="L294" s="26" t="str">
        <f aca="false">IFERROR(INDEX('Input Statistiche 2025_26'!$O$3:$O$665,MATCH($A294,'Input Statistiche 2025_26'!$A$3:$A$665,0)),"")</f>
        <v/>
      </c>
      <c r="M294" s="28"/>
      <c r="N294" s="27" t="n">
        <f aca="false">IFERROR(INDEX('Input Giocatori 2026_27'!$E$3:$E$493,MATCH($A294,'Input Giocatori 2026_27'!$A$3:$A$493,0)),"")</f>
        <v>5</v>
      </c>
      <c r="O294" s="27" t="n">
        <f aca="false">IFERROR(INDEX('Input Giocatori 2026_27'!$G$3:$G$493,MATCH($A294,'Input Giocatori 2026_27'!$A$3:$A$493,0)),"")</f>
        <v>11</v>
      </c>
      <c r="P294" s="26" t="str">
        <f aca="false">IFERROR(IF($O294="","",IF((1-(COUNTIFS($B$2:$B$492,$B294,$O$2:$O$492,"&gt;"&amp;$O294)+1-1)/COUNTIF($B$2:$B$492,$B294))&gt;=0.85,"Top",IF((1-(COUNTIFS($B$2:$B$492,$B294,$O$2:$O$492,"&gt;"&amp;$O294)+1-1)/COUNTIF($B$2:$B$492,$B294))&gt;=0.6,"Buono",IF((1-(COUNTIFS($B$2:$B$492,$B294,$O$2:$O$492,"&gt;"&amp;$O294)+1-1)/COUNTIF($B$2:$B$492,$B294))&gt;=0.3,"Nella Media","Scommessa/Riserva")))),"")</f>
        <v>Nella Media</v>
      </c>
      <c r="Q294" s="29" t="n">
        <f aca="false">IF($D294="",COUNTIF($D$2:$D294,""),"")</f>
        <v>293</v>
      </c>
      <c r="R294" s="29" t="str">
        <f aca="false">IF($D294='Info Lega'!$B$28,COUNTIFS($D$2:$D294,'Info Lega'!$B$28),"")</f>
        <v/>
      </c>
      <c r="S294" s="30" t="str">
        <f aca="false">IFERROR(INDEX('Input Statistiche 2025_26'!$G$3:$G$665,MATCH($A294,'Input Statistiche 2025_26'!$A$3:$A$665,0)),"")</f>
        <v/>
      </c>
      <c r="T294" s="30" t="str">
        <f aca="false">IFERROR(INDEX('Input Statistiche 2025_26'!$H$3:$H$665,MATCH($A294,'Input Statistiche 2025_26'!$A$3:$A$665,0)),"")</f>
        <v/>
      </c>
      <c r="U294" s="26" t="str">
        <f aca="false">IF(OR('La Mia Rosa'!$O$12="",$D294&lt;&gt;""),"",IF($F294&lt;='La Mia Rosa'!$O$12*'Parametri Modello'!$B$24,"OK",IF($F294&lt;='La Mia Rosa'!$O$12*'Parametri Modello'!$B$25,"Attenzione","Rischio Alto")))</f>
        <v>OK</v>
      </c>
      <c r="V294" s="26" t="n">
        <f aca="false">IFERROR(COUNTIFS($B$2:$B$492,$B294,$O$2:$O$492,"&gt;"&amp;$O294)+1,"")</f>
        <v>115</v>
      </c>
      <c r="W294" s="21" t="n">
        <f aca="false">'Info Lega'!$B$4-SUMIFS($M$2:$M$492,$D$2:$D$492,'Info Lega'!$B$28)</f>
        <v>1000</v>
      </c>
      <c r="X294" s="21" t="n">
        <f aca="false">('Info Lega'!$B$5-COUNTIFS($D$2:$D$492,'Info Lega'!$B$28,$B$2:$B$492,"P"))+('Info Lega'!$B$6-COUNTIFS($D$2:$D$492,'Info Lega'!$B$28,$B$2:$B$492,"D"))+('Info Lega'!$B$7-COUNTIFS($D$2:$D$492,'Info Lega'!$B$28,$B$2:$B$492,"C"))+('Info Lega'!$B$8-COUNTIFS($D$2:$D$492,'Info Lega'!$B$28,$B$2:$B$492,"A"))</f>
        <v>25</v>
      </c>
      <c r="Y294" s="21" t="n">
        <f aca="false">X294*'Parametri Modello'!$B$30</f>
        <v>25</v>
      </c>
      <c r="Z294" s="21" t="n">
        <f aca="false">MAX(0,W294-Y294)</f>
        <v>975</v>
      </c>
      <c r="AA294" s="21" t="n">
        <f aca="false">MIN(F294,Z294)</f>
        <v>6</v>
      </c>
      <c r="AB294" s="21"/>
      <c r="AC294" s="21" t="str">
        <f aca="false">IF(AB294="","",IF(AB294&gt;AA294,"PASS",IF(AB294&lt;=AA294*0.85,"BID","ATTENZIONE")))</f>
        <v/>
      </c>
      <c r="AD294" s="31" t="str">
        <f aca="false">IF(I294="","",ROUND(100*(1-EXP(-I294/30)),0))</f>
        <v/>
      </c>
      <c r="AE294" s="7" t="str">
        <f aca="false">IFERROR(INDEX('Stato Asta'!$G$9:$G$12,MATCH($B294,'Stato Asta'!$A$9:$A$12,0)),"")</f>
        <v>🟡 Attesa rischiosa</v>
      </c>
    </row>
    <row r="295" customFormat="false" ht="14.25" hidden="false" customHeight="true" outlineLevel="0" collapsed="false">
      <c r="A295" s="21" t="n">
        <v>7473</v>
      </c>
      <c r="B295" s="21" t="s">
        <v>45</v>
      </c>
      <c r="C295" s="21" t="s">
        <v>476</v>
      </c>
      <c r="E295" s="26" t="str">
        <f aca="false">IF(COUNTIF('Info Strategia'!$D$2:$D$51,$C295)&gt;0,"SI","NO")</f>
        <v>NO</v>
      </c>
      <c r="F295" s="27" t="n">
        <f aca="false">IFERROR(ROUND(($G295+($H295-$G295)*'Info Strategia'!$B$6)*(1+IF($E295="SI",'Parametri Modello'!$B$7*'Info Strategia'!$B$6,0)),0),"")</f>
        <v>6</v>
      </c>
      <c r="G295" s="27" t="n">
        <f aca="false">IFERROR(ROUND((IF(OR(INDEX('Parametri Modello'!$C$39:$C$42,MATCH($B295,'Parametri Modello'!$A$39:$A$42,0))="",INDEX('Parametri Modello'!$C$39:$C$42,MATCH($B295,'Parametri Modello'!$A$39:$A$42,0))=0),0,($O295/INDEX('Parametri Modello'!$C$39:$C$42,MATCH($B295,'Parametri Modello'!$A$39:$A$42,0)))*(INDEX('Parametri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4</v>
      </c>
      <c r="H295" s="27" t="n">
        <f aca="false">IFERROR(ROUND((IF(OR(INDEX('Parametri Modello'!$C$39:$C$42,MATCH($B295,'Parametri Modello'!$A$39:$A$42,0))="",INDEX('Parametri Modello'!$C$39:$C$42,MATCH($B295,'Parametri Modello'!$A$39:$A$42,0))=0),0,($O295/INDEX('Parametri Modello'!$C$39:$C$42,MATCH($B295,'Parametri Modello'!$A$39:$A$42,0)))*(INDEX('Parametri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7</v>
      </c>
      <c r="I295" s="26" t="str">
        <f aca="false">IFERROR(INDEX('Input Statistiche 2025_26'!$F$3:$F$665,MATCH($A295,'Input Statistiche 2025_26'!$A$3:$A$665,0)),"")</f>
        <v/>
      </c>
      <c r="J295" s="26" t="str">
        <f aca="false">IFERROR(IF($I295="","",MAX(0,38-$I295)),"")</f>
        <v/>
      </c>
      <c r="K295" s="26" t="str">
        <f aca="false">IFERROR(INDEX('Input Statistiche 2025_26'!$I$3:$I$665,MATCH($A295,'Input Statistiche 2025_26'!$A$3:$A$665,0)),"")</f>
        <v/>
      </c>
      <c r="L295" s="26" t="str">
        <f aca="false">IFERROR(INDEX('Input Statistiche 2025_26'!$O$3:$O$665,MATCH($A295,'Input Statistiche 2025_26'!$A$3:$A$665,0)),"")</f>
        <v/>
      </c>
      <c r="M295" s="28"/>
      <c r="N295" s="27" t="n">
        <f aca="false">IFERROR(INDEX('Input Giocatori 2026_27'!$E$3:$E$493,MATCH($A295,'Input Giocatori 2026_27'!$A$3:$A$493,0)),"")</f>
        <v>4</v>
      </c>
      <c r="O295" s="27" t="n">
        <f aca="false">IFERROR(INDEX('Input Giocatori 2026_27'!$G$3:$G$493,MATCH($A295,'Input Giocatori 2026_27'!$A$3:$A$493,0)),"")</f>
        <v>11</v>
      </c>
      <c r="P295" s="26" t="str">
        <f aca="false">IFERROR(IF($O295="","",IF((1-(COUNTIFS($B$2:$B$492,$B295,$O$2:$O$492,"&gt;"&amp;$O295)+1-1)/COUNTIF($B$2:$B$492,$B295))&gt;=0.85,"Top",IF((1-(COUNTIFS($B$2:$B$492,$B295,$O$2:$O$492,"&gt;"&amp;$O295)+1-1)/COUNTIF($B$2:$B$492,$B295))&gt;=0.6,"Buono",IF((1-(COUNTIFS($B$2:$B$492,$B295,$O$2:$O$492,"&gt;"&amp;$O295)+1-1)/COUNTIF($B$2:$B$492,$B295))&gt;=0.3,"Nella Media","Scommessa/Riserva")))),"")</f>
        <v>Nella Media</v>
      </c>
      <c r="Q295" s="29" t="n">
        <f aca="false">IF($D295="",COUNTIF($D$2:$D295,""),"")</f>
        <v>294</v>
      </c>
      <c r="R295" s="29" t="str">
        <f aca="false">IF($D295='Info Lega'!$B$28,COUNTIFS($D$2:$D295,'Info Lega'!$B$28),"")</f>
        <v/>
      </c>
      <c r="S295" s="30" t="str">
        <f aca="false">IFERROR(INDEX('Input Statistiche 2025_26'!$G$3:$G$665,MATCH($A295,'Input Statistiche 2025_26'!$A$3:$A$665,0)),"")</f>
        <v/>
      </c>
      <c r="T295" s="30" t="str">
        <f aca="false">IFERROR(INDEX('Input Statistiche 2025_26'!$H$3:$H$665,MATCH($A295,'Input Statistiche 2025_26'!$A$3:$A$665,0)),"")</f>
        <v/>
      </c>
      <c r="U295" s="26" t="str">
        <f aca="false">IF(OR('La Mia Rosa'!$O$12="",$D295&lt;&gt;""),"",IF($F295&lt;='La Mia Rosa'!$O$12*'Parametri Modello'!$B$24,"OK",IF($F295&lt;='La Mia Rosa'!$O$12*'Parametri Modello'!$B$25,"Attenzione","Rischio Alto")))</f>
        <v>OK</v>
      </c>
      <c r="V295" s="26" t="n">
        <f aca="false">IFERROR(COUNTIFS($B$2:$B$492,$B295,$O$2:$O$492,"&gt;"&amp;$O295)+1,"")</f>
        <v>115</v>
      </c>
      <c r="W295" s="21" t="n">
        <f aca="false">'Info Lega'!$B$4-SUMIFS($M$2:$M$492,$D$2:$D$492,'Info Lega'!$B$28)</f>
        <v>1000</v>
      </c>
      <c r="X295" s="21" t="n">
        <f aca="false">('Info Lega'!$B$5-COUNTIFS($D$2:$D$492,'Info Lega'!$B$28,$B$2:$B$492,"P"))+('Info Lega'!$B$6-COUNTIFS($D$2:$D$492,'Info Lega'!$B$28,$B$2:$B$492,"D"))+('Info Lega'!$B$7-COUNTIFS($D$2:$D$492,'Info Lega'!$B$28,$B$2:$B$492,"C"))+('Info Lega'!$B$8-COUNTIFS($D$2:$D$492,'Info Lega'!$B$28,$B$2:$B$492,"A"))</f>
        <v>25</v>
      </c>
      <c r="Y295" s="21" t="n">
        <f aca="false">X295*'Parametri Modello'!$B$30</f>
        <v>25</v>
      </c>
      <c r="Z295" s="21" t="n">
        <f aca="false">MAX(0,W295-Y295)</f>
        <v>975</v>
      </c>
      <c r="AA295" s="21" t="n">
        <f aca="false">MIN(F295,Z295)</f>
        <v>6</v>
      </c>
      <c r="AB295" s="21"/>
      <c r="AC295" s="21" t="str">
        <f aca="false">IF(AB295="","",IF(AB295&gt;AA295,"PASS",IF(AB295&lt;=AA295*0.85,"BID","ATTENZIONE")))</f>
        <v/>
      </c>
      <c r="AD295" s="31" t="str">
        <f aca="false">IF(I295="","",ROUND(100*(1-EXP(-I295/30)),0))</f>
        <v/>
      </c>
      <c r="AE295" s="7" t="str">
        <f aca="false">IFERROR(INDEX('Stato Asta'!$G$9:$G$12,MATCH($B295,'Stato Asta'!$A$9:$A$12,0)),"")</f>
        <v>🟡 Attesa rischiosa</v>
      </c>
    </row>
    <row r="296" customFormat="false" ht="14.25" hidden="false" customHeight="true" outlineLevel="0" collapsed="false">
      <c r="A296" s="21" t="n">
        <v>7341</v>
      </c>
      <c r="B296" s="21" t="s">
        <v>45</v>
      </c>
      <c r="C296" s="21" t="s">
        <v>478</v>
      </c>
      <c r="E296" s="26" t="str">
        <f aca="false">IF(COUNTIF('Info Strategia'!$D$2:$D$51,$C296)&gt;0,"SI","NO")</f>
        <v>NO</v>
      </c>
      <c r="F296" s="27" t="n">
        <f aca="false">IFERROR(ROUND(($G296+($H296-$G296)*'Info Strategia'!$B$6)*(1+IF($E296="SI",'Parametri Modello'!$B$7*'Info Strategia'!$B$6,0)),0),"")</f>
        <v>6</v>
      </c>
      <c r="G296" s="27" t="n">
        <f aca="false">IFERROR(ROUND((IF(OR(INDEX('Parametri Modello'!$C$39:$C$42,MATCH($B296,'Parametri Modello'!$A$39:$A$42,0))="",INDEX('Parametri Modello'!$C$39:$C$42,MATCH($B296,'Parametri Modello'!$A$39:$A$42,0))=0),0,($O296/INDEX('Parametri Modello'!$C$39:$C$42,MATCH($B296,'Parametri Modello'!$A$39:$A$42,0)))*(INDEX('Parametri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4</v>
      </c>
      <c r="H296" s="27" t="n">
        <f aca="false">IFERROR(ROUND((IF(OR(INDEX('Parametri Modello'!$C$39:$C$42,MATCH($B296,'Parametri Modello'!$A$39:$A$42,0))="",INDEX('Parametri Modello'!$C$39:$C$42,MATCH($B296,'Parametri Modello'!$A$39:$A$42,0))=0),0,($O296/INDEX('Parametri Modello'!$C$39:$C$42,MATCH($B296,'Parametri Modello'!$A$39:$A$42,0)))*(INDEX('Parametri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7</v>
      </c>
      <c r="I296" s="26" t="n">
        <f aca="false">IFERROR(INDEX('Input Statistiche 2025_26'!$F$3:$F$665,MATCH($A296,'Input Statistiche 2025_26'!$A$3:$A$665,0)),"")</f>
        <v>9</v>
      </c>
      <c r="J296" s="26" t="n">
        <f aca="false">IFERROR(IF($I296="","",MAX(0,38-$I296)),"")</f>
        <v>29</v>
      </c>
      <c r="K296" s="26" t="n">
        <f aca="false">IFERROR(INDEX('Input Statistiche 2025_26'!$I$3:$I$665,MATCH($A296,'Input Statistiche 2025_26'!$A$3:$A$665,0)),"")</f>
        <v>0</v>
      </c>
      <c r="L296" s="26" t="n">
        <f aca="false">IFERROR(INDEX('Input Statistiche 2025_26'!$O$3:$O$665,MATCH($A296,'Input Statistiche 2025_26'!$A$3:$A$665,0)),"")</f>
        <v>0</v>
      </c>
      <c r="M296" s="28"/>
      <c r="N296" s="27" t="n">
        <f aca="false">IFERROR(INDEX('Input Giocatori 2026_27'!$E$3:$E$493,MATCH($A296,'Input Giocatori 2026_27'!$A$3:$A$493,0)),"")</f>
        <v>4</v>
      </c>
      <c r="O296" s="27" t="n">
        <f aca="false">IFERROR(INDEX('Input Giocatori 2026_27'!$G$3:$G$493,MATCH($A296,'Input Giocatori 2026_27'!$A$3:$A$493,0)),"")</f>
        <v>11</v>
      </c>
      <c r="P296" s="26" t="str">
        <f aca="false">IFERROR(IF($O296="","",IF((1-(COUNTIFS($B$2:$B$492,$B296,$O$2:$O$492,"&gt;"&amp;$O296)+1-1)/COUNTIF($B$2:$B$492,$B296))&gt;=0.85,"Top",IF((1-(COUNTIFS($B$2:$B$492,$B296,$O$2:$O$492,"&gt;"&amp;$O296)+1-1)/COUNTIF($B$2:$B$492,$B296))&gt;=0.6,"Buono",IF((1-(COUNTIFS($B$2:$B$492,$B296,$O$2:$O$492,"&gt;"&amp;$O296)+1-1)/COUNTIF($B$2:$B$492,$B296))&gt;=0.3,"Nella Media","Scommessa/Riserva")))),"")</f>
        <v>Nella Media</v>
      </c>
      <c r="Q296" s="29" t="n">
        <f aca="false">IF($D296="",COUNTIF($D$2:$D296,""),"")</f>
        <v>295</v>
      </c>
      <c r="R296" s="29" t="str">
        <f aca="false">IF($D296='Info Lega'!$B$28,COUNTIFS($D$2:$D296,'Info Lega'!$B$28),"")</f>
        <v/>
      </c>
      <c r="S296" s="30" t="n">
        <f aca="false">IFERROR(INDEX('Input Statistiche 2025_26'!$G$3:$G$665,MATCH($A296,'Input Statistiche 2025_26'!$A$3:$A$665,0)),"")</f>
        <v>5.72</v>
      </c>
      <c r="T296" s="30" t="n">
        <f aca="false">IFERROR(INDEX('Input Statistiche 2025_26'!$H$3:$H$665,MATCH($A296,'Input Statistiche 2025_26'!$A$3:$A$665,0)),"")</f>
        <v>5.67</v>
      </c>
      <c r="U296" s="26" t="str">
        <f aca="false">IF(OR('La Mia Rosa'!$O$12="",$D296&lt;&gt;""),"",IF($F296&lt;='La Mia Rosa'!$O$12*'Parametri Modello'!$B$24,"OK",IF($F296&lt;='La Mia Rosa'!$O$12*'Parametri Modello'!$B$25,"Attenzione","Rischio Alto")))</f>
        <v>OK</v>
      </c>
      <c r="V296" s="26" t="n">
        <f aca="false">IFERROR(COUNTIFS($B$2:$B$492,$B296,$O$2:$O$492,"&gt;"&amp;$O296)+1,"")</f>
        <v>115</v>
      </c>
      <c r="W296" s="21" t="n">
        <f aca="false">'Info Lega'!$B$4-SUMIFS($M$2:$M$492,$D$2:$D$492,'Info Lega'!$B$28)</f>
        <v>1000</v>
      </c>
      <c r="X296" s="21" t="n">
        <f aca="false">('Info Lega'!$B$5-COUNTIFS($D$2:$D$492,'Info Lega'!$B$28,$B$2:$B$492,"P"))+('Info Lega'!$B$6-COUNTIFS($D$2:$D$492,'Info Lega'!$B$28,$B$2:$B$492,"D"))+('Info Lega'!$B$7-COUNTIFS($D$2:$D$492,'Info Lega'!$B$28,$B$2:$B$492,"C"))+('Info Lega'!$B$8-COUNTIFS($D$2:$D$492,'Info Lega'!$B$28,$B$2:$B$492,"A"))</f>
        <v>25</v>
      </c>
      <c r="Y296" s="21" t="n">
        <f aca="false">X296*'Parametri Modello'!$B$30</f>
        <v>25</v>
      </c>
      <c r="Z296" s="21" t="n">
        <f aca="false">MAX(0,W296-Y296)</f>
        <v>975</v>
      </c>
      <c r="AA296" s="21" t="n">
        <f aca="false">MIN(F296,Z296)</f>
        <v>6</v>
      </c>
      <c r="AB296" s="21"/>
      <c r="AC296" s="21" t="str">
        <f aca="false">IF(AB296="","",IF(AB296&gt;AA296,"PASS",IF(AB296&lt;=AA296*0.85,"BID","ATTENZIONE")))</f>
        <v/>
      </c>
      <c r="AD296" s="31" t="n">
        <f aca="false">IF(I296="","",ROUND(100*(1-EXP(-I296/30)),0))</f>
        <v>26</v>
      </c>
      <c r="AE296" s="7" t="str">
        <f aca="false">IFERROR(INDEX('Stato Asta'!$G$9:$G$12,MATCH($B296,'Stato Asta'!$A$9:$A$12,0)),"")</f>
        <v>🟡 Attesa rischiosa</v>
      </c>
    </row>
    <row r="297" customFormat="false" ht="14.25" hidden="false" customHeight="true" outlineLevel="0" collapsed="false">
      <c r="A297" s="21" t="n">
        <v>7322</v>
      </c>
      <c r="B297" s="21" t="s">
        <v>45</v>
      </c>
      <c r="C297" s="21" t="s">
        <v>482</v>
      </c>
      <c r="E297" s="26" t="str">
        <f aca="false">IF(COUNTIF('Info Strategia'!$D$2:$D$51,$C297)&gt;0,"SI","NO")</f>
        <v>NO</v>
      </c>
      <c r="F297" s="27" t="n">
        <f aca="false">IFERROR(ROUND(($G297+($H297-$G297)*'Info Strategia'!$B$6)*(1+IF($E297="SI",'Parametri Modello'!$B$7*'Info Strategia'!$B$6,0)),0),"")</f>
        <v>6</v>
      </c>
      <c r="G297" s="27" t="n">
        <f aca="false">IFERROR(ROUND((IF(OR(INDEX('Parametri Modello'!$C$39:$C$42,MATCH($B297,'Parametri Modello'!$A$39:$A$42,0))="",INDEX('Parametri Modello'!$C$39:$C$42,MATCH($B297,'Parametri Modello'!$A$39:$A$42,0))=0),0,($O297/INDEX('Parametri Modello'!$C$39:$C$42,MATCH($B297,'Parametri Modello'!$A$39:$A$42,0)))*(INDEX('Parametri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4</v>
      </c>
      <c r="H297" s="27" t="n">
        <f aca="false">IFERROR(ROUND((IF(OR(INDEX('Parametri Modello'!$C$39:$C$42,MATCH($B297,'Parametri Modello'!$A$39:$A$42,0))="",INDEX('Parametri Modello'!$C$39:$C$42,MATCH($B297,'Parametri Modello'!$A$39:$A$42,0))=0),0,($O297/INDEX('Parametri Modello'!$C$39:$C$42,MATCH($B297,'Parametri Modello'!$A$39:$A$42,0)))*(INDEX('Parametri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7</v>
      </c>
      <c r="I297" s="26" t="n">
        <f aca="false">IFERROR(INDEX('Input Statistiche 2025_26'!$F$3:$F$665,MATCH($A297,'Input Statistiche 2025_26'!$A$3:$A$665,0)),"")</f>
        <v>13</v>
      </c>
      <c r="J297" s="26" t="n">
        <f aca="false">IFERROR(IF($I297="","",MAX(0,38-$I297)),"")</f>
        <v>25</v>
      </c>
      <c r="K297" s="26" t="n">
        <f aca="false">IFERROR(INDEX('Input Statistiche 2025_26'!$I$3:$I$665,MATCH($A297,'Input Statistiche 2025_26'!$A$3:$A$665,0)),"")</f>
        <v>0</v>
      </c>
      <c r="L297" s="26" t="n">
        <f aca="false">IFERROR(INDEX('Input Statistiche 2025_26'!$O$3:$O$665,MATCH($A297,'Input Statistiche 2025_26'!$A$3:$A$665,0)),"")</f>
        <v>0</v>
      </c>
      <c r="M297" s="28"/>
      <c r="N297" s="27" t="n">
        <f aca="false">IFERROR(INDEX('Input Giocatori 2026_27'!$E$3:$E$493,MATCH($A297,'Input Giocatori 2026_27'!$A$3:$A$493,0)),"")</f>
        <v>4</v>
      </c>
      <c r="O297" s="27" t="n">
        <f aca="false">IFERROR(INDEX('Input Giocatori 2026_27'!$G$3:$G$493,MATCH($A297,'Input Giocatori 2026_27'!$A$3:$A$493,0)),"")</f>
        <v>11</v>
      </c>
      <c r="P297" s="26" t="str">
        <f aca="false">IFERROR(IF($O297="","",IF((1-(COUNTIFS($B$2:$B$492,$B297,$O$2:$O$492,"&gt;"&amp;$O297)+1-1)/COUNTIF($B$2:$B$492,$B297))&gt;=0.85,"Top",IF((1-(COUNTIFS($B$2:$B$492,$B297,$O$2:$O$492,"&gt;"&amp;$O297)+1-1)/COUNTIF($B$2:$B$492,$B297))&gt;=0.6,"Buono",IF((1-(COUNTIFS($B$2:$B$492,$B297,$O$2:$O$492,"&gt;"&amp;$O297)+1-1)/COUNTIF($B$2:$B$492,$B297))&gt;=0.3,"Nella Media","Scommessa/Riserva")))),"")</f>
        <v>Nella Media</v>
      </c>
      <c r="Q297" s="29" t="n">
        <f aca="false">IF($D297="",COUNTIF($D$2:$D297,""),"")</f>
        <v>296</v>
      </c>
      <c r="R297" s="29" t="str">
        <f aca="false">IF($D297='Info Lega'!$B$28,COUNTIFS($D$2:$D297,'Info Lega'!$B$28),"")</f>
        <v/>
      </c>
      <c r="S297" s="30" t="n">
        <f aca="false">IFERROR(INDEX('Input Statistiche 2025_26'!$G$3:$G$665,MATCH($A297,'Input Statistiche 2025_26'!$A$3:$A$665,0)),"")</f>
        <v>5.69</v>
      </c>
      <c r="T297" s="30" t="n">
        <f aca="false">IFERROR(INDEX('Input Statistiche 2025_26'!$H$3:$H$665,MATCH($A297,'Input Statistiche 2025_26'!$A$3:$A$665,0)),"")</f>
        <v>5.65</v>
      </c>
      <c r="U297" s="26" t="str">
        <f aca="false">IF(OR('La Mia Rosa'!$O$12="",$D297&lt;&gt;""),"",IF($F297&lt;='La Mia Rosa'!$O$12*'Parametri Modello'!$B$24,"OK",IF($F297&lt;='La Mia Rosa'!$O$12*'Parametri Modello'!$B$25,"Attenzione","Rischio Alto")))</f>
        <v>OK</v>
      </c>
      <c r="V297" s="26" t="n">
        <f aca="false">IFERROR(COUNTIFS($B$2:$B$492,$B297,$O$2:$O$492,"&gt;"&amp;$O297)+1,"")</f>
        <v>115</v>
      </c>
      <c r="W297" s="21" t="n">
        <f aca="false">'Info Lega'!$B$4-SUMIFS($M$2:$M$492,$D$2:$D$492,'Info Lega'!$B$28)</f>
        <v>1000</v>
      </c>
      <c r="X297" s="21" t="n">
        <f aca="false">('Info Lega'!$B$5-COUNTIFS($D$2:$D$492,'Info Lega'!$B$28,$B$2:$B$492,"P"))+('Info Lega'!$B$6-COUNTIFS($D$2:$D$492,'Info Lega'!$B$28,$B$2:$B$492,"D"))+('Info Lega'!$B$7-COUNTIFS($D$2:$D$492,'Info Lega'!$B$28,$B$2:$B$492,"C"))+('Info Lega'!$B$8-COUNTIFS($D$2:$D$492,'Info Lega'!$B$28,$B$2:$B$492,"A"))</f>
        <v>25</v>
      </c>
      <c r="Y297" s="21" t="n">
        <f aca="false">X297*'Parametri Modello'!$B$30</f>
        <v>25</v>
      </c>
      <c r="Z297" s="21" t="n">
        <f aca="false">MAX(0,W297-Y297)</f>
        <v>975</v>
      </c>
      <c r="AA297" s="21" t="n">
        <f aca="false">MIN(F297,Z297)</f>
        <v>6</v>
      </c>
      <c r="AB297" s="21"/>
      <c r="AC297" s="21" t="str">
        <f aca="false">IF(AB297="","",IF(AB297&gt;AA297,"PASS",IF(AB297&lt;=AA297*0.85,"BID","ATTENZIONE")))</f>
        <v/>
      </c>
      <c r="AD297" s="31" t="n">
        <f aca="false">IF(I297="","",ROUND(100*(1-EXP(-I297/30)),0))</f>
        <v>35</v>
      </c>
      <c r="AE297" s="7" t="str">
        <f aca="false">IFERROR(INDEX('Stato Asta'!$G$9:$G$12,MATCH($B297,'Stato Asta'!$A$9:$A$12,0)),"")</f>
        <v>🟡 Attesa rischiosa</v>
      </c>
    </row>
    <row r="298" customFormat="false" ht="14.25" hidden="false" customHeight="true" outlineLevel="0" collapsed="false">
      <c r="A298" s="21" t="n">
        <v>5453</v>
      </c>
      <c r="B298" s="21" t="s">
        <v>45</v>
      </c>
      <c r="C298" s="21" t="s">
        <v>483</v>
      </c>
      <c r="E298" s="26" t="str">
        <f aca="false">IF(COUNTIF('Info Strategia'!$D$2:$D$51,$C298)&gt;0,"SI","NO")</f>
        <v>NO</v>
      </c>
      <c r="F298" s="27" t="n">
        <f aca="false">IFERROR(ROUND(($G298+($H298-$G298)*'Info Strategia'!$B$6)*(1+IF($E298="SI",'Parametri Modello'!$B$7*'Info Strategia'!$B$6,0)),0),"")</f>
        <v>6</v>
      </c>
      <c r="G298" s="27" t="n">
        <f aca="false">IFERROR(ROUND((IF(OR(INDEX('Parametri Modello'!$C$39:$C$42,MATCH($B298,'Parametri Modello'!$A$39:$A$42,0))="",INDEX('Parametri Modello'!$C$39:$C$42,MATCH($B298,'Parametri Modello'!$A$39:$A$42,0))=0),0,($O298/INDEX('Parametri Modello'!$C$39:$C$42,MATCH($B298,'Parametri Modello'!$A$39:$A$42,0)))*(INDEX('Parametri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4</v>
      </c>
      <c r="H298" s="27" t="n">
        <f aca="false">IFERROR(ROUND((IF(OR(INDEX('Parametri Modello'!$C$39:$C$42,MATCH($B298,'Parametri Modello'!$A$39:$A$42,0))="",INDEX('Parametri Modello'!$C$39:$C$42,MATCH($B298,'Parametri Modello'!$A$39:$A$42,0))=0),0,($O298/INDEX('Parametri Modello'!$C$39:$C$42,MATCH($B298,'Parametri Modello'!$A$39:$A$42,0)))*(INDEX('Parametri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7</v>
      </c>
      <c r="I298" s="26" t="n">
        <f aca="false">IFERROR(INDEX('Input Statistiche 2025_26'!$F$3:$F$665,MATCH($A298,'Input Statistiche 2025_26'!$A$3:$A$665,0)),"")</f>
        <v>28</v>
      </c>
      <c r="J298" s="26" t="n">
        <f aca="false">IFERROR(IF($I298="","",MAX(0,38-$I298)),"")</f>
        <v>10</v>
      </c>
      <c r="K298" s="26" t="n">
        <f aca="false">IFERROR(INDEX('Input Statistiche 2025_26'!$I$3:$I$665,MATCH($A298,'Input Statistiche 2025_26'!$A$3:$A$665,0)),"")</f>
        <v>1</v>
      </c>
      <c r="L298" s="26" t="n">
        <f aca="false">IFERROR(INDEX('Input Statistiche 2025_26'!$O$3:$O$665,MATCH($A298,'Input Statistiche 2025_26'!$A$3:$A$665,0)),"")</f>
        <v>3</v>
      </c>
      <c r="M298" s="28"/>
      <c r="N298" s="27" t="n">
        <f aca="false">IFERROR(INDEX('Input Giocatori 2026_27'!$E$3:$E$493,MATCH($A298,'Input Giocatori 2026_27'!$A$3:$A$493,0)),"")</f>
        <v>4</v>
      </c>
      <c r="O298" s="27" t="n">
        <f aca="false">IFERROR(INDEX('Input Giocatori 2026_27'!$G$3:$G$493,MATCH($A298,'Input Giocatori 2026_27'!$A$3:$A$493,0)),"")</f>
        <v>11</v>
      </c>
      <c r="P298" s="26" t="str">
        <f aca="false">IFERROR(IF($O298="","",IF((1-(COUNTIFS($B$2:$B$492,$B298,$O$2:$O$492,"&gt;"&amp;$O298)+1-1)/COUNTIF($B$2:$B$492,$B298))&gt;=0.85,"Top",IF((1-(COUNTIFS($B$2:$B$492,$B298,$O$2:$O$492,"&gt;"&amp;$O298)+1-1)/COUNTIF($B$2:$B$492,$B298))&gt;=0.6,"Buono",IF((1-(COUNTIFS($B$2:$B$492,$B298,$O$2:$O$492,"&gt;"&amp;$O298)+1-1)/COUNTIF($B$2:$B$492,$B298))&gt;=0.3,"Nella Media","Scommessa/Riserva")))),"")</f>
        <v>Nella Media</v>
      </c>
      <c r="Q298" s="29" t="n">
        <f aca="false">IF($D298="",COUNTIF($D$2:$D298,""),"")</f>
        <v>297</v>
      </c>
      <c r="R298" s="29" t="str">
        <f aca="false">IF($D298='Info Lega'!$B$28,COUNTIFS($D$2:$D298,'Info Lega'!$B$28),"")</f>
        <v/>
      </c>
      <c r="S298" s="30" t="n">
        <f aca="false">IFERROR(INDEX('Input Statistiche 2025_26'!$G$3:$G$665,MATCH($A298,'Input Statistiche 2025_26'!$A$3:$A$665,0)),"")</f>
        <v>6</v>
      </c>
      <c r="T298" s="30" t="n">
        <f aca="false">IFERROR(INDEX('Input Statistiche 2025_26'!$H$3:$H$665,MATCH($A298,'Input Statistiche 2025_26'!$A$3:$A$665,0)),"")</f>
        <v>6.18</v>
      </c>
      <c r="U298" s="26" t="str">
        <f aca="false">IF(OR('La Mia Rosa'!$O$12="",$D298&lt;&gt;""),"",IF($F298&lt;='La Mia Rosa'!$O$12*'Parametri Modello'!$B$24,"OK",IF($F298&lt;='La Mia Rosa'!$O$12*'Parametri Modello'!$B$25,"Attenzione","Rischio Alto")))</f>
        <v>OK</v>
      </c>
      <c r="V298" s="26" t="n">
        <f aca="false">IFERROR(COUNTIFS($B$2:$B$492,$B298,$O$2:$O$492,"&gt;"&amp;$O298)+1,"")</f>
        <v>115</v>
      </c>
      <c r="W298" s="21" t="n">
        <f aca="false">'Info Lega'!$B$4-SUMIFS($M$2:$M$492,$D$2:$D$492,'Info Lega'!$B$28)</f>
        <v>1000</v>
      </c>
      <c r="X298" s="21" t="n">
        <f aca="false">('Info Lega'!$B$5-COUNTIFS($D$2:$D$492,'Info Lega'!$B$28,$B$2:$B$492,"P"))+('Info Lega'!$B$6-COUNTIFS($D$2:$D$492,'Info Lega'!$B$28,$B$2:$B$492,"D"))+('Info Lega'!$B$7-COUNTIFS($D$2:$D$492,'Info Lega'!$B$28,$B$2:$B$492,"C"))+('Info Lega'!$B$8-COUNTIFS($D$2:$D$492,'Info Lega'!$B$28,$B$2:$B$492,"A"))</f>
        <v>25</v>
      </c>
      <c r="Y298" s="21" t="n">
        <f aca="false">X298*'Parametri Modello'!$B$30</f>
        <v>25</v>
      </c>
      <c r="Z298" s="21" t="n">
        <f aca="false">MAX(0,W298-Y298)</f>
        <v>975</v>
      </c>
      <c r="AA298" s="21" t="n">
        <f aca="false">MIN(F298,Z298)</f>
        <v>6</v>
      </c>
      <c r="AB298" s="21"/>
      <c r="AC298" s="21" t="str">
        <f aca="false">IF(AB298="","",IF(AB298&gt;AA298,"PASS",IF(AB298&lt;=AA298*0.85,"BID","ATTENZIONE")))</f>
        <v/>
      </c>
      <c r="AD298" s="31" t="n">
        <f aca="false">IF(I298="","",ROUND(100*(1-EXP(-I298/30)),0))</f>
        <v>61</v>
      </c>
      <c r="AE298" s="7" t="str">
        <f aca="false">IFERROR(INDEX('Stato Asta'!$G$9:$G$12,MATCH($B298,'Stato Asta'!$A$9:$A$12,0)),"")</f>
        <v>🟡 Attesa rischiosa</v>
      </c>
    </row>
    <row r="299" customFormat="false" ht="14.25" hidden="false" customHeight="true" outlineLevel="0" collapsed="false">
      <c r="A299" s="21" t="n">
        <v>7203</v>
      </c>
      <c r="B299" s="21" t="s">
        <v>45</v>
      </c>
      <c r="C299" s="21" t="s">
        <v>484</v>
      </c>
      <c r="E299" s="26" t="str">
        <f aca="false">IF(COUNTIF('Info Strategia'!$D$2:$D$51,$C299)&gt;0,"SI","NO")</f>
        <v>NO</v>
      </c>
      <c r="F299" s="27" t="n">
        <f aca="false">IFERROR(ROUND(($G299+($H299-$G299)*'Info Strategia'!$B$6)*(1+IF($E299="SI",'Parametri Modello'!$B$7*'Info Strategia'!$B$6,0)),0),"")</f>
        <v>6</v>
      </c>
      <c r="G299" s="27" t="n">
        <f aca="false">IFERROR(ROUND((IF(OR(INDEX('Parametri Modello'!$C$39:$C$42,MATCH($B299,'Parametri Modello'!$A$39:$A$42,0))="",INDEX('Parametri Modello'!$C$39:$C$42,MATCH($B299,'Parametri Modello'!$A$39:$A$42,0))=0),0,($O299/INDEX('Parametri Modello'!$C$39:$C$42,MATCH($B299,'Parametri Modello'!$A$39:$A$42,0)))*(INDEX('Parametri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4</v>
      </c>
      <c r="H299" s="27" t="n">
        <f aca="false">IFERROR(ROUND((IF(OR(INDEX('Parametri Modello'!$C$39:$C$42,MATCH($B299,'Parametri Modello'!$A$39:$A$42,0))="",INDEX('Parametri Modello'!$C$39:$C$42,MATCH($B299,'Parametri Modello'!$A$39:$A$42,0))=0),0,($O299/INDEX('Parametri Modello'!$C$39:$C$42,MATCH($B299,'Parametri Modello'!$A$39:$A$42,0)))*(INDEX('Parametri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7</v>
      </c>
      <c r="I299" s="26" t="n">
        <f aca="false">IFERROR(INDEX('Input Statistiche 2025_26'!$F$3:$F$665,MATCH($A299,'Input Statistiche 2025_26'!$A$3:$A$665,0)),"")</f>
        <v>12</v>
      </c>
      <c r="J299" s="26" t="n">
        <f aca="false">IFERROR(IF($I299="","",MAX(0,38-$I299)),"")</f>
        <v>26</v>
      </c>
      <c r="K299" s="26" t="n">
        <f aca="false">IFERROR(INDEX('Input Statistiche 2025_26'!$I$3:$I$665,MATCH($A299,'Input Statistiche 2025_26'!$A$3:$A$665,0)),"")</f>
        <v>0</v>
      </c>
      <c r="L299" s="26" t="n">
        <f aca="false">IFERROR(INDEX('Input Statistiche 2025_26'!$O$3:$O$665,MATCH($A299,'Input Statistiche 2025_26'!$A$3:$A$665,0)),"")</f>
        <v>1</v>
      </c>
      <c r="M299" s="28"/>
      <c r="N299" s="27" t="n">
        <f aca="false">IFERROR(INDEX('Input Giocatori 2026_27'!$E$3:$E$493,MATCH($A299,'Input Giocatori 2026_27'!$A$3:$A$493,0)),"")</f>
        <v>4</v>
      </c>
      <c r="O299" s="27" t="n">
        <f aca="false">IFERROR(INDEX('Input Giocatori 2026_27'!$G$3:$G$493,MATCH($A299,'Input Giocatori 2026_27'!$A$3:$A$493,0)),"")</f>
        <v>11</v>
      </c>
      <c r="P299" s="26" t="str">
        <f aca="false">IFERROR(IF($O299="","",IF((1-(COUNTIFS($B$2:$B$492,$B299,$O$2:$O$492,"&gt;"&amp;$O299)+1-1)/COUNTIF($B$2:$B$492,$B299))&gt;=0.85,"Top",IF((1-(COUNTIFS($B$2:$B$492,$B299,$O$2:$O$492,"&gt;"&amp;$O299)+1-1)/COUNTIF($B$2:$B$492,$B299))&gt;=0.6,"Buono",IF((1-(COUNTIFS($B$2:$B$492,$B299,$O$2:$O$492,"&gt;"&amp;$O299)+1-1)/COUNTIF($B$2:$B$492,$B299))&gt;=0.3,"Nella Media","Scommessa/Riserva")))),"")</f>
        <v>Nella Media</v>
      </c>
      <c r="Q299" s="29" t="n">
        <f aca="false">IF($D299="",COUNTIF($D$2:$D299,""),"")</f>
        <v>298</v>
      </c>
      <c r="R299" s="29" t="str">
        <f aca="false">IF($D299='Info Lega'!$B$28,COUNTIFS($D$2:$D299,'Info Lega'!$B$28),"")</f>
        <v/>
      </c>
      <c r="S299" s="30" t="n">
        <f aca="false">IFERROR(INDEX('Input Statistiche 2025_26'!$G$3:$G$665,MATCH($A299,'Input Statistiche 2025_26'!$A$3:$A$665,0)),"")</f>
        <v>5.71</v>
      </c>
      <c r="T299" s="30" t="n">
        <f aca="false">IFERROR(INDEX('Input Statistiche 2025_26'!$H$3:$H$665,MATCH($A299,'Input Statistiche 2025_26'!$A$3:$A$665,0)),"")</f>
        <v>5.79</v>
      </c>
      <c r="U299" s="26" t="str">
        <f aca="false">IF(OR('La Mia Rosa'!$O$12="",$D299&lt;&gt;""),"",IF($F299&lt;='La Mia Rosa'!$O$12*'Parametri Modello'!$B$24,"OK",IF($F299&lt;='La Mia Rosa'!$O$12*'Parametri Modello'!$B$25,"Attenzione","Rischio Alto")))</f>
        <v>OK</v>
      </c>
      <c r="V299" s="26" t="n">
        <f aca="false">IFERROR(COUNTIFS($B$2:$B$492,$B299,$O$2:$O$492,"&gt;"&amp;$O299)+1,"")</f>
        <v>115</v>
      </c>
      <c r="W299" s="21" t="n">
        <f aca="false">'Info Lega'!$B$4-SUMIFS($M$2:$M$492,$D$2:$D$492,'Info Lega'!$B$28)</f>
        <v>1000</v>
      </c>
      <c r="X299" s="21" t="n">
        <f aca="false">('Info Lega'!$B$5-COUNTIFS($D$2:$D$492,'Info Lega'!$B$28,$B$2:$B$492,"P"))+('Info Lega'!$B$6-COUNTIFS($D$2:$D$492,'Info Lega'!$B$28,$B$2:$B$492,"D"))+('Info Lega'!$B$7-COUNTIFS($D$2:$D$492,'Info Lega'!$B$28,$B$2:$B$492,"C"))+('Info Lega'!$B$8-COUNTIFS($D$2:$D$492,'Info Lega'!$B$28,$B$2:$B$492,"A"))</f>
        <v>25</v>
      </c>
      <c r="Y299" s="21" t="n">
        <f aca="false">X299*'Parametri Modello'!$B$30</f>
        <v>25</v>
      </c>
      <c r="Z299" s="21" t="n">
        <f aca="false">MAX(0,W299-Y299)</f>
        <v>975</v>
      </c>
      <c r="AA299" s="21" t="n">
        <f aca="false">MIN(F299,Z299)</f>
        <v>6</v>
      </c>
      <c r="AB299" s="21"/>
      <c r="AC299" s="21" t="str">
        <f aca="false">IF(AB299="","",IF(AB299&gt;AA299,"PASS",IF(AB299&lt;=AA299*0.85,"BID","ATTENZIONE")))</f>
        <v/>
      </c>
      <c r="AD299" s="31" t="n">
        <f aca="false">IF(I299="","",ROUND(100*(1-EXP(-I299/30)),0))</f>
        <v>33</v>
      </c>
      <c r="AE299" s="7" t="str">
        <f aca="false">IFERROR(INDEX('Stato Asta'!$G$9:$G$12,MATCH($B299,'Stato Asta'!$A$9:$A$12,0)),"")</f>
        <v>🟡 Attesa rischiosa</v>
      </c>
    </row>
    <row r="300" customFormat="false" ht="14.25" hidden="false" customHeight="true" outlineLevel="0" collapsed="false">
      <c r="A300" s="21" t="n">
        <v>4199</v>
      </c>
      <c r="B300" s="21" t="s">
        <v>45</v>
      </c>
      <c r="C300" s="21" t="s">
        <v>485</v>
      </c>
      <c r="E300" s="26" t="str">
        <f aca="false">IF(COUNTIF('Info Strategia'!$D$2:$D$51,$C300)&gt;0,"SI","NO")</f>
        <v>NO</v>
      </c>
      <c r="F300" s="27" t="n">
        <f aca="false">IFERROR(ROUND(($G300+($H300-$G300)*'Info Strategia'!$B$6)*(1+IF($E300="SI",'Parametri Modello'!$B$7*'Info Strategia'!$B$6,0)),0),"")</f>
        <v>6</v>
      </c>
      <c r="G300" s="27" t="n">
        <f aca="false">IFERROR(ROUND((IF(OR(INDEX('Parametri Modello'!$C$39:$C$42,MATCH($B300,'Parametri Modello'!$A$39:$A$42,0))="",INDEX('Parametri Modello'!$C$39:$C$42,MATCH($B300,'Parametri Modello'!$A$39:$A$42,0))=0),0,($O300/INDEX('Parametri Modello'!$C$39:$C$42,MATCH($B300,'Parametri Modello'!$A$39:$A$42,0)))*(INDEX('Parametri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4</v>
      </c>
      <c r="H300" s="27" t="n">
        <f aca="false">IFERROR(ROUND((IF(OR(INDEX('Parametri Modello'!$C$39:$C$42,MATCH($B300,'Parametri Modello'!$A$39:$A$42,0))="",INDEX('Parametri Modello'!$C$39:$C$42,MATCH($B300,'Parametri Modello'!$A$39:$A$42,0))=0),0,($O300/INDEX('Parametri Modello'!$C$39:$C$42,MATCH($B300,'Parametri Modello'!$A$39:$A$42,0)))*(INDEX('Parametri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7</v>
      </c>
      <c r="I300" s="26" t="n">
        <f aca="false">IFERROR(INDEX('Input Statistiche 2025_26'!$F$3:$F$665,MATCH($A300,'Input Statistiche 2025_26'!$A$3:$A$665,0)),"")</f>
        <v>21</v>
      </c>
      <c r="J300" s="26" t="n">
        <f aca="false">IFERROR(IF($I300="","",MAX(0,38-$I300)),"")</f>
        <v>17</v>
      </c>
      <c r="K300" s="26" t="n">
        <f aca="false">IFERROR(INDEX('Input Statistiche 2025_26'!$I$3:$I$665,MATCH($A300,'Input Statistiche 2025_26'!$A$3:$A$665,0)),"")</f>
        <v>3</v>
      </c>
      <c r="L300" s="26" t="n">
        <f aca="false">IFERROR(INDEX('Input Statistiche 2025_26'!$O$3:$O$665,MATCH($A300,'Input Statistiche 2025_26'!$A$3:$A$665,0)),"")</f>
        <v>1</v>
      </c>
      <c r="M300" s="28"/>
      <c r="N300" s="27" t="n">
        <f aca="false">IFERROR(INDEX('Input Giocatori 2026_27'!$E$3:$E$493,MATCH($A300,'Input Giocatori 2026_27'!$A$3:$A$493,0)),"")</f>
        <v>4</v>
      </c>
      <c r="O300" s="27" t="n">
        <f aca="false">IFERROR(INDEX('Input Giocatori 2026_27'!$G$3:$G$493,MATCH($A300,'Input Giocatori 2026_27'!$A$3:$A$493,0)),"")</f>
        <v>11</v>
      </c>
      <c r="P300" s="26" t="str">
        <f aca="false">IFERROR(IF($O300="","",IF((1-(COUNTIFS($B$2:$B$492,$B300,$O$2:$O$492,"&gt;"&amp;$O300)+1-1)/COUNTIF($B$2:$B$492,$B300))&gt;=0.85,"Top",IF((1-(COUNTIFS($B$2:$B$492,$B300,$O$2:$O$492,"&gt;"&amp;$O300)+1-1)/COUNTIF($B$2:$B$492,$B300))&gt;=0.6,"Buono",IF((1-(COUNTIFS($B$2:$B$492,$B300,$O$2:$O$492,"&gt;"&amp;$O300)+1-1)/COUNTIF($B$2:$B$492,$B300))&gt;=0.3,"Nella Media","Scommessa/Riserva")))),"")</f>
        <v>Nella Media</v>
      </c>
      <c r="Q300" s="29" t="n">
        <f aca="false">IF($D300="",COUNTIF($D$2:$D300,""),"")</f>
        <v>299</v>
      </c>
      <c r="R300" s="29" t="str">
        <f aca="false">IF($D300='Info Lega'!$B$28,COUNTIFS($D$2:$D300,'Info Lega'!$B$28),"")</f>
        <v/>
      </c>
      <c r="S300" s="30" t="n">
        <f aca="false">IFERROR(INDEX('Input Statistiche 2025_26'!$G$3:$G$665,MATCH($A300,'Input Statistiche 2025_26'!$A$3:$A$665,0)),"")</f>
        <v>6.1</v>
      </c>
      <c r="T300" s="30" t="n">
        <f aca="false">IFERROR(INDEX('Input Statistiche 2025_26'!$H$3:$H$665,MATCH($A300,'Input Statistiche 2025_26'!$A$3:$A$665,0)),"")</f>
        <v>6.52</v>
      </c>
      <c r="U300" s="26" t="str">
        <f aca="false">IF(OR('La Mia Rosa'!$O$12="",$D300&lt;&gt;""),"",IF($F300&lt;='La Mia Rosa'!$O$12*'Parametri Modello'!$B$24,"OK",IF($F300&lt;='La Mia Rosa'!$O$12*'Parametri Modello'!$B$25,"Attenzione","Rischio Alto")))</f>
        <v>OK</v>
      </c>
      <c r="V300" s="26" t="n">
        <f aca="false">IFERROR(COUNTIFS($B$2:$B$492,$B300,$O$2:$O$492,"&gt;"&amp;$O300)+1,"")</f>
        <v>115</v>
      </c>
      <c r="W300" s="21" t="n">
        <f aca="false">'Info Lega'!$B$4-SUMIFS($M$2:$M$492,$D$2:$D$492,'Info Lega'!$B$28)</f>
        <v>1000</v>
      </c>
      <c r="X300" s="21" t="n">
        <f aca="false">('Info Lega'!$B$5-COUNTIFS($D$2:$D$492,'Info Lega'!$B$28,$B$2:$B$492,"P"))+('Info Lega'!$B$6-COUNTIFS($D$2:$D$492,'Info Lega'!$B$28,$B$2:$B$492,"D"))+('Info Lega'!$B$7-COUNTIFS($D$2:$D$492,'Info Lega'!$B$28,$B$2:$B$492,"C"))+('Info Lega'!$B$8-COUNTIFS($D$2:$D$492,'Info Lega'!$B$28,$B$2:$B$492,"A"))</f>
        <v>25</v>
      </c>
      <c r="Y300" s="21" t="n">
        <f aca="false">X300*'Parametri Modello'!$B$30</f>
        <v>25</v>
      </c>
      <c r="Z300" s="21" t="n">
        <f aca="false">MAX(0,W300-Y300)</f>
        <v>975</v>
      </c>
      <c r="AA300" s="21" t="n">
        <f aca="false">MIN(F300,Z300)</f>
        <v>6</v>
      </c>
      <c r="AB300" s="21"/>
      <c r="AC300" s="21" t="str">
        <f aca="false">IF(AB300="","",IF(AB300&gt;AA300,"PASS",IF(AB300&lt;=AA300*0.85,"BID","ATTENZIONE")))</f>
        <v/>
      </c>
      <c r="AD300" s="31" t="n">
        <f aca="false">IF(I300="","",ROUND(100*(1-EXP(-I300/30)),0))</f>
        <v>50</v>
      </c>
      <c r="AE300" s="7" t="str">
        <f aca="false">IFERROR(INDEX('Stato Asta'!$G$9:$G$12,MATCH($B300,'Stato Asta'!$A$9:$A$12,0)),"")</f>
        <v>🟡 Attesa rischiosa</v>
      </c>
    </row>
    <row r="301" customFormat="false" ht="14.25" hidden="false" customHeight="true" outlineLevel="0" collapsed="false">
      <c r="A301" s="21" t="n">
        <v>5813</v>
      </c>
      <c r="B301" s="21" t="s">
        <v>45</v>
      </c>
      <c r="C301" s="21" t="s">
        <v>500</v>
      </c>
      <c r="E301" s="26" t="str">
        <f aca="false">IF(COUNTIF('Info Strategia'!$D$2:$D$51,$C301)&gt;0,"SI","NO")</f>
        <v>NO</v>
      </c>
      <c r="F301" s="27" t="n">
        <f aca="false">IFERROR(ROUND(($G301+($H301-$G301)*'Info Strategia'!$B$6)*(1+IF($E301="SI",'Parametri Modello'!$B$7*'Info Strategia'!$B$6,0)),0),"")</f>
        <v>6</v>
      </c>
      <c r="G301" s="27" t="n">
        <f aca="false">IFERROR(ROUND((IF(OR(INDEX('Parametri Modello'!$C$39:$C$42,MATCH($B301,'Parametri Modello'!$A$39:$A$42,0))="",INDEX('Parametri Modello'!$C$39:$C$42,MATCH($B301,'Parametri Modello'!$A$39:$A$42,0))=0),0,($O301/INDEX('Parametri Modello'!$C$39:$C$42,MATCH($B301,'Parametri Modello'!$A$39:$A$42,0)))*(INDEX('Parametri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4</v>
      </c>
      <c r="H301" s="27" t="n">
        <f aca="false">IFERROR(ROUND((IF(OR(INDEX('Parametri Modello'!$C$39:$C$42,MATCH($B301,'Parametri Modello'!$A$39:$A$42,0))="",INDEX('Parametri Modello'!$C$39:$C$42,MATCH($B301,'Parametri Modello'!$A$39:$A$42,0))=0),0,($O301/INDEX('Parametri Modello'!$C$39:$C$42,MATCH($B301,'Parametri Modello'!$A$39:$A$42,0)))*(INDEX('Parametri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7</v>
      </c>
      <c r="I301" s="26" t="n">
        <f aca="false">IFERROR(INDEX('Input Statistiche 2025_26'!$F$3:$F$665,MATCH($A301,'Input Statistiche 2025_26'!$A$3:$A$665,0)),"")</f>
        <v>15</v>
      </c>
      <c r="J301" s="26" t="n">
        <f aca="false">IFERROR(IF($I301="","",MAX(0,38-$I301)),"")</f>
        <v>23</v>
      </c>
      <c r="K301" s="26" t="n">
        <f aca="false">IFERROR(INDEX('Input Statistiche 2025_26'!$I$3:$I$665,MATCH($A301,'Input Statistiche 2025_26'!$A$3:$A$665,0)),"")</f>
        <v>1</v>
      </c>
      <c r="L301" s="26" t="n">
        <f aca="false">IFERROR(INDEX('Input Statistiche 2025_26'!$O$3:$O$665,MATCH($A301,'Input Statistiche 2025_26'!$A$3:$A$665,0)),"")</f>
        <v>1</v>
      </c>
      <c r="M301" s="28"/>
      <c r="N301" s="27" t="n">
        <f aca="false">IFERROR(INDEX('Input Giocatori 2026_27'!$E$3:$E$493,MATCH($A301,'Input Giocatori 2026_27'!$A$3:$A$493,0)),"")</f>
        <v>3</v>
      </c>
      <c r="O301" s="27" t="n">
        <f aca="false">IFERROR(INDEX('Input Giocatori 2026_27'!$G$3:$G$493,MATCH($A301,'Input Giocatori 2026_27'!$A$3:$A$493,0)),"")</f>
        <v>11</v>
      </c>
      <c r="P301" s="26" t="str">
        <f aca="false">IFERROR(IF($O301="","",IF((1-(COUNTIFS($B$2:$B$492,$B301,$O$2:$O$492,"&gt;"&amp;$O301)+1-1)/COUNTIF($B$2:$B$492,$B301))&gt;=0.85,"Top",IF((1-(COUNTIFS($B$2:$B$492,$B301,$O$2:$O$492,"&gt;"&amp;$O301)+1-1)/COUNTIF($B$2:$B$492,$B301))&gt;=0.6,"Buono",IF((1-(COUNTIFS($B$2:$B$492,$B301,$O$2:$O$492,"&gt;"&amp;$O301)+1-1)/COUNTIF($B$2:$B$492,$B301))&gt;=0.3,"Nella Media","Scommessa/Riserva")))),"")</f>
        <v>Nella Media</v>
      </c>
      <c r="Q301" s="29" t="n">
        <f aca="false">IF($D301="",COUNTIF($D$2:$D301,""),"")</f>
        <v>300</v>
      </c>
      <c r="R301" s="29" t="str">
        <f aca="false">IF($D301='Info Lega'!$B$28,COUNTIFS($D$2:$D301,'Info Lega'!$B$28),"")</f>
        <v/>
      </c>
      <c r="S301" s="30" t="n">
        <f aca="false">IFERROR(INDEX('Input Statistiche 2025_26'!$G$3:$G$665,MATCH($A301,'Input Statistiche 2025_26'!$A$3:$A$665,0)),"")</f>
        <v>5.97</v>
      </c>
      <c r="T301" s="30" t="n">
        <f aca="false">IFERROR(INDEX('Input Statistiche 2025_26'!$H$3:$H$665,MATCH($A301,'Input Statistiche 2025_26'!$A$3:$A$665,0)),"")</f>
        <v>6.2</v>
      </c>
      <c r="U301" s="26" t="str">
        <f aca="false">IF(OR('La Mia Rosa'!$O$12="",$D301&lt;&gt;""),"",IF($F301&lt;='La Mia Rosa'!$O$12*'Parametri Modello'!$B$24,"OK",IF($F301&lt;='La Mia Rosa'!$O$12*'Parametri Modello'!$B$25,"Attenzione","Rischio Alto")))</f>
        <v>OK</v>
      </c>
      <c r="V301" s="26" t="n">
        <f aca="false">IFERROR(COUNTIFS($B$2:$B$492,$B301,$O$2:$O$492,"&gt;"&amp;$O301)+1,"")</f>
        <v>115</v>
      </c>
      <c r="W301" s="21" t="n">
        <f aca="false">'Info Lega'!$B$4-SUMIFS($M$2:$M$492,$D$2:$D$492,'Info Lega'!$B$28)</f>
        <v>1000</v>
      </c>
      <c r="X301" s="21" t="n">
        <f aca="false">('Info Lega'!$B$5-COUNTIFS($D$2:$D$492,'Info Lega'!$B$28,$B$2:$B$492,"P"))+('Info Lega'!$B$6-COUNTIFS($D$2:$D$492,'Info Lega'!$B$28,$B$2:$B$492,"D"))+('Info Lega'!$B$7-COUNTIFS($D$2:$D$492,'Info Lega'!$B$28,$B$2:$B$492,"C"))+('Info Lega'!$B$8-COUNTIFS($D$2:$D$492,'Info Lega'!$B$28,$B$2:$B$492,"A"))</f>
        <v>25</v>
      </c>
      <c r="Y301" s="21" t="n">
        <f aca="false">X301*'Parametri Modello'!$B$30</f>
        <v>25</v>
      </c>
      <c r="Z301" s="21" t="n">
        <f aca="false">MAX(0,W301-Y301)</f>
        <v>975</v>
      </c>
      <c r="AA301" s="21" t="n">
        <f aca="false">MIN(F301,Z301)</f>
        <v>6</v>
      </c>
      <c r="AB301" s="21"/>
      <c r="AC301" s="21" t="str">
        <f aca="false">IF(AB301="","",IF(AB301&gt;AA301,"PASS",IF(AB301&lt;=AA301*0.85,"BID","ATTENZIONE")))</f>
        <v/>
      </c>
      <c r="AD301" s="31" t="n">
        <f aca="false">IF(I301="","",ROUND(100*(1-EXP(-I301/30)),0))</f>
        <v>39</v>
      </c>
      <c r="AE301" s="7" t="str">
        <f aca="false">IFERROR(INDEX('Stato Asta'!$G$9:$G$12,MATCH($B301,'Stato Asta'!$A$9:$A$12,0)),"")</f>
        <v>🟡 Attesa rischiosa</v>
      </c>
    </row>
    <row r="302" customFormat="false" ht="14.25" hidden="false" customHeight="true" outlineLevel="0" collapsed="false">
      <c r="A302" s="21" t="n">
        <v>7342</v>
      </c>
      <c r="B302" s="21" t="s">
        <v>46</v>
      </c>
      <c r="C302" s="21" t="s">
        <v>612</v>
      </c>
      <c r="E302" s="26" t="str">
        <f aca="false">IF(COUNTIF('Info Strategia'!$D$2:$D$51,$C302)&gt;0,"SI","NO")</f>
        <v>NO</v>
      </c>
      <c r="F302" s="27" t="n">
        <f aca="false">IFERROR(ROUND(($G302+($H302-$G302)*'Info Strategia'!$B$6)*(1+IF($E302="SI",'Parametri Modello'!$B$7*'Info Strategia'!$B$6,0)),0),"")</f>
        <v>10</v>
      </c>
      <c r="G302" s="27" t="n">
        <f aca="false">IFERROR(ROUND((IF(OR(INDEX('Parametri Modello'!$C$39:$C$42,MATCH($B302,'Parametri Modello'!$A$39:$A$42,0))="",INDEX('Parametri Modello'!$C$39:$C$42,MATCH($B302,'Parametri Modello'!$A$39:$A$42,0))=0),0,($O302/INDEX('Parametri Modello'!$C$39:$C$42,MATCH($B302,'Parametri Modello'!$A$39:$A$42,0)))*(INDEX('Parametri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6</v>
      </c>
      <c r="H302" s="27" t="n">
        <f aca="false">IFERROR(ROUND((IF(OR(INDEX('Parametri Modello'!$C$39:$C$42,MATCH($B302,'Parametri Modello'!$A$39:$A$42,0))="",INDEX('Parametri Modello'!$C$39:$C$42,MATCH($B302,'Parametri Modello'!$A$39:$A$42,0))=0),0,($O302/INDEX('Parametri Modello'!$C$39:$C$42,MATCH($B302,'Parametri Modello'!$A$39:$A$42,0)))*(INDEX('Parametri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11</v>
      </c>
      <c r="I302" s="26" t="n">
        <f aca="false">IFERROR(INDEX('Input Statistiche 2025_26'!$F$3:$F$665,MATCH($A302,'Input Statistiche 2025_26'!$A$3:$A$665,0)),"")</f>
        <v>8</v>
      </c>
      <c r="J302" s="26" t="n">
        <f aca="false">IFERROR(IF($I302="","",MAX(0,38-$I302)),"")</f>
        <v>30</v>
      </c>
      <c r="K302" s="26" t="n">
        <f aca="false">IFERROR(INDEX('Input Statistiche 2025_26'!$I$3:$I$665,MATCH($A302,'Input Statistiche 2025_26'!$A$3:$A$665,0)),"")</f>
        <v>2</v>
      </c>
      <c r="L302" s="26" t="n">
        <f aca="false">IFERROR(INDEX('Input Statistiche 2025_26'!$O$3:$O$665,MATCH($A302,'Input Statistiche 2025_26'!$A$3:$A$665,0)),"")</f>
        <v>1</v>
      </c>
      <c r="M302" s="28"/>
      <c r="N302" s="27" t="n">
        <f aca="false">IFERROR(INDEX('Input Giocatori 2026_27'!$E$3:$E$493,MATCH($A302,'Input Giocatori 2026_27'!$A$3:$A$493,0)),"")</f>
        <v>3</v>
      </c>
      <c r="O302" s="27" t="n">
        <f aca="false">IFERROR(INDEX('Input Giocatori 2026_27'!$G$3:$G$493,MATCH($A302,'Input Giocatori 2026_27'!$A$3:$A$493,0)),"")</f>
        <v>11</v>
      </c>
      <c r="P302" s="26" t="str">
        <f aca="false">IFERROR(IF($O302="","",IF((1-(COUNTIFS($B$2:$B$492,$B302,$O$2:$O$492,"&gt;"&amp;$O302)+1-1)/COUNTIF($B$2:$B$492,$B302))&gt;=0.85,"Top",IF((1-(COUNTIFS($B$2:$B$492,$B302,$O$2:$O$492,"&gt;"&amp;$O302)+1-1)/COUNTIF($B$2:$B$492,$B302))&gt;=0.6,"Buono",IF((1-(COUNTIFS($B$2:$B$492,$B302,$O$2:$O$492,"&gt;"&amp;$O302)+1-1)/COUNTIF($B$2:$B$492,$B302))&gt;=0.3,"Nella Media","Scommessa/Riserva")))),"")</f>
        <v>Scommessa/Riserva</v>
      </c>
      <c r="Q302" s="29" t="n">
        <f aca="false">IF($D302="",COUNTIF($D$2:$D302,""),"")</f>
        <v>301</v>
      </c>
      <c r="R302" s="29" t="str">
        <f aca="false">IF($D302='Info Lega'!$B$28,COUNTIFS($D$2:$D302,'Info Lega'!$B$28),"")</f>
        <v/>
      </c>
      <c r="S302" s="30" t="n">
        <f aca="false">IFERROR(INDEX('Input Statistiche 2025_26'!$G$3:$G$665,MATCH($A302,'Input Statistiche 2025_26'!$A$3:$A$665,0)),"")</f>
        <v>6</v>
      </c>
      <c r="T302" s="30" t="n">
        <f aca="false">IFERROR(INDEX('Input Statistiche 2025_26'!$H$3:$H$665,MATCH($A302,'Input Statistiche 2025_26'!$A$3:$A$665,0)),"")</f>
        <v>6.88</v>
      </c>
      <c r="U302" s="26" t="str">
        <f aca="false">IF(OR('La Mia Rosa'!$O$12="",$D302&lt;&gt;""),"",IF($F302&lt;='La Mia Rosa'!$O$12*'Parametri Modello'!$B$24,"OK",IF($F302&lt;='La Mia Rosa'!$O$12*'Parametri Modello'!$B$25,"Attenzione","Rischio Alto")))</f>
        <v>OK</v>
      </c>
      <c r="V302" s="26" t="n">
        <f aca="false">IFERROR(COUNTIFS($B$2:$B$492,$B302,$O$2:$O$492,"&gt;"&amp;$O302)+1,"")</f>
        <v>62</v>
      </c>
      <c r="W302" s="21" t="n">
        <f aca="false">'Info Lega'!$B$4-SUMIFS($M$2:$M$492,$D$2:$D$492,'Info Lega'!$B$28)</f>
        <v>1000</v>
      </c>
      <c r="X302" s="21" t="n">
        <f aca="false">('Info Lega'!$B$5-COUNTIFS($D$2:$D$492,'Info Lega'!$B$28,$B$2:$B$492,"P"))+('Info Lega'!$B$6-COUNTIFS($D$2:$D$492,'Info Lega'!$B$28,$B$2:$B$492,"D"))+('Info Lega'!$B$7-COUNTIFS($D$2:$D$492,'Info Lega'!$B$28,$B$2:$B$492,"C"))+('Info Lega'!$B$8-COUNTIFS($D$2:$D$492,'Info Lega'!$B$28,$B$2:$B$492,"A"))</f>
        <v>25</v>
      </c>
      <c r="Y302" s="21" t="n">
        <f aca="false">X302*'Parametri Modello'!$B$30</f>
        <v>25</v>
      </c>
      <c r="Z302" s="21" t="n">
        <f aca="false">MAX(0,W302-Y302)</f>
        <v>975</v>
      </c>
      <c r="AA302" s="21" t="n">
        <f aca="false">MIN(F302,Z302)</f>
        <v>10</v>
      </c>
      <c r="AB302" s="21"/>
      <c r="AC302" s="21" t="str">
        <f aca="false">IF(AB302="","",IF(AB302&gt;AA302,"PASS",IF(AB302&lt;=AA302*0.85,"BID","ATTENZIONE")))</f>
        <v/>
      </c>
      <c r="AD302" s="31" t="n">
        <f aca="false">IF(I302="","",ROUND(100*(1-EXP(-I302/30)),0))</f>
        <v>23</v>
      </c>
      <c r="AE302" s="7" t="str">
        <f aca="false">IFERROR(INDEX('Stato Asta'!$G$9:$G$12,MATCH($B302,'Stato Asta'!$A$9:$A$12,0)),"")</f>
        <v>🔴 Non aspettare</v>
      </c>
    </row>
    <row r="303" customFormat="false" ht="14.25" hidden="false" customHeight="true" outlineLevel="0" collapsed="false">
      <c r="A303" s="21" t="n">
        <v>218</v>
      </c>
      <c r="B303" s="21" t="s">
        <v>43</v>
      </c>
      <c r="C303" s="21" t="s">
        <v>145</v>
      </c>
      <c r="E303" s="26" t="str">
        <f aca="false">IF(COUNTIF('Info Strategia'!$D$2:$D$51,$C303)&gt;0,"SI","NO")</f>
        <v>NO</v>
      </c>
      <c r="F303" s="27" t="n">
        <f aca="false">IFERROR(ROUND(($G303+($H303-$G303)*'Info Strategia'!$B$6)*(1+IF($E303="SI",'Parametri Modello'!$B$7*'Info Strategia'!$B$6,0)),0),"")</f>
        <v>11</v>
      </c>
      <c r="G303" s="27" t="n">
        <f aca="false">IFERROR(ROUND((IF(OR(INDEX('Parametri Modello'!$C$39:$C$42,MATCH($B303,'Parametri Modello'!$A$39:$A$42,0))="",INDEX('Parametri Modello'!$C$39:$C$42,MATCH($B303,'Parametri Modello'!$A$39:$A$42,0))=0),0,($O303/INDEX('Parametri Modello'!$C$39:$C$42,MATCH($B303,'Parametri Modello'!$A$39:$A$42,0)))*(INDEX('Parametri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9</v>
      </c>
      <c r="H303" s="27" t="n">
        <f aca="false">IFERROR(ROUND((IF(OR(INDEX('Parametri Modello'!$C$39:$C$42,MATCH($B303,'Parametri Modello'!$A$39:$A$42,0))="",INDEX('Parametri Modello'!$C$39:$C$42,MATCH($B303,'Parametri Modello'!$A$39:$A$42,0))=0),0,($O303/INDEX('Parametri Modello'!$C$39:$C$42,MATCH($B303,'Parametri Modello'!$A$39:$A$42,0)))*(INDEX('Parametri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12</v>
      </c>
      <c r="I303" s="26" t="n">
        <f aca="false">IFERROR(INDEX('Input Statistiche 2025_26'!$F$3:$F$665,MATCH($A303,'Input Statistiche 2025_26'!$A$3:$A$665,0)),"")</f>
        <v>9</v>
      </c>
      <c r="J303" s="26" t="n">
        <f aca="false">IFERROR(IF($I303="","",MAX(0,38-$I303)),"")</f>
        <v>29</v>
      </c>
      <c r="K303" s="26" t="n">
        <f aca="false">IFERROR(INDEX('Input Statistiche 2025_26'!$I$3:$I$665,MATCH($A303,'Input Statistiche 2025_26'!$A$3:$A$665,0)),"")</f>
        <v>0</v>
      </c>
      <c r="L303" s="26" t="n">
        <f aca="false">IFERROR(INDEX('Input Statistiche 2025_26'!$O$3:$O$665,MATCH($A303,'Input Statistiche 2025_26'!$A$3:$A$665,0)),"")</f>
        <v>0</v>
      </c>
      <c r="M303" s="28"/>
      <c r="N303" s="27" t="n">
        <f aca="false">IFERROR(INDEX('Input Giocatori 2026_27'!$E$3:$E$493,MATCH($A303,'Input Giocatori 2026_27'!$A$3:$A$493,0)),"")</f>
        <v>6</v>
      </c>
      <c r="O303" s="27" t="n">
        <f aca="false">IFERROR(INDEX('Input Giocatori 2026_27'!$G$3:$G$493,MATCH($A303,'Input Giocatori 2026_27'!$A$3:$A$493,0)),"")</f>
        <v>10</v>
      </c>
      <c r="P303" s="26" t="str">
        <f aca="false">IFERROR(IF($O303="","",IF((1-(COUNTIFS($B$2:$B$492,$B303,$O$2:$O$492,"&gt;"&amp;$O303)+1-1)/COUNTIF($B$2:$B$492,$B303))&gt;=0.85,"Top",IF((1-(COUNTIFS($B$2:$B$492,$B303,$O$2:$O$492,"&gt;"&amp;$O303)+1-1)/COUNTIF($B$2:$B$492,$B303))&gt;=0.6,"Buono",IF((1-(COUNTIFS($B$2:$B$492,$B303,$O$2:$O$492,"&gt;"&amp;$O303)+1-1)/COUNTIF($B$2:$B$492,$B303))&gt;=0.3,"Nella Media","Scommessa/Riserva")))),"")</f>
        <v>Buono</v>
      </c>
      <c r="Q303" s="29" t="n">
        <f aca="false">IF($D303="",COUNTIF($D$2:$D303,""),"")</f>
        <v>302</v>
      </c>
      <c r="R303" s="29" t="str">
        <f aca="false">IF($D303='Info Lega'!$B$28,COUNTIFS($D$2:$D303,'Info Lega'!$B$28),"")</f>
        <v/>
      </c>
      <c r="S303" s="30" t="n">
        <f aca="false">IFERROR(INDEX('Input Statistiche 2025_26'!$G$3:$G$665,MATCH($A303,'Input Statistiche 2025_26'!$A$3:$A$665,0)),"")</f>
        <v>6.11</v>
      </c>
      <c r="T303" s="30" t="n">
        <f aca="false">IFERROR(INDEX('Input Statistiche 2025_26'!$H$3:$H$665,MATCH($A303,'Input Statistiche 2025_26'!$A$3:$A$665,0)),"")</f>
        <v>5.11</v>
      </c>
      <c r="U303" s="26" t="str">
        <f aca="false">IF(OR('La Mia Rosa'!$O$12="",$D303&lt;&gt;""),"",IF($F303&lt;='La Mia Rosa'!$O$12*'Parametri Modello'!$B$24,"OK",IF($F303&lt;='La Mia Rosa'!$O$12*'Parametri Modello'!$B$25,"Attenzione","Rischio Alto")))</f>
        <v>OK</v>
      </c>
      <c r="V303" s="26" t="n">
        <f aca="false">IFERROR(COUNTIFS($B$2:$B$492,$B303,$O$2:$O$492,"&gt;"&amp;$O303)+1,"")</f>
        <v>19</v>
      </c>
      <c r="W303" s="21" t="n">
        <f aca="false">'Info Lega'!$B$4-SUMIFS($M$2:$M$492,$D$2:$D$492,'Info Lega'!$B$28)</f>
        <v>1000</v>
      </c>
      <c r="X303" s="21" t="n">
        <f aca="false">('Info Lega'!$B$5-COUNTIFS($D$2:$D$492,'Info Lega'!$B$28,$B$2:$B$492,"P"))+('Info Lega'!$B$6-COUNTIFS($D$2:$D$492,'Info Lega'!$B$28,$B$2:$B$492,"D"))+('Info Lega'!$B$7-COUNTIFS($D$2:$D$492,'Info Lega'!$B$28,$B$2:$B$492,"C"))+('Info Lega'!$B$8-COUNTIFS($D$2:$D$492,'Info Lega'!$B$28,$B$2:$B$492,"A"))</f>
        <v>25</v>
      </c>
      <c r="Y303" s="21" t="n">
        <f aca="false">X303*'Parametri Modello'!$B$30</f>
        <v>25</v>
      </c>
      <c r="Z303" s="21" t="n">
        <f aca="false">MAX(0,W303-Y303)</f>
        <v>975</v>
      </c>
      <c r="AA303" s="21" t="n">
        <f aca="false">MIN(F303,Z303)</f>
        <v>11</v>
      </c>
      <c r="AB303" s="21"/>
      <c r="AC303" s="21" t="str">
        <f aca="false">IF(AB303="","",IF(AB303&gt;AA303,"PASS",IF(AB303&lt;=AA303*0.85,"BID","ATTENZIONE")))</f>
        <v/>
      </c>
      <c r="AD303" s="31" t="n">
        <f aca="false">IF(I303="","",ROUND(100*(1-EXP(-I303/30)),0))</f>
        <v>26</v>
      </c>
      <c r="AE303" s="7" t="str">
        <f aca="false">IFERROR(INDEX('Stato Asta'!$G$9:$G$12,MATCH($B303,'Stato Asta'!$A$9:$A$12,0)),"")</f>
        <v>🟡 Attesa rischiosa</v>
      </c>
    </row>
    <row r="304" customFormat="false" ht="14.25" hidden="false" customHeight="true" outlineLevel="0" collapsed="false">
      <c r="A304" s="21" t="n">
        <v>2170</v>
      </c>
      <c r="B304" s="21" t="s">
        <v>43</v>
      </c>
      <c r="C304" s="21" t="s">
        <v>150</v>
      </c>
      <c r="E304" s="26" t="str">
        <f aca="false">IF(COUNTIF('Info Strategia'!$D$2:$D$51,$C304)&gt;0,"SI","NO")</f>
        <v>NO</v>
      </c>
      <c r="F304" s="27" t="n">
        <f aca="false">IFERROR(ROUND(($G304+($H304-$G304)*'Info Strategia'!$B$6)*(1+IF($E304="SI",'Parametri Modello'!$B$7*'Info Strategia'!$B$6,0)),0),"")</f>
        <v>12</v>
      </c>
      <c r="G304" s="27" t="n">
        <f aca="false">IFERROR(ROUND((IF(OR(INDEX('Parametri Modello'!$C$39:$C$42,MATCH($B304,'Parametri Modello'!$A$39:$A$42,0))="",INDEX('Parametri Modello'!$C$39:$C$42,MATCH($B304,'Parametri Modello'!$A$39:$A$42,0))=0),0,($O304/INDEX('Parametri Modello'!$C$39:$C$42,MATCH($B304,'Parametri Modello'!$A$39:$A$42,0)))*(INDEX('Parametri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9</v>
      </c>
      <c r="H304" s="27" t="n">
        <f aca="false">IFERROR(ROUND((IF(OR(INDEX('Parametri Modello'!$C$39:$C$42,MATCH($B304,'Parametri Modello'!$A$39:$A$42,0))="",INDEX('Parametri Modello'!$C$39:$C$42,MATCH($B304,'Parametri Modello'!$A$39:$A$42,0))=0),0,($O304/INDEX('Parametri Modello'!$C$39:$C$42,MATCH($B304,'Parametri Modello'!$A$39:$A$42,0)))*(INDEX('Parametri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13</v>
      </c>
      <c r="I304" s="26" t="n">
        <f aca="false">IFERROR(INDEX('Input Statistiche 2025_26'!$F$3:$F$665,MATCH($A304,'Input Statistiche 2025_26'!$A$3:$A$665,0)),"")</f>
        <v>27</v>
      </c>
      <c r="J304" s="26" t="n">
        <f aca="false">IFERROR(IF($I304="","",MAX(0,38-$I304)),"")</f>
        <v>11</v>
      </c>
      <c r="K304" s="26" t="n">
        <f aca="false">IFERROR(INDEX('Input Statistiche 2025_26'!$I$3:$I$665,MATCH($A304,'Input Statistiche 2025_26'!$A$3:$A$665,0)),"")</f>
        <v>0</v>
      </c>
      <c r="L304" s="26" t="n">
        <f aca="false">IFERROR(INDEX('Input Statistiche 2025_26'!$O$3:$O$665,MATCH($A304,'Input Statistiche 2025_26'!$A$3:$A$665,0)),"")</f>
        <v>0</v>
      </c>
      <c r="M304" s="28"/>
      <c r="N304" s="27" t="n">
        <f aca="false">IFERROR(INDEX('Input Giocatori 2026_27'!$E$3:$E$493,MATCH($A304,'Input Giocatori 2026_27'!$A$3:$A$493,0)),"")</f>
        <v>5</v>
      </c>
      <c r="O304" s="27" t="n">
        <f aca="false">IFERROR(INDEX('Input Giocatori 2026_27'!$G$3:$G$493,MATCH($A304,'Input Giocatori 2026_27'!$A$3:$A$493,0)),"")</f>
        <v>10</v>
      </c>
      <c r="P304" s="26" t="str">
        <f aca="false">IFERROR(IF($O304="","",IF((1-(COUNTIFS($B$2:$B$492,$B304,$O$2:$O$492,"&gt;"&amp;$O304)+1-1)/COUNTIF($B$2:$B$492,$B304))&gt;=0.85,"Top",IF((1-(COUNTIFS($B$2:$B$492,$B304,$O$2:$O$492,"&gt;"&amp;$O304)+1-1)/COUNTIF($B$2:$B$492,$B304))&gt;=0.6,"Buono",IF((1-(COUNTIFS($B$2:$B$492,$B304,$O$2:$O$492,"&gt;"&amp;$O304)+1-1)/COUNTIF($B$2:$B$492,$B304))&gt;=0.3,"Nella Media","Scommessa/Riserva")))),"")</f>
        <v>Buono</v>
      </c>
      <c r="Q304" s="29" t="n">
        <f aca="false">IF($D304="",COUNTIF($D$2:$D304,""),"")</f>
        <v>303</v>
      </c>
      <c r="R304" s="29" t="str">
        <f aca="false">IF($D304='Info Lega'!$B$28,COUNTIFS($D$2:$D304,'Info Lega'!$B$28),"")</f>
        <v/>
      </c>
      <c r="S304" s="30" t="n">
        <f aca="false">IFERROR(INDEX('Input Statistiche 2025_26'!$G$3:$G$665,MATCH($A304,'Input Statistiche 2025_26'!$A$3:$A$665,0)),"")</f>
        <v>6.2</v>
      </c>
      <c r="T304" s="30" t="n">
        <f aca="false">IFERROR(INDEX('Input Statistiche 2025_26'!$H$3:$H$665,MATCH($A304,'Input Statistiche 2025_26'!$A$3:$A$665,0)),"")</f>
        <v>5.65</v>
      </c>
      <c r="U304" s="26" t="str">
        <f aca="false">IF(OR('La Mia Rosa'!$O$12="",$D304&lt;&gt;""),"",IF($F304&lt;='La Mia Rosa'!$O$12*'Parametri Modello'!$B$24,"OK",IF($F304&lt;='La Mia Rosa'!$O$12*'Parametri Modello'!$B$25,"Attenzione","Rischio Alto")))</f>
        <v>OK</v>
      </c>
      <c r="V304" s="26" t="n">
        <f aca="false">IFERROR(COUNTIFS($B$2:$B$492,$B304,$O$2:$O$492,"&gt;"&amp;$O304)+1,"")</f>
        <v>19</v>
      </c>
      <c r="W304" s="21" t="n">
        <f aca="false">'Info Lega'!$B$4-SUMIFS($M$2:$M$492,$D$2:$D$492,'Info Lega'!$B$28)</f>
        <v>1000</v>
      </c>
      <c r="X304" s="21" t="n">
        <f aca="false">('Info Lega'!$B$5-COUNTIFS($D$2:$D$492,'Info Lega'!$B$28,$B$2:$B$492,"P"))+('Info Lega'!$B$6-COUNTIFS($D$2:$D$492,'Info Lega'!$B$28,$B$2:$B$492,"D"))+('Info Lega'!$B$7-COUNTIFS($D$2:$D$492,'Info Lega'!$B$28,$B$2:$B$492,"C"))+('Info Lega'!$B$8-COUNTIFS($D$2:$D$492,'Info Lega'!$B$28,$B$2:$B$492,"A"))</f>
        <v>25</v>
      </c>
      <c r="Y304" s="21" t="n">
        <f aca="false">X304*'Parametri Modello'!$B$30</f>
        <v>25</v>
      </c>
      <c r="Z304" s="21" t="n">
        <f aca="false">MAX(0,W304-Y304)</f>
        <v>975</v>
      </c>
      <c r="AA304" s="21" t="n">
        <f aca="false">MIN(F304,Z304)</f>
        <v>12</v>
      </c>
      <c r="AB304" s="21"/>
      <c r="AC304" s="21" t="str">
        <f aca="false">IF(AB304="","",IF(AB304&gt;AA304,"PASS",IF(AB304&lt;=AA304*0.85,"BID","ATTENZIONE")))</f>
        <v/>
      </c>
      <c r="AD304" s="31" t="n">
        <f aca="false">IF(I304="","",ROUND(100*(1-EXP(-I304/30)),0))</f>
        <v>59</v>
      </c>
      <c r="AE304" s="7" t="str">
        <f aca="false">IFERROR(INDEX('Stato Asta'!$G$9:$G$12,MATCH($B304,'Stato Asta'!$A$9:$A$12,0)),"")</f>
        <v>🟡 Attesa rischiosa</v>
      </c>
    </row>
    <row r="305" customFormat="false" ht="14.25" hidden="false" customHeight="true" outlineLevel="0" collapsed="false">
      <c r="A305" s="21" t="n">
        <v>7014</v>
      </c>
      <c r="B305" s="21" t="s">
        <v>44</v>
      </c>
      <c r="C305" s="21" t="s">
        <v>282</v>
      </c>
      <c r="E305" s="26" t="str">
        <f aca="false">IF(COUNTIF('Info Strategia'!$D$2:$D$51,$C305)&gt;0,"SI","NO")</f>
        <v>NO</v>
      </c>
      <c r="F305" s="27" t="n">
        <f aca="false">IFERROR(ROUND(($G305+($H305-$G305)*'Info Strategia'!$B$6)*(1+IF($E305="SI",'Parametri Modello'!$B$7*'Info Strategia'!$B$6,0)),0),"")</f>
        <v>5</v>
      </c>
      <c r="G305" s="27" t="n">
        <f aca="false">IFERROR(ROUND((IF(OR(INDEX('Parametri Modello'!$C$39:$C$42,MATCH($B305,'Parametri Modello'!$A$39:$A$42,0))="",INDEX('Parametri Modello'!$C$39:$C$42,MATCH($B305,'Parametri Modello'!$A$39:$A$42,0))=0),0,($O305/INDEX('Parametri Modello'!$C$39:$C$42,MATCH($B305,'Parametri Modello'!$A$39:$A$42,0)))*(INDEX('Parametri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4</v>
      </c>
      <c r="H305" s="27" t="n">
        <f aca="false">IFERROR(ROUND((IF(OR(INDEX('Parametri Modello'!$C$39:$C$42,MATCH($B305,'Parametri Modello'!$A$39:$A$42,0))="",INDEX('Parametri Modello'!$C$39:$C$42,MATCH($B305,'Parametri Modello'!$A$39:$A$42,0))=0),0,($O305/INDEX('Parametri Modello'!$C$39:$C$42,MATCH($B305,'Parametri Modello'!$A$39:$A$42,0)))*(INDEX('Parametri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5</v>
      </c>
      <c r="I305" s="26" t="n">
        <f aca="false">IFERROR(INDEX('Input Statistiche 2025_26'!$F$3:$F$665,MATCH($A305,'Input Statistiche 2025_26'!$A$3:$A$665,0)),"")</f>
        <v>25</v>
      </c>
      <c r="J305" s="26" t="n">
        <f aca="false">IFERROR(IF($I305="","",MAX(0,38-$I305)),"")</f>
        <v>13</v>
      </c>
      <c r="K305" s="26" t="n">
        <f aca="false">IFERROR(INDEX('Input Statistiche 2025_26'!$I$3:$I$665,MATCH($A305,'Input Statistiche 2025_26'!$A$3:$A$665,0)),"")</f>
        <v>0</v>
      </c>
      <c r="L305" s="26" t="n">
        <f aca="false">IFERROR(INDEX('Input Statistiche 2025_26'!$O$3:$O$665,MATCH($A305,'Input Statistiche 2025_26'!$A$3:$A$665,0)),"")</f>
        <v>1</v>
      </c>
      <c r="M305" s="28"/>
      <c r="N305" s="27" t="n">
        <f aca="false">IFERROR(INDEX('Input Giocatori 2026_27'!$E$3:$E$493,MATCH($A305,'Input Giocatori 2026_27'!$A$3:$A$493,0)),"")</f>
        <v>4</v>
      </c>
      <c r="O305" s="27" t="n">
        <f aca="false">IFERROR(INDEX('Input Giocatori 2026_27'!$G$3:$G$493,MATCH($A305,'Input Giocatori 2026_27'!$A$3:$A$493,0)),"")</f>
        <v>10</v>
      </c>
      <c r="P305" s="26" t="str">
        <f aca="false">IFERROR(IF($O305="","",IF((1-(COUNTIFS($B$2:$B$492,$B305,$O$2:$O$492,"&gt;"&amp;$O305)+1-1)/COUNTIF($B$2:$B$492,$B305))&gt;=0.85,"Top",IF((1-(COUNTIFS($B$2:$B$492,$B305,$O$2:$O$492,"&gt;"&amp;$O305)+1-1)/COUNTIF($B$2:$B$492,$B305))&gt;=0.6,"Buono",IF((1-(COUNTIFS($B$2:$B$492,$B305,$O$2:$O$492,"&gt;"&amp;$O305)+1-1)/COUNTIF($B$2:$B$492,$B305))&gt;=0.3,"Nella Media","Scommessa/Riserva")))),"")</f>
        <v>Nella Media</v>
      </c>
      <c r="Q305" s="29" t="n">
        <f aca="false">IF($D305="",COUNTIF($D$2:$D305,""),"")</f>
        <v>304</v>
      </c>
      <c r="R305" s="29" t="str">
        <f aca="false">IF($D305='Info Lega'!$B$28,COUNTIFS($D$2:$D305,'Info Lega'!$B$28),"")</f>
        <v/>
      </c>
      <c r="S305" s="30" t="n">
        <f aca="false">IFERROR(INDEX('Input Statistiche 2025_26'!$G$3:$G$665,MATCH($A305,'Input Statistiche 2025_26'!$A$3:$A$665,0)),"")</f>
        <v>5.96</v>
      </c>
      <c r="T305" s="30" t="n">
        <f aca="false">IFERROR(INDEX('Input Statistiche 2025_26'!$H$3:$H$665,MATCH($A305,'Input Statistiche 2025_26'!$A$3:$A$665,0)),"")</f>
        <v>5.84</v>
      </c>
      <c r="U305" s="26" t="str">
        <f aca="false">IF(OR('La Mia Rosa'!$O$12="",$D305&lt;&gt;""),"",IF($F305&lt;='La Mia Rosa'!$O$12*'Parametri Modello'!$B$24,"OK",IF($F305&lt;='La Mia Rosa'!$O$12*'Parametri Modello'!$B$25,"Attenzione","Rischio Alto")))</f>
        <v>OK</v>
      </c>
      <c r="V305" s="26" t="n">
        <f aca="false">IFERROR(COUNTIFS($B$2:$B$492,$B305,$O$2:$O$492,"&gt;"&amp;$O305)+1,"")</f>
        <v>99</v>
      </c>
      <c r="W305" s="21" t="n">
        <f aca="false">'Info Lega'!$B$4-SUMIFS($M$2:$M$492,$D$2:$D$492,'Info Lega'!$B$28)</f>
        <v>1000</v>
      </c>
      <c r="X305" s="21" t="n">
        <f aca="false">('Info Lega'!$B$5-COUNTIFS($D$2:$D$492,'Info Lega'!$B$28,$B$2:$B$492,"P"))+('Info Lega'!$B$6-COUNTIFS($D$2:$D$492,'Info Lega'!$B$28,$B$2:$B$492,"D"))+('Info Lega'!$B$7-COUNTIFS($D$2:$D$492,'Info Lega'!$B$28,$B$2:$B$492,"C"))+('Info Lega'!$B$8-COUNTIFS($D$2:$D$492,'Info Lega'!$B$28,$B$2:$B$492,"A"))</f>
        <v>25</v>
      </c>
      <c r="Y305" s="21" t="n">
        <f aca="false">X305*'Parametri Modello'!$B$30</f>
        <v>25</v>
      </c>
      <c r="Z305" s="21" t="n">
        <f aca="false">MAX(0,W305-Y305)</f>
        <v>975</v>
      </c>
      <c r="AA305" s="21" t="n">
        <f aca="false">MIN(F305,Z305)</f>
        <v>5</v>
      </c>
      <c r="AB305" s="21"/>
      <c r="AC305" s="21" t="str">
        <f aca="false">IF(AB305="","",IF(AB305&gt;AA305,"PASS",IF(AB305&lt;=AA305*0.85,"BID","ATTENZIONE")))</f>
        <v/>
      </c>
      <c r="AD305" s="31" t="n">
        <f aca="false">IF(I305="","",ROUND(100*(1-EXP(-I305/30)),0))</f>
        <v>57</v>
      </c>
      <c r="AE305" s="7" t="str">
        <f aca="false">IFERROR(INDEX('Stato Asta'!$G$9:$G$12,MATCH($B305,'Stato Asta'!$A$9:$A$12,0)),"")</f>
        <v>🟡 Attesa rischiosa</v>
      </c>
    </row>
    <row r="306" customFormat="false" ht="14.25" hidden="false" customHeight="true" outlineLevel="0" collapsed="false">
      <c r="A306" s="21" t="n">
        <v>7467</v>
      </c>
      <c r="B306" s="21" t="s">
        <v>44</v>
      </c>
      <c r="C306" s="21" t="s">
        <v>284</v>
      </c>
      <c r="E306" s="26" t="str">
        <f aca="false">IF(COUNTIF('Info Strategia'!$D$2:$D$51,$C306)&gt;0,"SI","NO")</f>
        <v>NO</v>
      </c>
      <c r="F306" s="27" t="n">
        <f aca="false">IFERROR(ROUND(($G306+($H306-$G306)*'Info Strategia'!$B$6)*(1+IF($E306="SI",'Parametri Modello'!$B$7*'Info Strategia'!$B$6,0)),0),"")</f>
        <v>5</v>
      </c>
      <c r="G306" s="27" t="n">
        <f aca="false">IFERROR(ROUND((IF(OR(INDEX('Parametri Modello'!$C$39:$C$42,MATCH($B306,'Parametri Modello'!$A$39:$A$42,0))="",INDEX('Parametri Modello'!$C$39:$C$42,MATCH($B306,'Parametri Modello'!$A$39:$A$42,0))=0),0,($O306/INDEX('Parametri Modello'!$C$39:$C$42,MATCH($B306,'Parametri Modello'!$A$39:$A$42,0)))*(INDEX('Parametri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4</v>
      </c>
      <c r="H306" s="27" t="n">
        <f aca="false">IFERROR(ROUND((IF(OR(INDEX('Parametri Modello'!$C$39:$C$42,MATCH($B306,'Parametri Modello'!$A$39:$A$42,0))="",INDEX('Parametri Modello'!$C$39:$C$42,MATCH($B306,'Parametri Modello'!$A$39:$A$42,0))=0),0,($O306/INDEX('Parametri Modello'!$C$39:$C$42,MATCH($B306,'Parametri Modello'!$A$39:$A$42,0)))*(INDEX('Parametri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5</v>
      </c>
      <c r="I306" s="26" t="str">
        <f aca="false">IFERROR(INDEX('Input Statistiche 2025_26'!$F$3:$F$665,MATCH($A306,'Input Statistiche 2025_26'!$A$3:$A$665,0)),"")</f>
        <v/>
      </c>
      <c r="J306" s="26" t="str">
        <f aca="false">IFERROR(IF($I306="","",MAX(0,38-$I306)),"")</f>
        <v/>
      </c>
      <c r="K306" s="26" t="str">
        <f aca="false">IFERROR(INDEX('Input Statistiche 2025_26'!$I$3:$I$665,MATCH($A306,'Input Statistiche 2025_26'!$A$3:$A$665,0)),"")</f>
        <v/>
      </c>
      <c r="L306" s="26" t="str">
        <f aca="false">IFERROR(INDEX('Input Statistiche 2025_26'!$O$3:$O$665,MATCH($A306,'Input Statistiche 2025_26'!$A$3:$A$665,0)),"")</f>
        <v/>
      </c>
      <c r="M306" s="28"/>
      <c r="N306" s="27" t="n">
        <f aca="false">IFERROR(INDEX('Input Giocatori 2026_27'!$E$3:$E$493,MATCH($A306,'Input Giocatori 2026_27'!$A$3:$A$493,0)),"")</f>
        <v>4</v>
      </c>
      <c r="O306" s="27" t="n">
        <f aca="false">IFERROR(INDEX('Input Giocatori 2026_27'!$G$3:$G$493,MATCH($A306,'Input Giocatori 2026_27'!$A$3:$A$493,0)),"")</f>
        <v>10</v>
      </c>
      <c r="P306" s="26" t="str">
        <f aca="false">IFERROR(IF($O306="","",IF((1-(COUNTIFS($B$2:$B$492,$B306,$O$2:$O$492,"&gt;"&amp;$O306)+1-1)/COUNTIF($B$2:$B$492,$B306))&gt;=0.85,"Top",IF((1-(COUNTIFS($B$2:$B$492,$B306,$O$2:$O$492,"&gt;"&amp;$O306)+1-1)/COUNTIF($B$2:$B$492,$B306))&gt;=0.6,"Buono",IF((1-(COUNTIFS($B$2:$B$492,$B306,$O$2:$O$492,"&gt;"&amp;$O306)+1-1)/COUNTIF($B$2:$B$492,$B306))&gt;=0.3,"Nella Media","Scommessa/Riserva")))),"")</f>
        <v>Nella Media</v>
      </c>
      <c r="Q306" s="29" t="n">
        <f aca="false">IF($D306="",COUNTIF($D$2:$D306,""),"")</f>
        <v>305</v>
      </c>
      <c r="R306" s="29" t="str">
        <f aca="false">IF($D306='Info Lega'!$B$28,COUNTIFS($D$2:$D306,'Info Lega'!$B$28),"")</f>
        <v/>
      </c>
      <c r="S306" s="30" t="str">
        <f aca="false">IFERROR(INDEX('Input Statistiche 2025_26'!$G$3:$G$665,MATCH($A306,'Input Statistiche 2025_26'!$A$3:$A$665,0)),"")</f>
        <v/>
      </c>
      <c r="T306" s="30" t="str">
        <f aca="false">IFERROR(INDEX('Input Statistiche 2025_26'!$H$3:$H$665,MATCH($A306,'Input Statistiche 2025_26'!$A$3:$A$665,0)),"")</f>
        <v/>
      </c>
      <c r="U306" s="26" t="str">
        <f aca="false">IF(OR('La Mia Rosa'!$O$12="",$D306&lt;&gt;""),"",IF($F306&lt;='La Mia Rosa'!$O$12*'Parametri Modello'!$B$24,"OK",IF($F306&lt;='La Mia Rosa'!$O$12*'Parametri Modello'!$B$25,"Attenzione","Rischio Alto")))</f>
        <v>OK</v>
      </c>
      <c r="V306" s="26" t="n">
        <f aca="false">IFERROR(COUNTIFS($B$2:$B$492,$B306,$O$2:$O$492,"&gt;"&amp;$O306)+1,"")</f>
        <v>99</v>
      </c>
      <c r="W306" s="21" t="n">
        <f aca="false">'Info Lega'!$B$4-SUMIFS($M$2:$M$492,$D$2:$D$492,'Info Lega'!$B$28)</f>
        <v>1000</v>
      </c>
      <c r="X306" s="21" t="n">
        <f aca="false">('Info Lega'!$B$5-COUNTIFS($D$2:$D$492,'Info Lega'!$B$28,$B$2:$B$492,"P"))+('Info Lega'!$B$6-COUNTIFS($D$2:$D$492,'Info Lega'!$B$28,$B$2:$B$492,"D"))+('Info Lega'!$B$7-COUNTIFS($D$2:$D$492,'Info Lega'!$B$28,$B$2:$B$492,"C"))+('Info Lega'!$B$8-COUNTIFS($D$2:$D$492,'Info Lega'!$B$28,$B$2:$B$492,"A"))</f>
        <v>25</v>
      </c>
      <c r="Y306" s="21" t="n">
        <f aca="false">X306*'Parametri Modello'!$B$30</f>
        <v>25</v>
      </c>
      <c r="Z306" s="21" t="n">
        <f aca="false">MAX(0,W306-Y306)</f>
        <v>975</v>
      </c>
      <c r="AA306" s="21" t="n">
        <f aca="false">MIN(F306,Z306)</f>
        <v>5</v>
      </c>
      <c r="AB306" s="21"/>
      <c r="AC306" s="21" t="str">
        <f aca="false">IF(AB306="","",IF(AB306&gt;AA306,"PASS",IF(AB306&lt;=AA306*0.85,"BID","ATTENZIONE")))</f>
        <v/>
      </c>
      <c r="AD306" s="31" t="str">
        <f aca="false">IF(I306="","",ROUND(100*(1-EXP(-I306/30)),0))</f>
        <v/>
      </c>
      <c r="AE306" s="7" t="str">
        <f aca="false">IFERROR(INDEX('Stato Asta'!$G$9:$G$12,MATCH($B306,'Stato Asta'!$A$9:$A$12,0)),"")</f>
        <v>🟡 Attesa rischiosa</v>
      </c>
    </row>
    <row r="307" customFormat="false" ht="14.25" hidden="false" customHeight="true" outlineLevel="0" collapsed="false">
      <c r="A307" s="21" t="n">
        <v>5831</v>
      </c>
      <c r="B307" s="21" t="s">
        <v>44</v>
      </c>
      <c r="C307" s="21" t="s">
        <v>286</v>
      </c>
      <c r="E307" s="26" t="str">
        <f aca="false">IF(COUNTIF('Info Strategia'!$D$2:$D$51,$C307)&gt;0,"SI","NO")</f>
        <v>NO</v>
      </c>
      <c r="F307" s="27" t="n">
        <f aca="false">IFERROR(ROUND(($G307+($H307-$G307)*'Info Strategia'!$B$6)*(1+IF($E307="SI",'Parametri Modello'!$B$7*'Info Strategia'!$B$6,0)),0),"")</f>
        <v>5</v>
      </c>
      <c r="G307" s="27" t="n">
        <f aca="false">IFERROR(ROUND((IF(OR(INDEX('Parametri Modello'!$C$39:$C$42,MATCH($B307,'Parametri Modello'!$A$39:$A$42,0))="",INDEX('Parametri Modello'!$C$39:$C$42,MATCH($B307,'Parametri Modello'!$A$39:$A$42,0))=0),0,($O307/INDEX('Parametri Modello'!$C$39:$C$42,MATCH($B307,'Parametri Modello'!$A$39:$A$42,0)))*(INDEX('Parametri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4</v>
      </c>
      <c r="H307" s="27" t="n">
        <f aca="false">IFERROR(ROUND((IF(OR(INDEX('Parametri Modello'!$C$39:$C$42,MATCH($B307,'Parametri Modello'!$A$39:$A$42,0))="",INDEX('Parametri Modello'!$C$39:$C$42,MATCH($B307,'Parametri Modello'!$A$39:$A$42,0))=0),0,($O307/INDEX('Parametri Modello'!$C$39:$C$42,MATCH($B307,'Parametri Modello'!$A$39:$A$42,0)))*(INDEX('Parametri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5</v>
      </c>
      <c r="I307" s="26" t="n">
        <f aca="false">IFERROR(INDEX('Input Statistiche 2025_26'!$F$3:$F$665,MATCH($A307,'Input Statistiche 2025_26'!$A$3:$A$665,0)),"")</f>
        <v>16</v>
      </c>
      <c r="J307" s="26" t="n">
        <f aca="false">IFERROR(IF($I307="","",MAX(0,38-$I307)),"")</f>
        <v>22</v>
      </c>
      <c r="K307" s="26" t="n">
        <f aca="false">IFERROR(INDEX('Input Statistiche 2025_26'!$I$3:$I$665,MATCH($A307,'Input Statistiche 2025_26'!$A$3:$A$665,0)),"")</f>
        <v>2</v>
      </c>
      <c r="L307" s="26" t="n">
        <f aca="false">IFERROR(INDEX('Input Statistiche 2025_26'!$O$3:$O$665,MATCH($A307,'Input Statistiche 2025_26'!$A$3:$A$665,0)),"")</f>
        <v>0</v>
      </c>
      <c r="M307" s="28"/>
      <c r="N307" s="27" t="n">
        <f aca="false">IFERROR(INDEX('Input Giocatori 2026_27'!$E$3:$E$493,MATCH($A307,'Input Giocatori 2026_27'!$A$3:$A$493,0)),"")</f>
        <v>4</v>
      </c>
      <c r="O307" s="27" t="n">
        <f aca="false">IFERROR(INDEX('Input Giocatori 2026_27'!$G$3:$G$493,MATCH($A307,'Input Giocatori 2026_27'!$A$3:$A$493,0)),"")</f>
        <v>10</v>
      </c>
      <c r="P307" s="26" t="str">
        <f aca="false">IFERROR(IF($O307="","",IF((1-(COUNTIFS($B$2:$B$492,$B307,$O$2:$O$492,"&gt;"&amp;$O307)+1-1)/COUNTIF($B$2:$B$492,$B307))&gt;=0.85,"Top",IF((1-(COUNTIFS($B$2:$B$492,$B307,$O$2:$O$492,"&gt;"&amp;$O307)+1-1)/COUNTIF($B$2:$B$492,$B307))&gt;=0.6,"Buono",IF((1-(COUNTIFS($B$2:$B$492,$B307,$O$2:$O$492,"&gt;"&amp;$O307)+1-1)/COUNTIF($B$2:$B$492,$B307))&gt;=0.3,"Nella Media","Scommessa/Riserva")))),"")</f>
        <v>Nella Media</v>
      </c>
      <c r="Q307" s="29" t="n">
        <f aca="false">IF($D307="",COUNTIF($D$2:$D307,""),"")</f>
        <v>306</v>
      </c>
      <c r="R307" s="29" t="str">
        <f aca="false">IF($D307='Info Lega'!$B$28,COUNTIFS($D$2:$D307,'Info Lega'!$B$28),"")</f>
        <v/>
      </c>
      <c r="S307" s="30" t="n">
        <f aca="false">IFERROR(INDEX('Input Statistiche 2025_26'!$G$3:$G$665,MATCH($A307,'Input Statistiche 2025_26'!$A$3:$A$665,0)),"")</f>
        <v>5.94</v>
      </c>
      <c r="T307" s="30" t="n">
        <f aca="false">IFERROR(INDEX('Input Statistiche 2025_26'!$H$3:$H$665,MATCH($A307,'Input Statistiche 2025_26'!$A$3:$A$665,0)),"")</f>
        <v>6.22</v>
      </c>
      <c r="U307" s="26" t="str">
        <f aca="false">IF(OR('La Mia Rosa'!$O$12="",$D307&lt;&gt;""),"",IF($F307&lt;='La Mia Rosa'!$O$12*'Parametri Modello'!$B$24,"OK",IF($F307&lt;='La Mia Rosa'!$O$12*'Parametri Modello'!$B$25,"Attenzione","Rischio Alto")))</f>
        <v>OK</v>
      </c>
      <c r="V307" s="26" t="n">
        <f aca="false">IFERROR(COUNTIFS($B$2:$B$492,$B307,$O$2:$O$492,"&gt;"&amp;$O307)+1,"")</f>
        <v>99</v>
      </c>
      <c r="W307" s="21" t="n">
        <f aca="false">'Info Lega'!$B$4-SUMIFS($M$2:$M$492,$D$2:$D$492,'Info Lega'!$B$28)</f>
        <v>1000</v>
      </c>
      <c r="X307" s="21" t="n">
        <f aca="false">('Info Lega'!$B$5-COUNTIFS($D$2:$D$492,'Info Lega'!$B$28,$B$2:$B$492,"P"))+('Info Lega'!$B$6-COUNTIFS($D$2:$D$492,'Info Lega'!$B$28,$B$2:$B$492,"D"))+('Info Lega'!$B$7-COUNTIFS($D$2:$D$492,'Info Lega'!$B$28,$B$2:$B$492,"C"))+('Info Lega'!$B$8-COUNTIFS($D$2:$D$492,'Info Lega'!$B$28,$B$2:$B$492,"A"))</f>
        <v>25</v>
      </c>
      <c r="Y307" s="21" t="n">
        <f aca="false">X307*'Parametri Modello'!$B$30</f>
        <v>25</v>
      </c>
      <c r="Z307" s="21" t="n">
        <f aca="false">MAX(0,W307-Y307)</f>
        <v>975</v>
      </c>
      <c r="AA307" s="21" t="n">
        <f aca="false">MIN(F307,Z307)</f>
        <v>5</v>
      </c>
      <c r="AB307" s="21"/>
      <c r="AC307" s="21" t="str">
        <f aca="false">IF(AB307="","",IF(AB307&gt;AA307,"PASS",IF(AB307&lt;=AA307*0.85,"BID","ATTENZIONE")))</f>
        <v/>
      </c>
      <c r="AD307" s="31" t="n">
        <f aca="false">IF(I307="","",ROUND(100*(1-EXP(-I307/30)),0))</f>
        <v>41</v>
      </c>
      <c r="AE307" s="7" t="str">
        <f aca="false">IFERROR(INDEX('Stato Asta'!$G$9:$G$12,MATCH($B307,'Stato Asta'!$A$9:$A$12,0)),"")</f>
        <v>🟡 Attesa rischiosa</v>
      </c>
    </row>
    <row r="308" customFormat="false" ht="14.25" hidden="false" customHeight="true" outlineLevel="0" collapsed="false">
      <c r="A308" s="21" t="n">
        <v>5307</v>
      </c>
      <c r="B308" s="21" t="s">
        <v>44</v>
      </c>
      <c r="C308" s="21" t="s">
        <v>291</v>
      </c>
      <c r="E308" s="26" t="str">
        <f aca="false">IF(COUNTIF('Info Strategia'!$D$2:$D$51,$C308)&gt;0,"SI","NO")</f>
        <v>NO</v>
      </c>
      <c r="F308" s="27" t="n">
        <f aca="false">IFERROR(ROUND(($G308+($H308-$G308)*'Info Strategia'!$B$6)*(1+IF($E308="SI",'Parametri Modello'!$B$7*'Info Strategia'!$B$6,0)),0),"")</f>
        <v>5</v>
      </c>
      <c r="G308" s="27" t="n">
        <f aca="false">IFERROR(ROUND((IF(OR(INDEX('Parametri Modello'!$C$39:$C$42,MATCH($B308,'Parametri Modello'!$A$39:$A$42,0))="",INDEX('Parametri Modello'!$C$39:$C$42,MATCH($B308,'Parametri Modello'!$A$39:$A$42,0))=0),0,($O308/INDEX('Parametri Modello'!$C$39:$C$42,MATCH($B308,'Parametri Modello'!$A$39:$A$42,0)))*(INDEX('Parametri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4</v>
      </c>
      <c r="H308" s="27" t="n">
        <f aca="false">IFERROR(ROUND((IF(OR(INDEX('Parametri Modello'!$C$39:$C$42,MATCH($B308,'Parametri Modello'!$A$39:$A$42,0))="",INDEX('Parametri Modello'!$C$39:$C$42,MATCH($B308,'Parametri Modello'!$A$39:$A$42,0))=0),0,($O308/INDEX('Parametri Modello'!$C$39:$C$42,MATCH($B308,'Parametri Modello'!$A$39:$A$42,0)))*(INDEX('Parametri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5</v>
      </c>
      <c r="I308" s="26" t="n">
        <f aca="false">IFERROR(INDEX('Input Statistiche 2025_26'!$F$3:$F$665,MATCH($A308,'Input Statistiche 2025_26'!$A$3:$A$665,0)),"")</f>
        <v>27</v>
      </c>
      <c r="J308" s="26" t="n">
        <f aca="false">IFERROR(IF($I308="","",MAX(0,38-$I308)),"")</f>
        <v>11</v>
      </c>
      <c r="K308" s="26" t="n">
        <f aca="false">IFERROR(INDEX('Input Statistiche 2025_26'!$I$3:$I$665,MATCH($A308,'Input Statistiche 2025_26'!$A$3:$A$665,0)),"")</f>
        <v>0</v>
      </c>
      <c r="L308" s="26" t="n">
        <f aca="false">IFERROR(INDEX('Input Statistiche 2025_26'!$O$3:$O$665,MATCH($A308,'Input Statistiche 2025_26'!$A$3:$A$665,0)),"")</f>
        <v>0</v>
      </c>
      <c r="M308" s="28"/>
      <c r="N308" s="27" t="n">
        <f aca="false">IFERROR(INDEX('Input Giocatori 2026_27'!$E$3:$E$493,MATCH($A308,'Input Giocatori 2026_27'!$A$3:$A$493,0)),"")</f>
        <v>4</v>
      </c>
      <c r="O308" s="27" t="n">
        <f aca="false">IFERROR(INDEX('Input Giocatori 2026_27'!$G$3:$G$493,MATCH($A308,'Input Giocatori 2026_27'!$A$3:$A$493,0)),"")</f>
        <v>10</v>
      </c>
      <c r="P308" s="26" t="str">
        <f aca="false">IFERROR(IF($O308="","",IF((1-(COUNTIFS($B$2:$B$492,$B308,$O$2:$O$492,"&gt;"&amp;$O308)+1-1)/COUNTIF($B$2:$B$492,$B308))&gt;=0.85,"Top",IF((1-(COUNTIFS($B$2:$B$492,$B308,$O$2:$O$492,"&gt;"&amp;$O308)+1-1)/COUNTIF($B$2:$B$492,$B308))&gt;=0.6,"Buono",IF((1-(COUNTIFS($B$2:$B$492,$B308,$O$2:$O$492,"&gt;"&amp;$O308)+1-1)/COUNTIF($B$2:$B$492,$B308))&gt;=0.3,"Nella Media","Scommessa/Riserva")))),"")</f>
        <v>Nella Media</v>
      </c>
      <c r="Q308" s="29" t="n">
        <f aca="false">IF($D308="",COUNTIF($D$2:$D308,""),"")</f>
        <v>307</v>
      </c>
      <c r="R308" s="29" t="str">
        <f aca="false">IF($D308='Info Lega'!$B$28,COUNTIFS($D$2:$D308,'Info Lega'!$B$28),"")</f>
        <v/>
      </c>
      <c r="S308" s="30" t="n">
        <f aca="false">IFERROR(INDEX('Input Statistiche 2025_26'!$G$3:$G$665,MATCH($A308,'Input Statistiche 2025_26'!$A$3:$A$665,0)),"")</f>
        <v>5.96</v>
      </c>
      <c r="T308" s="30" t="n">
        <f aca="false">IFERROR(INDEX('Input Statistiche 2025_26'!$H$3:$H$665,MATCH($A308,'Input Statistiche 2025_26'!$A$3:$A$665,0)),"")</f>
        <v>5.83</v>
      </c>
      <c r="U308" s="26" t="str">
        <f aca="false">IF(OR('La Mia Rosa'!$O$12="",$D308&lt;&gt;""),"",IF($F308&lt;='La Mia Rosa'!$O$12*'Parametri Modello'!$B$24,"OK",IF($F308&lt;='La Mia Rosa'!$O$12*'Parametri Modello'!$B$25,"Attenzione","Rischio Alto")))</f>
        <v>OK</v>
      </c>
      <c r="V308" s="26" t="n">
        <f aca="false">IFERROR(COUNTIFS($B$2:$B$492,$B308,$O$2:$O$492,"&gt;"&amp;$O308)+1,"")</f>
        <v>99</v>
      </c>
      <c r="W308" s="21" t="n">
        <f aca="false">'Info Lega'!$B$4-SUMIFS($M$2:$M$492,$D$2:$D$492,'Info Lega'!$B$28)</f>
        <v>1000</v>
      </c>
      <c r="X308" s="21" t="n">
        <f aca="false">('Info Lega'!$B$5-COUNTIFS($D$2:$D$492,'Info Lega'!$B$28,$B$2:$B$492,"P"))+('Info Lega'!$B$6-COUNTIFS($D$2:$D$492,'Info Lega'!$B$28,$B$2:$B$492,"D"))+('Info Lega'!$B$7-COUNTIFS($D$2:$D$492,'Info Lega'!$B$28,$B$2:$B$492,"C"))+('Info Lega'!$B$8-COUNTIFS($D$2:$D$492,'Info Lega'!$B$28,$B$2:$B$492,"A"))</f>
        <v>25</v>
      </c>
      <c r="Y308" s="21" t="n">
        <f aca="false">X308*'Parametri Modello'!$B$30</f>
        <v>25</v>
      </c>
      <c r="Z308" s="21" t="n">
        <f aca="false">MAX(0,W308-Y308)</f>
        <v>975</v>
      </c>
      <c r="AA308" s="21" t="n">
        <f aca="false">MIN(F308,Z308)</f>
        <v>5</v>
      </c>
      <c r="AB308" s="21"/>
      <c r="AC308" s="21" t="str">
        <f aca="false">IF(AB308="","",IF(AB308&gt;AA308,"PASS",IF(AB308&lt;=AA308*0.85,"BID","ATTENZIONE")))</f>
        <v/>
      </c>
      <c r="AD308" s="31" t="n">
        <f aca="false">IF(I308="","",ROUND(100*(1-EXP(-I308/30)),0))</f>
        <v>59</v>
      </c>
      <c r="AE308" s="7" t="str">
        <f aca="false">IFERROR(INDEX('Stato Asta'!$G$9:$G$12,MATCH($B308,'Stato Asta'!$A$9:$A$12,0)),"")</f>
        <v>🟡 Attesa rischiosa</v>
      </c>
    </row>
    <row r="309" customFormat="false" ht="14.25" hidden="false" customHeight="true" outlineLevel="0" collapsed="false">
      <c r="A309" s="21" t="n">
        <v>6631</v>
      </c>
      <c r="B309" s="21" t="s">
        <v>44</v>
      </c>
      <c r="C309" s="21" t="s">
        <v>292</v>
      </c>
      <c r="E309" s="26" t="str">
        <f aca="false">IF(COUNTIF('Info Strategia'!$D$2:$D$51,$C309)&gt;0,"SI","NO")</f>
        <v>NO</v>
      </c>
      <c r="F309" s="27" t="n">
        <f aca="false">IFERROR(ROUND(($G309+($H309-$G309)*'Info Strategia'!$B$6)*(1+IF($E309="SI",'Parametri Modello'!$B$7*'Info Strategia'!$B$6,0)),0),"")</f>
        <v>5</v>
      </c>
      <c r="G309" s="27" t="n">
        <f aca="false">IFERROR(ROUND((IF(OR(INDEX('Parametri Modello'!$C$39:$C$42,MATCH($B309,'Parametri Modello'!$A$39:$A$42,0))="",INDEX('Parametri Modello'!$C$39:$C$42,MATCH($B309,'Parametri Modello'!$A$39:$A$42,0))=0),0,($O309/INDEX('Parametri Modello'!$C$39:$C$42,MATCH($B309,'Parametri Modello'!$A$39:$A$42,0)))*(INDEX('Parametri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4</v>
      </c>
      <c r="H309" s="27" t="n">
        <f aca="false">IFERROR(ROUND((IF(OR(INDEX('Parametri Modello'!$C$39:$C$42,MATCH($B309,'Parametri Modello'!$A$39:$A$42,0))="",INDEX('Parametri Modello'!$C$39:$C$42,MATCH($B309,'Parametri Modello'!$A$39:$A$42,0))=0),0,($O309/INDEX('Parametri Modello'!$C$39:$C$42,MATCH($B309,'Parametri Modello'!$A$39:$A$42,0)))*(INDEX('Parametri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5</v>
      </c>
      <c r="I309" s="26" t="n">
        <f aca="false">IFERROR(INDEX('Input Statistiche 2025_26'!$F$3:$F$665,MATCH($A309,'Input Statistiche 2025_26'!$A$3:$A$665,0)),"")</f>
        <v>21</v>
      </c>
      <c r="J309" s="26" t="n">
        <f aca="false">IFERROR(IF($I309="","",MAX(0,38-$I309)),"")</f>
        <v>17</v>
      </c>
      <c r="K309" s="26" t="n">
        <f aca="false">IFERROR(INDEX('Input Statistiche 2025_26'!$I$3:$I$665,MATCH($A309,'Input Statistiche 2025_26'!$A$3:$A$665,0)),"")</f>
        <v>0</v>
      </c>
      <c r="L309" s="26" t="n">
        <f aca="false">IFERROR(INDEX('Input Statistiche 2025_26'!$O$3:$O$665,MATCH($A309,'Input Statistiche 2025_26'!$A$3:$A$665,0)),"")</f>
        <v>0</v>
      </c>
      <c r="M309" s="28"/>
      <c r="N309" s="27" t="n">
        <f aca="false">IFERROR(INDEX('Input Giocatori 2026_27'!$E$3:$E$493,MATCH($A309,'Input Giocatori 2026_27'!$A$3:$A$493,0)),"")</f>
        <v>4</v>
      </c>
      <c r="O309" s="27" t="n">
        <f aca="false">IFERROR(INDEX('Input Giocatori 2026_27'!$G$3:$G$493,MATCH($A309,'Input Giocatori 2026_27'!$A$3:$A$493,0)),"")</f>
        <v>10</v>
      </c>
      <c r="P309" s="26" t="str">
        <f aca="false">IFERROR(IF($O309="","",IF((1-(COUNTIFS($B$2:$B$492,$B309,$O$2:$O$492,"&gt;"&amp;$O309)+1-1)/COUNTIF($B$2:$B$492,$B309))&gt;=0.85,"Top",IF((1-(COUNTIFS($B$2:$B$492,$B309,$O$2:$O$492,"&gt;"&amp;$O309)+1-1)/COUNTIF($B$2:$B$492,$B309))&gt;=0.6,"Buono",IF((1-(COUNTIFS($B$2:$B$492,$B309,$O$2:$O$492,"&gt;"&amp;$O309)+1-1)/COUNTIF($B$2:$B$492,$B309))&gt;=0.3,"Nella Media","Scommessa/Riserva")))),"")</f>
        <v>Nella Media</v>
      </c>
      <c r="Q309" s="29" t="n">
        <f aca="false">IF($D309="",COUNTIF($D$2:$D309,""),"")</f>
        <v>308</v>
      </c>
      <c r="R309" s="29" t="str">
        <f aca="false">IF($D309='Info Lega'!$B$28,COUNTIFS($D$2:$D309,'Info Lega'!$B$28),"")</f>
        <v/>
      </c>
      <c r="S309" s="30" t="n">
        <f aca="false">IFERROR(INDEX('Input Statistiche 2025_26'!$G$3:$G$665,MATCH($A309,'Input Statistiche 2025_26'!$A$3:$A$665,0)),"")</f>
        <v>5.98</v>
      </c>
      <c r="T309" s="30" t="n">
        <f aca="false">IFERROR(INDEX('Input Statistiche 2025_26'!$H$3:$H$665,MATCH($A309,'Input Statistiche 2025_26'!$A$3:$A$665,0)),"")</f>
        <v>5.95</v>
      </c>
      <c r="U309" s="26" t="str">
        <f aca="false">IF(OR('La Mia Rosa'!$O$12="",$D309&lt;&gt;""),"",IF($F309&lt;='La Mia Rosa'!$O$12*'Parametri Modello'!$B$24,"OK",IF($F309&lt;='La Mia Rosa'!$O$12*'Parametri Modello'!$B$25,"Attenzione","Rischio Alto")))</f>
        <v>OK</v>
      </c>
      <c r="V309" s="26" t="n">
        <f aca="false">IFERROR(COUNTIFS($B$2:$B$492,$B309,$O$2:$O$492,"&gt;"&amp;$O309)+1,"")</f>
        <v>99</v>
      </c>
      <c r="W309" s="21" t="n">
        <f aca="false">'Info Lega'!$B$4-SUMIFS($M$2:$M$492,$D$2:$D$492,'Info Lega'!$B$28)</f>
        <v>1000</v>
      </c>
      <c r="X309" s="21" t="n">
        <f aca="false">('Info Lega'!$B$5-COUNTIFS($D$2:$D$492,'Info Lega'!$B$28,$B$2:$B$492,"P"))+('Info Lega'!$B$6-COUNTIFS($D$2:$D$492,'Info Lega'!$B$28,$B$2:$B$492,"D"))+('Info Lega'!$B$7-COUNTIFS($D$2:$D$492,'Info Lega'!$B$28,$B$2:$B$492,"C"))+('Info Lega'!$B$8-COUNTIFS($D$2:$D$492,'Info Lega'!$B$28,$B$2:$B$492,"A"))</f>
        <v>25</v>
      </c>
      <c r="Y309" s="21" t="n">
        <f aca="false">X309*'Parametri Modello'!$B$30</f>
        <v>25</v>
      </c>
      <c r="Z309" s="21" t="n">
        <f aca="false">MAX(0,W309-Y309)</f>
        <v>975</v>
      </c>
      <c r="AA309" s="21" t="n">
        <f aca="false">MIN(F309,Z309)</f>
        <v>5</v>
      </c>
      <c r="AB309" s="21"/>
      <c r="AC309" s="21" t="str">
        <f aca="false">IF(AB309="","",IF(AB309&gt;AA309,"PASS",IF(AB309&lt;=AA309*0.85,"BID","ATTENZIONE")))</f>
        <v/>
      </c>
      <c r="AD309" s="31" t="n">
        <f aca="false">IF(I309="","",ROUND(100*(1-EXP(-I309/30)),0))</f>
        <v>50</v>
      </c>
      <c r="AE309" s="7" t="str">
        <f aca="false">IFERROR(INDEX('Stato Asta'!$G$9:$G$12,MATCH($B309,'Stato Asta'!$A$9:$A$12,0)),"")</f>
        <v>🟡 Attesa rischiosa</v>
      </c>
    </row>
    <row r="310" customFormat="false" ht="14.25" hidden="false" customHeight="true" outlineLevel="0" collapsed="false">
      <c r="A310" s="21" t="n">
        <v>4374</v>
      </c>
      <c r="B310" s="21" t="s">
        <v>44</v>
      </c>
      <c r="C310" s="21" t="s">
        <v>293</v>
      </c>
      <c r="E310" s="26" t="str">
        <f aca="false">IF(COUNTIF('Info Strategia'!$D$2:$D$51,$C310)&gt;0,"SI","NO")</f>
        <v>NO</v>
      </c>
      <c r="F310" s="27" t="n">
        <f aca="false">IFERROR(ROUND(($G310+($H310-$G310)*'Info Strategia'!$B$6)*(1+IF($E310="SI",'Parametri Modello'!$B$7*'Info Strategia'!$B$6,0)),0),"")</f>
        <v>5</v>
      </c>
      <c r="G310" s="27" t="n">
        <f aca="false">IFERROR(ROUND((IF(OR(INDEX('Parametri Modello'!$C$39:$C$42,MATCH($B310,'Parametri Modello'!$A$39:$A$42,0))="",INDEX('Parametri Modello'!$C$39:$C$42,MATCH($B310,'Parametri Modello'!$A$39:$A$42,0))=0),0,($O310/INDEX('Parametri Modello'!$C$39:$C$42,MATCH($B310,'Parametri Modello'!$A$39:$A$42,0)))*(INDEX('Parametri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4</v>
      </c>
      <c r="H310" s="27" t="n">
        <f aca="false">IFERROR(ROUND((IF(OR(INDEX('Parametri Modello'!$C$39:$C$42,MATCH($B310,'Parametri Modello'!$A$39:$A$42,0))="",INDEX('Parametri Modello'!$C$39:$C$42,MATCH($B310,'Parametri Modello'!$A$39:$A$42,0))=0),0,($O310/INDEX('Parametri Modello'!$C$39:$C$42,MATCH($B310,'Parametri Modello'!$A$39:$A$42,0)))*(INDEX('Parametri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5</v>
      </c>
      <c r="I310" s="26" t="n">
        <f aca="false">IFERROR(INDEX('Input Statistiche 2025_26'!$F$3:$F$665,MATCH($A310,'Input Statistiche 2025_26'!$A$3:$A$665,0)),"")</f>
        <v>34</v>
      </c>
      <c r="J310" s="26" t="n">
        <f aca="false">IFERROR(IF($I310="","",MAX(0,38-$I310)),"")</f>
        <v>4</v>
      </c>
      <c r="K310" s="26" t="n">
        <f aca="false">IFERROR(INDEX('Input Statistiche 2025_26'!$I$3:$I$665,MATCH($A310,'Input Statistiche 2025_26'!$A$3:$A$665,0)),"")</f>
        <v>0</v>
      </c>
      <c r="L310" s="26" t="n">
        <f aca="false">IFERROR(INDEX('Input Statistiche 2025_26'!$O$3:$O$665,MATCH($A310,'Input Statistiche 2025_26'!$A$3:$A$665,0)),"")</f>
        <v>1</v>
      </c>
      <c r="M310" s="28"/>
      <c r="N310" s="27" t="n">
        <f aca="false">IFERROR(INDEX('Input Giocatori 2026_27'!$E$3:$E$493,MATCH($A310,'Input Giocatori 2026_27'!$A$3:$A$493,0)),"")</f>
        <v>4</v>
      </c>
      <c r="O310" s="27" t="n">
        <f aca="false">IFERROR(INDEX('Input Giocatori 2026_27'!$G$3:$G$493,MATCH($A310,'Input Giocatori 2026_27'!$A$3:$A$493,0)),"")</f>
        <v>10</v>
      </c>
      <c r="P310" s="26" t="str">
        <f aca="false">IFERROR(IF($O310="","",IF((1-(COUNTIFS($B$2:$B$492,$B310,$O$2:$O$492,"&gt;"&amp;$O310)+1-1)/COUNTIF($B$2:$B$492,$B310))&gt;=0.85,"Top",IF((1-(COUNTIFS($B$2:$B$492,$B310,$O$2:$O$492,"&gt;"&amp;$O310)+1-1)/COUNTIF($B$2:$B$492,$B310))&gt;=0.6,"Buono",IF((1-(COUNTIFS($B$2:$B$492,$B310,$O$2:$O$492,"&gt;"&amp;$O310)+1-1)/COUNTIF($B$2:$B$492,$B310))&gt;=0.3,"Nella Media","Scommessa/Riserva")))),"")</f>
        <v>Nella Media</v>
      </c>
      <c r="Q310" s="29" t="n">
        <f aca="false">IF($D310="",COUNTIF($D$2:$D310,""),"")</f>
        <v>309</v>
      </c>
      <c r="R310" s="29" t="str">
        <f aca="false">IF($D310='Info Lega'!$B$28,COUNTIFS($D$2:$D310,'Info Lega'!$B$28),"")</f>
        <v/>
      </c>
      <c r="S310" s="30" t="n">
        <f aca="false">IFERROR(INDEX('Input Statistiche 2025_26'!$G$3:$G$665,MATCH($A310,'Input Statistiche 2025_26'!$A$3:$A$665,0)),"")</f>
        <v>5.81</v>
      </c>
      <c r="T310" s="30" t="n">
        <f aca="false">IFERROR(INDEX('Input Statistiche 2025_26'!$H$3:$H$665,MATCH($A310,'Input Statistiche 2025_26'!$A$3:$A$665,0)),"")</f>
        <v>5.74</v>
      </c>
      <c r="U310" s="26" t="str">
        <f aca="false">IF(OR('La Mia Rosa'!$O$12="",$D310&lt;&gt;""),"",IF($F310&lt;='La Mia Rosa'!$O$12*'Parametri Modello'!$B$24,"OK",IF($F310&lt;='La Mia Rosa'!$O$12*'Parametri Modello'!$B$25,"Attenzione","Rischio Alto")))</f>
        <v>OK</v>
      </c>
      <c r="V310" s="26" t="n">
        <f aca="false">IFERROR(COUNTIFS($B$2:$B$492,$B310,$O$2:$O$492,"&gt;"&amp;$O310)+1,"")</f>
        <v>99</v>
      </c>
      <c r="W310" s="21" t="n">
        <f aca="false">'Info Lega'!$B$4-SUMIFS($M$2:$M$492,$D$2:$D$492,'Info Lega'!$B$28)</f>
        <v>1000</v>
      </c>
      <c r="X310" s="21" t="n">
        <f aca="false">('Info Lega'!$B$5-COUNTIFS($D$2:$D$492,'Info Lega'!$B$28,$B$2:$B$492,"P"))+('Info Lega'!$B$6-COUNTIFS($D$2:$D$492,'Info Lega'!$B$28,$B$2:$B$492,"D"))+('Info Lega'!$B$7-COUNTIFS($D$2:$D$492,'Info Lega'!$B$28,$B$2:$B$492,"C"))+('Info Lega'!$B$8-COUNTIFS($D$2:$D$492,'Info Lega'!$B$28,$B$2:$B$492,"A"))</f>
        <v>25</v>
      </c>
      <c r="Y310" s="21" t="n">
        <f aca="false">X310*'Parametri Modello'!$B$30</f>
        <v>25</v>
      </c>
      <c r="Z310" s="21" t="n">
        <f aca="false">MAX(0,W310-Y310)</f>
        <v>975</v>
      </c>
      <c r="AA310" s="21" t="n">
        <f aca="false">MIN(F310,Z310)</f>
        <v>5</v>
      </c>
      <c r="AB310" s="21"/>
      <c r="AC310" s="21" t="str">
        <f aca="false">IF(AB310="","",IF(AB310&gt;AA310,"PASS",IF(AB310&lt;=AA310*0.85,"BID","ATTENZIONE")))</f>
        <v/>
      </c>
      <c r="AD310" s="31" t="n">
        <f aca="false">IF(I310="","",ROUND(100*(1-EXP(-I310/30)),0))</f>
        <v>68</v>
      </c>
      <c r="AE310" s="7" t="str">
        <f aca="false">IFERROR(INDEX('Stato Asta'!$G$9:$G$12,MATCH($B310,'Stato Asta'!$A$9:$A$12,0)),"")</f>
        <v>🟡 Attesa rischiosa</v>
      </c>
    </row>
    <row r="311" customFormat="false" ht="14.25" hidden="false" customHeight="true" outlineLevel="0" collapsed="false">
      <c r="A311" s="21" t="n">
        <v>7526</v>
      </c>
      <c r="B311" s="21" t="s">
        <v>44</v>
      </c>
      <c r="C311" s="21" t="s">
        <v>295</v>
      </c>
      <c r="E311" s="26" t="str">
        <f aca="false">IF(COUNTIF('Info Strategia'!$D$2:$D$51,$C311)&gt;0,"SI","NO")</f>
        <v>NO</v>
      </c>
      <c r="F311" s="27" t="n">
        <f aca="false">IFERROR(ROUND(($G311+($H311-$G311)*'Info Strategia'!$B$6)*(1+IF($E311="SI",'Parametri Modello'!$B$7*'Info Strategia'!$B$6,0)),0),"")</f>
        <v>5</v>
      </c>
      <c r="G311" s="27" t="n">
        <f aca="false">IFERROR(ROUND((IF(OR(INDEX('Parametri Modello'!$C$39:$C$42,MATCH($B311,'Parametri Modello'!$A$39:$A$42,0))="",INDEX('Parametri Modello'!$C$39:$C$42,MATCH($B311,'Parametri Modello'!$A$39:$A$42,0))=0),0,($O311/INDEX('Parametri Modello'!$C$39:$C$42,MATCH($B311,'Parametri Modello'!$A$39:$A$42,0)))*(INDEX('Parametri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4</v>
      </c>
      <c r="H311" s="27" t="n">
        <f aca="false">IFERROR(ROUND((IF(OR(INDEX('Parametri Modello'!$C$39:$C$42,MATCH($B311,'Parametri Modello'!$A$39:$A$42,0))="",INDEX('Parametri Modello'!$C$39:$C$42,MATCH($B311,'Parametri Modello'!$A$39:$A$42,0))=0),0,($O311/INDEX('Parametri Modello'!$C$39:$C$42,MATCH($B311,'Parametri Modello'!$A$39:$A$42,0)))*(INDEX('Parametri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5</v>
      </c>
      <c r="I311" s="26" t="str">
        <f aca="false">IFERROR(INDEX('Input Statistiche 2025_26'!$F$3:$F$665,MATCH($A311,'Input Statistiche 2025_26'!$A$3:$A$665,0)),"")</f>
        <v/>
      </c>
      <c r="J311" s="26" t="str">
        <f aca="false">IFERROR(IF($I311="","",MAX(0,38-$I311)),"")</f>
        <v/>
      </c>
      <c r="K311" s="26" t="str">
        <f aca="false">IFERROR(INDEX('Input Statistiche 2025_26'!$I$3:$I$665,MATCH($A311,'Input Statistiche 2025_26'!$A$3:$A$665,0)),"")</f>
        <v/>
      </c>
      <c r="L311" s="26" t="str">
        <f aca="false">IFERROR(INDEX('Input Statistiche 2025_26'!$O$3:$O$665,MATCH($A311,'Input Statistiche 2025_26'!$A$3:$A$665,0)),"")</f>
        <v/>
      </c>
      <c r="M311" s="28"/>
      <c r="N311" s="27" t="n">
        <f aca="false">IFERROR(INDEX('Input Giocatori 2026_27'!$E$3:$E$493,MATCH($A311,'Input Giocatori 2026_27'!$A$3:$A$493,0)),"")</f>
        <v>4</v>
      </c>
      <c r="O311" s="27" t="n">
        <f aca="false">IFERROR(INDEX('Input Giocatori 2026_27'!$G$3:$G$493,MATCH($A311,'Input Giocatori 2026_27'!$A$3:$A$493,0)),"")</f>
        <v>10</v>
      </c>
      <c r="P311" s="26" t="str">
        <f aca="false">IFERROR(IF($O311="","",IF((1-(COUNTIFS($B$2:$B$492,$B311,$O$2:$O$492,"&gt;"&amp;$O311)+1-1)/COUNTIF($B$2:$B$492,$B311))&gt;=0.85,"Top",IF((1-(COUNTIFS($B$2:$B$492,$B311,$O$2:$O$492,"&gt;"&amp;$O311)+1-1)/COUNTIF($B$2:$B$492,$B311))&gt;=0.6,"Buono",IF((1-(COUNTIFS($B$2:$B$492,$B311,$O$2:$O$492,"&gt;"&amp;$O311)+1-1)/COUNTIF($B$2:$B$492,$B311))&gt;=0.3,"Nella Media","Scommessa/Riserva")))),"")</f>
        <v>Nella Media</v>
      </c>
      <c r="Q311" s="29" t="n">
        <f aca="false">IF($D311="",COUNTIF($D$2:$D311,""),"")</f>
        <v>310</v>
      </c>
      <c r="R311" s="29" t="str">
        <f aca="false">IF($D311='Info Lega'!$B$28,COUNTIFS($D$2:$D311,'Info Lega'!$B$28),"")</f>
        <v/>
      </c>
      <c r="S311" s="30" t="str">
        <f aca="false">IFERROR(INDEX('Input Statistiche 2025_26'!$G$3:$G$665,MATCH($A311,'Input Statistiche 2025_26'!$A$3:$A$665,0)),"")</f>
        <v/>
      </c>
      <c r="T311" s="30" t="str">
        <f aca="false">IFERROR(INDEX('Input Statistiche 2025_26'!$H$3:$H$665,MATCH($A311,'Input Statistiche 2025_26'!$A$3:$A$665,0)),"")</f>
        <v/>
      </c>
      <c r="U311" s="26" t="str">
        <f aca="false">IF(OR('La Mia Rosa'!$O$12="",$D311&lt;&gt;""),"",IF($F311&lt;='La Mia Rosa'!$O$12*'Parametri Modello'!$B$24,"OK",IF($F311&lt;='La Mia Rosa'!$O$12*'Parametri Modello'!$B$25,"Attenzione","Rischio Alto")))</f>
        <v>OK</v>
      </c>
      <c r="V311" s="26" t="n">
        <f aca="false">IFERROR(COUNTIFS($B$2:$B$492,$B311,$O$2:$O$492,"&gt;"&amp;$O311)+1,"")</f>
        <v>99</v>
      </c>
      <c r="W311" s="21" t="n">
        <f aca="false">'Info Lega'!$B$4-SUMIFS($M$2:$M$492,$D$2:$D$492,'Info Lega'!$B$28)</f>
        <v>1000</v>
      </c>
      <c r="X311" s="21" t="n">
        <f aca="false">('Info Lega'!$B$5-COUNTIFS($D$2:$D$492,'Info Lega'!$B$28,$B$2:$B$492,"P"))+('Info Lega'!$B$6-COUNTIFS($D$2:$D$492,'Info Lega'!$B$28,$B$2:$B$492,"D"))+('Info Lega'!$B$7-COUNTIFS($D$2:$D$492,'Info Lega'!$B$28,$B$2:$B$492,"C"))+('Info Lega'!$B$8-COUNTIFS($D$2:$D$492,'Info Lega'!$B$28,$B$2:$B$492,"A"))</f>
        <v>25</v>
      </c>
      <c r="Y311" s="21" t="n">
        <f aca="false">X311*'Parametri Modello'!$B$30</f>
        <v>25</v>
      </c>
      <c r="Z311" s="21" t="n">
        <f aca="false">MAX(0,W311-Y311)</f>
        <v>975</v>
      </c>
      <c r="AA311" s="21" t="n">
        <f aca="false">MIN(F311,Z311)</f>
        <v>5</v>
      </c>
      <c r="AB311" s="21"/>
      <c r="AC311" s="21" t="str">
        <f aca="false">IF(AB311="","",IF(AB311&gt;AA311,"PASS",IF(AB311&lt;=AA311*0.85,"BID","ATTENZIONE")))</f>
        <v/>
      </c>
      <c r="AD311" s="31" t="str">
        <f aca="false">IF(I311="","",ROUND(100*(1-EXP(-I311/30)),0))</f>
        <v/>
      </c>
      <c r="AE311" s="7" t="str">
        <f aca="false">IFERROR(INDEX('Stato Asta'!$G$9:$G$12,MATCH($B311,'Stato Asta'!$A$9:$A$12,0)),"")</f>
        <v>🟡 Attesa rischiosa</v>
      </c>
    </row>
    <row r="312" customFormat="false" ht="14.25" hidden="false" customHeight="true" outlineLevel="0" collapsed="false">
      <c r="A312" s="21" t="n">
        <v>5820</v>
      </c>
      <c r="B312" s="21" t="s">
        <v>44</v>
      </c>
      <c r="C312" s="21" t="s">
        <v>297</v>
      </c>
      <c r="E312" s="26" t="str">
        <f aca="false">IF(COUNTIF('Info Strategia'!$D$2:$D$51,$C312)&gt;0,"SI","NO")</f>
        <v>NO</v>
      </c>
      <c r="F312" s="27" t="n">
        <f aca="false">IFERROR(ROUND(($G312+($H312-$G312)*'Info Strategia'!$B$6)*(1+IF($E312="SI",'Parametri Modello'!$B$7*'Info Strategia'!$B$6,0)),0),"")</f>
        <v>5</v>
      </c>
      <c r="G312" s="27" t="n">
        <f aca="false">IFERROR(ROUND((IF(OR(INDEX('Parametri Modello'!$C$39:$C$42,MATCH($B312,'Parametri Modello'!$A$39:$A$42,0))="",INDEX('Parametri Modello'!$C$39:$C$42,MATCH($B312,'Parametri Modello'!$A$39:$A$42,0))=0),0,($O312/INDEX('Parametri Modello'!$C$39:$C$42,MATCH($B312,'Parametri Modello'!$A$39:$A$42,0)))*(INDEX('Parametri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4</v>
      </c>
      <c r="H312" s="27" t="n">
        <f aca="false">IFERROR(ROUND((IF(OR(INDEX('Parametri Modello'!$C$39:$C$42,MATCH($B312,'Parametri Modello'!$A$39:$A$42,0))="",INDEX('Parametri Modello'!$C$39:$C$42,MATCH($B312,'Parametri Modello'!$A$39:$A$42,0))=0),0,($O312/INDEX('Parametri Modello'!$C$39:$C$42,MATCH($B312,'Parametri Modello'!$A$39:$A$42,0)))*(INDEX('Parametri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5</v>
      </c>
      <c r="I312" s="26" t="n">
        <f aca="false">IFERROR(INDEX('Input Statistiche 2025_26'!$F$3:$F$665,MATCH($A312,'Input Statistiche 2025_26'!$A$3:$A$665,0)),"")</f>
        <v>25</v>
      </c>
      <c r="J312" s="26" t="n">
        <f aca="false">IFERROR(IF($I312="","",MAX(0,38-$I312)),"")</f>
        <v>13</v>
      </c>
      <c r="K312" s="26" t="n">
        <f aca="false">IFERROR(INDEX('Input Statistiche 2025_26'!$I$3:$I$665,MATCH($A312,'Input Statistiche 2025_26'!$A$3:$A$665,0)),"")</f>
        <v>0</v>
      </c>
      <c r="L312" s="26" t="n">
        <f aca="false">IFERROR(INDEX('Input Statistiche 2025_26'!$O$3:$O$665,MATCH($A312,'Input Statistiche 2025_26'!$A$3:$A$665,0)),"")</f>
        <v>1</v>
      </c>
      <c r="M312" s="28"/>
      <c r="N312" s="27" t="n">
        <f aca="false">IFERROR(INDEX('Input Giocatori 2026_27'!$E$3:$E$493,MATCH($A312,'Input Giocatori 2026_27'!$A$3:$A$493,0)),"")</f>
        <v>4</v>
      </c>
      <c r="O312" s="27" t="n">
        <f aca="false">IFERROR(INDEX('Input Giocatori 2026_27'!$G$3:$G$493,MATCH($A312,'Input Giocatori 2026_27'!$A$3:$A$493,0)),"")</f>
        <v>10</v>
      </c>
      <c r="P312" s="26" t="str">
        <f aca="false">IFERROR(IF($O312="","",IF((1-(COUNTIFS($B$2:$B$492,$B312,$O$2:$O$492,"&gt;"&amp;$O312)+1-1)/COUNTIF($B$2:$B$492,$B312))&gt;=0.85,"Top",IF((1-(COUNTIFS($B$2:$B$492,$B312,$O$2:$O$492,"&gt;"&amp;$O312)+1-1)/COUNTIF($B$2:$B$492,$B312))&gt;=0.6,"Buono",IF((1-(COUNTIFS($B$2:$B$492,$B312,$O$2:$O$492,"&gt;"&amp;$O312)+1-1)/COUNTIF($B$2:$B$492,$B312))&gt;=0.3,"Nella Media","Scommessa/Riserva")))),"")</f>
        <v>Nella Media</v>
      </c>
      <c r="Q312" s="29" t="n">
        <f aca="false">IF($D312="",COUNTIF($D$2:$D312,""),"")</f>
        <v>311</v>
      </c>
      <c r="R312" s="29" t="str">
        <f aca="false">IF($D312='Info Lega'!$B$28,COUNTIFS($D$2:$D312,'Info Lega'!$B$28),"")</f>
        <v/>
      </c>
      <c r="S312" s="30" t="n">
        <f aca="false">IFERROR(INDEX('Input Statistiche 2025_26'!$G$3:$G$665,MATCH($A312,'Input Statistiche 2025_26'!$A$3:$A$665,0)),"")</f>
        <v>5.86</v>
      </c>
      <c r="T312" s="30" t="n">
        <f aca="false">IFERROR(INDEX('Input Statistiche 2025_26'!$H$3:$H$665,MATCH($A312,'Input Statistiche 2025_26'!$A$3:$A$665,0)),"")</f>
        <v>5.84</v>
      </c>
      <c r="U312" s="26" t="str">
        <f aca="false">IF(OR('La Mia Rosa'!$O$12="",$D312&lt;&gt;""),"",IF($F312&lt;='La Mia Rosa'!$O$12*'Parametri Modello'!$B$24,"OK",IF($F312&lt;='La Mia Rosa'!$O$12*'Parametri Modello'!$B$25,"Attenzione","Rischio Alto")))</f>
        <v>OK</v>
      </c>
      <c r="V312" s="26" t="n">
        <f aca="false">IFERROR(COUNTIFS($B$2:$B$492,$B312,$O$2:$O$492,"&gt;"&amp;$O312)+1,"")</f>
        <v>99</v>
      </c>
      <c r="W312" s="21" t="n">
        <f aca="false">'Info Lega'!$B$4-SUMIFS($M$2:$M$492,$D$2:$D$492,'Info Lega'!$B$28)</f>
        <v>1000</v>
      </c>
      <c r="X312" s="21" t="n">
        <f aca="false">('Info Lega'!$B$5-COUNTIFS($D$2:$D$492,'Info Lega'!$B$28,$B$2:$B$492,"P"))+('Info Lega'!$B$6-COUNTIFS($D$2:$D$492,'Info Lega'!$B$28,$B$2:$B$492,"D"))+('Info Lega'!$B$7-COUNTIFS($D$2:$D$492,'Info Lega'!$B$28,$B$2:$B$492,"C"))+('Info Lega'!$B$8-COUNTIFS($D$2:$D$492,'Info Lega'!$B$28,$B$2:$B$492,"A"))</f>
        <v>25</v>
      </c>
      <c r="Y312" s="21" t="n">
        <f aca="false">X312*'Parametri Modello'!$B$30</f>
        <v>25</v>
      </c>
      <c r="Z312" s="21" t="n">
        <f aca="false">MAX(0,W312-Y312)</f>
        <v>975</v>
      </c>
      <c r="AA312" s="21" t="n">
        <f aca="false">MIN(F312,Z312)</f>
        <v>5</v>
      </c>
      <c r="AB312" s="21"/>
      <c r="AC312" s="21" t="str">
        <f aca="false">IF(AB312="","",IF(AB312&gt;AA312,"PASS",IF(AB312&lt;=AA312*0.85,"BID","ATTENZIONE")))</f>
        <v/>
      </c>
      <c r="AD312" s="31" t="n">
        <f aca="false">IF(I312="","",ROUND(100*(1-EXP(-I312/30)),0))</f>
        <v>57</v>
      </c>
      <c r="AE312" s="7" t="str">
        <f aca="false">IFERROR(INDEX('Stato Asta'!$G$9:$G$12,MATCH($B312,'Stato Asta'!$A$9:$A$12,0)),"")</f>
        <v>🟡 Attesa rischiosa</v>
      </c>
    </row>
    <row r="313" customFormat="false" ht="14.25" hidden="false" customHeight="true" outlineLevel="0" collapsed="false">
      <c r="A313" s="21" t="n">
        <v>5527</v>
      </c>
      <c r="B313" s="21" t="s">
        <v>44</v>
      </c>
      <c r="C313" s="21" t="s">
        <v>298</v>
      </c>
      <c r="E313" s="26" t="str">
        <f aca="false">IF(COUNTIF('Info Strategia'!$D$2:$D$51,$C313)&gt;0,"SI","NO")</f>
        <v>NO</v>
      </c>
      <c r="F313" s="27" t="n">
        <f aca="false">IFERROR(ROUND(($G313+($H313-$G313)*'Info Strategia'!$B$6)*(1+IF($E313="SI",'Parametri Modello'!$B$7*'Info Strategia'!$B$6,0)),0),"")</f>
        <v>5</v>
      </c>
      <c r="G313" s="27" t="n">
        <f aca="false">IFERROR(ROUND((IF(OR(INDEX('Parametri Modello'!$C$39:$C$42,MATCH($B313,'Parametri Modello'!$A$39:$A$42,0))="",INDEX('Parametri Modello'!$C$39:$C$42,MATCH($B313,'Parametri Modello'!$A$39:$A$42,0))=0),0,($O313/INDEX('Parametri Modello'!$C$39:$C$42,MATCH($B313,'Parametri Modello'!$A$39:$A$42,0)))*(INDEX('Parametri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4</v>
      </c>
      <c r="H313" s="27" t="n">
        <f aca="false">IFERROR(ROUND((IF(OR(INDEX('Parametri Modello'!$C$39:$C$42,MATCH($B313,'Parametri Modello'!$A$39:$A$42,0))="",INDEX('Parametri Modello'!$C$39:$C$42,MATCH($B313,'Parametri Modello'!$A$39:$A$42,0))=0),0,($O313/INDEX('Parametri Modello'!$C$39:$C$42,MATCH($B313,'Parametri Modello'!$A$39:$A$42,0)))*(INDEX('Parametri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5</v>
      </c>
      <c r="I313" s="26" t="n">
        <f aca="false">IFERROR(INDEX('Input Statistiche 2025_26'!$F$3:$F$665,MATCH($A313,'Input Statistiche 2025_26'!$A$3:$A$665,0)),"")</f>
        <v>19</v>
      </c>
      <c r="J313" s="26" t="n">
        <f aca="false">IFERROR(IF($I313="","",MAX(0,38-$I313)),"")</f>
        <v>19</v>
      </c>
      <c r="K313" s="26" t="n">
        <f aca="false">IFERROR(INDEX('Input Statistiche 2025_26'!$I$3:$I$665,MATCH($A313,'Input Statistiche 2025_26'!$A$3:$A$665,0)),"")</f>
        <v>1</v>
      </c>
      <c r="L313" s="26" t="n">
        <f aca="false">IFERROR(INDEX('Input Statistiche 2025_26'!$O$3:$O$665,MATCH($A313,'Input Statistiche 2025_26'!$A$3:$A$665,0)),"")</f>
        <v>2</v>
      </c>
      <c r="M313" s="28"/>
      <c r="N313" s="27" t="n">
        <f aca="false">IFERROR(INDEX('Input Giocatori 2026_27'!$E$3:$E$493,MATCH($A313,'Input Giocatori 2026_27'!$A$3:$A$493,0)),"")</f>
        <v>4</v>
      </c>
      <c r="O313" s="27" t="n">
        <f aca="false">IFERROR(INDEX('Input Giocatori 2026_27'!$G$3:$G$493,MATCH($A313,'Input Giocatori 2026_27'!$A$3:$A$493,0)),"")</f>
        <v>10</v>
      </c>
      <c r="P313" s="26" t="str">
        <f aca="false">IFERROR(IF($O313="","",IF((1-(COUNTIFS($B$2:$B$492,$B313,$O$2:$O$492,"&gt;"&amp;$O313)+1-1)/COUNTIF($B$2:$B$492,$B313))&gt;=0.85,"Top",IF((1-(COUNTIFS($B$2:$B$492,$B313,$O$2:$O$492,"&gt;"&amp;$O313)+1-1)/COUNTIF($B$2:$B$492,$B313))&gt;=0.6,"Buono",IF((1-(COUNTIFS($B$2:$B$492,$B313,$O$2:$O$492,"&gt;"&amp;$O313)+1-1)/COUNTIF($B$2:$B$492,$B313))&gt;=0.3,"Nella Media","Scommessa/Riserva")))),"")</f>
        <v>Nella Media</v>
      </c>
      <c r="Q313" s="29" t="n">
        <f aca="false">IF($D313="",COUNTIF($D$2:$D313,""),"")</f>
        <v>312</v>
      </c>
      <c r="R313" s="29" t="str">
        <f aca="false">IF($D313='Info Lega'!$B$28,COUNTIFS($D$2:$D313,'Info Lega'!$B$28),"")</f>
        <v/>
      </c>
      <c r="S313" s="30" t="n">
        <f aca="false">IFERROR(INDEX('Input Statistiche 2025_26'!$G$3:$G$665,MATCH($A313,'Input Statistiche 2025_26'!$A$3:$A$665,0)),"")</f>
        <v>6.05</v>
      </c>
      <c r="T313" s="30" t="n">
        <f aca="false">IFERROR(INDEX('Input Statistiche 2025_26'!$H$3:$H$665,MATCH($A313,'Input Statistiche 2025_26'!$A$3:$A$665,0)),"")</f>
        <v>6.29</v>
      </c>
      <c r="U313" s="26" t="str">
        <f aca="false">IF(OR('La Mia Rosa'!$O$12="",$D313&lt;&gt;""),"",IF($F313&lt;='La Mia Rosa'!$O$12*'Parametri Modello'!$B$24,"OK",IF($F313&lt;='La Mia Rosa'!$O$12*'Parametri Modello'!$B$25,"Attenzione","Rischio Alto")))</f>
        <v>OK</v>
      </c>
      <c r="V313" s="26" t="n">
        <f aca="false">IFERROR(COUNTIFS($B$2:$B$492,$B313,$O$2:$O$492,"&gt;"&amp;$O313)+1,"")</f>
        <v>99</v>
      </c>
      <c r="W313" s="21" t="n">
        <f aca="false">'Info Lega'!$B$4-SUMIFS($M$2:$M$492,$D$2:$D$492,'Info Lega'!$B$28)</f>
        <v>1000</v>
      </c>
      <c r="X313" s="21" t="n">
        <f aca="false">('Info Lega'!$B$5-COUNTIFS($D$2:$D$492,'Info Lega'!$B$28,$B$2:$B$492,"P"))+('Info Lega'!$B$6-COUNTIFS($D$2:$D$492,'Info Lega'!$B$28,$B$2:$B$492,"D"))+('Info Lega'!$B$7-COUNTIFS($D$2:$D$492,'Info Lega'!$B$28,$B$2:$B$492,"C"))+('Info Lega'!$B$8-COUNTIFS($D$2:$D$492,'Info Lega'!$B$28,$B$2:$B$492,"A"))</f>
        <v>25</v>
      </c>
      <c r="Y313" s="21" t="n">
        <f aca="false">X313*'Parametri Modello'!$B$30</f>
        <v>25</v>
      </c>
      <c r="Z313" s="21" t="n">
        <f aca="false">MAX(0,W313-Y313)</f>
        <v>975</v>
      </c>
      <c r="AA313" s="21" t="n">
        <f aca="false">MIN(F313,Z313)</f>
        <v>5</v>
      </c>
      <c r="AB313" s="21"/>
      <c r="AC313" s="21" t="str">
        <f aca="false">IF(AB313="","",IF(AB313&gt;AA313,"PASS",IF(AB313&lt;=AA313*0.85,"BID","ATTENZIONE")))</f>
        <v/>
      </c>
      <c r="AD313" s="31" t="n">
        <f aca="false">IF(I313="","",ROUND(100*(1-EXP(-I313/30)),0))</f>
        <v>47</v>
      </c>
      <c r="AE313" s="7" t="str">
        <f aca="false">IFERROR(INDEX('Stato Asta'!$G$9:$G$12,MATCH($B313,'Stato Asta'!$A$9:$A$12,0)),"")</f>
        <v>🟡 Attesa rischiosa</v>
      </c>
    </row>
    <row r="314" customFormat="false" ht="14.25" hidden="false" customHeight="true" outlineLevel="0" collapsed="false">
      <c r="A314" s="21" t="n">
        <v>7538</v>
      </c>
      <c r="B314" s="21" t="s">
        <v>44</v>
      </c>
      <c r="C314" s="21" t="s">
        <v>300</v>
      </c>
      <c r="E314" s="26" t="str">
        <f aca="false">IF(COUNTIF('Info Strategia'!$D$2:$D$51,$C314)&gt;0,"SI","NO")</f>
        <v>NO</v>
      </c>
      <c r="F314" s="27" t="n">
        <f aca="false">IFERROR(ROUND(($G314+($H314-$G314)*'Info Strategia'!$B$6)*(1+IF($E314="SI",'Parametri Modello'!$B$7*'Info Strategia'!$B$6,0)),0),"")</f>
        <v>5</v>
      </c>
      <c r="G314" s="27" t="n">
        <f aca="false">IFERROR(ROUND((IF(OR(INDEX('Parametri Modello'!$C$39:$C$42,MATCH($B314,'Parametri Modello'!$A$39:$A$42,0))="",INDEX('Parametri Modello'!$C$39:$C$42,MATCH($B314,'Parametri Modello'!$A$39:$A$42,0))=0),0,($O314/INDEX('Parametri Modello'!$C$39:$C$42,MATCH($B314,'Parametri Modello'!$A$39:$A$42,0)))*(INDEX('Parametri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4</v>
      </c>
      <c r="H314" s="27" t="n">
        <f aca="false">IFERROR(ROUND((IF(OR(INDEX('Parametri Modello'!$C$39:$C$42,MATCH($B314,'Parametri Modello'!$A$39:$A$42,0))="",INDEX('Parametri Modello'!$C$39:$C$42,MATCH($B314,'Parametri Modello'!$A$39:$A$42,0))=0),0,($O314/INDEX('Parametri Modello'!$C$39:$C$42,MATCH($B314,'Parametri Modello'!$A$39:$A$42,0)))*(INDEX('Parametri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5</v>
      </c>
      <c r="I314" s="26" t="str">
        <f aca="false">IFERROR(INDEX('Input Statistiche 2025_26'!$F$3:$F$665,MATCH($A314,'Input Statistiche 2025_26'!$A$3:$A$665,0)),"")</f>
        <v/>
      </c>
      <c r="J314" s="26" t="str">
        <f aca="false">IFERROR(IF($I314="","",MAX(0,38-$I314)),"")</f>
        <v/>
      </c>
      <c r="K314" s="26" t="str">
        <f aca="false">IFERROR(INDEX('Input Statistiche 2025_26'!$I$3:$I$665,MATCH($A314,'Input Statistiche 2025_26'!$A$3:$A$665,0)),"")</f>
        <v/>
      </c>
      <c r="L314" s="26" t="str">
        <f aca="false">IFERROR(INDEX('Input Statistiche 2025_26'!$O$3:$O$665,MATCH($A314,'Input Statistiche 2025_26'!$A$3:$A$665,0)),"")</f>
        <v/>
      </c>
      <c r="M314" s="28"/>
      <c r="N314" s="27" t="n">
        <f aca="false">IFERROR(INDEX('Input Giocatori 2026_27'!$E$3:$E$493,MATCH($A314,'Input Giocatori 2026_27'!$A$3:$A$493,0)),"")</f>
        <v>4</v>
      </c>
      <c r="O314" s="27" t="n">
        <f aca="false">IFERROR(INDEX('Input Giocatori 2026_27'!$G$3:$G$493,MATCH($A314,'Input Giocatori 2026_27'!$A$3:$A$493,0)),"")</f>
        <v>10</v>
      </c>
      <c r="P314" s="26" t="str">
        <f aca="false">IFERROR(IF($O314="","",IF((1-(COUNTIFS($B$2:$B$492,$B314,$O$2:$O$492,"&gt;"&amp;$O314)+1-1)/COUNTIF($B$2:$B$492,$B314))&gt;=0.85,"Top",IF((1-(COUNTIFS($B$2:$B$492,$B314,$O$2:$O$492,"&gt;"&amp;$O314)+1-1)/COUNTIF($B$2:$B$492,$B314))&gt;=0.6,"Buono",IF((1-(COUNTIFS($B$2:$B$492,$B314,$O$2:$O$492,"&gt;"&amp;$O314)+1-1)/COUNTIF($B$2:$B$492,$B314))&gt;=0.3,"Nella Media","Scommessa/Riserva")))),"")</f>
        <v>Nella Media</v>
      </c>
      <c r="Q314" s="29" t="n">
        <f aca="false">IF($D314="",COUNTIF($D$2:$D314,""),"")</f>
        <v>313</v>
      </c>
      <c r="R314" s="29" t="str">
        <f aca="false">IF($D314='Info Lega'!$B$28,COUNTIFS($D$2:$D314,'Info Lega'!$B$28),"")</f>
        <v/>
      </c>
      <c r="S314" s="30" t="str">
        <f aca="false">IFERROR(INDEX('Input Statistiche 2025_26'!$G$3:$G$665,MATCH($A314,'Input Statistiche 2025_26'!$A$3:$A$665,0)),"")</f>
        <v/>
      </c>
      <c r="T314" s="30" t="str">
        <f aca="false">IFERROR(INDEX('Input Statistiche 2025_26'!$H$3:$H$665,MATCH($A314,'Input Statistiche 2025_26'!$A$3:$A$665,0)),"")</f>
        <v/>
      </c>
      <c r="U314" s="26" t="str">
        <f aca="false">IF(OR('La Mia Rosa'!$O$12="",$D314&lt;&gt;""),"",IF($F314&lt;='La Mia Rosa'!$O$12*'Parametri Modello'!$B$24,"OK",IF($F314&lt;='La Mia Rosa'!$O$12*'Parametri Modello'!$B$25,"Attenzione","Rischio Alto")))</f>
        <v>OK</v>
      </c>
      <c r="V314" s="26" t="n">
        <f aca="false">IFERROR(COUNTIFS($B$2:$B$492,$B314,$O$2:$O$492,"&gt;"&amp;$O314)+1,"")</f>
        <v>99</v>
      </c>
      <c r="W314" s="21" t="n">
        <f aca="false">'Info Lega'!$B$4-SUMIFS($M$2:$M$492,$D$2:$D$492,'Info Lega'!$B$28)</f>
        <v>1000</v>
      </c>
      <c r="X314" s="21" t="n">
        <f aca="false">('Info Lega'!$B$5-COUNTIFS($D$2:$D$492,'Info Lega'!$B$28,$B$2:$B$492,"P"))+('Info Lega'!$B$6-COUNTIFS($D$2:$D$492,'Info Lega'!$B$28,$B$2:$B$492,"D"))+('Info Lega'!$B$7-COUNTIFS($D$2:$D$492,'Info Lega'!$B$28,$B$2:$B$492,"C"))+('Info Lega'!$B$8-COUNTIFS($D$2:$D$492,'Info Lega'!$B$28,$B$2:$B$492,"A"))</f>
        <v>25</v>
      </c>
      <c r="Y314" s="21" t="n">
        <f aca="false">X314*'Parametri Modello'!$B$30</f>
        <v>25</v>
      </c>
      <c r="Z314" s="21" t="n">
        <f aca="false">MAX(0,W314-Y314)</f>
        <v>975</v>
      </c>
      <c r="AA314" s="21" t="n">
        <f aca="false">MIN(F314,Z314)</f>
        <v>5</v>
      </c>
      <c r="AB314" s="21"/>
      <c r="AC314" s="21" t="str">
        <f aca="false">IF(AB314="","",IF(AB314&gt;AA314,"PASS",IF(AB314&lt;=AA314*0.85,"BID","ATTENZIONE")))</f>
        <v/>
      </c>
      <c r="AD314" s="31" t="str">
        <f aca="false">IF(I314="","",ROUND(100*(1-EXP(-I314/30)),0))</f>
        <v/>
      </c>
      <c r="AE314" s="7" t="str">
        <f aca="false">IFERROR(INDEX('Stato Asta'!$G$9:$G$12,MATCH($B314,'Stato Asta'!$A$9:$A$12,0)),"")</f>
        <v>🟡 Attesa rischiosa</v>
      </c>
    </row>
    <row r="315" customFormat="false" ht="14.25" hidden="false" customHeight="true" outlineLevel="0" collapsed="false">
      <c r="A315" s="21" t="n">
        <v>7268</v>
      </c>
      <c r="B315" s="21" t="s">
        <v>44</v>
      </c>
      <c r="C315" s="21" t="s">
        <v>304</v>
      </c>
      <c r="E315" s="26" t="str">
        <f aca="false">IF(COUNTIF('Info Strategia'!$D$2:$D$51,$C315)&gt;0,"SI","NO")</f>
        <v>NO</v>
      </c>
      <c r="F315" s="27" t="n">
        <f aca="false">IFERROR(ROUND(($G315+($H315-$G315)*'Info Strategia'!$B$6)*(1+IF($E315="SI",'Parametri Modello'!$B$7*'Info Strategia'!$B$6,0)),0),"")</f>
        <v>5</v>
      </c>
      <c r="G315" s="27" t="n">
        <f aca="false">IFERROR(ROUND((IF(OR(INDEX('Parametri Modello'!$C$39:$C$42,MATCH($B315,'Parametri Modello'!$A$39:$A$42,0))="",INDEX('Parametri Modello'!$C$39:$C$42,MATCH($B315,'Parametri Modello'!$A$39:$A$42,0))=0),0,($O315/INDEX('Parametri Modello'!$C$39:$C$42,MATCH($B315,'Parametri Modello'!$A$39:$A$42,0)))*(INDEX('Parametri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4</v>
      </c>
      <c r="H315" s="27" t="n">
        <f aca="false">IFERROR(ROUND((IF(OR(INDEX('Parametri Modello'!$C$39:$C$42,MATCH($B315,'Parametri Modello'!$A$39:$A$42,0))="",INDEX('Parametri Modello'!$C$39:$C$42,MATCH($B315,'Parametri Modello'!$A$39:$A$42,0))=0),0,($O315/INDEX('Parametri Modello'!$C$39:$C$42,MATCH($B315,'Parametri Modello'!$A$39:$A$42,0)))*(INDEX('Parametri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5</v>
      </c>
      <c r="I315" s="26" t="n">
        <f aca="false">IFERROR(INDEX('Input Statistiche 2025_26'!$F$3:$F$665,MATCH($A315,'Input Statistiche 2025_26'!$A$3:$A$665,0)),"")</f>
        <v>16</v>
      </c>
      <c r="J315" s="26" t="n">
        <f aca="false">IFERROR(IF($I315="","",MAX(0,38-$I315)),"")</f>
        <v>22</v>
      </c>
      <c r="K315" s="26" t="n">
        <f aca="false">IFERROR(INDEX('Input Statistiche 2025_26'!$I$3:$I$665,MATCH($A315,'Input Statistiche 2025_26'!$A$3:$A$665,0)),"")</f>
        <v>1</v>
      </c>
      <c r="L315" s="26" t="n">
        <f aca="false">IFERROR(INDEX('Input Statistiche 2025_26'!$O$3:$O$665,MATCH($A315,'Input Statistiche 2025_26'!$A$3:$A$665,0)),"")</f>
        <v>0</v>
      </c>
      <c r="M315" s="28"/>
      <c r="N315" s="27" t="n">
        <f aca="false">IFERROR(INDEX('Input Giocatori 2026_27'!$E$3:$E$493,MATCH($A315,'Input Giocatori 2026_27'!$A$3:$A$493,0)),"")</f>
        <v>3</v>
      </c>
      <c r="O315" s="27" t="n">
        <f aca="false">IFERROR(INDEX('Input Giocatori 2026_27'!$G$3:$G$493,MATCH($A315,'Input Giocatori 2026_27'!$A$3:$A$493,0)),"")</f>
        <v>10</v>
      </c>
      <c r="P315" s="26" t="str">
        <f aca="false">IFERROR(IF($O315="","",IF((1-(COUNTIFS($B$2:$B$492,$B315,$O$2:$O$492,"&gt;"&amp;$O315)+1-1)/COUNTIF($B$2:$B$492,$B315))&gt;=0.85,"Top",IF((1-(COUNTIFS($B$2:$B$492,$B315,$O$2:$O$492,"&gt;"&amp;$O315)+1-1)/COUNTIF($B$2:$B$492,$B315))&gt;=0.6,"Buono",IF((1-(COUNTIFS($B$2:$B$492,$B315,$O$2:$O$492,"&gt;"&amp;$O315)+1-1)/COUNTIF($B$2:$B$492,$B315))&gt;=0.3,"Nella Media","Scommessa/Riserva")))),"")</f>
        <v>Nella Media</v>
      </c>
      <c r="Q315" s="29" t="n">
        <f aca="false">IF($D315="",COUNTIF($D$2:$D315,""),"")</f>
        <v>314</v>
      </c>
      <c r="R315" s="29" t="str">
        <f aca="false">IF($D315='Info Lega'!$B$28,COUNTIFS($D$2:$D315,'Info Lega'!$B$28),"")</f>
        <v/>
      </c>
      <c r="S315" s="30" t="n">
        <f aca="false">IFERROR(INDEX('Input Statistiche 2025_26'!$G$3:$G$665,MATCH($A315,'Input Statistiche 2025_26'!$A$3:$A$665,0)),"")</f>
        <v>5.62</v>
      </c>
      <c r="T315" s="30" t="n">
        <f aca="false">IFERROR(INDEX('Input Statistiche 2025_26'!$H$3:$H$665,MATCH($A315,'Input Statistiche 2025_26'!$A$3:$A$665,0)),"")</f>
        <v>5.72</v>
      </c>
      <c r="U315" s="26" t="str">
        <f aca="false">IF(OR('La Mia Rosa'!$O$12="",$D315&lt;&gt;""),"",IF($F315&lt;='La Mia Rosa'!$O$12*'Parametri Modello'!$B$24,"OK",IF($F315&lt;='La Mia Rosa'!$O$12*'Parametri Modello'!$B$25,"Attenzione","Rischio Alto")))</f>
        <v>OK</v>
      </c>
      <c r="V315" s="26" t="n">
        <f aca="false">IFERROR(COUNTIFS($B$2:$B$492,$B315,$O$2:$O$492,"&gt;"&amp;$O315)+1,"")</f>
        <v>99</v>
      </c>
      <c r="W315" s="21" t="n">
        <f aca="false">'Info Lega'!$B$4-SUMIFS($M$2:$M$492,$D$2:$D$492,'Info Lega'!$B$28)</f>
        <v>1000</v>
      </c>
      <c r="X315" s="21" t="n">
        <f aca="false">('Info Lega'!$B$5-COUNTIFS($D$2:$D$492,'Info Lega'!$B$28,$B$2:$B$492,"P"))+('Info Lega'!$B$6-COUNTIFS($D$2:$D$492,'Info Lega'!$B$28,$B$2:$B$492,"D"))+('Info Lega'!$B$7-COUNTIFS($D$2:$D$492,'Info Lega'!$B$28,$B$2:$B$492,"C"))+('Info Lega'!$B$8-COUNTIFS($D$2:$D$492,'Info Lega'!$B$28,$B$2:$B$492,"A"))</f>
        <v>25</v>
      </c>
      <c r="Y315" s="21" t="n">
        <f aca="false">X315*'Parametri Modello'!$B$30</f>
        <v>25</v>
      </c>
      <c r="Z315" s="21" t="n">
        <f aca="false">MAX(0,W315-Y315)</f>
        <v>975</v>
      </c>
      <c r="AA315" s="21" t="n">
        <f aca="false">MIN(F315,Z315)</f>
        <v>5</v>
      </c>
      <c r="AB315" s="21"/>
      <c r="AC315" s="21" t="str">
        <f aca="false">IF(AB315="","",IF(AB315&gt;AA315,"PASS",IF(AB315&lt;=AA315*0.85,"BID","ATTENZIONE")))</f>
        <v/>
      </c>
      <c r="AD315" s="31" t="n">
        <f aca="false">IF(I315="","",ROUND(100*(1-EXP(-I315/30)),0))</f>
        <v>41</v>
      </c>
      <c r="AE315" s="7" t="str">
        <f aca="false">IFERROR(INDEX('Stato Asta'!$G$9:$G$12,MATCH($B315,'Stato Asta'!$A$9:$A$12,0)),"")</f>
        <v>🟡 Attesa rischiosa</v>
      </c>
    </row>
    <row r="316" customFormat="false" ht="14.25" hidden="false" customHeight="true" outlineLevel="0" collapsed="false">
      <c r="A316" s="21" t="n">
        <v>7012</v>
      </c>
      <c r="B316" s="21" t="s">
        <v>44</v>
      </c>
      <c r="C316" s="21" t="s">
        <v>310</v>
      </c>
      <c r="E316" s="26" t="str">
        <f aca="false">IF(COUNTIF('Info Strategia'!$D$2:$D$51,$C316)&gt;0,"SI","NO")</f>
        <v>NO</v>
      </c>
      <c r="F316" s="27" t="n">
        <f aca="false">IFERROR(ROUND(($G316+($H316-$G316)*'Info Strategia'!$B$6)*(1+IF($E316="SI",'Parametri Modello'!$B$7*'Info Strategia'!$B$6,0)),0),"")</f>
        <v>5</v>
      </c>
      <c r="G316" s="27" t="n">
        <f aca="false">IFERROR(ROUND((IF(OR(INDEX('Parametri Modello'!$C$39:$C$42,MATCH($B316,'Parametri Modello'!$A$39:$A$42,0))="",INDEX('Parametri Modello'!$C$39:$C$42,MATCH($B316,'Parametri Modello'!$A$39:$A$42,0))=0),0,($O316/INDEX('Parametri Modello'!$C$39:$C$42,MATCH($B316,'Parametri Modello'!$A$39:$A$42,0)))*(INDEX('Parametri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4</v>
      </c>
      <c r="H316" s="27" t="n">
        <f aca="false">IFERROR(ROUND((IF(OR(INDEX('Parametri Modello'!$C$39:$C$42,MATCH($B316,'Parametri Modello'!$A$39:$A$42,0))="",INDEX('Parametri Modello'!$C$39:$C$42,MATCH($B316,'Parametri Modello'!$A$39:$A$42,0))=0),0,($O316/INDEX('Parametri Modello'!$C$39:$C$42,MATCH($B316,'Parametri Modello'!$A$39:$A$42,0)))*(INDEX('Parametri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5</v>
      </c>
      <c r="I316" s="26" t="n">
        <f aca="false">IFERROR(INDEX('Input Statistiche 2025_26'!$F$3:$F$665,MATCH($A316,'Input Statistiche 2025_26'!$A$3:$A$665,0)),"")</f>
        <v>23</v>
      </c>
      <c r="J316" s="26" t="n">
        <f aca="false">IFERROR(IF($I316="","",MAX(0,38-$I316)),"")</f>
        <v>15</v>
      </c>
      <c r="K316" s="26" t="n">
        <f aca="false">IFERROR(INDEX('Input Statistiche 2025_26'!$I$3:$I$665,MATCH($A316,'Input Statistiche 2025_26'!$A$3:$A$665,0)),"")</f>
        <v>0</v>
      </c>
      <c r="L316" s="26" t="n">
        <f aca="false">IFERROR(INDEX('Input Statistiche 2025_26'!$O$3:$O$665,MATCH($A316,'Input Statistiche 2025_26'!$A$3:$A$665,0)),"")</f>
        <v>0</v>
      </c>
      <c r="M316" s="28"/>
      <c r="N316" s="27" t="n">
        <f aca="false">IFERROR(INDEX('Input Giocatori 2026_27'!$E$3:$E$493,MATCH($A316,'Input Giocatori 2026_27'!$A$3:$A$493,0)),"")</f>
        <v>3</v>
      </c>
      <c r="O316" s="27" t="n">
        <f aca="false">IFERROR(INDEX('Input Giocatori 2026_27'!$G$3:$G$493,MATCH($A316,'Input Giocatori 2026_27'!$A$3:$A$493,0)),"")</f>
        <v>10</v>
      </c>
      <c r="P316" s="26" t="str">
        <f aca="false">IFERROR(IF($O316="","",IF((1-(COUNTIFS($B$2:$B$492,$B316,$O$2:$O$492,"&gt;"&amp;$O316)+1-1)/COUNTIF($B$2:$B$492,$B316))&gt;=0.85,"Top",IF((1-(COUNTIFS($B$2:$B$492,$B316,$O$2:$O$492,"&gt;"&amp;$O316)+1-1)/COUNTIF($B$2:$B$492,$B316))&gt;=0.6,"Buono",IF((1-(COUNTIFS($B$2:$B$492,$B316,$O$2:$O$492,"&gt;"&amp;$O316)+1-1)/COUNTIF($B$2:$B$492,$B316))&gt;=0.3,"Nella Media","Scommessa/Riserva")))),"")</f>
        <v>Nella Media</v>
      </c>
      <c r="Q316" s="29" t="n">
        <f aca="false">IF($D316="",COUNTIF($D$2:$D316,""),"")</f>
        <v>315</v>
      </c>
      <c r="R316" s="29" t="str">
        <f aca="false">IF($D316='Info Lega'!$B$28,COUNTIFS($D$2:$D316,'Info Lega'!$B$28),"")</f>
        <v/>
      </c>
      <c r="S316" s="30" t="n">
        <f aca="false">IFERROR(INDEX('Input Statistiche 2025_26'!$G$3:$G$665,MATCH($A316,'Input Statistiche 2025_26'!$A$3:$A$665,0)),"")</f>
        <v>5.91</v>
      </c>
      <c r="T316" s="30" t="n">
        <f aca="false">IFERROR(INDEX('Input Statistiche 2025_26'!$H$3:$H$665,MATCH($A316,'Input Statistiche 2025_26'!$A$3:$A$665,0)),"")</f>
        <v>5.85</v>
      </c>
      <c r="U316" s="26" t="str">
        <f aca="false">IF(OR('La Mia Rosa'!$O$12="",$D316&lt;&gt;""),"",IF($F316&lt;='La Mia Rosa'!$O$12*'Parametri Modello'!$B$24,"OK",IF($F316&lt;='La Mia Rosa'!$O$12*'Parametri Modello'!$B$25,"Attenzione","Rischio Alto")))</f>
        <v>OK</v>
      </c>
      <c r="V316" s="26" t="n">
        <f aca="false">IFERROR(COUNTIFS($B$2:$B$492,$B316,$O$2:$O$492,"&gt;"&amp;$O316)+1,"")</f>
        <v>99</v>
      </c>
      <c r="W316" s="21" t="n">
        <f aca="false">'Info Lega'!$B$4-SUMIFS($M$2:$M$492,$D$2:$D$492,'Info Lega'!$B$28)</f>
        <v>1000</v>
      </c>
      <c r="X316" s="21" t="n">
        <f aca="false">('Info Lega'!$B$5-COUNTIFS($D$2:$D$492,'Info Lega'!$B$28,$B$2:$B$492,"P"))+('Info Lega'!$B$6-COUNTIFS($D$2:$D$492,'Info Lega'!$B$28,$B$2:$B$492,"D"))+('Info Lega'!$B$7-COUNTIFS($D$2:$D$492,'Info Lega'!$B$28,$B$2:$B$492,"C"))+('Info Lega'!$B$8-COUNTIFS($D$2:$D$492,'Info Lega'!$B$28,$B$2:$B$492,"A"))</f>
        <v>25</v>
      </c>
      <c r="Y316" s="21" t="n">
        <f aca="false">X316*'Parametri Modello'!$B$30</f>
        <v>25</v>
      </c>
      <c r="Z316" s="21" t="n">
        <f aca="false">MAX(0,W316-Y316)</f>
        <v>975</v>
      </c>
      <c r="AA316" s="21" t="n">
        <f aca="false">MIN(F316,Z316)</f>
        <v>5</v>
      </c>
      <c r="AB316" s="21"/>
      <c r="AC316" s="21" t="str">
        <f aca="false">IF(AB316="","",IF(AB316&gt;AA316,"PASS",IF(AB316&lt;=AA316*0.85,"BID","ATTENZIONE")))</f>
        <v/>
      </c>
      <c r="AD316" s="31" t="n">
        <f aca="false">IF(I316="","",ROUND(100*(1-EXP(-I316/30)),0))</f>
        <v>54</v>
      </c>
      <c r="AE316" s="7" t="str">
        <f aca="false">IFERROR(INDEX('Stato Asta'!$G$9:$G$12,MATCH($B316,'Stato Asta'!$A$9:$A$12,0)),"")</f>
        <v>🟡 Attesa rischiosa</v>
      </c>
    </row>
    <row r="317" customFormat="false" ht="14.25" hidden="false" customHeight="true" outlineLevel="0" collapsed="false">
      <c r="A317" s="21" t="n">
        <v>7255</v>
      </c>
      <c r="B317" s="21" t="s">
        <v>44</v>
      </c>
      <c r="C317" s="21" t="s">
        <v>318</v>
      </c>
      <c r="E317" s="26" t="str">
        <f aca="false">IF(COUNTIF('Info Strategia'!$D$2:$D$51,$C317)&gt;0,"SI","NO")</f>
        <v>NO</v>
      </c>
      <c r="F317" s="27" t="n">
        <f aca="false">IFERROR(ROUND(($G317+($H317-$G317)*'Info Strategia'!$B$6)*(1+IF($E317="SI",'Parametri Modello'!$B$7*'Info Strategia'!$B$6,0)),0),"")</f>
        <v>5</v>
      </c>
      <c r="G317" s="27" t="n">
        <f aca="false">IFERROR(ROUND((IF(OR(INDEX('Parametri Modello'!$C$39:$C$42,MATCH($B317,'Parametri Modello'!$A$39:$A$42,0))="",INDEX('Parametri Modello'!$C$39:$C$42,MATCH($B317,'Parametri Modello'!$A$39:$A$42,0))=0),0,($O317/INDEX('Parametri Modello'!$C$39:$C$42,MATCH($B317,'Parametri Modello'!$A$39:$A$42,0)))*(INDEX('Parametri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4</v>
      </c>
      <c r="H317" s="27" t="n">
        <f aca="false">IFERROR(ROUND((IF(OR(INDEX('Parametri Modello'!$C$39:$C$42,MATCH($B317,'Parametri Modello'!$A$39:$A$42,0))="",INDEX('Parametri Modello'!$C$39:$C$42,MATCH($B317,'Parametri Modello'!$A$39:$A$42,0))=0),0,($O317/INDEX('Parametri Modello'!$C$39:$C$42,MATCH($B317,'Parametri Modello'!$A$39:$A$42,0)))*(INDEX('Parametri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5</v>
      </c>
      <c r="I317" s="26" t="n">
        <f aca="false">IFERROR(INDEX('Input Statistiche 2025_26'!$F$3:$F$665,MATCH($A317,'Input Statistiche 2025_26'!$A$3:$A$665,0)),"")</f>
        <v>28</v>
      </c>
      <c r="J317" s="26" t="n">
        <f aca="false">IFERROR(IF($I317="","",MAX(0,38-$I317)),"")</f>
        <v>10</v>
      </c>
      <c r="K317" s="26" t="n">
        <f aca="false">IFERROR(INDEX('Input Statistiche 2025_26'!$I$3:$I$665,MATCH($A317,'Input Statistiche 2025_26'!$A$3:$A$665,0)),"")</f>
        <v>0</v>
      </c>
      <c r="L317" s="26" t="n">
        <f aca="false">IFERROR(INDEX('Input Statistiche 2025_26'!$O$3:$O$665,MATCH($A317,'Input Statistiche 2025_26'!$A$3:$A$665,0)),"")</f>
        <v>2</v>
      </c>
      <c r="M317" s="28"/>
      <c r="N317" s="27" t="n">
        <f aca="false">IFERROR(INDEX('Input Giocatori 2026_27'!$E$3:$E$493,MATCH($A317,'Input Giocatori 2026_27'!$A$3:$A$493,0)),"")</f>
        <v>3</v>
      </c>
      <c r="O317" s="27" t="n">
        <f aca="false">IFERROR(INDEX('Input Giocatori 2026_27'!$G$3:$G$493,MATCH($A317,'Input Giocatori 2026_27'!$A$3:$A$493,0)),"")</f>
        <v>10</v>
      </c>
      <c r="P317" s="26" t="str">
        <f aca="false">IFERROR(IF($O317="","",IF((1-(COUNTIFS($B$2:$B$492,$B317,$O$2:$O$492,"&gt;"&amp;$O317)+1-1)/COUNTIF($B$2:$B$492,$B317))&gt;=0.85,"Top",IF((1-(COUNTIFS($B$2:$B$492,$B317,$O$2:$O$492,"&gt;"&amp;$O317)+1-1)/COUNTIF($B$2:$B$492,$B317))&gt;=0.6,"Buono",IF((1-(COUNTIFS($B$2:$B$492,$B317,$O$2:$O$492,"&gt;"&amp;$O317)+1-1)/COUNTIF($B$2:$B$492,$B317))&gt;=0.3,"Nella Media","Scommessa/Riserva")))),"")</f>
        <v>Nella Media</v>
      </c>
      <c r="Q317" s="29" t="n">
        <f aca="false">IF($D317="",COUNTIF($D$2:$D317,""),"")</f>
        <v>316</v>
      </c>
      <c r="R317" s="29" t="str">
        <f aca="false">IF($D317='Info Lega'!$B$28,COUNTIFS($D$2:$D317,'Info Lega'!$B$28),"")</f>
        <v/>
      </c>
      <c r="S317" s="30" t="n">
        <f aca="false">IFERROR(INDEX('Input Statistiche 2025_26'!$G$3:$G$665,MATCH($A317,'Input Statistiche 2025_26'!$A$3:$A$665,0)),"")</f>
        <v>5.75</v>
      </c>
      <c r="T317" s="30" t="n">
        <f aca="false">IFERROR(INDEX('Input Statistiche 2025_26'!$H$3:$H$665,MATCH($A317,'Input Statistiche 2025_26'!$A$3:$A$665,0)),"")</f>
        <v>5.7</v>
      </c>
      <c r="U317" s="26" t="str">
        <f aca="false">IF(OR('La Mia Rosa'!$O$12="",$D317&lt;&gt;""),"",IF($F317&lt;='La Mia Rosa'!$O$12*'Parametri Modello'!$B$24,"OK",IF($F317&lt;='La Mia Rosa'!$O$12*'Parametri Modello'!$B$25,"Attenzione","Rischio Alto")))</f>
        <v>OK</v>
      </c>
      <c r="V317" s="26" t="n">
        <f aca="false">IFERROR(COUNTIFS($B$2:$B$492,$B317,$O$2:$O$492,"&gt;"&amp;$O317)+1,"")</f>
        <v>99</v>
      </c>
      <c r="W317" s="21" t="n">
        <f aca="false">'Info Lega'!$B$4-SUMIFS($M$2:$M$492,$D$2:$D$492,'Info Lega'!$B$28)</f>
        <v>1000</v>
      </c>
      <c r="X317" s="21" t="n">
        <f aca="false">('Info Lega'!$B$5-COUNTIFS($D$2:$D$492,'Info Lega'!$B$28,$B$2:$B$492,"P"))+('Info Lega'!$B$6-COUNTIFS($D$2:$D$492,'Info Lega'!$B$28,$B$2:$B$492,"D"))+('Info Lega'!$B$7-COUNTIFS($D$2:$D$492,'Info Lega'!$B$28,$B$2:$B$492,"C"))+('Info Lega'!$B$8-COUNTIFS($D$2:$D$492,'Info Lega'!$B$28,$B$2:$B$492,"A"))</f>
        <v>25</v>
      </c>
      <c r="Y317" s="21" t="n">
        <f aca="false">X317*'Parametri Modello'!$B$30</f>
        <v>25</v>
      </c>
      <c r="Z317" s="21" t="n">
        <f aca="false">MAX(0,W317-Y317)</f>
        <v>975</v>
      </c>
      <c r="AA317" s="21" t="n">
        <f aca="false">MIN(F317,Z317)</f>
        <v>5</v>
      </c>
      <c r="AB317" s="21"/>
      <c r="AC317" s="21" t="str">
        <f aca="false">IF(AB317="","",IF(AB317&gt;AA317,"PASS",IF(AB317&lt;=AA317*0.85,"BID","ATTENZIONE")))</f>
        <v/>
      </c>
      <c r="AD317" s="31" t="n">
        <f aca="false">IF(I317="","",ROUND(100*(1-EXP(-I317/30)),0))</f>
        <v>61</v>
      </c>
      <c r="AE317" s="7" t="str">
        <f aca="false">IFERROR(INDEX('Stato Asta'!$G$9:$G$12,MATCH($B317,'Stato Asta'!$A$9:$A$12,0)),"")</f>
        <v>🟡 Attesa rischiosa</v>
      </c>
    </row>
    <row r="318" customFormat="false" ht="14.25" hidden="false" customHeight="true" outlineLevel="0" collapsed="false">
      <c r="A318" s="21" t="n">
        <v>6640</v>
      </c>
      <c r="B318" s="21" t="s">
        <v>45</v>
      </c>
      <c r="C318" s="21" t="s">
        <v>448</v>
      </c>
      <c r="E318" s="26" t="str">
        <f aca="false">IF(COUNTIF('Info Strategia'!$D$2:$D$51,$C318)&gt;0,"SI","NO")</f>
        <v>NO</v>
      </c>
      <c r="F318" s="27" t="n">
        <f aca="false">IFERROR(ROUND(($G318+($H318-$G318)*'Info Strategia'!$B$6)*(1+IF($E318="SI",'Parametri Modello'!$B$7*'Info Strategia'!$B$6,0)),0),"")</f>
        <v>5</v>
      </c>
      <c r="G318" s="27" t="n">
        <f aca="false">IFERROR(ROUND((IF(OR(INDEX('Parametri Modello'!$C$39:$C$42,MATCH($B318,'Parametri Modello'!$A$39:$A$42,0))="",INDEX('Parametri Modello'!$C$39:$C$42,MATCH($B318,'Parametri Modello'!$A$39:$A$42,0))=0),0,($O318/INDEX('Parametri Modello'!$C$39:$C$42,MATCH($B318,'Parametri Modello'!$A$39:$A$42,0)))*(INDEX('Parametri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4</v>
      </c>
      <c r="H318" s="27" t="n">
        <f aca="false">IFERROR(ROUND((IF(OR(INDEX('Parametri Modello'!$C$39:$C$42,MATCH($B318,'Parametri Modello'!$A$39:$A$42,0))="",INDEX('Parametri Modello'!$C$39:$C$42,MATCH($B318,'Parametri Modello'!$A$39:$A$42,0))=0),0,($O318/INDEX('Parametri Modello'!$C$39:$C$42,MATCH($B318,'Parametri Modello'!$A$39:$A$42,0)))*(INDEX('Parametri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6</v>
      </c>
      <c r="I318" s="26" t="n">
        <f aca="false">IFERROR(INDEX('Input Statistiche 2025_26'!$F$3:$F$665,MATCH($A318,'Input Statistiche 2025_26'!$A$3:$A$665,0)),"")</f>
        <v>11</v>
      </c>
      <c r="J318" s="26" t="n">
        <f aca="false">IFERROR(IF($I318="","",MAX(0,38-$I318)),"")</f>
        <v>27</v>
      </c>
      <c r="K318" s="26" t="n">
        <f aca="false">IFERROR(INDEX('Input Statistiche 2025_26'!$I$3:$I$665,MATCH($A318,'Input Statistiche 2025_26'!$A$3:$A$665,0)),"")</f>
        <v>2</v>
      </c>
      <c r="L318" s="26" t="n">
        <f aca="false">IFERROR(INDEX('Input Statistiche 2025_26'!$O$3:$O$665,MATCH($A318,'Input Statistiche 2025_26'!$A$3:$A$665,0)),"")</f>
        <v>1</v>
      </c>
      <c r="M318" s="28"/>
      <c r="N318" s="27" t="n">
        <f aca="false">IFERROR(INDEX('Input Giocatori 2026_27'!$E$3:$E$493,MATCH($A318,'Input Giocatori 2026_27'!$A$3:$A$493,0)),"")</f>
        <v>5</v>
      </c>
      <c r="O318" s="27" t="n">
        <f aca="false">IFERROR(INDEX('Input Giocatori 2026_27'!$G$3:$G$493,MATCH($A318,'Input Giocatori 2026_27'!$A$3:$A$493,0)),"")</f>
        <v>10</v>
      </c>
      <c r="P318" s="26" t="str">
        <f aca="false">IFERROR(IF($O318="","",IF((1-(COUNTIFS($B$2:$B$492,$B318,$O$2:$O$492,"&gt;"&amp;$O318)+1-1)/COUNTIF($B$2:$B$492,$B318))&gt;=0.85,"Top",IF((1-(COUNTIFS($B$2:$B$492,$B318,$O$2:$O$492,"&gt;"&amp;$O318)+1-1)/COUNTIF($B$2:$B$492,$B318))&gt;=0.6,"Buono",IF((1-(COUNTIFS($B$2:$B$492,$B318,$O$2:$O$492,"&gt;"&amp;$O318)+1-1)/COUNTIF($B$2:$B$492,$B318))&gt;=0.3,"Nella Media","Scommessa/Riserva")))),"")</f>
        <v>Scommessa/Riserva</v>
      </c>
      <c r="Q318" s="29" t="n">
        <f aca="false">IF($D318="",COUNTIF($D$2:$D318,""),"")</f>
        <v>317</v>
      </c>
      <c r="R318" s="29" t="str">
        <f aca="false">IF($D318='Info Lega'!$B$28,COUNTIFS($D$2:$D318,'Info Lega'!$B$28),"")</f>
        <v/>
      </c>
      <c r="S318" s="30" t="n">
        <f aca="false">IFERROR(INDEX('Input Statistiche 2025_26'!$G$3:$G$665,MATCH($A318,'Input Statistiche 2025_26'!$A$3:$A$665,0)),"")</f>
        <v>6.05</v>
      </c>
      <c r="T318" s="30" t="n">
        <f aca="false">IFERROR(INDEX('Input Statistiche 2025_26'!$H$3:$H$665,MATCH($A318,'Input Statistiche 2025_26'!$A$3:$A$665,0)),"")</f>
        <v>6.55</v>
      </c>
      <c r="U318" s="26" t="str">
        <f aca="false">IF(OR('La Mia Rosa'!$O$12="",$D318&lt;&gt;""),"",IF($F318&lt;='La Mia Rosa'!$O$12*'Parametri Modello'!$B$24,"OK",IF($F318&lt;='La Mia Rosa'!$O$12*'Parametri Modello'!$B$25,"Attenzione","Rischio Alto")))</f>
        <v>OK</v>
      </c>
      <c r="V318" s="26" t="n">
        <f aca="false">IFERROR(COUNTIFS($B$2:$B$492,$B318,$O$2:$O$492,"&gt;"&amp;$O318)+1,"")</f>
        <v>124</v>
      </c>
      <c r="W318" s="21" t="n">
        <f aca="false">'Info Lega'!$B$4-SUMIFS($M$2:$M$492,$D$2:$D$492,'Info Lega'!$B$28)</f>
        <v>1000</v>
      </c>
      <c r="X318" s="21" t="n">
        <f aca="false">('Info Lega'!$B$5-COUNTIFS($D$2:$D$492,'Info Lega'!$B$28,$B$2:$B$492,"P"))+('Info Lega'!$B$6-COUNTIFS($D$2:$D$492,'Info Lega'!$B$28,$B$2:$B$492,"D"))+('Info Lega'!$B$7-COUNTIFS($D$2:$D$492,'Info Lega'!$B$28,$B$2:$B$492,"C"))+('Info Lega'!$B$8-COUNTIFS($D$2:$D$492,'Info Lega'!$B$28,$B$2:$B$492,"A"))</f>
        <v>25</v>
      </c>
      <c r="Y318" s="21" t="n">
        <f aca="false">X318*'Parametri Modello'!$B$30</f>
        <v>25</v>
      </c>
      <c r="Z318" s="21" t="n">
        <f aca="false">MAX(0,W318-Y318)</f>
        <v>975</v>
      </c>
      <c r="AA318" s="21" t="n">
        <f aca="false">MIN(F318,Z318)</f>
        <v>5</v>
      </c>
      <c r="AB318" s="21"/>
      <c r="AC318" s="21" t="str">
        <f aca="false">IF(AB318="","",IF(AB318&gt;AA318,"PASS",IF(AB318&lt;=AA318*0.85,"BID","ATTENZIONE")))</f>
        <v/>
      </c>
      <c r="AD318" s="31" t="n">
        <f aca="false">IF(I318="","",ROUND(100*(1-EXP(-I318/30)),0))</f>
        <v>31</v>
      </c>
      <c r="AE318" s="7" t="str">
        <f aca="false">IFERROR(INDEX('Stato Asta'!$G$9:$G$12,MATCH($B318,'Stato Asta'!$A$9:$A$12,0)),"")</f>
        <v>🟡 Attesa rischiosa</v>
      </c>
    </row>
    <row r="319" customFormat="false" ht="14.25" hidden="false" customHeight="true" outlineLevel="0" collapsed="false">
      <c r="A319" s="21" t="n">
        <v>7127</v>
      </c>
      <c r="B319" s="21" t="s">
        <v>45</v>
      </c>
      <c r="C319" s="21" t="s">
        <v>450</v>
      </c>
      <c r="E319" s="26" t="str">
        <f aca="false">IF(COUNTIF('Info Strategia'!$D$2:$D$51,$C319)&gt;0,"SI","NO")</f>
        <v>NO</v>
      </c>
      <c r="F319" s="27" t="n">
        <f aca="false">IFERROR(ROUND(($G319+($H319-$G319)*'Info Strategia'!$B$6)*(1+IF($E319="SI",'Parametri Modello'!$B$7*'Info Strategia'!$B$6,0)),0),"")</f>
        <v>5</v>
      </c>
      <c r="G319" s="27" t="n">
        <f aca="false">IFERROR(ROUND((IF(OR(INDEX('Parametri Modello'!$C$39:$C$42,MATCH($B319,'Parametri Modello'!$A$39:$A$42,0))="",INDEX('Parametri Modello'!$C$39:$C$42,MATCH($B319,'Parametri Modello'!$A$39:$A$42,0))=0),0,($O319/INDEX('Parametri Modello'!$C$39:$C$42,MATCH($B319,'Parametri Modello'!$A$39:$A$42,0)))*(INDEX('Parametri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4</v>
      </c>
      <c r="H319" s="27" t="n">
        <f aca="false">IFERROR(ROUND((IF(OR(INDEX('Parametri Modello'!$C$39:$C$42,MATCH($B319,'Parametri Modello'!$A$39:$A$42,0))="",INDEX('Parametri Modello'!$C$39:$C$42,MATCH($B319,'Parametri Modello'!$A$39:$A$42,0))=0),0,($O319/INDEX('Parametri Modello'!$C$39:$C$42,MATCH($B319,'Parametri Modello'!$A$39:$A$42,0)))*(INDEX('Parametri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6</v>
      </c>
      <c r="I319" s="26" t="n">
        <f aca="false">IFERROR(INDEX('Input Statistiche 2025_26'!$F$3:$F$665,MATCH($A319,'Input Statistiche 2025_26'!$A$3:$A$665,0)),"")</f>
        <v>12</v>
      </c>
      <c r="J319" s="26" t="n">
        <f aca="false">IFERROR(IF($I319="","",MAX(0,38-$I319)),"")</f>
        <v>26</v>
      </c>
      <c r="K319" s="26" t="n">
        <f aca="false">IFERROR(INDEX('Input Statistiche 2025_26'!$I$3:$I$665,MATCH($A319,'Input Statistiche 2025_26'!$A$3:$A$665,0)),"")</f>
        <v>3</v>
      </c>
      <c r="L319" s="26" t="n">
        <f aca="false">IFERROR(INDEX('Input Statistiche 2025_26'!$O$3:$O$665,MATCH($A319,'Input Statistiche 2025_26'!$A$3:$A$665,0)),"")</f>
        <v>0</v>
      </c>
      <c r="M319" s="28"/>
      <c r="N319" s="27" t="n">
        <f aca="false">IFERROR(INDEX('Input Giocatori 2026_27'!$E$3:$E$493,MATCH($A319,'Input Giocatori 2026_27'!$A$3:$A$493,0)),"")</f>
        <v>5</v>
      </c>
      <c r="O319" s="27" t="n">
        <f aca="false">IFERROR(INDEX('Input Giocatori 2026_27'!$G$3:$G$493,MATCH($A319,'Input Giocatori 2026_27'!$A$3:$A$493,0)),"")</f>
        <v>10</v>
      </c>
      <c r="P319" s="26" t="str">
        <f aca="false">IFERROR(IF($O319="","",IF((1-(COUNTIFS($B$2:$B$492,$B319,$O$2:$O$492,"&gt;"&amp;$O319)+1-1)/COUNTIF($B$2:$B$492,$B319))&gt;=0.85,"Top",IF((1-(COUNTIFS($B$2:$B$492,$B319,$O$2:$O$492,"&gt;"&amp;$O319)+1-1)/COUNTIF($B$2:$B$492,$B319))&gt;=0.6,"Buono",IF((1-(COUNTIFS($B$2:$B$492,$B319,$O$2:$O$492,"&gt;"&amp;$O319)+1-1)/COUNTIF($B$2:$B$492,$B319))&gt;=0.3,"Nella Media","Scommessa/Riserva")))),"")</f>
        <v>Scommessa/Riserva</v>
      </c>
      <c r="Q319" s="29" t="n">
        <f aca="false">IF($D319="",COUNTIF($D$2:$D319,""),"")</f>
        <v>318</v>
      </c>
      <c r="R319" s="29" t="str">
        <f aca="false">IF($D319='Info Lega'!$B$28,COUNTIFS($D$2:$D319,'Info Lega'!$B$28),"")</f>
        <v/>
      </c>
      <c r="S319" s="30" t="n">
        <f aca="false">IFERROR(INDEX('Input Statistiche 2025_26'!$G$3:$G$665,MATCH($A319,'Input Statistiche 2025_26'!$A$3:$A$665,0)),"")</f>
        <v>5.96</v>
      </c>
      <c r="T319" s="30" t="n">
        <f aca="false">IFERROR(INDEX('Input Statistiche 2025_26'!$H$3:$H$665,MATCH($A319,'Input Statistiche 2025_26'!$A$3:$A$665,0)),"")</f>
        <v>6.54</v>
      </c>
      <c r="U319" s="26" t="str">
        <f aca="false">IF(OR('La Mia Rosa'!$O$12="",$D319&lt;&gt;""),"",IF($F319&lt;='La Mia Rosa'!$O$12*'Parametri Modello'!$B$24,"OK",IF($F319&lt;='La Mia Rosa'!$O$12*'Parametri Modello'!$B$25,"Attenzione","Rischio Alto")))</f>
        <v>OK</v>
      </c>
      <c r="V319" s="26" t="n">
        <f aca="false">IFERROR(COUNTIFS($B$2:$B$492,$B319,$O$2:$O$492,"&gt;"&amp;$O319)+1,"")</f>
        <v>124</v>
      </c>
      <c r="W319" s="21" t="n">
        <f aca="false">'Info Lega'!$B$4-SUMIFS($M$2:$M$492,$D$2:$D$492,'Info Lega'!$B$28)</f>
        <v>1000</v>
      </c>
      <c r="X319" s="21" t="n">
        <f aca="false">('Info Lega'!$B$5-COUNTIFS($D$2:$D$492,'Info Lega'!$B$28,$B$2:$B$492,"P"))+('Info Lega'!$B$6-COUNTIFS($D$2:$D$492,'Info Lega'!$B$28,$B$2:$B$492,"D"))+('Info Lega'!$B$7-COUNTIFS($D$2:$D$492,'Info Lega'!$B$28,$B$2:$B$492,"C"))+('Info Lega'!$B$8-COUNTIFS($D$2:$D$492,'Info Lega'!$B$28,$B$2:$B$492,"A"))</f>
        <v>25</v>
      </c>
      <c r="Y319" s="21" t="n">
        <f aca="false">X319*'Parametri Modello'!$B$30</f>
        <v>25</v>
      </c>
      <c r="Z319" s="21" t="n">
        <f aca="false">MAX(0,W319-Y319)</f>
        <v>975</v>
      </c>
      <c r="AA319" s="21" t="n">
        <f aca="false">MIN(F319,Z319)</f>
        <v>5</v>
      </c>
      <c r="AB319" s="21"/>
      <c r="AC319" s="21" t="str">
        <f aca="false">IF(AB319="","",IF(AB319&gt;AA319,"PASS",IF(AB319&lt;=AA319*0.85,"BID","ATTENZIONE")))</f>
        <v/>
      </c>
      <c r="AD319" s="31" t="n">
        <f aca="false">IF(I319="","",ROUND(100*(1-EXP(-I319/30)),0))</f>
        <v>33</v>
      </c>
      <c r="AE319" s="7" t="str">
        <f aca="false">IFERROR(INDEX('Stato Asta'!$G$9:$G$12,MATCH($B319,'Stato Asta'!$A$9:$A$12,0)),"")</f>
        <v>🟡 Attesa rischiosa</v>
      </c>
    </row>
    <row r="320" customFormat="false" ht="14.25" hidden="false" customHeight="true" outlineLevel="0" collapsed="false">
      <c r="A320" s="21" t="n">
        <v>6054</v>
      </c>
      <c r="B320" s="21" t="s">
        <v>45</v>
      </c>
      <c r="C320" s="21" t="s">
        <v>473</v>
      </c>
      <c r="E320" s="26" t="str">
        <f aca="false">IF(COUNTIF('Info Strategia'!$D$2:$D$51,$C320)&gt;0,"SI","NO")</f>
        <v>NO</v>
      </c>
      <c r="F320" s="27" t="n">
        <f aca="false">IFERROR(ROUND(($G320+($H320-$G320)*'Info Strategia'!$B$6)*(1+IF($E320="SI",'Parametri Modello'!$B$7*'Info Strategia'!$B$6,0)),0),"")</f>
        <v>5</v>
      </c>
      <c r="G320" s="27" t="n">
        <f aca="false">IFERROR(ROUND((IF(OR(INDEX('Parametri Modello'!$C$39:$C$42,MATCH($B320,'Parametri Modello'!$A$39:$A$42,0))="",INDEX('Parametri Modello'!$C$39:$C$42,MATCH($B320,'Parametri Modello'!$A$39:$A$42,0))=0),0,($O320/INDEX('Parametri Modello'!$C$39:$C$42,MATCH($B320,'Parametri Modello'!$A$39:$A$42,0)))*(INDEX('Parametri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4</v>
      </c>
      <c r="H320" s="27" t="n">
        <f aca="false">IFERROR(ROUND((IF(OR(INDEX('Parametri Modello'!$C$39:$C$42,MATCH($B320,'Parametri Modello'!$A$39:$A$42,0))="",INDEX('Parametri Modello'!$C$39:$C$42,MATCH($B320,'Parametri Modello'!$A$39:$A$42,0))=0),0,($O320/INDEX('Parametri Modello'!$C$39:$C$42,MATCH($B320,'Parametri Modello'!$A$39:$A$42,0)))*(INDEX('Parametri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6</v>
      </c>
      <c r="I320" s="26" t="n">
        <f aca="false">IFERROR(INDEX('Input Statistiche 2025_26'!$F$3:$F$665,MATCH($A320,'Input Statistiche 2025_26'!$A$3:$A$665,0)),"")</f>
        <v>28</v>
      </c>
      <c r="J320" s="26" t="n">
        <f aca="false">IFERROR(IF($I320="","",MAX(0,38-$I320)),"")</f>
        <v>10</v>
      </c>
      <c r="K320" s="26" t="n">
        <f aca="false">IFERROR(INDEX('Input Statistiche 2025_26'!$I$3:$I$665,MATCH($A320,'Input Statistiche 2025_26'!$A$3:$A$665,0)),"")</f>
        <v>2</v>
      </c>
      <c r="L320" s="26" t="n">
        <f aca="false">IFERROR(INDEX('Input Statistiche 2025_26'!$O$3:$O$665,MATCH($A320,'Input Statistiche 2025_26'!$A$3:$A$665,0)),"")</f>
        <v>0</v>
      </c>
      <c r="M320" s="28"/>
      <c r="N320" s="27" t="n">
        <f aca="false">IFERROR(INDEX('Input Giocatori 2026_27'!$E$3:$E$493,MATCH($A320,'Input Giocatori 2026_27'!$A$3:$A$493,0)),"")</f>
        <v>4</v>
      </c>
      <c r="O320" s="27" t="n">
        <f aca="false">IFERROR(INDEX('Input Giocatori 2026_27'!$G$3:$G$493,MATCH($A320,'Input Giocatori 2026_27'!$A$3:$A$493,0)),"")</f>
        <v>10</v>
      </c>
      <c r="P320" s="26" t="str">
        <f aca="false">IFERROR(IF($O320="","",IF((1-(COUNTIFS($B$2:$B$492,$B320,$O$2:$O$492,"&gt;"&amp;$O320)+1-1)/COUNTIF($B$2:$B$492,$B320))&gt;=0.85,"Top",IF((1-(COUNTIFS($B$2:$B$492,$B320,$O$2:$O$492,"&gt;"&amp;$O320)+1-1)/COUNTIF($B$2:$B$492,$B320))&gt;=0.6,"Buono",IF((1-(COUNTIFS($B$2:$B$492,$B320,$O$2:$O$492,"&gt;"&amp;$O320)+1-1)/COUNTIF($B$2:$B$492,$B320))&gt;=0.3,"Nella Media","Scommessa/Riserva")))),"")</f>
        <v>Scommessa/Riserva</v>
      </c>
      <c r="Q320" s="29" t="n">
        <f aca="false">IF($D320="",COUNTIF($D$2:$D320,""),"")</f>
        <v>319</v>
      </c>
      <c r="R320" s="29" t="str">
        <f aca="false">IF($D320='Info Lega'!$B$28,COUNTIFS($D$2:$D320,'Info Lega'!$B$28),"")</f>
        <v/>
      </c>
      <c r="S320" s="30" t="n">
        <f aca="false">IFERROR(INDEX('Input Statistiche 2025_26'!$G$3:$G$665,MATCH($A320,'Input Statistiche 2025_26'!$A$3:$A$665,0)),"")</f>
        <v>5.93</v>
      </c>
      <c r="T320" s="30" t="n">
        <f aca="false">IFERROR(INDEX('Input Statistiche 2025_26'!$H$3:$H$665,MATCH($A320,'Input Statistiche 2025_26'!$A$3:$A$665,0)),"")</f>
        <v>6.12</v>
      </c>
      <c r="U320" s="26" t="str">
        <f aca="false">IF(OR('La Mia Rosa'!$O$12="",$D320&lt;&gt;""),"",IF($F320&lt;='La Mia Rosa'!$O$12*'Parametri Modello'!$B$24,"OK",IF($F320&lt;='La Mia Rosa'!$O$12*'Parametri Modello'!$B$25,"Attenzione","Rischio Alto")))</f>
        <v>OK</v>
      </c>
      <c r="V320" s="26" t="n">
        <f aca="false">IFERROR(COUNTIFS($B$2:$B$492,$B320,$O$2:$O$492,"&gt;"&amp;$O320)+1,"")</f>
        <v>124</v>
      </c>
      <c r="W320" s="21" t="n">
        <f aca="false">'Info Lega'!$B$4-SUMIFS($M$2:$M$492,$D$2:$D$492,'Info Lega'!$B$28)</f>
        <v>1000</v>
      </c>
      <c r="X320" s="21" t="n">
        <f aca="false">('Info Lega'!$B$5-COUNTIFS($D$2:$D$492,'Info Lega'!$B$28,$B$2:$B$492,"P"))+('Info Lega'!$B$6-COUNTIFS($D$2:$D$492,'Info Lega'!$B$28,$B$2:$B$492,"D"))+('Info Lega'!$B$7-COUNTIFS($D$2:$D$492,'Info Lega'!$B$28,$B$2:$B$492,"C"))+('Info Lega'!$B$8-COUNTIFS($D$2:$D$492,'Info Lega'!$B$28,$B$2:$B$492,"A"))</f>
        <v>25</v>
      </c>
      <c r="Y320" s="21" t="n">
        <f aca="false">X320*'Parametri Modello'!$B$30</f>
        <v>25</v>
      </c>
      <c r="Z320" s="21" t="n">
        <f aca="false">MAX(0,W320-Y320)</f>
        <v>975</v>
      </c>
      <c r="AA320" s="21" t="n">
        <f aca="false">MIN(F320,Z320)</f>
        <v>5</v>
      </c>
      <c r="AB320" s="21"/>
      <c r="AC320" s="21" t="str">
        <f aca="false">IF(AB320="","",IF(AB320&gt;AA320,"PASS",IF(AB320&lt;=AA320*0.85,"BID","ATTENZIONE")))</f>
        <v/>
      </c>
      <c r="AD320" s="31" t="n">
        <f aca="false">IF(I320="","",ROUND(100*(1-EXP(-I320/30)),0))</f>
        <v>61</v>
      </c>
      <c r="AE320" s="7" t="str">
        <f aca="false">IFERROR(INDEX('Stato Asta'!$G$9:$G$12,MATCH($B320,'Stato Asta'!$A$9:$A$12,0)),"")</f>
        <v>🟡 Attesa rischiosa</v>
      </c>
    </row>
    <row r="321" customFormat="false" ht="14.25" hidden="false" customHeight="true" outlineLevel="0" collapsed="false">
      <c r="A321" s="21" t="n">
        <v>6252</v>
      </c>
      <c r="B321" s="21" t="s">
        <v>45</v>
      </c>
      <c r="C321" s="21" t="s">
        <v>486</v>
      </c>
      <c r="E321" s="26" t="str">
        <f aca="false">IF(COUNTIF('Info Strategia'!$D$2:$D$51,$C321)&gt;0,"SI","NO")</f>
        <v>NO</v>
      </c>
      <c r="F321" s="27" t="n">
        <f aca="false">IFERROR(ROUND(($G321+($H321-$G321)*'Info Strategia'!$B$6)*(1+IF($E321="SI",'Parametri Modello'!$B$7*'Info Strategia'!$B$6,0)),0),"")</f>
        <v>5</v>
      </c>
      <c r="G321" s="27" t="n">
        <f aca="false">IFERROR(ROUND((IF(OR(INDEX('Parametri Modello'!$C$39:$C$42,MATCH($B321,'Parametri Modello'!$A$39:$A$42,0))="",INDEX('Parametri Modello'!$C$39:$C$42,MATCH($B321,'Parametri Modello'!$A$39:$A$42,0))=0),0,($O321/INDEX('Parametri Modello'!$C$39:$C$42,MATCH($B321,'Parametri Modello'!$A$39:$A$42,0)))*(INDEX('Parametri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4</v>
      </c>
      <c r="H321" s="27" t="n">
        <f aca="false">IFERROR(ROUND((IF(OR(INDEX('Parametri Modello'!$C$39:$C$42,MATCH($B321,'Parametri Modello'!$A$39:$A$42,0))="",INDEX('Parametri Modello'!$C$39:$C$42,MATCH($B321,'Parametri Modello'!$A$39:$A$42,0))=0),0,($O321/INDEX('Parametri Modello'!$C$39:$C$42,MATCH($B321,'Parametri Modello'!$A$39:$A$42,0)))*(INDEX('Parametri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6</v>
      </c>
      <c r="I321" s="26" t="n">
        <f aca="false">IFERROR(INDEX('Input Statistiche 2025_26'!$F$3:$F$665,MATCH($A321,'Input Statistiche 2025_26'!$A$3:$A$665,0)),"")</f>
        <v>26</v>
      </c>
      <c r="J321" s="26" t="n">
        <f aca="false">IFERROR(IF($I321="","",MAX(0,38-$I321)),"")</f>
        <v>12</v>
      </c>
      <c r="K321" s="26" t="n">
        <f aca="false">IFERROR(INDEX('Input Statistiche 2025_26'!$I$3:$I$665,MATCH($A321,'Input Statistiche 2025_26'!$A$3:$A$665,0)),"")</f>
        <v>2</v>
      </c>
      <c r="L321" s="26" t="n">
        <f aca="false">IFERROR(INDEX('Input Statistiche 2025_26'!$O$3:$O$665,MATCH($A321,'Input Statistiche 2025_26'!$A$3:$A$665,0)),"")</f>
        <v>0</v>
      </c>
      <c r="M321" s="28"/>
      <c r="N321" s="27" t="n">
        <f aca="false">IFERROR(INDEX('Input Giocatori 2026_27'!$E$3:$E$493,MATCH($A321,'Input Giocatori 2026_27'!$A$3:$A$493,0)),"")</f>
        <v>4</v>
      </c>
      <c r="O321" s="27" t="n">
        <f aca="false">IFERROR(INDEX('Input Giocatori 2026_27'!$G$3:$G$493,MATCH($A321,'Input Giocatori 2026_27'!$A$3:$A$493,0)),"")</f>
        <v>10</v>
      </c>
      <c r="P321" s="26" t="str">
        <f aca="false">IFERROR(IF($O321="","",IF((1-(COUNTIFS($B$2:$B$492,$B321,$O$2:$O$492,"&gt;"&amp;$O321)+1-1)/COUNTIF($B$2:$B$492,$B321))&gt;=0.85,"Top",IF((1-(COUNTIFS($B$2:$B$492,$B321,$O$2:$O$492,"&gt;"&amp;$O321)+1-1)/COUNTIF($B$2:$B$492,$B321))&gt;=0.6,"Buono",IF((1-(COUNTIFS($B$2:$B$492,$B321,$O$2:$O$492,"&gt;"&amp;$O321)+1-1)/COUNTIF($B$2:$B$492,$B321))&gt;=0.3,"Nella Media","Scommessa/Riserva")))),"")</f>
        <v>Scommessa/Riserva</v>
      </c>
      <c r="Q321" s="29" t="n">
        <f aca="false">IF($D321="",COUNTIF($D$2:$D321,""),"")</f>
        <v>320</v>
      </c>
      <c r="R321" s="29" t="str">
        <f aca="false">IF($D321='Info Lega'!$B$28,COUNTIFS($D$2:$D321,'Info Lega'!$B$28),"")</f>
        <v/>
      </c>
      <c r="S321" s="30" t="n">
        <f aca="false">IFERROR(INDEX('Input Statistiche 2025_26'!$G$3:$G$665,MATCH($A321,'Input Statistiche 2025_26'!$A$3:$A$665,0)),"")</f>
        <v>6.04</v>
      </c>
      <c r="T321" s="30" t="n">
        <f aca="false">IFERROR(INDEX('Input Statistiche 2025_26'!$H$3:$H$665,MATCH($A321,'Input Statistiche 2025_26'!$A$3:$A$665,0)),"")</f>
        <v>6.21</v>
      </c>
      <c r="U321" s="26" t="str">
        <f aca="false">IF(OR('La Mia Rosa'!$O$12="",$D321&lt;&gt;""),"",IF($F321&lt;='La Mia Rosa'!$O$12*'Parametri Modello'!$B$24,"OK",IF($F321&lt;='La Mia Rosa'!$O$12*'Parametri Modello'!$B$25,"Attenzione","Rischio Alto")))</f>
        <v>OK</v>
      </c>
      <c r="V321" s="26" t="n">
        <f aca="false">IFERROR(COUNTIFS($B$2:$B$492,$B321,$O$2:$O$492,"&gt;"&amp;$O321)+1,"")</f>
        <v>124</v>
      </c>
      <c r="W321" s="21" t="n">
        <f aca="false">'Info Lega'!$B$4-SUMIFS($M$2:$M$492,$D$2:$D$492,'Info Lega'!$B$28)</f>
        <v>1000</v>
      </c>
      <c r="X321" s="21" t="n">
        <f aca="false">('Info Lega'!$B$5-COUNTIFS($D$2:$D$492,'Info Lega'!$B$28,$B$2:$B$492,"P"))+('Info Lega'!$B$6-COUNTIFS($D$2:$D$492,'Info Lega'!$B$28,$B$2:$B$492,"D"))+('Info Lega'!$B$7-COUNTIFS($D$2:$D$492,'Info Lega'!$B$28,$B$2:$B$492,"C"))+('Info Lega'!$B$8-COUNTIFS($D$2:$D$492,'Info Lega'!$B$28,$B$2:$B$492,"A"))</f>
        <v>25</v>
      </c>
      <c r="Y321" s="21" t="n">
        <f aca="false">X321*'Parametri Modello'!$B$30</f>
        <v>25</v>
      </c>
      <c r="Z321" s="21" t="n">
        <f aca="false">MAX(0,W321-Y321)</f>
        <v>975</v>
      </c>
      <c r="AA321" s="21" t="n">
        <f aca="false">MIN(F321,Z321)</f>
        <v>5</v>
      </c>
      <c r="AB321" s="21"/>
      <c r="AC321" s="21" t="str">
        <f aca="false">IF(AB321="","",IF(AB321&gt;AA321,"PASS",IF(AB321&lt;=AA321*0.85,"BID","ATTENZIONE")))</f>
        <v/>
      </c>
      <c r="AD321" s="31" t="n">
        <f aca="false">IF(I321="","",ROUND(100*(1-EXP(-I321/30)),0))</f>
        <v>58</v>
      </c>
      <c r="AE321" s="7" t="str">
        <f aca="false">IFERROR(INDEX('Stato Asta'!$G$9:$G$12,MATCH($B321,'Stato Asta'!$A$9:$A$12,0)),"")</f>
        <v>🟡 Attesa rischiosa</v>
      </c>
    </row>
    <row r="322" customFormat="false" ht="14.25" hidden="false" customHeight="true" outlineLevel="0" collapsed="false">
      <c r="A322" s="21" t="n">
        <v>6005</v>
      </c>
      <c r="B322" s="21" t="s">
        <v>45</v>
      </c>
      <c r="C322" s="21" t="s">
        <v>490</v>
      </c>
      <c r="E322" s="26" t="str">
        <f aca="false">IF(COUNTIF('Info Strategia'!$D$2:$D$51,$C322)&gt;0,"SI","NO")</f>
        <v>NO</v>
      </c>
      <c r="F322" s="27" t="n">
        <f aca="false">IFERROR(ROUND(($G322+($H322-$G322)*'Info Strategia'!$B$6)*(1+IF($E322="SI",'Parametri Modello'!$B$7*'Info Strategia'!$B$6,0)),0),"")</f>
        <v>5</v>
      </c>
      <c r="G322" s="27" t="n">
        <f aca="false">IFERROR(ROUND((IF(OR(INDEX('Parametri Modello'!$C$39:$C$42,MATCH($B322,'Parametri Modello'!$A$39:$A$42,0))="",INDEX('Parametri Modello'!$C$39:$C$42,MATCH($B322,'Parametri Modello'!$A$39:$A$42,0))=0),0,($O322/INDEX('Parametri Modello'!$C$39:$C$42,MATCH($B322,'Parametri Modello'!$A$39:$A$42,0)))*(INDEX('Parametri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4</v>
      </c>
      <c r="H322" s="27" t="n">
        <f aca="false">IFERROR(ROUND((IF(OR(INDEX('Parametri Modello'!$C$39:$C$42,MATCH($B322,'Parametri Modello'!$A$39:$A$42,0))="",INDEX('Parametri Modello'!$C$39:$C$42,MATCH($B322,'Parametri Modello'!$A$39:$A$42,0))=0),0,($O322/INDEX('Parametri Modello'!$C$39:$C$42,MATCH($B322,'Parametri Modello'!$A$39:$A$42,0)))*(INDEX('Parametri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6</v>
      </c>
      <c r="I322" s="26" t="n">
        <f aca="false">IFERROR(INDEX('Input Statistiche 2025_26'!$F$3:$F$665,MATCH($A322,'Input Statistiche 2025_26'!$A$3:$A$665,0)),"")</f>
        <v>17</v>
      </c>
      <c r="J322" s="26" t="n">
        <f aca="false">IFERROR(IF($I322="","",MAX(0,38-$I322)),"")</f>
        <v>21</v>
      </c>
      <c r="K322" s="26" t="n">
        <f aca="false">IFERROR(INDEX('Input Statistiche 2025_26'!$I$3:$I$665,MATCH($A322,'Input Statistiche 2025_26'!$A$3:$A$665,0)),"")</f>
        <v>1</v>
      </c>
      <c r="L322" s="26" t="n">
        <f aca="false">IFERROR(INDEX('Input Statistiche 2025_26'!$O$3:$O$665,MATCH($A322,'Input Statistiche 2025_26'!$A$3:$A$665,0)),"")</f>
        <v>2</v>
      </c>
      <c r="M322" s="28"/>
      <c r="N322" s="27" t="n">
        <f aca="false">IFERROR(INDEX('Input Giocatori 2026_27'!$E$3:$E$493,MATCH($A322,'Input Giocatori 2026_27'!$A$3:$A$493,0)),"")</f>
        <v>4</v>
      </c>
      <c r="O322" s="27" t="n">
        <f aca="false">IFERROR(INDEX('Input Giocatori 2026_27'!$G$3:$G$493,MATCH($A322,'Input Giocatori 2026_27'!$A$3:$A$493,0)),"")</f>
        <v>10</v>
      </c>
      <c r="P322" s="26" t="str">
        <f aca="false">IFERROR(IF($O322="","",IF((1-(COUNTIFS($B$2:$B$492,$B322,$O$2:$O$492,"&gt;"&amp;$O322)+1-1)/COUNTIF($B$2:$B$492,$B322))&gt;=0.85,"Top",IF((1-(COUNTIFS($B$2:$B$492,$B322,$O$2:$O$492,"&gt;"&amp;$O322)+1-1)/COUNTIF($B$2:$B$492,$B322))&gt;=0.6,"Buono",IF((1-(COUNTIFS($B$2:$B$492,$B322,$O$2:$O$492,"&gt;"&amp;$O322)+1-1)/COUNTIF($B$2:$B$492,$B322))&gt;=0.3,"Nella Media","Scommessa/Riserva")))),"")</f>
        <v>Scommessa/Riserva</v>
      </c>
      <c r="Q322" s="29" t="n">
        <f aca="false">IF($D322="",COUNTIF($D$2:$D322,""),"")</f>
        <v>321</v>
      </c>
      <c r="R322" s="29" t="str">
        <f aca="false">IF($D322='Info Lega'!$B$28,COUNTIFS($D$2:$D322,'Info Lega'!$B$28),"")</f>
        <v/>
      </c>
      <c r="S322" s="30" t="n">
        <f aca="false">IFERROR(INDEX('Input Statistiche 2025_26'!$G$3:$G$665,MATCH($A322,'Input Statistiche 2025_26'!$A$3:$A$665,0)),"")</f>
        <v>5.82</v>
      </c>
      <c r="T322" s="30" t="n">
        <f aca="false">IFERROR(INDEX('Input Statistiche 2025_26'!$H$3:$H$665,MATCH($A322,'Input Statistiche 2025_26'!$A$3:$A$665,0)),"")</f>
        <v>6</v>
      </c>
      <c r="U322" s="26" t="str">
        <f aca="false">IF(OR('La Mia Rosa'!$O$12="",$D322&lt;&gt;""),"",IF($F322&lt;='La Mia Rosa'!$O$12*'Parametri Modello'!$B$24,"OK",IF($F322&lt;='La Mia Rosa'!$O$12*'Parametri Modello'!$B$25,"Attenzione","Rischio Alto")))</f>
        <v>OK</v>
      </c>
      <c r="V322" s="26" t="n">
        <f aca="false">IFERROR(COUNTIFS($B$2:$B$492,$B322,$O$2:$O$492,"&gt;"&amp;$O322)+1,"")</f>
        <v>124</v>
      </c>
      <c r="W322" s="21" t="n">
        <f aca="false">'Info Lega'!$B$4-SUMIFS($M$2:$M$492,$D$2:$D$492,'Info Lega'!$B$28)</f>
        <v>1000</v>
      </c>
      <c r="X322" s="21" t="n">
        <f aca="false">('Info Lega'!$B$5-COUNTIFS($D$2:$D$492,'Info Lega'!$B$28,$B$2:$B$492,"P"))+('Info Lega'!$B$6-COUNTIFS($D$2:$D$492,'Info Lega'!$B$28,$B$2:$B$492,"D"))+('Info Lega'!$B$7-COUNTIFS($D$2:$D$492,'Info Lega'!$B$28,$B$2:$B$492,"C"))+('Info Lega'!$B$8-COUNTIFS($D$2:$D$492,'Info Lega'!$B$28,$B$2:$B$492,"A"))</f>
        <v>25</v>
      </c>
      <c r="Y322" s="21" t="n">
        <f aca="false">X322*'Parametri Modello'!$B$30</f>
        <v>25</v>
      </c>
      <c r="Z322" s="21" t="n">
        <f aca="false">MAX(0,W322-Y322)</f>
        <v>975</v>
      </c>
      <c r="AA322" s="21" t="n">
        <f aca="false">MIN(F322,Z322)</f>
        <v>5</v>
      </c>
      <c r="AB322" s="21"/>
      <c r="AC322" s="21" t="str">
        <f aca="false">IF(AB322="","",IF(AB322&gt;AA322,"PASS",IF(AB322&lt;=AA322*0.85,"BID","ATTENZIONE")))</f>
        <v/>
      </c>
      <c r="AD322" s="31" t="n">
        <f aca="false">IF(I322="","",ROUND(100*(1-EXP(-I322/30)),0))</f>
        <v>43</v>
      </c>
      <c r="AE322" s="7" t="str">
        <f aca="false">IFERROR(INDEX('Stato Asta'!$G$9:$G$12,MATCH($B322,'Stato Asta'!$A$9:$A$12,0)),"")</f>
        <v>🟡 Attesa rischiosa</v>
      </c>
    </row>
    <row r="323" customFormat="false" ht="14.25" hidden="false" customHeight="true" outlineLevel="0" collapsed="false">
      <c r="A323" s="21" t="n">
        <v>6503</v>
      </c>
      <c r="B323" s="21" t="s">
        <v>45</v>
      </c>
      <c r="C323" s="21" t="s">
        <v>499</v>
      </c>
      <c r="E323" s="26" t="str">
        <f aca="false">IF(COUNTIF('Info Strategia'!$D$2:$D$51,$C323)&gt;0,"SI","NO")</f>
        <v>NO</v>
      </c>
      <c r="F323" s="27" t="n">
        <f aca="false">IFERROR(ROUND(($G323+($H323-$G323)*'Info Strategia'!$B$6)*(1+IF($E323="SI",'Parametri Modello'!$B$7*'Info Strategia'!$B$6,0)),0),"")</f>
        <v>5</v>
      </c>
      <c r="G323" s="27" t="n">
        <f aca="false">IFERROR(ROUND((IF(OR(INDEX('Parametri Modello'!$C$39:$C$42,MATCH($B323,'Parametri Modello'!$A$39:$A$42,0))="",INDEX('Parametri Modello'!$C$39:$C$42,MATCH($B323,'Parametri Modello'!$A$39:$A$42,0))=0),0,($O323/INDEX('Parametri Modello'!$C$39:$C$42,MATCH($B323,'Parametri Modello'!$A$39:$A$42,0)))*(INDEX('Parametri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4</v>
      </c>
      <c r="H323" s="27" t="n">
        <f aca="false">IFERROR(ROUND((IF(OR(INDEX('Parametri Modello'!$C$39:$C$42,MATCH($B323,'Parametri Modello'!$A$39:$A$42,0))="",INDEX('Parametri Modello'!$C$39:$C$42,MATCH($B323,'Parametri Modello'!$A$39:$A$42,0))=0),0,($O323/INDEX('Parametri Modello'!$C$39:$C$42,MATCH($B323,'Parametri Modello'!$A$39:$A$42,0)))*(INDEX('Parametri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6</v>
      </c>
      <c r="I323" s="26" t="str">
        <f aca="false">IFERROR(INDEX('Input Statistiche 2025_26'!$F$3:$F$665,MATCH($A323,'Input Statistiche 2025_26'!$A$3:$A$665,0)),"")</f>
        <v/>
      </c>
      <c r="J323" s="26" t="str">
        <f aca="false">IFERROR(IF($I323="","",MAX(0,38-$I323)),"")</f>
        <v/>
      </c>
      <c r="K323" s="26" t="str">
        <f aca="false">IFERROR(INDEX('Input Statistiche 2025_26'!$I$3:$I$665,MATCH($A323,'Input Statistiche 2025_26'!$A$3:$A$665,0)),"")</f>
        <v/>
      </c>
      <c r="L323" s="26" t="str">
        <f aca="false">IFERROR(INDEX('Input Statistiche 2025_26'!$O$3:$O$665,MATCH($A323,'Input Statistiche 2025_26'!$A$3:$A$665,0)),"")</f>
        <v/>
      </c>
      <c r="M323" s="28"/>
      <c r="N323" s="27" t="n">
        <f aca="false">IFERROR(INDEX('Input Giocatori 2026_27'!$E$3:$E$493,MATCH($A323,'Input Giocatori 2026_27'!$A$3:$A$493,0)),"")</f>
        <v>3</v>
      </c>
      <c r="O323" s="27" t="n">
        <f aca="false">IFERROR(INDEX('Input Giocatori 2026_27'!$G$3:$G$493,MATCH($A323,'Input Giocatori 2026_27'!$A$3:$A$493,0)),"")</f>
        <v>10</v>
      </c>
      <c r="P323" s="26" t="str">
        <f aca="false">IFERROR(IF($O323="","",IF((1-(COUNTIFS($B$2:$B$492,$B323,$O$2:$O$492,"&gt;"&amp;$O323)+1-1)/COUNTIF($B$2:$B$492,$B323))&gt;=0.85,"Top",IF((1-(COUNTIFS($B$2:$B$492,$B323,$O$2:$O$492,"&gt;"&amp;$O323)+1-1)/COUNTIF($B$2:$B$492,$B323))&gt;=0.6,"Buono",IF((1-(COUNTIFS($B$2:$B$492,$B323,$O$2:$O$492,"&gt;"&amp;$O323)+1-1)/COUNTIF($B$2:$B$492,$B323))&gt;=0.3,"Nella Media","Scommessa/Riserva")))),"")</f>
        <v>Scommessa/Riserva</v>
      </c>
      <c r="Q323" s="29" t="n">
        <f aca="false">IF($D323="",COUNTIF($D$2:$D323,""),"")</f>
        <v>322</v>
      </c>
      <c r="R323" s="29" t="str">
        <f aca="false">IF($D323='Info Lega'!$B$28,COUNTIFS($D$2:$D323,'Info Lega'!$B$28),"")</f>
        <v/>
      </c>
      <c r="S323" s="30" t="str">
        <f aca="false">IFERROR(INDEX('Input Statistiche 2025_26'!$G$3:$G$665,MATCH($A323,'Input Statistiche 2025_26'!$A$3:$A$665,0)),"")</f>
        <v/>
      </c>
      <c r="T323" s="30" t="str">
        <f aca="false">IFERROR(INDEX('Input Statistiche 2025_26'!$H$3:$H$665,MATCH($A323,'Input Statistiche 2025_26'!$A$3:$A$665,0)),"")</f>
        <v/>
      </c>
      <c r="U323" s="26" t="str">
        <f aca="false">IF(OR('La Mia Rosa'!$O$12="",$D323&lt;&gt;""),"",IF($F323&lt;='La Mia Rosa'!$O$12*'Parametri Modello'!$B$24,"OK",IF($F323&lt;='La Mia Rosa'!$O$12*'Parametri Modello'!$B$25,"Attenzione","Rischio Alto")))</f>
        <v>OK</v>
      </c>
      <c r="V323" s="26" t="n">
        <f aca="false">IFERROR(COUNTIFS($B$2:$B$492,$B323,$O$2:$O$492,"&gt;"&amp;$O323)+1,"")</f>
        <v>124</v>
      </c>
      <c r="W323" s="21" t="n">
        <f aca="false">'Info Lega'!$B$4-SUMIFS($M$2:$M$492,$D$2:$D$492,'Info Lega'!$B$28)</f>
        <v>1000</v>
      </c>
      <c r="X323" s="21" t="n">
        <f aca="false">('Info Lega'!$B$5-COUNTIFS($D$2:$D$492,'Info Lega'!$B$28,$B$2:$B$492,"P"))+('Info Lega'!$B$6-COUNTIFS($D$2:$D$492,'Info Lega'!$B$28,$B$2:$B$492,"D"))+('Info Lega'!$B$7-COUNTIFS($D$2:$D$492,'Info Lega'!$B$28,$B$2:$B$492,"C"))+('Info Lega'!$B$8-COUNTIFS($D$2:$D$492,'Info Lega'!$B$28,$B$2:$B$492,"A"))</f>
        <v>25</v>
      </c>
      <c r="Y323" s="21" t="n">
        <f aca="false">X323*'Parametri Modello'!$B$30</f>
        <v>25</v>
      </c>
      <c r="Z323" s="21" t="n">
        <f aca="false">MAX(0,W323-Y323)</f>
        <v>975</v>
      </c>
      <c r="AA323" s="21" t="n">
        <f aca="false">MIN(F323,Z323)</f>
        <v>5</v>
      </c>
      <c r="AB323" s="21"/>
      <c r="AC323" s="21" t="str">
        <f aca="false">IF(AB323="","",IF(AB323&gt;AA323,"PASS",IF(AB323&lt;=AA323*0.85,"BID","ATTENZIONE")))</f>
        <v/>
      </c>
      <c r="AD323" s="31" t="str">
        <f aca="false">IF(I323="","",ROUND(100*(1-EXP(-I323/30)),0))</f>
        <v/>
      </c>
      <c r="AE323" s="7" t="str">
        <f aca="false">IFERROR(INDEX('Stato Asta'!$G$9:$G$12,MATCH($B323,'Stato Asta'!$A$9:$A$12,0)),"")</f>
        <v>🟡 Attesa rischiosa</v>
      </c>
    </row>
    <row r="324" customFormat="false" ht="14.25" hidden="false" customHeight="true" outlineLevel="0" collapsed="false">
      <c r="A324" s="21" t="n">
        <v>313</v>
      </c>
      <c r="B324" s="21" t="s">
        <v>46</v>
      </c>
      <c r="C324" s="21" t="s">
        <v>600</v>
      </c>
      <c r="E324" s="26" t="str">
        <f aca="false">IF(COUNTIF('Info Strategia'!$D$2:$D$51,$C324)&gt;0,"SI","NO")</f>
        <v>NO</v>
      </c>
      <c r="F324" s="27" t="n">
        <f aca="false">IFERROR(ROUND(($G324+($H324-$G324)*'Info Strategia'!$B$6)*(1+IF($E324="SI",'Parametri Modello'!$B$7*'Info Strategia'!$B$6,0)),0),"")</f>
        <v>9</v>
      </c>
      <c r="G324" s="27" t="n">
        <f aca="false">IFERROR(ROUND((IF(OR(INDEX('Parametri Modello'!$C$39:$C$42,MATCH($B324,'Parametri Modello'!$A$39:$A$42,0))="",INDEX('Parametri Modello'!$C$39:$C$42,MATCH($B324,'Parametri Modello'!$A$39:$A$42,0))=0),0,($O324/INDEX('Parametri Modello'!$C$39:$C$42,MATCH($B324,'Parametri Modello'!$A$39:$A$42,0)))*(INDEX('Parametri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5</v>
      </c>
      <c r="H324" s="27" t="n">
        <f aca="false">IFERROR(ROUND((IF(OR(INDEX('Parametri Modello'!$C$39:$C$42,MATCH($B324,'Parametri Modello'!$A$39:$A$42,0))="",INDEX('Parametri Modello'!$C$39:$C$42,MATCH($B324,'Parametri Modello'!$A$39:$A$42,0))=0),0,($O324/INDEX('Parametri Modello'!$C$39:$C$42,MATCH($B324,'Parametri Modello'!$A$39:$A$42,0)))*(INDEX('Parametri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10</v>
      </c>
      <c r="I324" s="26" t="n">
        <f aca="false">IFERROR(INDEX('Input Statistiche 2025_26'!$F$3:$F$665,MATCH($A324,'Input Statistiche 2025_26'!$A$3:$A$665,0)),"")</f>
        <v>17</v>
      </c>
      <c r="J324" s="26" t="n">
        <f aca="false">IFERROR(IF($I324="","",MAX(0,38-$I324)),"")</f>
        <v>21</v>
      </c>
      <c r="K324" s="26" t="n">
        <f aca="false">IFERROR(INDEX('Input Statistiche 2025_26'!$I$3:$I$665,MATCH($A324,'Input Statistiche 2025_26'!$A$3:$A$665,0)),"")</f>
        <v>0</v>
      </c>
      <c r="L324" s="26" t="n">
        <f aca="false">IFERROR(INDEX('Input Statistiche 2025_26'!$O$3:$O$665,MATCH($A324,'Input Statistiche 2025_26'!$A$3:$A$665,0)),"")</f>
        <v>0</v>
      </c>
      <c r="M324" s="28"/>
      <c r="N324" s="27" t="n">
        <f aca="false">IFERROR(INDEX('Input Giocatori 2026_27'!$E$3:$E$493,MATCH($A324,'Input Giocatori 2026_27'!$A$3:$A$493,0)),"")</f>
        <v>4</v>
      </c>
      <c r="O324" s="27" t="n">
        <f aca="false">IFERROR(INDEX('Input Giocatori 2026_27'!$G$3:$G$493,MATCH($A324,'Input Giocatori 2026_27'!$A$3:$A$493,0)),"")</f>
        <v>10</v>
      </c>
      <c r="P324" s="26" t="str">
        <f aca="false">IFERROR(IF($O324="","",IF((1-(COUNTIFS($B$2:$B$492,$B324,$O$2:$O$492,"&gt;"&amp;$O324)+1-1)/COUNTIF($B$2:$B$492,$B324))&gt;=0.85,"Top",IF((1-(COUNTIFS($B$2:$B$492,$B324,$O$2:$O$492,"&gt;"&amp;$O324)+1-1)/COUNTIF($B$2:$B$492,$B324))&gt;=0.6,"Buono",IF((1-(COUNTIFS($B$2:$B$492,$B324,$O$2:$O$492,"&gt;"&amp;$O324)+1-1)/COUNTIF($B$2:$B$492,$B324))&gt;=0.3,"Nella Media","Scommessa/Riserva")))),"")</f>
        <v>Scommessa/Riserva</v>
      </c>
      <c r="Q324" s="29" t="n">
        <f aca="false">IF($D324="",COUNTIF($D$2:$D324,""),"")</f>
        <v>323</v>
      </c>
      <c r="R324" s="29" t="str">
        <f aca="false">IF($D324='Info Lega'!$B$28,COUNTIFS($D$2:$D324,'Info Lega'!$B$28),"")</f>
        <v/>
      </c>
      <c r="S324" s="30" t="n">
        <f aca="false">IFERROR(INDEX('Input Statistiche 2025_26'!$G$3:$G$665,MATCH($A324,'Input Statistiche 2025_26'!$A$3:$A$665,0)),"")</f>
        <v>5.5</v>
      </c>
      <c r="T324" s="30" t="n">
        <f aca="false">IFERROR(INDEX('Input Statistiche 2025_26'!$H$3:$H$665,MATCH($A324,'Input Statistiche 2025_26'!$A$3:$A$665,0)),"")</f>
        <v>5.21</v>
      </c>
      <c r="U324" s="26" t="str">
        <f aca="false">IF(OR('La Mia Rosa'!$O$12="",$D324&lt;&gt;""),"",IF($F324&lt;='La Mia Rosa'!$O$12*'Parametri Modello'!$B$24,"OK",IF($F324&lt;='La Mia Rosa'!$O$12*'Parametri Modello'!$B$25,"Attenzione","Rischio Alto")))</f>
        <v>OK</v>
      </c>
      <c r="V324" s="26" t="n">
        <f aca="false">IFERROR(COUNTIFS($B$2:$B$492,$B324,$O$2:$O$492,"&gt;"&amp;$O324)+1,"")</f>
        <v>63</v>
      </c>
      <c r="W324" s="21" t="n">
        <f aca="false">'Info Lega'!$B$4-SUMIFS($M$2:$M$492,$D$2:$D$492,'Info Lega'!$B$28)</f>
        <v>1000</v>
      </c>
      <c r="X324" s="21" t="n">
        <f aca="false">('Info Lega'!$B$5-COUNTIFS($D$2:$D$492,'Info Lega'!$B$28,$B$2:$B$492,"P"))+('Info Lega'!$B$6-COUNTIFS($D$2:$D$492,'Info Lega'!$B$28,$B$2:$B$492,"D"))+('Info Lega'!$B$7-COUNTIFS($D$2:$D$492,'Info Lega'!$B$28,$B$2:$B$492,"C"))+('Info Lega'!$B$8-COUNTIFS($D$2:$D$492,'Info Lega'!$B$28,$B$2:$B$492,"A"))</f>
        <v>25</v>
      </c>
      <c r="Y324" s="21" t="n">
        <f aca="false">X324*'Parametri Modello'!$B$30</f>
        <v>25</v>
      </c>
      <c r="Z324" s="21" t="n">
        <f aca="false">MAX(0,W324-Y324)</f>
        <v>975</v>
      </c>
      <c r="AA324" s="21" t="n">
        <f aca="false">MIN(F324,Z324)</f>
        <v>9</v>
      </c>
      <c r="AB324" s="21"/>
      <c r="AC324" s="21" t="str">
        <f aca="false">IF(AB324="","",IF(AB324&gt;AA324,"PASS",IF(AB324&lt;=AA324*0.85,"BID","ATTENZIONE")))</f>
        <v/>
      </c>
      <c r="AD324" s="31" t="n">
        <f aca="false">IF(I324="","",ROUND(100*(1-EXP(-I324/30)),0))</f>
        <v>43</v>
      </c>
      <c r="AE324" s="7" t="str">
        <f aca="false">IFERROR(INDEX('Stato Asta'!$G$9:$G$12,MATCH($B324,'Stato Asta'!$A$9:$A$12,0)),"")</f>
        <v>🔴 Non aspettare</v>
      </c>
    </row>
    <row r="325" customFormat="false" ht="14.25" hidden="false" customHeight="true" outlineLevel="0" collapsed="false">
      <c r="A325" s="21" t="n">
        <v>7162</v>
      </c>
      <c r="B325" s="21" t="s">
        <v>46</v>
      </c>
      <c r="C325" s="21" t="s">
        <v>603</v>
      </c>
      <c r="E325" s="26" t="str">
        <f aca="false">IF(COUNTIF('Info Strategia'!$D$2:$D$51,$C325)&gt;0,"SI","NO")</f>
        <v>NO</v>
      </c>
      <c r="F325" s="27" t="n">
        <f aca="false">IFERROR(ROUND(($G325+($H325-$G325)*'Info Strategia'!$B$6)*(1+IF($E325="SI",'Parametri Modello'!$B$7*'Info Strategia'!$B$6,0)),0),"")</f>
        <v>9</v>
      </c>
      <c r="G325" s="27" t="n">
        <f aca="false">IFERROR(ROUND((IF(OR(INDEX('Parametri Modello'!$C$39:$C$42,MATCH($B325,'Parametri Modello'!$A$39:$A$42,0))="",INDEX('Parametri Modello'!$C$39:$C$42,MATCH($B325,'Parametri Modello'!$A$39:$A$42,0))=0),0,($O325/INDEX('Parametri Modello'!$C$39:$C$42,MATCH($B325,'Parametri Modello'!$A$39:$A$42,0)))*(INDEX('Parametri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6</v>
      </c>
      <c r="H325" s="27" t="n">
        <f aca="false">IFERROR(ROUND((IF(OR(INDEX('Parametri Modello'!$C$39:$C$42,MATCH($B325,'Parametri Modello'!$A$39:$A$42,0))="",INDEX('Parametri Modello'!$C$39:$C$42,MATCH($B325,'Parametri Modello'!$A$39:$A$42,0))=0),0,($O325/INDEX('Parametri Modello'!$C$39:$C$42,MATCH($B325,'Parametri Modello'!$A$39:$A$42,0)))*(INDEX('Parametri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10</v>
      </c>
      <c r="I325" s="26" t="n">
        <f aca="false">IFERROR(INDEX('Input Statistiche 2025_26'!$F$3:$F$665,MATCH($A325,'Input Statistiche 2025_26'!$A$3:$A$665,0)),"")</f>
        <v>31</v>
      </c>
      <c r="J325" s="26" t="n">
        <f aca="false">IFERROR(IF($I325="","",MAX(0,38-$I325)),"")</f>
        <v>7</v>
      </c>
      <c r="K325" s="26" t="n">
        <f aca="false">IFERROR(INDEX('Input Statistiche 2025_26'!$I$3:$I$665,MATCH($A325,'Input Statistiche 2025_26'!$A$3:$A$665,0)),"")</f>
        <v>3</v>
      </c>
      <c r="L325" s="26" t="n">
        <f aca="false">IFERROR(INDEX('Input Statistiche 2025_26'!$O$3:$O$665,MATCH($A325,'Input Statistiche 2025_26'!$A$3:$A$665,0)),"")</f>
        <v>6</v>
      </c>
      <c r="M325" s="28"/>
      <c r="N325" s="27" t="n">
        <f aca="false">IFERROR(INDEX('Input Giocatori 2026_27'!$E$3:$E$493,MATCH($A325,'Input Giocatori 2026_27'!$A$3:$A$493,0)),"")</f>
        <v>4</v>
      </c>
      <c r="O325" s="27" t="n">
        <f aca="false">IFERROR(INDEX('Input Giocatori 2026_27'!$G$3:$G$493,MATCH($A325,'Input Giocatori 2026_27'!$A$3:$A$493,0)),"")</f>
        <v>10</v>
      </c>
      <c r="P325" s="26" t="str">
        <f aca="false">IFERROR(IF($O325="","",IF((1-(COUNTIFS($B$2:$B$492,$B325,$O$2:$O$492,"&gt;"&amp;$O325)+1-1)/COUNTIF($B$2:$B$492,$B325))&gt;=0.85,"Top",IF((1-(COUNTIFS($B$2:$B$492,$B325,$O$2:$O$492,"&gt;"&amp;$O325)+1-1)/COUNTIF($B$2:$B$492,$B325))&gt;=0.6,"Buono",IF((1-(COUNTIFS($B$2:$B$492,$B325,$O$2:$O$492,"&gt;"&amp;$O325)+1-1)/COUNTIF($B$2:$B$492,$B325))&gt;=0.3,"Nella Media","Scommessa/Riserva")))),"")</f>
        <v>Scommessa/Riserva</v>
      </c>
      <c r="Q325" s="29" t="n">
        <f aca="false">IF($D325="",COUNTIF($D$2:$D325,""),"")</f>
        <v>324</v>
      </c>
      <c r="R325" s="29" t="str">
        <f aca="false">IF($D325='Info Lega'!$B$28,COUNTIFS($D$2:$D325,'Info Lega'!$B$28),"")</f>
        <v/>
      </c>
      <c r="S325" s="30" t="n">
        <f aca="false">IFERROR(INDEX('Input Statistiche 2025_26'!$G$3:$G$665,MATCH($A325,'Input Statistiche 2025_26'!$A$3:$A$665,0)),"")</f>
        <v>6</v>
      </c>
      <c r="T325" s="30" t="n">
        <f aca="false">IFERROR(INDEX('Input Statistiche 2025_26'!$H$3:$H$665,MATCH($A325,'Input Statistiche 2025_26'!$A$3:$A$665,0)),"")</f>
        <v>6.45</v>
      </c>
      <c r="U325" s="26" t="str">
        <f aca="false">IF(OR('La Mia Rosa'!$O$12="",$D325&lt;&gt;""),"",IF($F325&lt;='La Mia Rosa'!$O$12*'Parametri Modello'!$B$24,"OK",IF($F325&lt;='La Mia Rosa'!$O$12*'Parametri Modello'!$B$25,"Attenzione","Rischio Alto")))</f>
        <v>OK</v>
      </c>
      <c r="V325" s="26" t="n">
        <f aca="false">IFERROR(COUNTIFS($B$2:$B$492,$B325,$O$2:$O$492,"&gt;"&amp;$O325)+1,"")</f>
        <v>63</v>
      </c>
      <c r="W325" s="21" t="n">
        <f aca="false">'Info Lega'!$B$4-SUMIFS($M$2:$M$492,$D$2:$D$492,'Info Lega'!$B$28)</f>
        <v>1000</v>
      </c>
      <c r="X325" s="21" t="n">
        <f aca="false">('Info Lega'!$B$5-COUNTIFS($D$2:$D$492,'Info Lega'!$B$28,$B$2:$B$492,"P"))+('Info Lega'!$B$6-COUNTIFS($D$2:$D$492,'Info Lega'!$B$28,$B$2:$B$492,"D"))+('Info Lega'!$B$7-COUNTIFS($D$2:$D$492,'Info Lega'!$B$28,$B$2:$B$492,"C"))+('Info Lega'!$B$8-COUNTIFS($D$2:$D$492,'Info Lega'!$B$28,$B$2:$B$492,"A"))</f>
        <v>25</v>
      </c>
      <c r="Y325" s="21" t="n">
        <f aca="false">X325*'Parametri Modello'!$B$30</f>
        <v>25</v>
      </c>
      <c r="Z325" s="21" t="n">
        <f aca="false">MAX(0,W325-Y325)</f>
        <v>975</v>
      </c>
      <c r="AA325" s="21" t="n">
        <f aca="false">MIN(F325,Z325)</f>
        <v>9</v>
      </c>
      <c r="AB325" s="21"/>
      <c r="AC325" s="21" t="str">
        <f aca="false">IF(AB325="","",IF(AB325&gt;AA325,"PASS",IF(AB325&lt;=AA325*0.85,"BID","ATTENZIONE")))</f>
        <v/>
      </c>
      <c r="AD325" s="31" t="n">
        <f aca="false">IF(I325="","",ROUND(100*(1-EXP(-I325/30)),0))</f>
        <v>64</v>
      </c>
      <c r="AE325" s="7" t="str">
        <f aca="false">IFERROR(INDEX('Stato Asta'!$G$9:$G$12,MATCH($B325,'Stato Asta'!$A$9:$A$12,0)),"")</f>
        <v>🔴 Non aspettare</v>
      </c>
    </row>
    <row r="326" customFormat="false" ht="14.25" hidden="false" customHeight="true" outlineLevel="0" collapsed="false">
      <c r="A326" s="21" t="n">
        <v>6822</v>
      </c>
      <c r="B326" s="21" t="s">
        <v>46</v>
      </c>
      <c r="C326" s="21" t="s">
        <v>607</v>
      </c>
      <c r="E326" s="26" t="str">
        <f aca="false">IF(COUNTIF('Info Strategia'!$D$2:$D$51,$C326)&gt;0,"SI","NO")</f>
        <v>NO</v>
      </c>
      <c r="F326" s="27" t="n">
        <f aca="false">IFERROR(ROUND(($G326+($H326-$G326)*'Info Strategia'!$B$6)*(1+IF($E326="SI",'Parametri Modello'!$B$7*'Info Strategia'!$B$6,0)),0),"")</f>
        <v>9</v>
      </c>
      <c r="G326" s="27" t="n">
        <f aca="false">IFERROR(ROUND((IF(OR(INDEX('Parametri Modello'!$C$39:$C$42,MATCH($B326,'Parametri Modello'!$A$39:$A$42,0))="",INDEX('Parametri Modello'!$C$39:$C$42,MATCH($B326,'Parametri Modello'!$A$39:$A$42,0))=0),0,($O326/INDEX('Parametri Modello'!$C$39:$C$42,MATCH($B326,'Parametri Modello'!$A$39:$A$42,0)))*(INDEX('Parametri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5</v>
      </c>
      <c r="H326" s="27" t="n">
        <f aca="false">IFERROR(ROUND((IF(OR(INDEX('Parametri Modello'!$C$39:$C$42,MATCH($B326,'Parametri Modello'!$A$39:$A$42,0))="",INDEX('Parametri Modello'!$C$39:$C$42,MATCH($B326,'Parametri Modello'!$A$39:$A$42,0))=0),0,($O326/INDEX('Parametri Modello'!$C$39:$C$42,MATCH($B326,'Parametri Modello'!$A$39:$A$42,0)))*(INDEX('Parametri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10</v>
      </c>
      <c r="I326" s="26" t="n">
        <f aca="false">IFERROR(INDEX('Input Statistiche 2025_26'!$F$3:$F$665,MATCH($A326,'Input Statistiche 2025_26'!$A$3:$A$665,0)),"")</f>
        <v>25</v>
      </c>
      <c r="J326" s="26" t="n">
        <f aca="false">IFERROR(IF($I326="","",MAX(0,38-$I326)),"")</f>
        <v>13</v>
      </c>
      <c r="K326" s="26" t="n">
        <f aca="false">IFERROR(INDEX('Input Statistiche 2025_26'!$I$3:$I$665,MATCH($A326,'Input Statistiche 2025_26'!$A$3:$A$665,0)),"")</f>
        <v>3</v>
      </c>
      <c r="L326" s="26" t="n">
        <f aca="false">IFERROR(INDEX('Input Statistiche 2025_26'!$O$3:$O$665,MATCH($A326,'Input Statistiche 2025_26'!$A$3:$A$665,0)),"")</f>
        <v>0</v>
      </c>
      <c r="M326" s="28"/>
      <c r="N326" s="27" t="n">
        <f aca="false">IFERROR(INDEX('Input Giocatori 2026_27'!$E$3:$E$493,MATCH($A326,'Input Giocatori 2026_27'!$A$3:$A$493,0)),"")</f>
        <v>3</v>
      </c>
      <c r="O326" s="27" t="n">
        <f aca="false">IFERROR(INDEX('Input Giocatori 2026_27'!$G$3:$G$493,MATCH($A326,'Input Giocatori 2026_27'!$A$3:$A$493,0)),"")</f>
        <v>10</v>
      </c>
      <c r="P326" s="26" t="str">
        <f aca="false">IFERROR(IF($O326="","",IF((1-(COUNTIFS($B$2:$B$492,$B326,$O$2:$O$492,"&gt;"&amp;$O326)+1-1)/COUNTIF($B$2:$B$492,$B326))&gt;=0.85,"Top",IF((1-(COUNTIFS($B$2:$B$492,$B326,$O$2:$O$492,"&gt;"&amp;$O326)+1-1)/COUNTIF($B$2:$B$492,$B326))&gt;=0.6,"Buono",IF((1-(COUNTIFS($B$2:$B$492,$B326,$O$2:$O$492,"&gt;"&amp;$O326)+1-1)/COUNTIF($B$2:$B$492,$B326))&gt;=0.3,"Nella Media","Scommessa/Riserva")))),"")</f>
        <v>Scommessa/Riserva</v>
      </c>
      <c r="Q326" s="29" t="n">
        <f aca="false">IF($D326="",COUNTIF($D$2:$D326,""),"")</f>
        <v>325</v>
      </c>
      <c r="R326" s="29" t="str">
        <f aca="false">IF($D326='Info Lega'!$B$28,COUNTIFS($D$2:$D326,'Info Lega'!$B$28),"")</f>
        <v/>
      </c>
      <c r="S326" s="30" t="n">
        <f aca="false">IFERROR(INDEX('Input Statistiche 2025_26'!$G$3:$G$665,MATCH($A326,'Input Statistiche 2025_26'!$A$3:$A$665,0)),"")</f>
        <v>5.96</v>
      </c>
      <c r="T326" s="30" t="n">
        <f aca="false">IFERROR(INDEX('Input Statistiche 2025_26'!$H$3:$H$665,MATCH($A326,'Input Statistiche 2025_26'!$A$3:$A$665,0)),"")</f>
        <v>6.28</v>
      </c>
      <c r="U326" s="26" t="str">
        <f aca="false">IF(OR('La Mia Rosa'!$O$12="",$D326&lt;&gt;""),"",IF($F326&lt;='La Mia Rosa'!$O$12*'Parametri Modello'!$B$24,"OK",IF($F326&lt;='La Mia Rosa'!$O$12*'Parametri Modello'!$B$25,"Attenzione","Rischio Alto")))</f>
        <v>OK</v>
      </c>
      <c r="V326" s="26" t="n">
        <f aca="false">IFERROR(COUNTIFS($B$2:$B$492,$B326,$O$2:$O$492,"&gt;"&amp;$O326)+1,"")</f>
        <v>63</v>
      </c>
      <c r="W326" s="21" t="n">
        <f aca="false">'Info Lega'!$B$4-SUMIFS($M$2:$M$492,$D$2:$D$492,'Info Lega'!$B$28)</f>
        <v>1000</v>
      </c>
      <c r="X326" s="21" t="n">
        <f aca="false">('Info Lega'!$B$5-COUNTIFS($D$2:$D$492,'Info Lega'!$B$28,$B$2:$B$492,"P"))+('Info Lega'!$B$6-COUNTIFS($D$2:$D$492,'Info Lega'!$B$28,$B$2:$B$492,"D"))+('Info Lega'!$B$7-COUNTIFS($D$2:$D$492,'Info Lega'!$B$28,$B$2:$B$492,"C"))+('Info Lega'!$B$8-COUNTIFS($D$2:$D$492,'Info Lega'!$B$28,$B$2:$B$492,"A"))</f>
        <v>25</v>
      </c>
      <c r="Y326" s="21" t="n">
        <f aca="false">X326*'Parametri Modello'!$B$30</f>
        <v>25</v>
      </c>
      <c r="Z326" s="21" t="n">
        <f aca="false">MAX(0,W326-Y326)</f>
        <v>975</v>
      </c>
      <c r="AA326" s="21" t="n">
        <f aca="false">MIN(F326,Z326)</f>
        <v>9</v>
      </c>
      <c r="AB326" s="21"/>
      <c r="AC326" s="21" t="str">
        <f aca="false">IF(AB326="","",IF(AB326&gt;AA326,"PASS",IF(AB326&lt;=AA326*0.85,"BID","ATTENZIONE")))</f>
        <v/>
      </c>
      <c r="AD326" s="31" t="n">
        <f aca="false">IF(I326="","",ROUND(100*(1-EXP(-I326/30)),0))</f>
        <v>57</v>
      </c>
      <c r="AE326" s="7" t="str">
        <f aca="false">IFERROR(INDEX('Stato Asta'!$G$9:$G$12,MATCH($B326,'Stato Asta'!$A$9:$A$12,0)),"")</f>
        <v>🔴 Non aspettare</v>
      </c>
    </row>
    <row r="327" customFormat="false" ht="14.25" hidden="false" customHeight="true" outlineLevel="0" collapsed="false">
      <c r="A327" s="21" t="n">
        <v>7120</v>
      </c>
      <c r="B327" s="21" t="s">
        <v>46</v>
      </c>
      <c r="C327" s="21" t="s">
        <v>610</v>
      </c>
      <c r="E327" s="26" t="str">
        <f aca="false">IF(COUNTIF('Info Strategia'!$D$2:$D$51,$C327)&gt;0,"SI","NO")</f>
        <v>NO</v>
      </c>
      <c r="F327" s="27" t="n">
        <f aca="false">IFERROR(ROUND(($G327+($H327-$G327)*'Info Strategia'!$B$6)*(1+IF($E327="SI",'Parametri Modello'!$B$7*'Info Strategia'!$B$6,0)),0),"")</f>
        <v>9</v>
      </c>
      <c r="G327" s="27" t="n">
        <f aca="false">IFERROR(ROUND((IF(OR(INDEX('Parametri Modello'!$C$39:$C$42,MATCH($B327,'Parametri Modello'!$A$39:$A$42,0))="",INDEX('Parametri Modello'!$C$39:$C$42,MATCH($B327,'Parametri Modello'!$A$39:$A$42,0))=0),0,($O327/INDEX('Parametri Modello'!$C$39:$C$42,MATCH($B327,'Parametri Modello'!$A$39:$A$42,0)))*(INDEX('Parametri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5</v>
      </c>
      <c r="H327" s="27" t="n">
        <f aca="false">IFERROR(ROUND((IF(OR(INDEX('Parametri Modello'!$C$39:$C$42,MATCH($B327,'Parametri Modello'!$A$39:$A$42,0))="",INDEX('Parametri Modello'!$C$39:$C$42,MATCH($B327,'Parametri Modello'!$A$39:$A$42,0))=0),0,($O327/INDEX('Parametri Modello'!$C$39:$C$42,MATCH($B327,'Parametri Modello'!$A$39:$A$42,0)))*(INDEX('Parametri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10</v>
      </c>
      <c r="I327" s="26" t="n">
        <f aca="false">IFERROR(INDEX('Input Statistiche 2025_26'!$F$3:$F$665,MATCH($A327,'Input Statistiche 2025_26'!$A$3:$A$665,0)),"")</f>
        <v>14</v>
      </c>
      <c r="J327" s="26" t="n">
        <f aca="false">IFERROR(IF($I327="","",MAX(0,38-$I327)),"")</f>
        <v>24</v>
      </c>
      <c r="K327" s="26" t="n">
        <f aca="false">IFERROR(INDEX('Input Statistiche 2025_26'!$I$3:$I$665,MATCH($A327,'Input Statistiche 2025_26'!$A$3:$A$665,0)),"")</f>
        <v>1</v>
      </c>
      <c r="L327" s="26" t="n">
        <f aca="false">IFERROR(INDEX('Input Statistiche 2025_26'!$O$3:$O$665,MATCH($A327,'Input Statistiche 2025_26'!$A$3:$A$665,0)),"")</f>
        <v>2</v>
      </c>
      <c r="M327" s="28"/>
      <c r="N327" s="27" t="n">
        <f aca="false">IFERROR(INDEX('Input Giocatori 2026_27'!$E$3:$E$493,MATCH($A327,'Input Giocatori 2026_27'!$A$3:$A$493,0)),"")</f>
        <v>3</v>
      </c>
      <c r="O327" s="27" t="n">
        <f aca="false">IFERROR(INDEX('Input Giocatori 2026_27'!$G$3:$G$493,MATCH($A327,'Input Giocatori 2026_27'!$A$3:$A$493,0)),"")</f>
        <v>10</v>
      </c>
      <c r="P327" s="26" t="str">
        <f aca="false">IFERROR(IF($O327="","",IF((1-(COUNTIFS($B$2:$B$492,$B327,$O$2:$O$492,"&gt;"&amp;$O327)+1-1)/COUNTIF($B$2:$B$492,$B327))&gt;=0.85,"Top",IF((1-(COUNTIFS($B$2:$B$492,$B327,$O$2:$O$492,"&gt;"&amp;$O327)+1-1)/COUNTIF($B$2:$B$492,$B327))&gt;=0.6,"Buono",IF((1-(COUNTIFS($B$2:$B$492,$B327,$O$2:$O$492,"&gt;"&amp;$O327)+1-1)/COUNTIF($B$2:$B$492,$B327))&gt;=0.3,"Nella Media","Scommessa/Riserva")))),"")</f>
        <v>Scommessa/Riserva</v>
      </c>
      <c r="Q327" s="29" t="n">
        <f aca="false">IF($D327="",COUNTIF($D$2:$D327,""),"")</f>
        <v>326</v>
      </c>
      <c r="R327" s="29" t="str">
        <f aca="false">IF($D327='Info Lega'!$B$28,COUNTIFS($D$2:$D327,'Info Lega'!$B$28),"")</f>
        <v/>
      </c>
      <c r="S327" s="30" t="n">
        <f aca="false">IFERROR(INDEX('Input Statistiche 2025_26'!$G$3:$G$665,MATCH($A327,'Input Statistiche 2025_26'!$A$3:$A$665,0)),"")</f>
        <v>6.04</v>
      </c>
      <c r="T327" s="30" t="n">
        <f aca="false">IFERROR(INDEX('Input Statistiche 2025_26'!$H$3:$H$665,MATCH($A327,'Input Statistiche 2025_26'!$A$3:$A$665,0)),"")</f>
        <v>6.32</v>
      </c>
      <c r="U327" s="26" t="str">
        <f aca="false">IF(OR('La Mia Rosa'!$O$12="",$D327&lt;&gt;""),"",IF($F327&lt;='La Mia Rosa'!$O$12*'Parametri Modello'!$B$24,"OK",IF($F327&lt;='La Mia Rosa'!$O$12*'Parametri Modello'!$B$25,"Attenzione","Rischio Alto")))</f>
        <v>OK</v>
      </c>
      <c r="V327" s="26" t="n">
        <f aca="false">IFERROR(COUNTIFS($B$2:$B$492,$B327,$O$2:$O$492,"&gt;"&amp;$O327)+1,"")</f>
        <v>63</v>
      </c>
      <c r="W327" s="21" t="n">
        <f aca="false">'Info Lega'!$B$4-SUMIFS($M$2:$M$492,$D$2:$D$492,'Info Lega'!$B$28)</f>
        <v>1000</v>
      </c>
      <c r="X327" s="21" t="n">
        <f aca="false">('Info Lega'!$B$5-COUNTIFS($D$2:$D$492,'Info Lega'!$B$28,$B$2:$B$492,"P"))+('Info Lega'!$B$6-COUNTIFS($D$2:$D$492,'Info Lega'!$B$28,$B$2:$B$492,"D"))+('Info Lega'!$B$7-COUNTIFS($D$2:$D$492,'Info Lega'!$B$28,$B$2:$B$492,"C"))+('Info Lega'!$B$8-COUNTIFS($D$2:$D$492,'Info Lega'!$B$28,$B$2:$B$492,"A"))</f>
        <v>25</v>
      </c>
      <c r="Y327" s="21" t="n">
        <f aca="false">X327*'Parametri Modello'!$B$30</f>
        <v>25</v>
      </c>
      <c r="Z327" s="21" t="n">
        <f aca="false">MAX(0,W327-Y327)</f>
        <v>975</v>
      </c>
      <c r="AA327" s="21" t="n">
        <f aca="false">MIN(F327,Z327)</f>
        <v>9</v>
      </c>
      <c r="AB327" s="21"/>
      <c r="AC327" s="21" t="str">
        <f aca="false">IF(AB327="","",IF(AB327&gt;AA327,"PASS",IF(AB327&lt;=AA327*0.85,"BID","ATTENZIONE")))</f>
        <v/>
      </c>
      <c r="AD327" s="31" t="n">
        <f aca="false">IF(I327="","",ROUND(100*(1-EXP(-I327/30)),0))</f>
        <v>37</v>
      </c>
      <c r="AE327" s="7" t="str">
        <f aca="false">IFERROR(INDEX('Stato Asta'!$G$9:$G$12,MATCH($B327,'Stato Asta'!$A$9:$A$12,0)),"")</f>
        <v>🔴 Non aspettare</v>
      </c>
    </row>
    <row r="328" customFormat="false" ht="14.25" hidden="false" customHeight="true" outlineLevel="0" collapsed="false">
      <c r="A328" s="21" t="n">
        <v>6215</v>
      </c>
      <c r="B328" s="21" t="s">
        <v>46</v>
      </c>
      <c r="C328" s="21" t="s">
        <v>611</v>
      </c>
      <c r="E328" s="26" t="str">
        <f aca="false">IF(COUNTIF('Info Strategia'!$D$2:$D$51,$C328)&gt;0,"SI","NO")</f>
        <v>NO</v>
      </c>
      <c r="F328" s="27" t="n">
        <f aca="false">IFERROR(ROUND(($G328+($H328-$G328)*'Info Strategia'!$B$6)*(1+IF($E328="SI",'Parametri Modello'!$B$7*'Info Strategia'!$B$6,0)),0),"")</f>
        <v>9</v>
      </c>
      <c r="G328" s="27" t="n">
        <f aca="false">IFERROR(ROUND((IF(OR(INDEX('Parametri Modello'!$C$39:$C$42,MATCH($B328,'Parametri Modello'!$A$39:$A$42,0))="",INDEX('Parametri Modello'!$C$39:$C$42,MATCH($B328,'Parametri Modello'!$A$39:$A$42,0))=0),0,($O328/INDEX('Parametri Modello'!$C$39:$C$42,MATCH($B328,'Parametri Modello'!$A$39:$A$42,0)))*(INDEX('Parametri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5</v>
      </c>
      <c r="H328" s="27" t="n">
        <f aca="false">IFERROR(ROUND((IF(OR(INDEX('Parametri Modello'!$C$39:$C$42,MATCH($B328,'Parametri Modello'!$A$39:$A$42,0))="",INDEX('Parametri Modello'!$C$39:$C$42,MATCH($B328,'Parametri Modello'!$A$39:$A$42,0))=0),0,($O328/INDEX('Parametri Modello'!$C$39:$C$42,MATCH($B328,'Parametri Modello'!$A$39:$A$42,0)))*(INDEX('Parametri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10</v>
      </c>
      <c r="I328" s="26" t="n">
        <f aca="false">IFERROR(INDEX('Input Statistiche 2025_26'!$F$3:$F$665,MATCH($A328,'Input Statistiche 2025_26'!$A$3:$A$665,0)),"")</f>
        <v>9</v>
      </c>
      <c r="J328" s="26" t="n">
        <f aca="false">IFERROR(IF($I328="","",MAX(0,38-$I328)),"")</f>
        <v>29</v>
      </c>
      <c r="K328" s="26" t="n">
        <f aca="false">IFERROR(INDEX('Input Statistiche 2025_26'!$I$3:$I$665,MATCH($A328,'Input Statistiche 2025_26'!$A$3:$A$665,0)),"")</f>
        <v>1</v>
      </c>
      <c r="L328" s="26" t="n">
        <f aca="false">IFERROR(INDEX('Input Statistiche 2025_26'!$O$3:$O$665,MATCH($A328,'Input Statistiche 2025_26'!$A$3:$A$665,0)),"")</f>
        <v>0</v>
      </c>
      <c r="M328" s="28"/>
      <c r="N328" s="27" t="n">
        <f aca="false">IFERROR(INDEX('Input Giocatori 2026_27'!$E$3:$E$493,MATCH($A328,'Input Giocatori 2026_27'!$A$3:$A$493,0)),"")</f>
        <v>3</v>
      </c>
      <c r="O328" s="27" t="n">
        <f aca="false">IFERROR(INDEX('Input Giocatori 2026_27'!$G$3:$G$493,MATCH($A328,'Input Giocatori 2026_27'!$A$3:$A$493,0)),"")</f>
        <v>10</v>
      </c>
      <c r="P328" s="26" t="str">
        <f aca="false">IFERROR(IF($O328="","",IF((1-(COUNTIFS($B$2:$B$492,$B328,$O$2:$O$492,"&gt;"&amp;$O328)+1-1)/COUNTIF($B$2:$B$492,$B328))&gt;=0.85,"Top",IF((1-(COUNTIFS($B$2:$B$492,$B328,$O$2:$O$492,"&gt;"&amp;$O328)+1-1)/COUNTIF($B$2:$B$492,$B328))&gt;=0.6,"Buono",IF((1-(COUNTIFS($B$2:$B$492,$B328,$O$2:$O$492,"&gt;"&amp;$O328)+1-1)/COUNTIF($B$2:$B$492,$B328))&gt;=0.3,"Nella Media","Scommessa/Riserva")))),"")</f>
        <v>Scommessa/Riserva</v>
      </c>
      <c r="Q328" s="29" t="n">
        <f aca="false">IF($D328="",COUNTIF($D$2:$D328,""),"")</f>
        <v>327</v>
      </c>
      <c r="R328" s="29" t="str">
        <f aca="false">IF($D328='Info Lega'!$B$28,COUNTIFS($D$2:$D328,'Info Lega'!$B$28),"")</f>
        <v/>
      </c>
      <c r="S328" s="30" t="n">
        <f aca="false">IFERROR(INDEX('Input Statistiche 2025_26'!$G$3:$G$665,MATCH($A328,'Input Statistiche 2025_26'!$A$3:$A$665,0)),"")</f>
        <v>5.72</v>
      </c>
      <c r="T328" s="30" t="n">
        <f aca="false">IFERROR(INDEX('Input Statistiche 2025_26'!$H$3:$H$665,MATCH($A328,'Input Statistiche 2025_26'!$A$3:$A$665,0)),"")</f>
        <v>6</v>
      </c>
      <c r="U328" s="26" t="str">
        <f aca="false">IF(OR('La Mia Rosa'!$O$12="",$D328&lt;&gt;""),"",IF($F328&lt;='La Mia Rosa'!$O$12*'Parametri Modello'!$B$24,"OK",IF($F328&lt;='La Mia Rosa'!$O$12*'Parametri Modello'!$B$25,"Attenzione","Rischio Alto")))</f>
        <v>OK</v>
      </c>
      <c r="V328" s="26" t="n">
        <f aca="false">IFERROR(COUNTIFS($B$2:$B$492,$B328,$O$2:$O$492,"&gt;"&amp;$O328)+1,"")</f>
        <v>63</v>
      </c>
      <c r="W328" s="21" t="n">
        <f aca="false">'Info Lega'!$B$4-SUMIFS($M$2:$M$492,$D$2:$D$492,'Info Lega'!$B$28)</f>
        <v>1000</v>
      </c>
      <c r="X328" s="21" t="n">
        <f aca="false">('Info Lega'!$B$5-COUNTIFS($D$2:$D$492,'Info Lega'!$B$28,$B$2:$B$492,"P"))+('Info Lega'!$B$6-COUNTIFS($D$2:$D$492,'Info Lega'!$B$28,$B$2:$B$492,"D"))+('Info Lega'!$B$7-COUNTIFS($D$2:$D$492,'Info Lega'!$B$28,$B$2:$B$492,"C"))+('Info Lega'!$B$8-COUNTIFS($D$2:$D$492,'Info Lega'!$B$28,$B$2:$B$492,"A"))</f>
        <v>25</v>
      </c>
      <c r="Y328" s="21" t="n">
        <f aca="false">X328*'Parametri Modello'!$B$30</f>
        <v>25</v>
      </c>
      <c r="Z328" s="21" t="n">
        <f aca="false">MAX(0,W328-Y328)</f>
        <v>975</v>
      </c>
      <c r="AA328" s="21" t="n">
        <f aca="false">MIN(F328,Z328)</f>
        <v>9</v>
      </c>
      <c r="AB328" s="21"/>
      <c r="AC328" s="21" t="str">
        <f aca="false">IF(AB328="","",IF(AB328&gt;AA328,"PASS",IF(AB328&lt;=AA328*0.85,"BID","ATTENZIONE")))</f>
        <v/>
      </c>
      <c r="AD328" s="31" t="n">
        <f aca="false">IF(I328="","",ROUND(100*(1-EXP(-I328/30)),0))</f>
        <v>26</v>
      </c>
      <c r="AE328" s="7" t="str">
        <f aca="false">IFERROR(INDEX('Stato Asta'!$G$9:$G$12,MATCH($B328,'Stato Asta'!$A$9:$A$12,0)),"")</f>
        <v>🔴 Non aspettare</v>
      </c>
    </row>
    <row r="329" customFormat="false" ht="14.25" hidden="false" customHeight="true" outlineLevel="0" collapsed="false">
      <c r="A329" s="21" t="n">
        <v>4461</v>
      </c>
      <c r="B329" s="21" t="s">
        <v>44</v>
      </c>
      <c r="C329" s="21" t="s">
        <v>281</v>
      </c>
      <c r="E329" s="26" t="str">
        <f aca="false">IF(COUNTIF('Info Strategia'!$D$2:$D$51,$C329)&gt;0,"SI","NO")</f>
        <v>NO</v>
      </c>
      <c r="F329" s="27" t="n">
        <f aca="false">IFERROR(ROUND(($G329+($H329-$G329)*'Info Strategia'!$B$6)*(1+IF($E329="SI",'Parametri Modello'!$B$7*'Info Strategia'!$B$6,0)),0),"")</f>
        <v>4</v>
      </c>
      <c r="G329" s="27" t="n">
        <f aca="false">IFERROR(ROUND((IF(OR(INDEX('Parametri Modello'!$C$39:$C$42,MATCH($B329,'Parametri Modello'!$A$39:$A$42,0))="",INDEX('Parametri Modello'!$C$39:$C$42,MATCH($B329,'Parametri Modello'!$A$39:$A$42,0))=0),0,($O329/INDEX('Parametri Modello'!$C$39:$C$42,MATCH($B329,'Parametri Modello'!$A$39:$A$42,0)))*(INDEX('Parametri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3</v>
      </c>
      <c r="H329" s="27" t="n">
        <f aca="false">IFERROR(ROUND((IF(OR(INDEX('Parametri Modello'!$C$39:$C$42,MATCH($B329,'Parametri Modello'!$A$39:$A$42,0))="",INDEX('Parametri Modello'!$C$39:$C$42,MATCH($B329,'Parametri Modello'!$A$39:$A$42,0))=0),0,($O329/INDEX('Parametri Modello'!$C$39:$C$42,MATCH($B329,'Parametri Modello'!$A$39:$A$42,0)))*(INDEX('Parametri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5</v>
      </c>
      <c r="I329" s="26" t="n">
        <f aca="false">IFERROR(INDEX('Input Statistiche 2025_26'!$F$3:$F$665,MATCH($A329,'Input Statistiche 2025_26'!$A$3:$A$665,0)),"")</f>
        <v>25</v>
      </c>
      <c r="J329" s="26" t="n">
        <f aca="false">IFERROR(IF($I329="","",MAX(0,38-$I329)),"")</f>
        <v>13</v>
      </c>
      <c r="K329" s="26" t="n">
        <f aca="false">IFERROR(INDEX('Input Statistiche 2025_26'!$I$3:$I$665,MATCH($A329,'Input Statistiche 2025_26'!$A$3:$A$665,0)),"")</f>
        <v>0</v>
      </c>
      <c r="L329" s="26" t="n">
        <f aca="false">IFERROR(INDEX('Input Statistiche 2025_26'!$O$3:$O$665,MATCH($A329,'Input Statistiche 2025_26'!$A$3:$A$665,0)),"")</f>
        <v>3</v>
      </c>
      <c r="M329" s="28"/>
      <c r="N329" s="27" t="n">
        <f aca="false">IFERROR(INDEX('Input Giocatori 2026_27'!$E$3:$E$493,MATCH($A329,'Input Giocatori 2026_27'!$A$3:$A$493,0)),"")</f>
        <v>4</v>
      </c>
      <c r="O329" s="27" t="n">
        <f aca="false">IFERROR(INDEX('Input Giocatori 2026_27'!$G$3:$G$493,MATCH($A329,'Input Giocatori 2026_27'!$A$3:$A$493,0)),"")</f>
        <v>9</v>
      </c>
      <c r="P329" s="26" t="str">
        <f aca="false">IFERROR(IF($O329="","",IF((1-(COUNTIFS($B$2:$B$492,$B329,$O$2:$O$492,"&gt;"&amp;$O329)+1-1)/COUNTIF($B$2:$B$492,$B329))&gt;=0.85,"Top",IF((1-(COUNTIFS($B$2:$B$492,$B329,$O$2:$O$492,"&gt;"&amp;$O329)+1-1)/COUNTIF($B$2:$B$492,$B329))&gt;=0.6,"Buono",IF((1-(COUNTIFS($B$2:$B$492,$B329,$O$2:$O$492,"&gt;"&amp;$O329)+1-1)/COUNTIF($B$2:$B$492,$B329))&gt;=0.3,"Nella Media","Scommessa/Riserva")))),"")</f>
        <v>Nella Media</v>
      </c>
      <c r="Q329" s="29" t="n">
        <f aca="false">IF($D329="",COUNTIF($D$2:$D329,""),"")</f>
        <v>328</v>
      </c>
      <c r="R329" s="29" t="str">
        <f aca="false">IF($D329='Info Lega'!$B$28,COUNTIFS($D$2:$D329,'Info Lega'!$B$28),"")</f>
        <v/>
      </c>
      <c r="S329" s="30" t="n">
        <f aca="false">IFERROR(INDEX('Input Statistiche 2025_26'!$G$3:$G$665,MATCH($A329,'Input Statistiche 2025_26'!$A$3:$A$665,0)),"")</f>
        <v>5.9</v>
      </c>
      <c r="T329" s="30" t="n">
        <f aca="false">IFERROR(INDEX('Input Statistiche 2025_26'!$H$3:$H$665,MATCH($A329,'Input Statistiche 2025_26'!$A$3:$A$665,0)),"")</f>
        <v>5.98</v>
      </c>
      <c r="U329" s="26" t="str">
        <f aca="false">IF(OR('La Mia Rosa'!$O$12="",$D329&lt;&gt;""),"",IF($F329&lt;='La Mia Rosa'!$O$12*'Parametri Modello'!$B$24,"OK",IF($F329&lt;='La Mia Rosa'!$O$12*'Parametri Modello'!$B$25,"Attenzione","Rischio Alto")))</f>
        <v>OK</v>
      </c>
      <c r="V329" s="26" t="n">
        <f aca="false">IFERROR(COUNTIFS($B$2:$B$492,$B329,$O$2:$O$492,"&gt;"&amp;$O329)+1,"")</f>
        <v>112</v>
      </c>
      <c r="W329" s="21" t="n">
        <f aca="false">'Info Lega'!$B$4-SUMIFS($M$2:$M$492,$D$2:$D$492,'Info Lega'!$B$28)</f>
        <v>1000</v>
      </c>
      <c r="X329" s="21" t="n">
        <f aca="false">('Info Lega'!$B$5-COUNTIFS($D$2:$D$492,'Info Lega'!$B$28,$B$2:$B$492,"P"))+('Info Lega'!$B$6-COUNTIFS($D$2:$D$492,'Info Lega'!$B$28,$B$2:$B$492,"D"))+('Info Lega'!$B$7-COUNTIFS($D$2:$D$492,'Info Lega'!$B$28,$B$2:$B$492,"C"))+('Info Lega'!$B$8-COUNTIFS($D$2:$D$492,'Info Lega'!$B$28,$B$2:$B$492,"A"))</f>
        <v>25</v>
      </c>
      <c r="Y329" s="21" t="n">
        <f aca="false">X329*'Parametri Modello'!$B$30</f>
        <v>25</v>
      </c>
      <c r="Z329" s="21" t="n">
        <f aca="false">MAX(0,W329-Y329)</f>
        <v>975</v>
      </c>
      <c r="AA329" s="21" t="n">
        <f aca="false">MIN(F329,Z329)</f>
        <v>4</v>
      </c>
      <c r="AB329" s="21"/>
      <c r="AC329" s="21" t="str">
        <f aca="false">IF(AB329="","",IF(AB329&gt;AA329,"PASS",IF(AB329&lt;=AA329*0.85,"BID","ATTENZIONE")))</f>
        <v/>
      </c>
      <c r="AD329" s="31" t="n">
        <f aca="false">IF(I329="","",ROUND(100*(1-EXP(-I329/30)),0))</f>
        <v>57</v>
      </c>
      <c r="AE329" s="7" t="str">
        <f aca="false">IFERROR(INDEX('Stato Asta'!$G$9:$G$12,MATCH($B329,'Stato Asta'!$A$9:$A$12,0)),"")</f>
        <v>🟡 Attesa rischiosa</v>
      </c>
    </row>
    <row r="330" customFormat="false" ht="14.25" hidden="false" customHeight="true" outlineLevel="0" collapsed="false">
      <c r="A330" s="21" t="n">
        <v>7537</v>
      </c>
      <c r="B330" s="21" t="s">
        <v>44</v>
      </c>
      <c r="C330" s="21" t="s">
        <v>285</v>
      </c>
      <c r="E330" s="26" t="str">
        <f aca="false">IF(COUNTIF('Info Strategia'!$D$2:$D$51,$C330)&gt;0,"SI","NO")</f>
        <v>NO</v>
      </c>
      <c r="F330" s="27" t="n">
        <f aca="false">IFERROR(ROUND(($G330+($H330-$G330)*'Info Strategia'!$B$6)*(1+IF($E330="SI",'Parametri Modello'!$B$7*'Info Strategia'!$B$6,0)),0),"")</f>
        <v>4</v>
      </c>
      <c r="G330" s="27" t="n">
        <f aca="false">IFERROR(ROUND((IF(OR(INDEX('Parametri Modello'!$C$39:$C$42,MATCH($B330,'Parametri Modello'!$A$39:$A$42,0))="",INDEX('Parametri Modello'!$C$39:$C$42,MATCH($B330,'Parametri Modello'!$A$39:$A$42,0))=0),0,($O330/INDEX('Parametri Modello'!$C$39:$C$42,MATCH($B330,'Parametri Modello'!$A$39:$A$42,0)))*(INDEX('Parametri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3</v>
      </c>
      <c r="H330" s="27" t="n">
        <f aca="false">IFERROR(ROUND((IF(OR(INDEX('Parametri Modello'!$C$39:$C$42,MATCH($B330,'Parametri Modello'!$A$39:$A$42,0))="",INDEX('Parametri Modello'!$C$39:$C$42,MATCH($B330,'Parametri Modello'!$A$39:$A$42,0))=0),0,($O330/INDEX('Parametri Modello'!$C$39:$C$42,MATCH($B330,'Parametri Modello'!$A$39:$A$42,0)))*(INDEX('Parametri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5</v>
      </c>
      <c r="I330" s="26" t="str">
        <f aca="false">IFERROR(INDEX('Input Statistiche 2025_26'!$F$3:$F$665,MATCH($A330,'Input Statistiche 2025_26'!$A$3:$A$665,0)),"")</f>
        <v/>
      </c>
      <c r="J330" s="26" t="str">
        <f aca="false">IFERROR(IF($I330="","",MAX(0,38-$I330)),"")</f>
        <v/>
      </c>
      <c r="K330" s="26" t="str">
        <f aca="false">IFERROR(INDEX('Input Statistiche 2025_26'!$I$3:$I$665,MATCH($A330,'Input Statistiche 2025_26'!$A$3:$A$665,0)),"")</f>
        <v/>
      </c>
      <c r="L330" s="26" t="str">
        <f aca="false">IFERROR(INDEX('Input Statistiche 2025_26'!$O$3:$O$665,MATCH($A330,'Input Statistiche 2025_26'!$A$3:$A$665,0)),"")</f>
        <v/>
      </c>
      <c r="M330" s="28"/>
      <c r="N330" s="27" t="n">
        <f aca="false">IFERROR(INDEX('Input Giocatori 2026_27'!$E$3:$E$493,MATCH($A330,'Input Giocatori 2026_27'!$A$3:$A$493,0)),"")</f>
        <v>4</v>
      </c>
      <c r="O330" s="27" t="n">
        <f aca="false">IFERROR(INDEX('Input Giocatori 2026_27'!$G$3:$G$493,MATCH($A330,'Input Giocatori 2026_27'!$A$3:$A$493,0)),"")</f>
        <v>9</v>
      </c>
      <c r="P330" s="26" t="str">
        <f aca="false">IFERROR(IF($O330="","",IF((1-(COUNTIFS($B$2:$B$492,$B330,$O$2:$O$492,"&gt;"&amp;$O330)+1-1)/COUNTIF($B$2:$B$492,$B330))&gt;=0.85,"Top",IF((1-(COUNTIFS($B$2:$B$492,$B330,$O$2:$O$492,"&gt;"&amp;$O330)+1-1)/COUNTIF($B$2:$B$492,$B330))&gt;=0.6,"Buono",IF((1-(COUNTIFS($B$2:$B$492,$B330,$O$2:$O$492,"&gt;"&amp;$O330)+1-1)/COUNTIF($B$2:$B$492,$B330))&gt;=0.3,"Nella Media","Scommessa/Riserva")))),"")</f>
        <v>Nella Media</v>
      </c>
      <c r="Q330" s="29" t="n">
        <f aca="false">IF($D330="",COUNTIF($D$2:$D330,""),"")</f>
        <v>329</v>
      </c>
      <c r="R330" s="29" t="str">
        <f aca="false">IF($D330='Info Lega'!$B$28,COUNTIFS($D$2:$D330,'Info Lega'!$B$28),"")</f>
        <v/>
      </c>
      <c r="S330" s="30" t="str">
        <f aca="false">IFERROR(INDEX('Input Statistiche 2025_26'!$G$3:$G$665,MATCH($A330,'Input Statistiche 2025_26'!$A$3:$A$665,0)),"")</f>
        <v/>
      </c>
      <c r="T330" s="30" t="str">
        <f aca="false">IFERROR(INDEX('Input Statistiche 2025_26'!$H$3:$H$665,MATCH($A330,'Input Statistiche 2025_26'!$A$3:$A$665,0)),"")</f>
        <v/>
      </c>
      <c r="U330" s="26" t="str">
        <f aca="false">IF(OR('La Mia Rosa'!$O$12="",$D330&lt;&gt;""),"",IF($F330&lt;='La Mia Rosa'!$O$12*'Parametri Modello'!$B$24,"OK",IF($F330&lt;='La Mia Rosa'!$O$12*'Parametri Modello'!$B$25,"Attenzione","Rischio Alto")))</f>
        <v>OK</v>
      </c>
      <c r="V330" s="26" t="n">
        <f aca="false">IFERROR(COUNTIFS($B$2:$B$492,$B330,$O$2:$O$492,"&gt;"&amp;$O330)+1,"")</f>
        <v>112</v>
      </c>
      <c r="W330" s="21" t="n">
        <f aca="false">'Info Lega'!$B$4-SUMIFS($M$2:$M$492,$D$2:$D$492,'Info Lega'!$B$28)</f>
        <v>1000</v>
      </c>
      <c r="X330" s="21" t="n">
        <f aca="false">('Info Lega'!$B$5-COUNTIFS($D$2:$D$492,'Info Lega'!$B$28,$B$2:$B$492,"P"))+('Info Lega'!$B$6-COUNTIFS($D$2:$D$492,'Info Lega'!$B$28,$B$2:$B$492,"D"))+('Info Lega'!$B$7-COUNTIFS($D$2:$D$492,'Info Lega'!$B$28,$B$2:$B$492,"C"))+('Info Lega'!$B$8-COUNTIFS($D$2:$D$492,'Info Lega'!$B$28,$B$2:$B$492,"A"))</f>
        <v>25</v>
      </c>
      <c r="Y330" s="21" t="n">
        <f aca="false">X330*'Parametri Modello'!$B$30</f>
        <v>25</v>
      </c>
      <c r="Z330" s="21" t="n">
        <f aca="false">MAX(0,W330-Y330)</f>
        <v>975</v>
      </c>
      <c r="AA330" s="21" t="n">
        <f aca="false">MIN(F330,Z330)</f>
        <v>4</v>
      </c>
      <c r="AB330" s="21"/>
      <c r="AC330" s="21" t="str">
        <f aca="false">IF(AB330="","",IF(AB330&gt;AA330,"PASS",IF(AB330&lt;=AA330*0.85,"BID","ATTENZIONE")))</f>
        <v/>
      </c>
      <c r="AD330" s="31" t="str">
        <f aca="false">IF(I330="","",ROUND(100*(1-EXP(-I330/30)),0))</f>
        <v/>
      </c>
      <c r="AE330" s="7" t="str">
        <f aca="false">IFERROR(INDEX('Stato Asta'!$G$9:$G$12,MATCH($B330,'Stato Asta'!$A$9:$A$12,0)),"")</f>
        <v>🟡 Attesa rischiosa</v>
      </c>
    </row>
    <row r="331" customFormat="false" ht="14.25" hidden="false" customHeight="true" outlineLevel="0" collapsed="false">
      <c r="A331" s="21" t="n">
        <v>4263</v>
      </c>
      <c r="B331" s="21" t="s">
        <v>44</v>
      </c>
      <c r="C331" s="21" t="s">
        <v>296</v>
      </c>
      <c r="E331" s="26" t="str">
        <f aca="false">IF(COUNTIF('Info Strategia'!$D$2:$D$51,$C331)&gt;0,"SI","NO")</f>
        <v>NO</v>
      </c>
      <c r="F331" s="27" t="n">
        <f aca="false">IFERROR(ROUND(($G331+($H331-$G331)*'Info Strategia'!$B$6)*(1+IF($E331="SI",'Parametri Modello'!$B$7*'Info Strategia'!$B$6,0)),0),"")</f>
        <v>4</v>
      </c>
      <c r="G331" s="27" t="n">
        <f aca="false">IFERROR(ROUND((IF(OR(INDEX('Parametri Modello'!$C$39:$C$42,MATCH($B331,'Parametri Modello'!$A$39:$A$42,0))="",INDEX('Parametri Modello'!$C$39:$C$42,MATCH($B331,'Parametri Modello'!$A$39:$A$42,0))=0),0,($O331/INDEX('Parametri Modello'!$C$39:$C$42,MATCH($B331,'Parametri Modello'!$A$39:$A$42,0)))*(INDEX('Parametri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3</v>
      </c>
      <c r="H331" s="27" t="n">
        <f aca="false">IFERROR(ROUND((IF(OR(INDEX('Parametri Modello'!$C$39:$C$42,MATCH($B331,'Parametri Modello'!$A$39:$A$42,0))="",INDEX('Parametri Modello'!$C$39:$C$42,MATCH($B331,'Parametri Modello'!$A$39:$A$42,0))=0),0,($O331/INDEX('Parametri Modello'!$C$39:$C$42,MATCH($B331,'Parametri Modello'!$A$39:$A$42,0)))*(INDEX('Parametri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5</v>
      </c>
      <c r="I331" s="26" t="n">
        <f aca="false">IFERROR(INDEX('Input Statistiche 2025_26'!$F$3:$F$665,MATCH($A331,'Input Statistiche 2025_26'!$A$3:$A$665,0)),"")</f>
        <v>28</v>
      </c>
      <c r="J331" s="26" t="n">
        <f aca="false">IFERROR(IF($I331="","",MAX(0,38-$I331)),"")</f>
        <v>10</v>
      </c>
      <c r="K331" s="26" t="n">
        <f aca="false">IFERROR(INDEX('Input Statistiche 2025_26'!$I$3:$I$665,MATCH($A331,'Input Statistiche 2025_26'!$A$3:$A$665,0)),"")</f>
        <v>3</v>
      </c>
      <c r="L331" s="26" t="n">
        <f aca="false">IFERROR(INDEX('Input Statistiche 2025_26'!$O$3:$O$665,MATCH($A331,'Input Statistiche 2025_26'!$A$3:$A$665,0)),"")</f>
        <v>0</v>
      </c>
      <c r="M331" s="28"/>
      <c r="N331" s="27" t="n">
        <f aca="false">IFERROR(INDEX('Input Giocatori 2026_27'!$E$3:$E$493,MATCH($A331,'Input Giocatori 2026_27'!$A$3:$A$493,0)),"")</f>
        <v>4</v>
      </c>
      <c r="O331" s="27" t="n">
        <f aca="false">IFERROR(INDEX('Input Giocatori 2026_27'!$G$3:$G$493,MATCH($A331,'Input Giocatori 2026_27'!$A$3:$A$493,0)),"")</f>
        <v>9</v>
      </c>
      <c r="P331" s="26" t="str">
        <f aca="false">IFERROR(IF($O331="","",IF((1-(COUNTIFS($B$2:$B$492,$B331,$O$2:$O$492,"&gt;"&amp;$O331)+1-1)/COUNTIF($B$2:$B$492,$B331))&gt;=0.85,"Top",IF((1-(COUNTIFS($B$2:$B$492,$B331,$O$2:$O$492,"&gt;"&amp;$O331)+1-1)/COUNTIF($B$2:$B$492,$B331))&gt;=0.6,"Buono",IF((1-(COUNTIFS($B$2:$B$492,$B331,$O$2:$O$492,"&gt;"&amp;$O331)+1-1)/COUNTIF($B$2:$B$492,$B331))&gt;=0.3,"Nella Media","Scommessa/Riserva")))),"")</f>
        <v>Nella Media</v>
      </c>
      <c r="Q331" s="29" t="n">
        <f aca="false">IF($D331="",COUNTIF($D$2:$D331,""),"")</f>
        <v>330</v>
      </c>
      <c r="R331" s="29" t="str">
        <f aca="false">IF($D331='Info Lega'!$B$28,COUNTIFS($D$2:$D331,'Info Lega'!$B$28),"")</f>
        <v/>
      </c>
      <c r="S331" s="30" t="n">
        <f aca="false">IFERROR(INDEX('Input Statistiche 2025_26'!$G$3:$G$665,MATCH($A331,'Input Statistiche 2025_26'!$A$3:$A$665,0)),"")</f>
        <v>5.98</v>
      </c>
      <c r="T331" s="30" t="n">
        <f aca="false">IFERROR(INDEX('Input Statistiche 2025_26'!$H$3:$H$665,MATCH($A331,'Input Statistiche 2025_26'!$A$3:$A$665,0)),"")</f>
        <v>6.18</v>
      </c>
      <c r="U331" s="26" t="str">
        <f aca="false">IF(OR('La Mia Rosa'!$O$12="",$D331&lt;&gt;""),"",IF($F331&lt;='La Mia Rosa'!$O$12*'Parametri Modello'!$B$24,"OK",IF($F331&lt;='La Mia Rosa'!$O$12*'Parametri Modello'!$B$25,"Attenzione","Rischio Alto")))</f>
        <v>OK</v>
      </c>
      <c r="V331" s="26" t="n">
        <f aca="false">IFERROR(COUNTIFS($B$2:$B$492,$B331,$O$2:$O$492,"&gt;"&amp;$O331)+1,"")</f>
        <v>112</v>
      </c>
      <c r="W331" s="21" t="n">
        <f aca="false">'Info Lega'!$B$4-SUMIFS($M$2:$M$492,$D$2:$D$492,'Info Lega'!$B$28)</f>
        <v>1000</v>
      </c>
      <c r="X331" s="21" t="n">
        <f aca="false">('Info Lega'!$B$5-COUNTIFS($D$2:$D$492,'Info Lega'!$B$28,$B$2:$B$492,"P"))+('Info Lega'!$B$6-COUNTIFS($D$2:$D$492,'Info Lega'!$B$28,$B$2:$B$492,"D"))+('Info Lega'!$B$7-COUNTIFS($D$2:$D$492,'Info Lega'!$B$28,$B$2:$B$492,"C"))+('Info Lega'!$B$8-COUNTIFS($D$2:$D$492,'Info Lega'!$B$28,$B$2:$B$492,"A"))</f>
        <v>25</v>
      </c>
      <c r="Y331" s="21" t="n">
        <f aca="false">X331*'Parametri Modello'!$B$30</f>
        <v>25</v>
      </c>
      <c r="Z331" s="21" t="n">
        <f aca="false">MAX(0,W331-Y331)</f>
        <v>975</v>
      </c>
      <c r="AA331" s="21" t="n">
        <f aca="false">MIN(F331,Z331)</f>
        <v>4</v>
      </c>
      <c r="AB331" s="21"/>
      <c r="AC331" s="21" t="str">
        <f aca="false">IF(AB331="","",IF(AB331&gt;AA331,"PASS",IF(AB331&lt;=AA331*0.85,"BID","ATTENZIONE")))</f>
        <v/>
      </c>
      <c r="AD331" s="31" t="n">
        <f aca="false">IF(I331="","",ROUND(100*(1-EXP(-I331/30)),0))</f>
        <v>61</v>
      </c>
      <c r="AE331" s="7" t="str">
        <f aca="false">IFERROR(INDEX('Stato Asta'!$G$9:$G$12,MATCH($B331,'Stato Asta'!$A$9:$A$12,0)),"")</f>
        <v>🟡 Attesa rischiosa</v>
      </c>
    </row>
    <row r="332" customFormat="false" ht="14.25" hidden="false" customHeight="true" outlineLevel="0" collapsed="false">
      <c r="A332" s="21" t="n">
        <v>5273</v>
      </c>
      <c r="B332" s="21" t="s">
        <v>44</v>
      </c>
      <c r="C332" s="21" t="s">
        <v>314</v>
      </c>
      <c r="E332" s="26" t="str">
        <f aca="false">IF(COUNTIF('Info Strategia'!$D$2:$D$51,$C332)&gt;0,"SI","NO")</f>
        <v>NO</v>
      </c>
      <c r="F332" s="27" t="n">
        <f aca="false">IFERROR(ROUND(($G332+($H332-$G332)*'Info Strategia'!$B$6)*(1+IF($E332="SI",'Parametri Modello'!$B$7*'Info Strategia'!$B$6,0)),0),"")</f>
        <v>4</v>
      </c>
      <c r="G332" s="27" t="n">
        <f aca="false">IFERROR(ROUND((IF(OR(INDEX('Parametri Modello'!$C$39:$C$42,MATCH($B332,'Parametri Modello'!$A$39:$A$42,0))="",INDEX('Parametri Modello'!$C$39:$C$42,MATCH($B332,'Parametri Modello'!$A$39:$A$42,0))=0),0,($O332/INDEX('Parametri Modello'!$C$39:$C$42,MATCH($B332,'Parametri Modello'!$A$39:$A$42,0)))*(INDEX('Parametri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3</v>
      </c>
      <c r="H332" s="27" t="n">
        <f aca="false">IFERROR(ROUND((IF(OR(INDEX('Parametri Modello'!$C$39:$C$42,MATCH($B332,'Parametri Modello'!$A$39:$A$42,0))="",INDEX('Parametri Modello'!$C$39:$C$42,MATCH($B332,'Parametri Modello'!$A$39:$A$42,0))=0),0,($O332/INDEX('Parametri Modello'!$C$39:$C$42,MATCH($B332,'Parametri Modello'!$A$39:$A$42,0)))*(INDEX('Parametri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5</v>
      </c>
      <c r="I332" s="26" t="n">
        <f aca="false">IFERROR(INDEX('Input Statistiche 2025_26'!$F$3:$F$665,MATCH($A332,'Input Statistiche 2025_26'!$A$3:$A$665,0)),"")</f>
        <v>14</v>
      </c>
      <c r="J332" s="26" t="n">
        <f aca="false">IFERROR(IF($I332="","",MAX(0,38-$I332)),"")</f>
        <v>24</v>
      </c>
      <c r="K332" s="26" t="n">
        <f aca="false">IFERROR(INDEX('Input Statistiche 2025_26'!$I$3:$I$665,MATCH($A332,'Input Statistiche 2025_26'!$A$3:$A$665,0)),"")</f>
        <v>1</v>
      </c>
      <c r="L332" s="26" t="n">
        <f aca="false">IFERROR(INDEX('Input Statistiche 2025_26'!$O$3:$O$665,MATCH($A332,'Input Statistiche 2025_26'!$A$3:$A$665,0)),"")</f>
        <v>1</v>
      </c>
      <c r="M332" s="28"/>
      <c r="N332" s="27" t="n">
        <f aca="false">IFERROR(INDEX('Input Giocatori 2026_27'!$E$3:$E$493,MATCH($A332,'Input Giocatori 2026_27'!$A$3:$A$493,0)),"")</f>
        <v>3</v>
      </c>
      <c r="O332" s="27" t="n">
        <f aca="false">IFERROR(INDEX('Input Giocatori 2026_27'!$G$3:$G$493,MATCH($A332,'Input Giocatori 2026_27'!$A$3:$A$493,0)),"")</f>
        <v>9</v>
      </c>
      <c r="P332" s="26" t="str">
        <f aca="false">IFERROR(IF($O332="","",IF((1-(COUNTIFS($B$2:$B$492,$B332,$O$2:$O$492,"&gt;"&amp;$O332)+1-1)/COUNTIF($B$2:$B$492,$B332))&gt;=0.85,"Top",IF((1-(COUNTIFS($B$2:$B$492,$B332,$O$2:$O$492,"&gt;"&amp;$O332)+1-1)/COUNTIF($B$2:$B$492,$B332))&gt;=0.6,"Buono",IF((1-(COUNTIFS($B$2:$B$492,$B332,$O$2:$O$492,"&gt;"&amp;$O332)+1-1)/COUNTIF($B$2:$B$492,$B332))&gt;=0.3,"Nella Media","Scommessa/Riserva")))),"")</f>
        <v>Nella Media</v>
      </c>
      <c r="Q332" s="29" t="n">
        <f aca="false">IF($D332="",COUNTIF($D$2:$D332,""),"")</f>
        <v>331</v>
      </c>
      <c r="R332" s="29" t="str">
        <f aca="false">IF($D332='Info Lega'!$B$28,COUNTIFS($D$2:$D332,'Info Lega'!$B$28),"")</f>
        <v/>
      </c>
      <c r="S332" s="30" t="n">
        <f aca="false">IFERROR(INDEX('Input Statistiche 2025_26'!$G$3:$G$665,MATCH($A332,'Input Statistiche 2025_26'!$A$3:$A$665,0)),"")</f>
        <v>5.64</v>
      </c>
      <c r="T332" s="30" t="n">
        <f aca="false">IFERROR(INDEX('Input Statistiche 2025_26'!$H$3:$H$665,MATCH($A332,'Input Statistiche 2025_26'!$A$3:$A$665,0)),"")</f>
        <v>5.71</v>
      </c>
      <c r="U332" s="26" t="str">
        <f aca="false">IF(OR('La Mia Rosa'!$O$12="",$D332&lt;&gt;""),"",IF($F332&lt;='La Mia Rosa'!$O$12*'Parametri Modello'!$B$24,"OK",IF($F332&lt;='La Mia Rosa'!$O$12*'Parametri Modello'!$B$25,"Attenzione","Rischio Alto")))</f>
        <v>OK</v>
      </c>
      <c r="V332" s="26" t="n">
        <f aca="false">IFERROR(COUNTIFS($B$2:$B$492,$B332,$O$2:$O$492,"&gt;"&amp;$O332)+1,"")</f>
        <v>112</v>
      </c>
      <c r="W332" s="21" t="n">
        <f aca="false">'Info Lega'!$B$4-SUMIFS($M$2:$M$492,$D$2:$D$492,'Info Lega'!$B$28)</f>
        <v>1000</v>
      </c>
      <c r="X332" s="21" t="n">
        <f aca="false">('Info Lega'!$B$5-COUNTIFS($D$2:$D$492,'Info Lega'!$B$28,$B$2:$B$492,"P"))+('Info Lega'!$B$6-COUNTIFS($D$2:$D$492,'Info Lega'!$B$28,$B$2:$B$492,"D"))+('Info Lega'!$B$7-COUNTIFS($D$2:$D$492,'Info Lega'!$B$28,$B$2:$B$492,"C"))+('Info Lega'!$B$8-COUNTIFS($D$2:$D$492,'Info Lega'!$B$28,$B$2:$B$492,"A"))</f>
        <v>25</v>
      </c>
      <c r="Y332" s="21" t="n">
        <f aca="false">X332*'Parametri Modello'!$B$30</f>
        <v>25</v>
      </c>
      <c r="Z332" s="21" t="n">
        <f aca="false">MAX(0,W332-Y332)</f>
        <v>975</v>
      </c>
      <c r="AA332" s="21" t="n">
        <f aca="false">MIN(F332,Z332)</f>
        <v>4</v>
      </c>
      <c r="AB332" s="21"/>
      <c r="AC332" s="21" t="str">
        <f aca="false">IF(AB332="","",IF(AB332&gt;AA332,"PASS",IF(AB332&lt;=AA332*0.85,"BID","ATTENZIONE")))</f>
        <v/>
      </c>
      <c r="AD332" s="31" t="n">
        <f aca="false">IF(I332="","",ROUND(100*(1-EXP(-I332/30)),0))</f>
        <v>37</v>
      </c>
      <c r="AE332" s="7" t="str">
        <f aca="false">IFERROR(INDEX('Stato Asta'!$G$9:$G$12,MATCH($B332,'Stato Asta'!$A$9:$A$12,0)),"")</f>
        <v>🟡 Attesa rischiosa</v>
      </c>
    </row>
    <row r="333" customFormat="false" ht="14.25" hidden="false" customHeight="true" outlineLevel="0" collapsed="false">
      <c r="A333" s="21" t="n">
        <v>7238</v>
      </c>
      <c r="B333" s="21" t="s">
        <v>44</v>
      </c>
      <c r="C333" s="21" t="s">
        <v>315</v>
      </c>
      <c r="E333" s="26" t="str">
        <f aca="false">IF(COUNTIF('Info Strategia'!$D$2:$D$51,$C333)&gt;0,"SI","NO")</f>
        <v>NO</v>
      </c>
      <c r="F333" s="27" t="n">
        <f aca="false">IFERROR(ROUND(($G333+($H333-$G333)*'Info Strategia'!$B$6)*(1+IF($E333="SI",'Parametri Modello'!$B$7*'Info Strategia'!$B$6,0)),0),"")</f>
        <v>4</v>
      </c>
      <c r="G333" s="27" t="n">
        <f aca="false">IFERROR(ROUND((IF(OR(INDEX('Parametri Modello'!$C$39:$C$42,MATCH($B333,'Parametri Modello'!$A$39:$A$42,0))="",INDEX('Parametri Modello'!$C$39:$C$42,MATCH($B333,'Parametri Modello'!$A$39:$A$42,0))=0),0,($O333/INDEX('Parametri Modello'!$C$39:$C$42,MATCH($B333,'Parametri Modello'!$A$39:$A$42,0)))*(INDEX('Parametri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3</v>
      </c>
      <c r="H333" s="27" t="n">
        <f aca="false">IFERROR(ROUND((IF(OR(INDEX('Parametri Modello'!$C$39:$C$42,MATCH($B333,'Parametri Modello'!$A$39:$A$42,0))="",INDEX('Parametri Modello'!$C$39:$C$42,MATCH($B333,'Parametri Modello'!$A$39:$A$42,0))=0),0,($O333/INDEX('Parametri Modello'!$C$39:$C$42,MATCH($B333,'Parametri Modello'!$A$39:$A$42,0)))*(INDEX('Parametri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5</v>
      </c>
      <c r="I333" s="26" t="n">
        <f aca="false">IFERROR(INDEX('Input Statistiche 2025_26'!$F$3:$F$665,MATCH($A333,'Input Statistiche 2025_26'!$A$3:$A$665,0)),"")</f>
        <v>1</v>
      </c>
      <c r="J333" s="26" t="n">
        <f aca="false">IFERROR(IF($I333="","",MAX(0,38-$I333)),"")</f>
        <v>37</v>
      </c>
      <c r="K333" s="26" t="n">
        <f aca="false">IFERROR(INDEX('Input Statistiche 2025_26'!$I$3:$I$665,MATCH($A333,'Input Statistiche 2025_26'!$A$3:$A$665,0)),"")</f>
        <v>0</v>
      </c>
      <c r="L333" s="26" t="n">
        <f aca="false">IFERROR(INDEX('Input Statistiche 2025_26'!$O$3:$O$665,MATCH($A333,'Input Statistiche 2025_26'!$A$3:$A$665,0)),"")</f>
        <v>0</v>
      </c>
      <c r="M333" s="28"/>
      <c r="N333" s="27" t="n">
        <f aca="false">IFERROR(INDEX('Input Giocatori 2026_27'!$E$3:$E$493,MATCH($A333,'Input Giocatori 2026_27'!$A$3:$A$493,0)),"")</f>
        <v>3</v>
      </c>
      <c r="O333" s="27" t="n">
        <f aca="false">IFERROR(INDEX('Input Giocatori 2026_27'!$G$3:$G$493,MATCH($A333,'Input Giocatori 2026_27'!$A$3:$A$493,0)),"")</f>
        <v>9</v>
      </c>
      <c r="P333" s="26" t="str">
        <f aca="false">IFERROR(IF($O333="","",IF((1-(COUNTIFS($B$2:$B$492,$B333,$O$2:$O$492,"&gt;"&amp;$O333)+1-1)/COUNTIF($B$2:$B$492,$B333))&gt;=0.85,"Top",IF((1-(COUNTIFS($B$2:$B$492,$B333,$O$2:$O$492,"&gt;"&amp;$O333)+1-1)/COUNTIF($B$2:$B$492,$B333))&gt;=0.6,"Buono",IF((1-(COUNTIFS($B$2:$B$492,$B333,$O$2:$O$492,"&gt;"&amp;$O333)+1-1)/COUNTIF($B$2:$B$492,$B333))&gt;=0.3,"Nella Media","Scommessa/Riserva")))),"")</f>
        <v>Nella Media</v>
      </c>
      <c r="Q333" s="29" t="n">
        <f aca="false">IF($D333="",COUNTIF($D$2:$D333,""),"")</f>
        <v>332</v>
      </c>
      <c r="R333" s="29" t="str">
        <f aca="false">IF($D333='Info Lega'!$B$28,COUNTIFS($D$2:$D333,'Info Lega'!$B$28),"")</f>
        <v/>
      </c>
      <c r="S333" s="30" t="n">
        <f aca="false">IFERROR(INDEX('Input Statistiche 2025_26'!$G$3:$G$665,MATCH($A333,'Input Statistiche 2025_26'!$A$3:$A$665,0)),"")</f>
        <v>6</v>
      </c>
      <c r="T333" s="30" t="n">
        <f aca="false">IFERROR(INDEX('Input Statistiche 2025_26'!$H$3:$H$665,MATCH($A333,'Input Statistiche 2025_26'!$A$3:$A$665,0)),"")</f>
        <v>6</v>
      </c>
      <c r="U333" s="26" t="str">
        <f aca="false">IF(OR('La Mia Rosa'!$O$12="",$D333&lt;&gt;""),"",IF($F333&lt;='La Mia Rosa'!$O$12*'Parametri Modello'!$B$24,"OK",IF($F333&lt;='La Mia Rosa'!$O$12*'Parametri Modello'!$B$25,"Attenzione","Rischio Alto")))</f>
        <v>OK</v>
      </c>
      <c r="V333" s="26" t="n">
        <f aca="false">IFERROR(COUNTIFS($B$2:$B$492,$B333,$O$2:$O$492,"&gt;"&amp;$O333)+1,"")</f>
        <v>112</v>
      </c>
      <c r="W333" s="21" t="n">
        <f aca="false">'Info Lega'!$B$4-SUMIFS($M$2:$M$492,$D$2:$D$492,'Info Lega'!$B$28)</f>
        <v>1000</v>
      </c>
      <c r="X333" s="21" t="n">
        <f aca="false">('Info Lega'!$B$5-COUNTIFS($D$2:$D$492,'Info Lega'!$B$28,$B$2:$B$492,"P"))+('Info Lega'!$B$6-COUNTIFS($D$2:$D$492,'Info Lega'!$B$28,$B$2:$B$492,"D"))+('Info Lega'!$B$7-COUNTIFS($D$2:$D$492,'Info Lega'!$B$28,$B$2:$B$492,"C"))+('Info Lega'!$B$8-COUNTIFS($D$2:$D$492,'Info Lega'!$B$28,$B$2:$B$492,"A"))</f>
        <v>25</v>
      </c>
      <c r="Y333" s="21" t="n">
        <f aca="false">X333*'Parametri Modello'!$B$30</f>
        <v>25</v>
      </c>
      <c r="Z333" s="21" t="n">
        <f aca="false">MAX(0,W333-Y333)</f>
        <v>975</v>
      </c>
      <c r="AA333" s="21" t="n">
        <f aca="false">MIN(F333,Z333)</f>
        <v>4</v>
      </c>
      <c r="AB333" s="21"/>
      <c r="AC333" s="21" t="str">
        <f aca="false">IF(AB333="","",IF(AB333&gt;AA333,"PASS",IF(AB333&lt;=AA333*0.85,"BID","ATTENZIONE")))</f>
        <v/>
      </c>
      <c r="AD333" s="31" t="n">
        <f aca="false">IF(I333="","",ROUND(100*(1-EXP(-I333/30)),0))</f>
        <v>3</v>
      </c>
      <c r="AE333" s="7" t="str">
        <f aca="false">IFERROR(INDEX('Stato Asta'!$G$9:$G$12,MATCH($B333,'Stato Asta'!$A$9:$A$12,0)),"")</f>
        <v>🟡 Attesa rischiosa</v>
      </c>
    </row>
    <row r="334" customFormat="false" ht="14.25" hidden="false" customHeight="true" outlineLevel="0" collapsed="false">
      <c r="A334" s="21" t="n">
        <v>4925</v>
      </c>
      <c r="B334" s="21" t="s">
        <v>44</v>
      </c>
      <c r="C334" s="21" t="s">
        <v>316</v>
      </c>
      <c r="E334" s="26" t="str">
        <f aca="false">IF(COUNTIF('Info Strategia'!$D$2:$D$51,$C334)&gt;0,"SI","NO")</f>
        <v>NO</v>
      </c>
      <c r="F334" s="27" t="n">
        <f aca="false">IFERROR(ROUND(($G334+($H334-$G334)*'Info Strategia'!$B$6)*(1+IF($E334="SI",'Parametri Modello'!$B$7*'Info Strategia'!$B$6,0)),0),"")</f>
        <v>4</v>
      </c>
      <c r="G334" s="27" t="n">
        <f aca="false">IFERROR(ROUND((IF(OR(INDEX('Parametri Modello'!$C$39:$C$42,MATCH($B334,'Parametri Modello'!$A$39:$A$42,0))="",INDEX('Parametri Modello'!$C$39:$C$42,MATCH($B334,'Parametri Modello'!$A$39:$A$42,0))=0),0,($O334/INDEX('Parametri Modello'!$C$39:$C$42,MATCH($B334,'Parametri Modello'!$A$39:$A$42,0)))*(INDEX('Parametri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3</v>
      </c>
      <c r="H334" s="27" t="n">
        <f aca="false">IFERROR(ROUND((IF(OR(INDEX('Parametri Modello'!$C$39:$C$42,MATCH($B334,'Parametri Modello'!$A$39:$A$42,0))="",INDEX('Parametri Modello'!$C$39:$C$42,MATCH($B334,'Parametri Modello'!$A$39:$A$42,0))=0),0,($O334/INDEX('Parametri Modello'!$C$39:$C$42,MATCH($B334,'Parametri Modello'!$A$39:$A$42,0)))*(INDEX('Parametri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5</v>
      </c>
      <c r="I334" s="26" t="str">
        <f aca="false">IFERROR(INDEX('Input Statistiche 2025_26'!$F$3:$F$665,MATCH($A334,'Input Statistiche 2025_26'!$A$3:$A$665,0)),"")</f>
        <v/>
      </c>
      <c r="J334" s="26" t="str">
        <f aca="false">IFERROR(IF($I334="","",MAX(0,38-$I334)),"")</f>
        <v/>
      </c>
      <c r="K334" s="26" t="str">
        <f aca="false">IFERROR(INDEX('Input Statistiche 2025_26'!$I$3:$I$665,MATCH($A334,'Input Statistiche 2025_26'!$A$3:$A$665,0)),"")</f>
        <v/>
      </c>
      <c r="L334" s="26" t="str">
        <f aca="false">IFERROR(INDEX('Input Statistiche 2025_26'!$O$3:$O$665,MATCH($A334,'Input Statistiche 2025_26'!$A$3:$A$665,0)),"")</f>
        <v/>
      </c>
      <c r="M334" s="28"/>
      <c r="N334" s="27" t="n">
        <f aca="false">IFERROR(INDEX('Input Giocatori 2026_27'!$E$3:$E$493,MATCH($A334,'Input Giocatori 2026_27'!$A$3:$A$493,0)),"")</f>
        <v>3</v>
      </c>
      <c r="O334" s="27" t="n">
        <f aca="false">IFERROR(INDEX('Input Giocatori 2026_27'!$G$3:$G$493,MATCH($A334,'Input Giocatori 2026_27'!$A$3:$A$493,0)),"")</f>
        <v>9</v>
      </c>
      <c r="P334" s="26" t="str">
        <f aca="false">IFERROR(IF($O334="","",IF((1-(COUNTIFS($B$2:$B$492,$B334,$O$2:$O$492,"&gt;"&amp;$O334)+1-1)/COUNTIF($B$2:$B$492,$B334))&gt;=0.85,"Top",IF((1-(COUNTIFS($B$2:$B$492,$B334,$O$2:$O$492,"&gt;"&amp;$O334)+1-1)/COUNTIF($B$2:$B$492,$B334))&gt;=0.6,"Buono",IF((1-(COUNTIFS($B$2:$B$492,$B334,$O$2:$O$492,"&gt;"&amp;$O334)+1-1)/COUNTIF($B$2:$B$492,$B334))&gt;=0.3,"Nella Media","Scommessa/Riserva")))),"")</f>
        <v>Nella Media</v>
      </c>
      <c r="Q334" s="29" t="n">
        <f aca="false">IF($D334="",COUNTIF($D$2:$D334,""),"")</f>
        <v>333</v>
      </c>
      <c r="R334" s="29" t="str">
        <f aca="false">IF($D334='Info Lega'!$B$28,COUNTIFS($D$2:$D334,'Info Lega'!$B$28),"")</f>
        <v/>
      </c>
      <c r="S334" s="30" t="str">
        <f aca="false">IFERROR(INDEX('Input Statistiche 2025_26'!$G$3:$G$665,MATCH($A334,'Input Statistiche 2025_26'!$A$3:$A$665,0)),"")</f>
        <v/>
      </c>
      <c r="T334" s="30" t="str">
        <f aca="false">IFERROR(INDEX('Input Statistiche 2025_26'!$H$3:$H$665,MATCH($A334,'Input Statistiche 2025_26'!$A$3:$A$665,0)),"")</f>
        <v/>
      </c>
      <c r="U334" s="26" t="str">
        <f aca="false">IF(OR('La Mia Rosa'!$O$12="",$D334&lt;&gt;""),"",IF($F334&lt;='La Mia Rosa'!$O$12*'Parametri Modello'!$B$24,"OK",IF($F334&lt;='La Mia Rosa'!$O$12*'Parametri Modello'!$B$25,"Attenzione","Rischio Alto")))</f>
        <v>OK</v>
      </c>
      <c r="V334" s="26" t="n">
        <f aca="false">IFERROR(COUNTIFS($B$2:$B$492,$B334,$O$2:$O$492,"&gt;"&amp;$O334)+1,"")</f>
        <v>112</v>
      </c>
      <c r="W334" s="21" t="n">
        <f aca="false">'Info Lega'!$B$4-SUMIFS($M$2:$M$492,$D$2:$D$492,'Info Lega'!$B$28)</f>
        <v>1000</v>
      </c>
      <c r="X334" s="21" t="n">
        <f aca="false">('Info Lega'!$B$5-COUNTIFS($D$2:$D$492,'Info Lega'!$B$28,$B$2:$B$492,"P"))+('Info Lega'!$B$6-COUNTIFS($D$2:$D$492,'Info Lega'!$B$28,$B$2:$B$492,"D"))+('Info Lega'!$B$7-COUNTIFS($D$2:$D$492,'Info Lega'!$B$28,$B$2:$B$492,"C"))+('Info Lega'!$B$8-COUNTIFS($D$2:$D$492,'Info Lega'!$B$28,$B$2:$B$492,"A"))</f>
        <v>25</v>
      </c>
      <c r="Y334" s="21" t="n">
        <f aca="false">X334*'Parametri Modello'!$B$30</f>
        <v>25</v>
      </c>
      <c r="Z334" s="21" t="n">
        <f aca="false">MAX(0,W334-Y334)</f>
        <v>975</v>
      </c>
      <c r="AA334" s="21" t="n">
        <f aca="false">MIN(F334,Z334)</f>
        <v>4</v>
      </c>
      <c r="AB334" s="21"/>
      <c r="AC334" s="21" t="str">
        <f aca="false">IF(AB334="","",IF(AB334&gt;AA334,"PASS",IF(AB334&lt;=AA334*0.85,"BID","ATTENZIONE")))</f>
        <v/>
      </c>
      <c r="AD334" s="31" t="str">
        <f aca="false">IF(I334="","",ROUND(100*(1-EXP(-I334/30)),0))</f>
        <v/>
      </c>
      <c r="AE334" s="7" t="str">
        <f aca="false">IFERROR(INDEX('Stato Asta'!$G$9:$G$12,MATCH($B334,'Stato Asta'!$A$9:$A$12,0)),"")</f>
        <v>🟡 Attesa rischiosa</v>
      </c>
    </row>
    <row r="335" customFormat="false" ht="14.25" hidden="false" customHeight="true" outlineLevel="0" collapsed="false">
      <c r="A335" s="21" t="n">
        <v>6506</v>
      </c>
      <c r="B335" s="21" t="s">
        <v>45</v>
      </c>
      <c r="C335" s="21" t="s">
        <v>497</v>
      </c>
      <c r="E335" s="26" t="str">
        <f aca="false">IF(COUNTIF('Info Strategia'!$D$2:$D$51,$C335)&gt;0,"SI","NO")</f>
        <v>NO</v>
      </c>
      <c r="F335" s="27" t="n">
        <f aca="false">IFERROR(ROUND(($G335+($H335-$G335)*'Info Strategia'!$B$6)*(1+IF($E335="SI",'Parametri Modello'!$B$7*'Info Strategia'!$B$6,0)),0),"")</f>
        <v>4</v>
      </c>
      <c r="G335" s="27" t="n">
        <f aca="false">IFERROR(ROUND((IF(OR(INDEX('Parametri Modello'!$C$39:$C$42,MATCH($B335,'Parametri Modello'!$A$39:$A$42,0))="",INDEX('Parametri Modello'!$C$39:$C$42,MATCH($B335,'Parametri Modello'!$A$39:$A$42,0))=0),0,($O335/INDEX('Parametri Modello'!$C$39:$C$42,MATCH($B335,'Parametri Modello'!$A$39:$A$42,0)))*(INDEX('Parametri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3</v>
      </c>
      <c r="H335" s="27" t="n">
        <f aca="false">IFERROR(ROUND((IF(OR(INDEX('Parametri Modello'!$C$39:$C$42,MATCH($B335,'Parametri Modello'!$A$39:$A$42,0))="",INDEX('Parametri Modello'!$C$39:$C$42,MATCH($B335,'Parametri Modello'!$A$39:$A$42,0))=0),0,($O335/INDEX('Parametri Modello'!$C$39:$C$42,MATCH($B335,'Parametri Modello'!$A$39:$A$42,0)))*(INDEX('Parametri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5</v>
      </c>
      <c r="I335" s="26" t="n">
        <f aca="false">IFERROR(INDEX('Input Statistiche 2025_26'!$F$3:$F$665,MATCH($A335,'Input Statistiche 2025_26'!$A$3:$A$665,0)),"")</f>
        <v>1</v>
      </c>
      <c r="J335" s="26" t="n">
        <f aca="false">IFERROR(IF($I335="","",MAX(0,38-$I335)),"")</f>
        <v>37</v>
      </c>
      <c r="K335" s="26" t="n">
        <f aca="false">IFERROR(INDEX('Input Statistiche 2025_26'!$I$3:$I$665,MATCH($A335,'Input Statistiche 2025_26'!$A$3:$A$665,0)),"")</f>
        <v>0</v>
      </c>
      <c r="L335" s="26" t="n">
        <f aca="false">IFERROR(INDEX('Input Statistiche 2025_26'!$O$3:$O$665,MATCH($A335,'Input Statistiche 2025_26'!$A$3:$A$665,0)),"")</f>
        <v>0</v>
      </c>
      <c r="M335" s="28"/>
      <c r="N335" s="27" t="n">
        <f aca="false">IFERROR(INDEX('Input Giocatori 2026_27'!$E$3:$E$493,MATCH($A335,'Input Giocatori 2026_27'!$A$3:$A$493,0)),"")</f>
        <v>3</v>
      </c>
      <c r="O335" s="27" t="n">
        <f aca="false">IFERROR(INDEX('Input Giocatori 2026_27'!$G$3:$G$493,MATCH($A335,'Input Giocatori 2026_27'!$A$3:$A$493,0)),"")</f>
        <v>9</v>
      </c>
      <c r="P335" s="26" t="str">
        <f aca="false">IFERROR(IF($O335="","",IF((1-(COUNTIFS($B$2:$B$492,$B335,$O$2:$O$492,"&gt;"&amp;$O335)+1-1)/COUNTIF($B$2:$B$492,$B335))&gt;=0.85,"Top",IF((1-(COUNTIFS($B$2:$B$492,$B335,$O$2:$O$492,"&gt;"&amp;$O335)+1-1)/COUNTIF($B$2:$B$492,$B335))&gt;=0.6,"Buono",IF((1-(COUNTIFS($B$2:$B$492,$B335,$O$2:$O$492,"&gt;"&amp;$O335)+1-1)/COUNTIF($B$2:$B$492,$B335))&gt;=0.3,"Nella Media","Scommessa/Riserva")))),"")</f>
        <v>Scommessa/Riserva</v>
      </c>
      <c r="Q335" s="29" t="n">
        <f aca="false">IF($D335="",COUNTIF($D$2:$D335,""),"")</f>
        <v>334</v>
      </c>
      <c r="R335" s="29" t="str">
        <f aca="false">IF($D335='Info Lega'!$B$28,COUNTIFS($D$2:$D335,'Info Lega'!$B$28),"")</f>
        <v/>
      </c>
      <c r="S335" s="30" t="n">
        <f aca="false">IFERROR(INDEX('Input Statistiche 2025_26'!$G$3:$G$665,MATCH($A335,'Input Statistiche 2025_26'!$A$3:$A$665,0)),"")</f>
        <v>5.5</v>
      </c>
      <c r="T335" s="30" t="n">
        <f aca="false">IFERROR(INDEX('Input Statistiche 2025_26'!$H$3:$H$665,MATCH($A335,'Input Statistiche 2025_26'!$A$3:$A$665,0)),"")</f>
        <v>5.5</v>
      </c>
      <c r="U335" s="26" t="str">
        <f aca="false">IF(OR('La Mia Rosa'!$O$12="",$D335&lt;&gt;""),"",IF($F335&lt;='La Mia Rosa'!$O$12*'Parametri Modello'!$B$24,"OK",IF($F335&lt;='La Mia Rosa'!$O$12*'Parametri Modello'!$B$25,"Attenzione","Rischio Alto")))</f>
        <v>OK</v>
      </c>
      <c r="V335" s="26" t="n">
        <f aca="false">IFERROR(COUNTIFS($B$2:$B$492,$B335,$O$2:$O$492,"&gt;"&amp;$O335)+1,"")</f>
        <v>130</v>
      </c>
      <c r="W335" s="21" t="n">
        <f aca="false">'Info Lega'!$B$4-SUMIFS($M$2:$M$492,$D$2:$D$492,'Info Lega'!$B$28)</f>
        <v>1000</v>
      </c>
      <c r="X335" s="21" t="n">
        <f aca="false">('Info Lega'!$B$5-COUNTIFS($D$2:$D$492,'Info Lega'!$B$28,$B$2:$B$492,"P"))+('Info Lega'!$B$6-COUNTIFS($D$2:$D$492,'Info Lega'!$B$28,$B$2:$B$492,"D"))+('Info Lega'!$B$7-COUNTIFS($D$2:$D$492,'Info Lega'!$B$28,$B$2:$B$492,"C"))+('Info Lega'!$B$8-COUNTIFS($D$2:$D$492,'Info Lega'!$B$28,$B$2:$B$492,"A"))</f>
        <v>25</v>
      </c>
      <c r="Y335" s="21" t="n">
        <f aca="false">X335*'Parametri Modello'!$B$30</f>
        <v>25</v>
      </c>
      <c r="Z335" s="21" t="n">
        <f aca="false">MAX(0,W335-Y335)</f>
        <v>975</v>
      </c>
      <c r="AA335" s="21" t="n">
        <f aca="false">MIN(F335,Z335)</f>
        <v>4</v>
      </c>
      <c r="AB335" s="21"/>
      <c r="AC335" s="21" t="str">
        <f aca="false">IF(AB335="","",IF(AB335&gt;AA335,"PASS",IF(AB335&lt;=AA335*0.85,"BID","ATTENZIONE")))</f>
        <v/>
      </c>
      <c r="AD335" s="31" t="n">
        <f aca="false">IF(I335="","",ROUND(100*(1-EXP(-I335/30)),0))</f>
        <v>3</v>
      </c>
      <c r="AE335" s="7" t="str">
        <f aca="false">IFERROR(INDEX('Stato Asta'!$G$9:$G$12,MATCH($B335,'Stato Asta'!$A$9:$A$12,0)),"")</f>
        <v>🟡 Attesa rischiosa</v>
      </c>
    </row>
    <row r="336" customFormat="false" ht="14.25" hidden="false" customHeight="true" outlineLevel="0" collapsed="false">
      <c r="A336" s="21" t="n">
        <v>5131</v>
      </c>
      <c r="B336" s="21" t="s">
        <v>45</v>
      </c>
      <c r="C336" s="21" t="s">
        <v>502</v>
      </c>
      <c r="E336" s="26" t="str">
        <f aca="false">IF(COUNTIF('Info Strategia'!$D$2:$D$51,$C336)&gt;0,"SI","NO")</f>
        <v>NO</v>
      </c>
      <c r="F336" s="27" t="n">
        <f aca="false">IFERROR(ROUND(($G336+($H336-$G336)*'Info Strategia'!$B$6)*(1+IF($E336="SI",'Parametri Modello'!$B$7*'Info Strategia'!$B$6,0)),0),"")</f>
        <v>5</v>
      </c>
      <c r="G336" s="27" t="n">
        <f aca="false">IFERROR(ROUND((IF(OR(INDEX('Parametri Modello'!$C$39:$C$42,MATCH($B336,'Parametri Modello'!$A$39:$A$42,0))="",INDEX('Parametri Modello'!$C$39:$C$42,MATCH($B336,'Parametri Modello'!$A$39:$A$42,0))=0),0,($O336/INDEX('Parametri Modello'!$C$39:$C$42,MATCH($B336,'Parametri Modello'!$A$39:$A$42,0)))*(INDEX('Parametri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3</v>
      </c>
      <c r="H336" s="27" t="n">
        <f aca="false">IFERROR(ROUND((IF(OR(INDEX('Parametri Modello'!$C$39:$C$42,MATCH($B336,'Parametri Modello'!$A$39:$A$42,0))="",INDEX('Parametri Modello'!$C$39:$C$42,MATCH($B336,'Parametri Modello'!$A$39:$A$42,0))=0),0,($O336/INDEX('Parametri Modello'!$C$39:$C$42,MATCH($B336,'Parametri Modello'!$A$39:$A$42,0)))*(INDEX('Parametri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6</v>
      </c>
      <c r="I336" s="26" t="n">
        <f aca="false">IFERROR(INDEX('Input Statistiche 2025_26'!$F$3:$F$665,MATCH($A336,'Input Statistiche 2025_26'!$A$3:$A$665,0)),"")</f>
        <v>13</v>
      </c>
      <c r="J336" s="26" t="n">
        <f aca="false">IFERROR(IF($I336="","",MAX(0,38-$I336)),"")</f>
        <v>25</v>
      </c>
      <c r="K336" s="26" t="n">
        <f aca="false">IFERROR(INDEX('Input Statistiche 2025_26'!$I$3:$I$665,MATCH($A336,'Input Statistiche 2025_26'!$A$3:$A$665,0)),"")</f>
        <v>1</v>
      </c>
      <c r="L336" s="26" t="n">
        <f aca="false">IFERROR(INDEX('Input Statistiche 2025_26'!$O$3:$O$665,MATCH($A336,'Input Statistiche 2025_26'!$A$3:$A$665,0)),"")</f>
        <v>0</v>
      </c>
      <c r="M336" s="28"/>
      <c r="N336" s="27" t="n">
        <f aca="false">IFERROR(INDEX('Input Giocatori 2026_27'!$E$3:$E$493,MATCH($A336,'Input Giocatori 2026_27'!$A$3:$A$493,0)),"")</f>
        <v>3</v>
      </c>
      <c r="O336" s="27" t="n">
        <f aca="false">IFERROR(INDEX('Input Giocatori 2026_27'!$G$3:$G$493,MATCH($A336,'Input Giocatori 2026_27'!$A$3:$A$493,0)),"")</f>
        <v>9</v>
      </c>
      <c r="P336" s="26" t="str">
        <f aca="false">IFERROR(IF($O336="","",IF((1-(COUNTIFS($B$2:$B$492,$B336,$O$2:$O$492,"&gt;"&amp;$O336)+1-1)/COUNTIF($B$2:$B$492,$B336))&gt;=0.85,"Top",IF((1-(COUNTIFS($B$2:$B$492,$B336,$O$2:$O$492,"&gt;"&amp;$O336)+1-1)/COUNTIF($B$2:$B$492,$B336))&gt;=0.6,"Buono",IF((1-(COUNTIFS($B$2:$B$492,$B336,$O$2:$O$492,"&gt;"&amp;$O336)+1-1)/COUNTIF($B$2:$B$492,$B336))&gt;=0.3,"Nella Media","Scommessa/Riserva")))),"")</f>
        <v>Scommessa/Riserva</v>
      </c>
      <c r="Q336" s="29" t="n">
        <f aca="false">IF($D336="",COUNTIF($D$2:$D336,""),"")</f>
        <v>335</v>
      </c>
      <c r="R336" s="29" t="str">
        <f aca="false">IF($D336='Info Lega'!$B$28,COUNTIFS($D$2:$D336,'Info Lega'!$B$28),"")</f>
        <v/>
      </c>
      <c r="S336" s="30" t="n">
        <f aca="false">IFERROR(INDEX('Input Statistiche 2025_26'!$G$3:$G$665,MATCH($A336,'Input Statistiche 2025_26'!$A$3:$A$665,0)),"")</f>
        <v>6.08</v>
      </c>
      <c r="T336" s="30" t="n">
        <f aca="false">IFERROR(INDEX('Input Statistiche 2025_26'!$H$3:$H$665,MATCH($A336,'Input Statistiche 2025_26'!$A$3:$A$665,0)),"")</f>
        <v>6.27</v>
      </c>
      <c r="U336" s="26" t="str">
        <f aca="false">IF(OR('La Mia Rosa'!$O$12="",$D336&lt;&gt;""),"",IF($F336&lt;='La Mia Rosa'!$O$12*'Parametri Modello'!$B$24,"OK",IF($F336&lt;='La Mia Rosa'!$O$12*'Parametri Modello'!$B$25,"Attenzione","Rischio Alto")))</f>
        <v>OK</v>
      </c>
      <c r="V336" s="26" t="n">
        <f aca="false">IFERROR(COUNTIFS($B$2:$B$492,$B336,$O$2:$O$492,"&gt;"&amp;$O336)+1,"")</f>
        <v>130</v>
      </c>
      <c r="W336" s="21" t="n">
        <f aca="false">'Info Lega'!$B$4-SUMIFS($M$2:$M$492,$D$2:$D$492,'Info Lega'!$B$28)</f>
        <v>1000</v>
      </c>
      <c r="X336" s="21" t="n">
        <f aca="false">('Info Lega'!$B$5-COUNTIFS($D$2:$D$492,'Info Lega'!$B$28,$B$2:$B$492,"P"))+('Info Lega'!$B$6-COUNTIFS($D$2:$D$492,'Info Lega'!$B$28,$B$2:$B$492,"D"))+('Info Lega'!$B$7-COUNTIFS($D$2:$D$492,'Info Lega'!$B$28,$B$2:$B$492,"C"))+('Info Lega'!$B$8-COUNTIFS($D$2:$D$492,'Info Lega'!$B$28,$B$2:$B$492,"A"))</f>
        <v>25</v>
      </c>
      <c r="Y336" s="21" t="n">
        <f aca="false">X336*'Parametri Modello'!$B$30</f>
        <v>25</v>
      </c>
      <c r="Z336" s="21" t="n">
        <f aca="false">MAX(0,W336-Y336)</f>
        <v>975</v>
      </c>
      <c r="AA336" s="21" t="n">
        <f aca="false">MIN(F336,Z336)</f>
        <v>5</v>
      </c>
      <c r="AB336" s="21"/>
      <c r="AC336" s="21" t="str">
        <f aca="false">IF(AB336="","",IF(AB336&gt;AA336,"PASS",IF(AB336&lt;=AA336*0.85,"BID","ATTENZIONE")))</f>
        <v/>
      </c>
      <c r="AD336" s="31" t="n">
        <f aca="false">IF(I336="","",ROUND(100*(1-EXP(-I336/30)),0))</f>
        <v>35</v>
      </c>
      <c r="AE336" s="7" t="str">
        <f aca="false">IFERROR(INDEX('Stato Asta'!$G$9:$G$12,MATCH($B336,'Stato Asta'!$A$9:$A$12,0)),"")</f>
        <v>🟡 Attesa rischiosa</v>
      </c>
    </row>
    <row r="337" customFormat="false" ht="14.25" hidden="false" customHeight="true" outlineLevel="0" collapsed="false">
      <c r="A337" s="21" t="n">
        <v>6243</v>
      </c>
      <c r="B337" s="21" t="s">
        <v>46</v>
      </c>
      <c r="C337" s="21" t="s">
        <v>598</v>
      </c>
      <c r="E337" s="26" t="str">
        <f aca="false">IF(COUNTIF('Info Strategia'!$D$2:$D$51,$C337)&gt;0,"SI","NO")</f>
        <v>NO</v>
      </c>
      <c r="F337" s="27" t="n">
        <f aca="false">IFERROR(ROUND(($G337+($H337-$G337)*'Info Strategia'!$B$6)*(1+IF($E337="SI",'Parametri Modello'!$B$7*'Info Strategia'!$B$6,0)),0),"")</f>
        <v>8</v>
      </c>
      <c r="G337" s="27" t="n">
        <f aca="false">IFERROR(ROUND((IF(OR(INDEX('Parametri Modello'!$C$39:$C$42,MATCH($B337,'Parametri Modello'!$A$39:$A$42,0))="",INDEX('Parametri Modello'!$C$39:$C$42,MATCH($B337,'Parametri Modello'!$A$39:$A$42,0))=0),0,($O337/INDEX('Parametri Modello'!$C$39:$C$42,MATCH($B337,'Parametri Modello'!$A$39:$A$42,0)))*(INDEX('Parametri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5</v>
      </c>
      <c r="H337" s="27" t="n">
        <f aca="false">IFERROR(ROUND((IF(OR(INDEX('Parametri Modello'!$C$39:$C$42,MATCH($B337,'Parametri Modello'!$A$39:$A$42,0))="",INDEX('Parametri Modello'!$C$39:$C$42,MATCH($B337,'Parametri Modello'!$A$39:$A$42,0))=0),0,($O337/INDEX('Parametri Modello'!$C$39:$C$42,MATCH($B337,'Parametri Modello'!$A$39:$A$42,0)))*(INDEX('Parametri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9</v>
      </c>
      <c r="I337" s="26" t="n">
        <f aca="false">IFERROR(INDEX('Input Statistiche 2025_26'!$F$3:$F$665,MATCH($A337,'Input Statistiche 2025_26'!$A$3:$A$665,0)),"")</f>
        <v>26</v>
      </c>
      <c r="J337" s="26" t="n">
        <f aca="false">IFERROR(IF($I337="","",MAX(0,38-$I337)),"")</f>
        <v>12</v>
      </c>
      <c r="K337" s="26" t="n">
        <f aca="false">IFERROR(INDEX('Input Statistiche 2025_26'!$I$3:$I$665,MATCH($A337,'Input Statistiche 2025_26'!$A$3:$A$665,0)),"")</f>
        <v>5</v>
      </c>
      <c r="L337" s="26" t="n">
        <f aca="false">IFERROR(INDEX('Input Statistiche 2025_26'!$O$3:$O$665,MATCH($A337,'Input Statistiche 2025_26'!$A$3:$A$665,0)),"")</f>
        <v>1</v>
      </c>
      <c r="M337" s="28"/>
      <c r="N337" s="27" t="n">
        <f aca="false">IFERROR(INDEX('Input Giocatori 2026_27'!$E$3:$E$493,MATCH($A337,'Input Giocatori 2026_27'!$A$3:$A$493,0)),"")</f>
        <v>4</v>
      </c>
      <c r="O337" s="27" t="n">
        <f aca="false">IFERROR(INDEX('Input Giocatori 2026_27'!$G$3:$G$493,MATCH($A337,'Input Giocatori 2026_27'!$A$3:$A$493,0)),"")</f>
        <v>9</v>
      </c>
      <c r="P337" s="26" t="str">
        <f aca="false">IFERROR(IF($O337="","",IF((1-(COUNTIFS($B$2:$B$492,$B337,$O$2:$O$492,"&gt;"&amp;$O337)+1-1)/COUNTIF($B$2:$B$492,$B337))&gt;=0.85,"Top",IF((1-(COUNTIFS($B$2:$B$492,$B337,$O$2:$O$492,"&gt;"&amp;$O337)+1-1)/COUNTIF($B$2:$B$492,$B337))&gt;=0.6,"Buono",IF((1-(COUNTIFS($B$2:$B$492,$B337,$O$2:$O$492,"&gt;"&amp;$O337)+1-1)/COUNTIF($B$2:$B$492,$B337))&gt;=0.3,"Nella Media","Scommessa/Riserva")))),"")</f>
        <v>Scommessa/Riserva</v>
      </c>
      <c r="Q337" s="29" t="n">
        <f aca="false">IF($D337="",COUNTIF($D$2:$D337,""),"")</f>
        <v>336</v>
      </c>
      <c r="R337" s="29" t="str">
        <f aca="false">IF($D337='Info Lega'!$B$28,COUNTIFS($D$2:$D337,'Info Lega'!$B$28),"")</f>
        <v/>
      </c>
      <c r="S337" s="30" t="n">
        <f aca="false">IFERROR(INDEX('Input Statistiche 2025_26'!$G$3:$G$665,MATCH($A337,'Input Statistiche 2025_26'!$A$3:$A$665,0)),"")</f>
        <v>5.92</v>
      </c>
      <c r="T337" s="30" t="n">
        <f aca="false">IFERROR(INDEX('Input Statistiche 2025_26'!$H$3:$H$665,MATCH($A337,'Input Statistiche 2025_26'!$A$3:$A$665,0)),"")</f>
        <v>6.46</v>
      </c>
      <c r="U337" s="26" t="str">
        <f aca="false">IF(OR('La Mia Rosa'!$O$12="",$D337&lt;&gt;""),"",IF($F337&lt;='La Mia Rosa'!$O$12*'Parametri Modello'!$B$24,"OK",IF($F337&lt;='La Mia Rosa'!$O$12*'Parametri Modello'!$B$25,"Attenzione","Rischio Alto")))</f>
        <v>OK</v>
      </c>
      <c r="V337" s="26" t="n">
        <f aca="false">IFERROR(COUNTIFS($B$2:$B$492,$B337,$O$2:$O$492,"&gt;"&amp;$O337)+1,"")</f>
        <v>68</v>
      </c>
      <c r="W337" s="21" t="n">
        <f aca="false">'Info Lega'!$B$4-SUMIFS($M$2:$M$492,$D$2:$D$492,'Info Lega'!$B$28)</f>
        <v>1000</v>
      </c>
      <c r="X337" s="21" t="n">
        <f aca="false">('Info Lega'!$B$5-COUNTIFS($D$2:$D$492,'Info Lega'!$B$28,$B$2:$B$492,"P"))+('Info Lega'!$B$6-COUNTIFS($D$2:$D$492,'Info Lega'!$B$28,$B$2:$B$492,"D"))+('Info Lega'!$B$7-COUNTIFS($D$2:$D$492,'Info Lega'!$B$28,$B$2:$B$492,"C"))+('Info Lega'!$B$8-COUNTIFS($D$2:$D$492,'Info Lega'!$B$28,$B$2:$B$492,"A"))</f>
        <v>25</v>
      </c>
      <c r="Y337" s="21" t="n">
        <f aca="false">X337*'Parametri Modello'!$B$30</f>
        <v>25</v>
      </c>
      <c r="Z337" s="21" t="n">
        <f aca="false">MAX(0,W337-Y337)</f>
        <v>975</v>
      </c>
      <c r="AA337" s="21" t="n">
        <f aca="false">MIN(F337,Z337)</f>
        <v>8</v>
      </c>
      <c r="AB337" s="21"/>
      <c r="AC337" s="21" t="str">
        <f aca="false">IF(AB337="","",IF(AB337&gt;AA337,"PASS",IF(AB337&lt;=AA337*0.85,"BID","ATTENZIONE")))</f>
        <v/>
      </c>
      <c r="AD337" s="31" t="n">
        <f aca="false">IF(I337="","",ROUND(100*(1-EXP(-I337/30)),0))</f>
        <v>58</v>
      </c>
      <c r="AE337" s="7" t="str">
        <f aca="false">IFERROR(INDEX('Stato Asta'!$G$9:$G$12,MATCH($B337,'Stato Asta'!$A$9:$A$12,0)),"")</f>
        <v>🔴 Non aspettare</v>
      </c>
    </row>
    <row r="338" customFormat="false" ht="14.25" hidden="false" customHeight="true" outlineLevel="0" collapsed="false">
      <c r="A338" s="21" t="n">
        <v>7374</v>
      </c>
      <c r="B338" s="21" t="s">
        <v>46</v>
      </c>
      <c r="C338" s="21" t="s">
        <v>599</v>
      </c>
      <c r="E338" s="26" t="str">
        <f aca="false">IF(COUNTIF('Info Strategia'!$D$2:$D$51,$C338)&gt;0,"SI","NO")</f>
        <v>NO</v>
      </c>
      <c r="F338" s="27" t="n">
        <f aca="false">IFERROR(ROUND(($G338+($H338-$G338)*'Info Strategia'!$B$6)*(1+IF($E338="SI",'Parametri Modello'!$B$7*'Info Strategia'!$B$6,0)),0),"")</f>
        <v>8</v>
      </c>
      <c r="G338" s="27" t="n">
        <f aca="false">IFERROR(ROUND((IF(OR(INDEX('Parametri Modello'!$C$39:$C$42,MATCH($B338,'Parametri Modello'!$A$39:$A$42,0))="",INDEX('Parametri Modello'!$C$39:$C$42,MATCH($B338,'Parametri Modello'!$A$39:$A$42,0))=0),0,($O338/INDEX('Parametri Modello'!$C$39:$C$42,MATCH($B338,'Parametri Modello'!$A$39:$A$42,0)))*(INDEX('Parametri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5</v>
      </c>
      <c r="H338" s="27" t="n">
        <f aca="false">IFERROR(ROUND((IF(OR(INDEX('Parametri Modello'!$C$39:$C$42,MATCH($B338,'Parametri Modello'!$A$39:$A$42,0))="",INDEX('Parametri Modello'!$C$39:$C$42,MATCH($B338,'Parametri Modello'!$A$39:$A$42,0))=0),0,($O338/INDEX('Parametri Modello'!$C$39:$C$42,MATCH($B338,'Parametri Modello'!$A$39:$A$42,0)))*(INDEX('Parametri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9</v>
      </c>
      <c r="I338" s="26" t="n">
        <f aca="false">IFERROR(INDEX('Input Statistiche 2025_26'!$F$3:$F$665,MATCH($A338,'Input Statistiche 2025_26'!$A$3:$A$665,0)),"")</f>
        <v>8</v>
      </c>
      <c r="J338" s="26" t="n">
        <f aca="false">IFERROR(IF($I338="","",MAX(0,38-$I338)),"")</f>
        <v>30</v>
      </c>
      <c r="K338" s="26" t="n">
        <f aca="false">IFERROR(INDEX('Input Statistiche 2025_26'!$I$3:$I$665,MATCH($A338,'Input Statistiche 2025_26'!$A$3:$A$665,0)),"")</f>
        <v>2</v>
      </c>
      <c r="L338" s="26" t="n">
        <f aca="false">IFERROR(INDEX('Input Statistiche 2025_26'!$O$3:$O$665,MATCH($A338,'Input Statistiche 2025_26'!$A$3:$A$665,0)),"")</f>
        <v>0</v>
      </c>
      <c r="M338" s="28"/>
      <c r="N338" s="27" t="n">
        <f aca="false">IFERROR(INDEX('Input Giocatori 2026_27'!$E$3:$E$493,MATCH($A338,'Input Giocatori 2026_27'!$A$3:$A$493,0)),"")</f>
        <v>4</v>
      </c>
      <c r="O338" s="27" t="n">
        <f aca="false">IFERROR(INDEX('Input Giocatori 2026_27'!$G$3:$G$493,MATCH($A338,'Input Giocatori 2026_27'!$A$3:$A$493,0)),"")</f>
        <v>9</v>
      </c>
      <c r="P338" s="26" t="str">
        <f aca="false">IFERROR(IF($O338="","",IF((1-(COUNTIFS($B$2:$B$492,$B338,$O$2:$O$492,"&gt;"&amp;$O338)+1-1)/COUNTIF($B$2:$B$492,$B338))&gt;=0.85,"Top",IF((1-(COUNTIFS($B$2:$B$492,$B338,$O$2:$O$492,"&gt;"&amp;$O338)+1-1)/COUNTIF($B$2:$B$492,$B338))&gt;=0.6,"Buono",IF((1-(COUNTIFS($B$2:$B$492,$B338,$O$2:$O$492,"&gt;"&amp;$O338)+1-1)/COUNTIF($B$2:$B$492,$B338))&gt;=0.3,"Nella Media","Scommessa/Riserva")))),"")</f>
        <v>Scommessa/Riserva</v>
      </c>
      <c r="Q338" s="29" t="n">
        <f aca="false">IF($D338="",COUNTIF($D$2:$D338,""),"")</f>
        <v>337</v>
      </c>
      <c r="R338" s="29" t="str">
        <f aca="false">IF($D338='Info Lega'!$B$28,COUNTIFS($D$2:$D338,'Info Lega'!$B$28),"")</f>
        <v/>
      </c>
      <c r="S338" s="30" t="n">
        <f aca="false">IFERROR(INDEX('Input Statistiche 2025_26'!$G$3:$G$665,MATCH($A338,'Input Statistiche 2025_26'!$A$3:$A$665,0)),"")</f>
        <v>5.94</v>
      </c>
      <c r="T338" s="30" t="n">
        <f aca="false">IFERROR(INDEX('Input Statistiche 2025_26'!$H$3:$H$665,MATCH($A338,'Input Statistiche 2025_26'!$A$3:$A$665,0)),"")</f>
        <v>6.62</v>
      </c>
      <c r="U338" s="26" t="str">
        <f aca="false">IF(OR('La Mia Rosa'!$O$12="",$D338&lt;&gt;""),"",IF($F338&lt;='La Mia Rosa'!$O$12*'Parametri Modello'!$B$24,"OK",IF($F338&lt;='La Mia Rosa'!$O$12*'Parametri Modello'!$B$25,"Attenzione","Rischio Alto")))</f>
        <v>OK</v>
      </c>
      <c r="V338" s="26" t="n">
        <f aca="false">IFERROR(COUNTIFS($B$2:$B$492,$B338,$O$2:$O$492,"&gt;"&amp;$O338)+1,"")</f>
        <v>68</v>
      </c>
      <c r="W338" s="21" t="n">
        <f aca="false">'Info Lega'!$B$4-SUMIFS($M$2:$M$492,$D$2:$D$492,'Info Lega'!$B$28)</f>
        <v>1000</v>
      </c>
      <c r="X338" s="21" t="n">
        <f aca="false">('Info Lega'!$B$5-COUNTIFS($D$2:$D$492,'Info Lega'!$B$28,$B$2:$B$492,"P"))+('Info Lega'!$B$6-COUNTIFS($D$2:$D$492,'Info Lega'!$B$28,$B$2:$B$492,"D"))+('Info Lega'!$B$7-COUNTIFS($D$2:$D$492,'Info Lega'!$B$28,$B$2:$B$492,"C"))+('Info Lega'!$B$8-COUNTIFS($D$2:$D$492,'Info Lega'!$B$28,$B$2:$B$492,"A"))</f>
        <v>25</v>
      </c>
      <c r="Y338" s="21" t="n">
        <f aca="false">X338*'Parametri Modello'!$B$30</f>
        <v>25</v>
      </c>
      <c r="Z338" s="21" t="n">
        <f aca="false">MAX(0,W338-Y338)</f>
        <v>975</v>
      </c>
      <c r="AA338" s="21" t="n">
        <f aca="false">MIN(F338,Z338)</f>
        <v>8</v>
      </c>
      <c r="AB338" s="21"/>
      <c r="AC338" s="21" t="str">
        <f aca="false">IF(AB338="","",IF(AB338&gt;AA338,"PASS",IF(AB338&lt;=AA338*0.85,"BID","ATTENZIONE")))</f>
        <v/>
      </c>
      <c r="AD338" s="31" t="n">
        <f aca="false">IF(I338="","",ROUND(100*(1-EXP(-I338/30)),0))</f>
        <v>23</v>
      </c>
      <c r="AE338" s="7" t="str">
        <f aca="false">IFERROR(INDEX('Stato Asta'!$G$9:$G$12,MATCH($B338,'Stato Asta'!$A$9:$A$12,0)),"")</f>
        <v>🔴 Non aspettare</v>
      </c>
    </row>
    <row r="339" customFormat="false" ht="14.25" hidden="false" customHeight="true" outlineLevel="0" collapsed="false">
      <c r="A339" s="21" t="n">
        <v>7453</v>
      </c>
      <c r="B339" s="21" t="s">
        <v>46</v>
      </c>
      <c r="C339" s="21" t="s">
        <v>602</v>
      </c>
      <c r="E339" s="26" t="str">
        <f aca="false">IF(COUNTIF('Info Strategia'!$D$2:$D$51,$C339)&gt;0,"SI","NO")</f>
        <v>NO</v>
      </c>
      <c r="F339" s="27" t="n">
        <f aca="false">IFERROR(ROUND(($G339+($H339-$G339)*'Info Strategia'!$B$6)*(1+IF($E339="SI",'Parametri Modello'!$B$7*'Info Strategia'!$B$6,0)),0),"")</f>
        <v>8</v>
      </c>
      <c r="G339" s="27" t="n">
        <f aca="false">IFERROR(ROUND((IF(OR(INDEX('Parametri Modello'!$C$39:$C$42,MATCH($B339,'Parametri Modello'!$A$39:$A$42,0))="",INDEX('Parametri Modello'!$C$39:$C$42,MATCH($B339,'Parametri Modello'!$A$39:$A$42,0))=0),0,($O339/INDEX('Parametri Modello'!$C$39:$C$42,MATCH($B339,'Parametri Modello'!$A$39:$A$42,0)))*(INDEX('Parametri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5</v>
      </c>
      <c r="H339" s="27" t="n">
        <f aca="false">IFERROR(ROUND((IF(OR(INDEX('Parametri Modello'!$C$39:$C$42,MATCH($B339,'Parametri Modello'!$A$39:$A$42,0))="",INDEX('Parametri Modello'!$C$39:$C$42,MATCH($B339,'Parametri Modello'!$A$39:$A$42,0))=0),0,($O339/INDEX('Parametri Modello'!$C$39:$C$42,MATCH($B339,'Parametri Modello'!$A$39:$A$42,0)))*(INDEX('Parametri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9</v>
      </c>
      <c r="I339" s="26" t="str">
        <f aca="false">IFERROR(INDEX('Input Statistiche 2025_26'!$F$3:$F$665,MATCH($A339,'Input Statistiche 2025_26'!$A$3:$A$665,0)),"")</f>
        <v/>
      </c>
      <c r="J339" s="26" t="str">
        <f aca="false">IFERROR(IF($I339="","",MAX(0,38-$I339)),"")</f>
        <v/>
      </c>
      <c r="K339" s="26" t="str">
        <f aca="false">IFERROR(INDEX('Input Statistiche 2025_26'!$I$3:$I$665,MATCH($A339,'Input Statistiche 2025_26'!$A$3:$A$665,0)),"")</f>
        <v/>
      </c>
      <c r="L339" s="26" t="str">
        <f aca="false">IFERROR(INDEX('Input Statistiche 2025_26'!$O$3:$O$665,MATCH($A339,'Input Statistiche 2025_26'!$A$3:$A$665,0)),"")</f>
        <v/>
      </c>
      <c r="M339" s="28"/>
      <c r="N339" s="27" t="n">
        <f aca="false">IFERROR(INDEX('Input Giocatori 2026_27'!$E$3:$E$493,MATCH($A339,'Input Giocatori 2026_27'!$A$3:$A$493,0)),"")</f>
        <v>4</v>
      </c>
      <c r="O339" s="27" t="n">
        <f aca="false">IFERROR(INDEX('Input Giocatori 2026_27'!$G$3:$G$493,MATCH($A339,'Input Giocatori 2026_27'!$A$3:$A$493,0)),"")</f>
        <v>9</v>
      </c>
      <c r="P339" s="26" t="str">
        <f aca="false">IFERROR(IF($O339="","",IF((1-(COUNTIFS($B$2:$B$492,$B339,$O$2:$O$492,"&gt;"&amp;$O339)+1-1)/COUNTIF($B$2:$B$492,$B339))&gt;=0.85,"Top",IF((1-(COUNTIFS($B$2:$B$492,$B339,$O$2:$O$492,"&gt;"&amp;$O339)+1-1)/COUNTIF($B$2:$B$492,$B339))&gt;=0.6,"Buono",IF((1-(COUNTIFS($B$2:$B$492,$B339,$O$2:$O$492,"&gt;"&amp;$O339)+1-1)/COUNTIF($B$2:$B$492,$B339))&gt;=0.3,"Nella Media","Scommessa/Riserva")))),"")</f>
        <v>Scommessa/Riserva</v>
      </c>
      <c r="Q339" s="29" t="n">
        <f aca="false">IF($D339="",COUNTIF($D$2:$D339,""),"")</f>
        <v>338</v>
      </c>
      <c r="R339" s="29" t="str">
        <f aca="false">IF($D339='Info Lega'!$B$28,COUNTIFS($D$2:$D339,'Info Lega'!$B$28),"")</f>
        <v/>
      </c>
      <c r="S339" s="30" t="str">
        <f aca="false">IFERROR(INDEX('Input Statistiche 2025_26'!$G$3:$G$665,MATCH($A339,'Input Statistiche 2025_26'!$A$3:$A$665,0)),"")</f>
        <v/>
      </c>
      <c r="T339" s="30" t="str">
        <f aca="false">IFERROR(INDEX('Input Statistiche 2025_26'!$H$3:$H$665,MATCH($A339,'Input Statistiche 2025_26'!$A$3:$A$665,0)),"")</f>
        <v/>
      </c>
      <c r="U339" s="26" t="str">
        <f aca="false">IF(OR('La Mia Rosa'!$O$12="",$D339&lt;&gt;""),"",IF($F339&lt;='La Mia Rosa'!$O$12*'Parametri Modello'!$B$24,"OK",IF($F339&lt;='La Mia Rosa'!$O$12*'Parametri Modello'!$B$25,"Attenzione","Rischio Alto")))</f>
        <v>OK</v>
      </c>
      <c r="V339" s="26" t="n">
        <f aca="false">IFERROR(COUNTIFS($B$2:$B$492,$B339,$O$2:$O$492,"&gt;"&amp;$O339)+1,"")</f>
        <v>68</v>
      </c>
      <c r="W339" s="21" t="n">
        <f aca="false">'Info Lega'!$B$4-SUMIFS($M$2:$M$492,$D$2:$D$492,'Info Lega'!$B$28)</f>
        <v>1000</v>
      </c>
      <c r="X339" s="21" t="n">
        <f aca="false">('Info Lega'!$B$5-COUNTIFS($D$2:$D$492,'Info Lega'!$B$28,$B$2:$B$492,"P"))+('Info Lega'!$B$6-COUNTIFS($D$2:$D$492,'Info Lega'!$B$28,$B$2:$B$492,"D"))+('Info Lega'!$B$7-COUNTIFS($D$2:$D$492,'Info Lega'!$B$28,$B$2:$B$492,"C"))+('Info Lega'!$B$8-COUNTIFS($D$2:$D$492,'Info Lega'!$B$28,$B$2:$B$492,"A"))</f>
        <v>25</v>
      </c>
      <c r="Y339" s="21" t="n">
        <f aca="false">X339*'Parametri Modello'!$B$30</f>
        <v>25</v>
      </c>
      <c r="Z339" s="21" t="n">
        <f aca="false">MAX(0,W339-Y339)</f>
        <v>975</v>
      </c>
      <c r="AA339" s="21" t="n">
        <f aca="false">MIN(F339,Z339)</f>
        <v>8</v>
      </c>
      <c r="AB339" s="21"/>
      <c r="AC339" s="21" t="str">
        <f aca="false">IF(AB339="","",IF(AB339&gt;AA339,"PASS",IF(AB339&lt;=AA339*0.85,"BID","ATTENZIONE")))</f>
        <v/>
      </c>
      <c r="AD339" s="31" t="str">
        <f aca="false">IF(I339="","",ROUND(100*(1-EXP(-I339/30)),0))</f>
        <v/>
      </c>
      <c r="AE339" s="7" t="str">
        <f aca="false">IFERROR(INDEX('Stato Asta'!$G$9:$G$12,MATCH($B339,'Stato Asta'!$A$9:$A$12,0)),"")</f>
        <v>🔴 Non aspettare</v>
      </c>
    </row>
    <row r="340" customFormat="false" ht="14.25" hidden="false" customHeight="true" outlineLevel="0" collapsed="false">
      <c r="A340" s="21" t="n">
        <v>7349</v>
      </c>
      <c r="B340" s="21" t="s">
        <v>46</v>
      </c>
      <c r="C340" s="21" t="s">
        <v>604</v>
      </c>
      <c r="E340" s="26" t="str">
        <f aca="false">IF(COUNTIF('Info Strategia'!$D$2:$D$51,$C340)&gt;0,"SI","NO")</f>
        <v>NO</v>
      </c>
      <c r="F340" s="27" t="n">
        <f aca="false">IFERROR(ROUND(($G340+($H340-$G340)*'Info Strategia'!$B$6)*(1+IF($E340="SI",'Parametri Modello'!$B$7*'Info Strategia'!$B$6,0)),0),"")</f>
        <v>8</v>
      </c>
      <c r="G340" s="27" t="n">
        <f aca="false">IFERROR(ROUND((IF(OR(INDEX('Parametri Modello'!$C$39:$C$42,MATCH($B340,'Parametri Modello'!$A$39:$A$42,0))="",INDEX('Parametri Modello'!$C$39:$C$42,MATCH($B340,'Parametri Modello'!$A$39:$A$42,0))=0),0,($O340/INDEX('Parametri Modello'!$C$39:$C$42,MATCH($B340,'Parametri Modello'!$A$39:$A$42,0)))*(INDEX('Parametri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5</v>
      </c>
      <c r="H340" s="27" t="n">
        <f aca="false">IFERROR(ROUND((IF(OR(INDEX('Parametri Modello'!$C$39:$C$42,MATCH($B340,'Parametri Modello'!$A$39:$A$42,0))="",INDEX('Parametri Modello'!$C$39:$C$42,MATCH($B340,'Parametri Modello'!$A$39:$A$42,0))=0),0,($O340/INDEX('Parametri Modello'!$C$39:$C$42,MATCH($B340,'Parametri Modello'!$A$39:$A$42,0)))*(INDEX('Parametri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9</v>
      </c>
      <c r="I340" s="26" t="n">
        <f aca="false">IFERROR(INDEX('Input Statistiche 2025_26'!$F$3:$F$665,MATCH($A340,'Input Statistiche 2025_26'!$A$3:$A$665,0)),"")</f>
        <v>7</v>
      </c>
      <c r="J340" s="26" t="n">
        <f aca="false">IFERROR(IF($I340="","",MAX(0,38-$I340)),"")</f>
        <v>31</v>
      </c>
      <c r="K340" s="26" t="n">
        <f aca="false">IFERROR(INDEX('Input Statistiche 2025_26'!$I$3:$I$665,MATCH($A340,'Input Statistiche 2025_26'!$A$3:$A$665,0)),"")</f>
        <v>0</v>
      </c>
      <c r="L340" s="26" t="n">
        <f aca="false">IFERROR(INDEX('Input Statistiche 2025_26'!$O$3:$O$665,MATCH($A340,'Input Statistiche 2025_26'!$A$3:$A$665,0)),"")</f>
        <v>1</v>
      </c>
      <c r="M340" s="28"/>
      <c r="N340" s="27" t="n">
        <f aca="false">IFERROR(INDEX('Input Giocatori 2026_27'!$E$3:$E$493,MATCH($A340,'Input Giocatori 2026_27'!$A$3:$A$493,0)),"")</f>
        <v>4</v>
      </c>
      <c r="O340" s="27" t="n">
        <f aca="false">IFERROR(INDEX('Input Giocatori 2026_27'!$G$3:$G$493,MATCH($A340,'Input Giocatori 2026_27'!$A$3:$A$493,0)),"")</f>
        <v>9</v>
      </c>
      <c r="P340" s="26" t="str">
        <f aca="false">IFERROR(IF($O340="","",IF((1-(COUNTIFS($B$2:$B$492,$B340,$O$2:$O$492,"&gt;"&amp;$O340)+1-1)/COUNTIF($B$2:$B$492,$B340))&gt;=0.85,"Top",IF((1-(COUNTIFS($B$2:$B$492,$B340,$O$2:$O$492,"&gt;"&amp;$O340)+1-1)/COUNTIF($B$2:$B$492,$B340))&gt;=0.6,"Buono",IF((1-(COUNTIFS($B$2:$B$492,$B340,$O$2:$O$492,"&gt;"&amp;$O340)+1-1)/COUNTIF($B$2:$B$492,$B340))&gt;=0.3,"Nella Media","Scommessa/Riserva")))),"")</f>
        <v>Scommessa/Riserva</v>
      </c>
      <c r="Q340" s="29" t="n">
        <f aca="false">IF($D340="",COUNTIF($D$2:$D340,""),"")</f>
        <v>339</v>
      </c>
      <c r="R340" s="29" t="str">
        <f aca="false">IF($D340='Info Lega'!$B$28,COUNTIFS($D$2:$D340,'Info Lega'!$B$28),"")</f>
        <v/>
      </c>
      <c r="S340" s="30" t="n">
        <f aca="false">IFERROR(INDEX('Input Statistiche 2025_26'!$G$3:$G$665,MATCH($A340,'Input Statistiche 2025_26'!$A$3:$A$665,0)),"")</f>
        <v>5.71</v>
      </c>
      <c r="T340" s="30" t="n">
        <f aca="false">IFERROR(INDEX('Input Statistiche 2025_26'!$H$3:$H$665,MATCH($A340,'Input Statistiche 2025_26'!$A$3:$A$665,0)),"")</f>
        <v>5.79</v>
      </c>
      <c r="U340" s="26" t="str">
        <f aca="false">IF(OR('La Mia Rosa'!$O$12="",$D340&lt;&gt;""),"",IF($F340&lt;='La Mia Rosa'!$O$12*'Parametri Modello'!$B$24,"OK",IF($F340&lt;='La Mia Rosa'!$O$12*'Parametri Modello'!$B$25,"Attenzione","Rischio Alto")))</f>
        <v>OK</v>
      </c>
      <c r="V340" s="26" t="n">
        <f aca="false">IFERROR(COUNTIFS($B$2:$B$492,$B340,$O$2:$O$492,"&gt;"&amp;$O340)+1,"")</f>
        <v>68</v>
      </c>
      <c r="W340" s="21" t="n">
        <f aca="false">'Info Lega'!$B$4-SUMIFS($M$2:$M$492,$D$2:$D$492,'Info Lega'!$B$28)</f>
        <v>1000</v>
      </c>
      <c r="X340" s="21" t="n">
        <f aca="false">('Info Lega'!$B$5-COUNTIFS($D$2:$D$492,'Info Lega'!$B$28,$B$2:$B$492,"P"))+('Info Lega'!$B$6-COUNTIFS($D$2:$D$492,'Info Lega'!$B$28,$B$2:$B$492,"D"))+('Info Lega'!$B$7-COUNTIFS($D$2:$D$492,'Info Lega'!$B$28,$B$2:$B$492,"C"))+('Info Lega'!$B$8-COUNTIFS($D$2:$D$492,'Info Lega'!$B$28,$B$2:$B$492,"A"))</f>
        <v>25</v>
      </c>
      <c r="Y340" s="21" t="n">
        <f aca="false">X340*'Parametri Modello'!$B$30</f>
        <v>25</v>
      </c>
      <c r="Z340" s="21" t="n">
        <f aca="false">MAX(0,W340-Y340)</f>
        <v>975</v>
      </c>
      <c r="AA340" s="21" t="n">
        <f aca="false">MIN(F340,Z340)</f>
        <v>8</v>
      </c>
      <c r="AB340" s="21"/>
      <c r="AC340" s="21" t="str">
        <f aca="false">IF(AB340="","",IF(AB340&gt;AA340,"PASS",IF(AB340&lt;=AA340*0.85,"BID","ATTENZIONE")))</f>
        <v/>
      </c>
      <c r="AD340" s="31" t="n">
        <f aca="false">IF(I340="","",ROUND(100*(1-EXP(-I340/30)),0))</f>
        <v>21</v>
      </c>
      <c r="AE340" s="7" t="str">
        <f aca="false">IFERROR(INDEX('Stato Asta'!$G$9:$G$12,MATCH($B340,'Stato Asta'!$A$9:$A$12,0)),"")</f>
        <v>🔴 Non aspettare</v>
      </c>
    </row>
    <row r="341" customFormat="false" ht="14.25" hidden="false" customHeight="true" outlineLevel="0" collapsed="false">
      <c r="A341" s="21" t="n">
        <v>7001</v>
      </c>
      <c r="B341" s="21" t="s">
        <v>46</v>
      </c>
      <c r="C341" s="21" t="s">
        <v>608</v>
      </c>
      <c r="E341" s="26" t="str">
        <f aca="false">IF(COUNTIF('Info Strategia'!$D$2:$D$51,$C341)&gt;0,"SI","NO")</f>
        <v>NO</v>
      </c>
      <c r="F341" s="27" t="n">
        <f aca="false">IFERROR(ROUND(($G341+($H341-$G341)*'Info Strategia'!$B$6)*(1+IF($E341="SI",'Parametri Modello'!$B$7*'Info Strategia'!$B$6,0)),0),"")</f>
        <v>8</v>
      </c>
      <c r="G341" s="27" t="n">
        <f aca="false">IFERROR(ROUND((IF(OR(INDEX('Parametri Modello'!$C$39:$C$42,MATCH($B341,'Parametri Modello'!$A$39:$A$42,0))="",INDEX('Parametri Modello'!$C$39:$C$42,MATCH($B341,'Parametri Modello'!$A$39:$A$42,0))=0),0,($O341/INDEX('Parametri Modello'!$C$39:$C$42,MATCH($B341,'Parametri Modello'!$A$39:$A$42,0)))*(INDEX('Parametri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5</v>
      </c>
      <c r="H341" s="27" t="n">
        <f aca="false">IFERROR(ROUND((IF(OR(INDEX('Parametri Modello'!$C$39:$C$42,MATCH($B341,'Parametri Modello'!$A$39:$A$42,0))="",INDEX('Parametri Modello'!$C$39:$C$42,MATCH($B341,'Parametri Modello'!$A$39:$A$42,0))=0),0,($O341/INDEX('Parametri Modello'!$C$39:$C$42,MATCH($B341,'Parametri Modello'!$A$39:$A$42,0)))*(INDEX('Parametri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9</v>
      </c>
      <c r="I341" s="26" t="n">
        <f aca="false">IFERROR(INDEX('Input Statistiche 2025_26'!$F$3:$F$665,MATCH($A341,'Input Statistiche 2025_26'!$A$3:$A$665,0)),"")</f>
        <v>17</v>
      </c>
      <c r="J341" s="26" t="n">
        <f aca="false">IFERROR(IF($I341="","",MAX(0,38-$I341)),"")</f>
        <v>21</v>
      </c>
      <c r="K341" s="26" t="n">
        <f aca="false">IFERROR(INDEX('Input Statistiche 2025_26'!$I$3:$I$665,MATCH($A341,'Input Statistiche 2025_26'!$A$3:$A$665,0)),"")</f>
        <v>2</v>
      </c>
      <c r="L341" s="26" t="n">
        <f aca="false">IFERROR(INDEX('Input Statistiche 2025_26'!$O$3:$O$665,MATCH($A341,'Input Statistiche 2025_26'!$A$3:$A$665,0)),"")</f>
        <v>0</v>
      </c>
      <c r="M341" s="28"/>
      <c r="N341" s="27" t="n">
        <f aca="false">IFERROR(INDEX('Input Giocatori 2026_27'!$E$3:$E$493,MATCH($A341,'Input Giocatori 2026_27'!$A$3:$A$493,0)),"")</f>
        <v>3</v>
      </c>
      <c r="O341" s="27" t="n">
        <f aca="false">IFERROR(INDEX('Input Giocatori 2026_27'!$G$3:$G$493,MATCH($A341,'Input Giocatori 2026_27'!$A$3:$A$493,0)),"")</f>
        <v>9</v>
      </c>
      <c r="P341" s="26" t="str">
        <f aca="false">IFERROR(IF($O341="","",IF((1-(COUNTIFS($B$2:$B$492,$B341,$O$2:$O$492,"&gt;"&amp;$O341)+1-1)/COUNTIF($B$2:$B$492,$B341))&gt;=0.85,"Top",IF((1-(COUNTIFS($B$2:$B$492,$B341,$O$2:$O$492,"&gt;"&amp;$O341)+1-1)/COUNTIF($B$2:$B$492,$B341))&gt;=0.6,"Buono",IF((1-(COUNTIFS($B$2:$B$492,$B341,$O$2:$O$492,"&gt;"&amp;$O341)+1-1)/COUNTIF($B$2:$B$492,$B341))&gt;=0.3,"Nella Media","Scommessa/Riserva")))),"")</f>
        <v>Scommessa/Riserva</v>
      </c>
      <c r="Q341" s="29" t="n">
        <f aca="false">IF($D341="",COUNTIF($D$2:$D341,""),"")</f>
        <v>340</v>
      </c>
      <c r="R341" s="29" t="str">
        <f aca="false">IF($D341='Info Lega'!$B$28,COUNTIFS($D$2:$D341,'Info Lega'!$B$28),"")</f>
        <v/>
      </c>
      <c r="S341" s="30" t="n">
        <f aca="false">IFERROR(INDEX('Input Statistiche 2025_26'!$G$3:$G$665,MATCH($A341,'Input Statistiche 2025_26'!$A$3:$A$665,0)),"")</f>
        <v>5.82</v>
      </c>
      <c r="T341" s="30" t="n">
        <f aca="false">IFERROR(INDEX('Input Statistiche 2025_26'!$H$3:$H$665,MATCH($A341,'Input Statistiche 2025_26'!$A$3:$A$665,0)),"")</f>
        <v>6.09</v>
      </c>
      <c r="U341" s="26" t="str">
        <f aca="false">IF(OR('La Mia Rosa'!$O$12="",$D341&lt;&gt;""),"",IF($F341&lt;='La Mia Rosa'!$O$12*'Parametri Modello'!$B$24,"OK",IF($F341&lt;='La Mia Rosa'!$O$12*'Parametri Modello'!$B$25,"Attenzione","Rischio Alto")))</f>
        <v>OK</v>
      </c>
      <c r="V341" s="26" t="n">
        <f aca="false">IFERROR(COUNTIFS($B$2:$B$492,$B341,$O$2:$O$492,"&gt;"&amp;$O341)+1,"")</f>
        <v>68</v>
      </c>
      <c r="W341" s="21" t="n">
        <f aca="false">'Info Lega'!$B$4-SUMIFS($M$2:$M$492,$D$2:$D$492,'Info Lega'!$B$28)</f>
        <v>1000</v>
      </c>
      <c r="X341" s="21" t="n">
        <f aca="false">('Info Lega'!$B$5-COUNTIFS($D$2:$D$492,'Info Lega'!$B$28,$B$2:$B$492,"P"))+('Info Lega'!$B$6-COUNTIFS($D$2:$D$492,'Info Lega'!$B$28,$B$2:$B$492,"D"))+('Info Lega'!$B$7-COUNTIFS($D$2:$D$492,'Info Lega'!$B$28,$B$2:$B$492,"C"))+('Info Lega'!$B$8-COUNTIFS($D$2:$D$492,'Info Lega'!$B$28,$B$2:$B$492,"A"))</f>
        <v>25</v>
      </c>
      <c r="Y341" s="21" t="n">
        <f aca="false">X341*'Parametri Modello'!$B$30</f>
        <v>25</v>
      </c>
      <c r="Z341" s="21" t="n">
        <f aca="false">MAX(0,W341-Y341)</f>
        <v>975</v>
      </c>
      <c r="AA341" s="21" t="n">
        <f aca="false">MIN(F341,Z341)</f>
        <v>8</v>
      </c>
      <c r="AB341" s="21"/>
      <c r="AC341" s="21" t="str">
        <f aca="false">IF(AB341="","",IF(AB341&gt;AA341,"PASS",IF(AB341&lt;=AA341*0.85,"BID","ATTENZIONE")))</f>
        <v/>
      </c>
      <c r="AD341" s="31" t="n">
        <f aca="false">IF(I341="","",ROUND(100*(1-EXP(-I341/30)),0))</f>
        <v>43</v>
      </c>
      <c r="AE341" s="7" t="str">
        <f aca="false">IFERROR(INDEX('Stato Asta'!$G$9:$G$12,MATCH($B341,'Stato Asta'!$A$9:$A$12,0)),"")</f>
        <v>🔴 Non aspettare</v>
      </c>
    </row>
    <row r="342" customFormat="false" ht="14.25" hidden="false" customHeight="true" outlineLevel="0" collapsed="false">
      <c r="A342" s="21" t="n">
        <v>6415</v>
      </c>
      <c r="B342" s="21" t="s">
        <v>43</v>
      </c>
      <c r="C342" s="21" t="s">
        <v>151</v>
      </c>
      <c r="E342" s="26" t="str">
        <f aca="false">IF(COUNTIF('Info Strategia'!$D$2:$D$51,$C342)&gt;0,"SI","NO")</f>
        <v>NO</v>
      </c>
      <c r="F342" s="27" t="n">
        <f aca="false">IFERROR(ROUND(($G342+($H342-$G342)*'Info Strategia'!$B$6)*(1+IF($E342="SI",'Parametri Modello'!$B$7*'Info Strategia'!$B$6,0)),0),"")</f>
        <v>9</v>
      </c>
      <c r="G342" s="27" t="n">
        <f aca="false">IFERROR(ROUND((IF(OR(INDEX('Parametri Modello'!$C$39:$C$42,MATCH($B342,'Parametri Modello'!$A$39:$A$42,0))="",INDEX('Parametri Modello'!$C$39:$C$42,MATCH($B342,'Parametri Modello'!$A$39:$A$42,0))=0),0,($O342/INDEX('Parametri Modello'!$C$39:$C$42,MATCH($B342,'Parametri Modello'!$A$39:$A$42,0)))*(INDEX('Parametri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7</v>
      </c>
      <c r="H342" s="27" t="n">
        <f aca="false">IFERROR(ROUND((IF(OR(INDEX('Parametri Modello'!$C$39:$C$42,MATCH($B342,'Parametri Modello'!$A$39:$A$42,0))="",INDEX('Parametri Modello'!$C$39:$C$42,MATCH($B342,'Parametri Modello'!$A$39:$A$42,0))=0),0,($O342/INDEX('Parametri Modello'!$C$39:$C$42,MATCH($B342,'Parametri Modello'!$A$39:$A$42,0)))*(INDEX('Parametri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10</v>
      </c>
      <c r="I342" s="26" t="str">
        <f aca="false">IFERROR(INDEX('Input Statistiche 2025_26'!$F$3:$F$665,MATCH($A342,'Input Statistiche 2025_26'!$A$3:$A$665,0)),"")</f>
        <v/>
      </c>
      <c r="J342" s="26" t="str">
        <f aca="false">IFERROR(IF($I342="","",MAX(0,38-$I342)),"")</f>
        <v/>
      </c>
      <c r="K342" s="26" t="str">
        <f aca="false">IFERROR(INDEX('Input Statistiche 2025_26'!$I$3:$I$665,MATCH($A342,'Input Statistiche 2025_26'!$A$3:$A$665,0)),"")</f>
        <v/>
      </c>
      <c r="L342" s="26" t="str">
        <f aca="false">IFERROR(INDEX('Input Statistiche 2025_26'!$O$3:$O$665,MATCH($A342,'Input Statistiche 2025_26'!$A$3:$A$665,0)),"")</f>
        <v/>
      </c>
      <c r="M342" s="28"/>
      <c r="N342" s="27" t="n">
        <f aca="false">IFERROR(INDEX('Input Giocatori 2026_27'!$E$3:$E$493,MATCH($A342,'Input Giocatori 2026_27'!$A$3:$A$493,0)),"")</f>
        <v>4</v>
      </c>
      <c r="O342" s="27" t="n">
        <f aca="false">IFERROR(INDEX('Input Giocatori 2026_27'!$G$3:$G$493,MATCH($A342,'Input Giocatori 2026_27'!$A$3:$A$493,0)),"")</f>
        <v>8</v>
      </c>
      <c r="P342" s="26" t="str">
        <f aca="false">IFERROR(IF($O342="","",IF((1-(COUNTIFS($B$2:$B$492,$B342,$O$2:$O$492,"&gt;"&amp;$O342)+1-1)/COUNTIF($B$2:$B$492,$B342))&gt;=0.85,"Top",IF((1-(COUNTIFS($B$2:$B$492,$B342,$O$2:$O$492,"&gt;"&amp;$O342)+1-1)/COUNTIF($B$2:$B$492,$B342))&gt;=0.6,"Buono",IF((1-(COUNTIFS($B$2:$B$492,$B342,$O$2:$O$492,"&gt;"&amp;$O342)+1-1)/COUNTIF($B$2:$B$492,$B342))&gt;=0.3,"Nella Media","Scommessa/Riserva")))),"")</f>
        <v>Buono</v>
      </c>
      <c r="Q342" s="29" t="n">
        <f aca="false">IF($D342="",COUNTIF($D$2:$D342,""),"")</f>
        <v>341</v>
      </c>
      <c r="R342" s="29" t="str">
        <f aca="false">IF($D342='Info Lega'!$B$28,COUNTIFS($D$2:$D342,'Info Lega'!$B$28),"")</f>
        <v/>
      </c>
      <c r="S342" s="30" t="str">
        <f aca="false">IFERROR(INDEX('Input Statistiche 2025_26'!$G$3:$G$665,MATCH($A342,'Input Statistiche 2025_26'!$A$3:$A$665,0)),"")</f>
        <v/>
      </c>
      <c r="T342" s="30" t="str">
        <f aca="false">IFERROR(INDEX('Input Statistiche 2025_26'!$H$3:$H$665,MATCH($A342,'Input Statistiche 2025_26'!$A$3:$A$665,0)),"")</f>
        <v/>
      </c>
      <c r="U342" s="26" t="str">
        <f aca="false">IF(OR('La Mia Rosa'!$O$12="",$D342&lt;&gt;""),"",IF($F342&lt;='La Mia Rosa'!$O$12*'Parametri Modello'!$B$24,"OK",IF($F342&lt;='La Mia Rosa'!$O$12*'Parametri Modello'!$B$25,"Attenzione","Rischio Alto")))</f>
        <v>OK</v>
      </c>
      <c r="V342" s="26" t="n">
        <f aca="false">IFERROR(COUNTIFS($B$2:$B$492,$B342,$O$2:$O$492,"&gt;"&amp;$O342)+1,"")</f>
        <v>21</v>
      </c>
      <c r="W342" s="21" t="n">
        <f aca="false">'Info Lega'!$B$4-SUMIFS($M$2:$M$492,$D$2:$D$492,'Info Lega'!$B$28)</f>
        <v>1000</v>
      </c>
      <c r="X342" s="21" t="n">
        <f aca="false">('Info Lega'!$B$5-COUNTIFS($D$2:$D$492,'Info Lega'!$B$28,$B$2:$B$492,"P"))+('Info Lega'!$B$6-COUNTIFS($D$2:$D$492,'Info Lega'!$B$28,$B$2:$B$492,"D"))+('Info Lega'!$B$7-COUNTIFS($D$2:$D$492,'Info Lega'!$B$28,$B$2:$B$492,"C"))+('Info Lega'!$B$8-COUNTIFS($D$2:$D$492,'Info Lega'!$B$28,$B$2:$B$492,"A"))</f>
        <v>25</v>
      </c>
      <c r="Y342" s="21" t="n">
        <f aca="false">X342*'Parametri Modello'!$B$30</f>
        <v>25</v>
      </c>
      <c r="Z342" s="21" t="n">
        <f aca="false">MAX(0,W342-Y342)</f>
        <v>975</v>
      </c>
      <c r="AA342" s="21" t="n">
        <f aca="false">MIN(F342,Z342)</f>
        <v>9</v>
      </c>
      <c r="AB342" s="21"/>
      <c r="AC342" s="21" t="str">
        <f aca="false">IF(AB342="","",IF(AB342&gt;AA342,"PASS",IF(AB342&lt;=AA342*0.85,"BID","ATTENZIONE")))</f>
        <v/>
      </c>
      <c r="AD342" s="31" t="str">
        <f aca="false">IF(I342="","",ROUND(100*(1-EXP(-I342/30)),0))</f>
        <v/>
      </c>
      <c r="AE342" s="7" t="str">
        <f aca="false">IFERROR(INDEX('Stato Asta'!$G$9:$G$12,MATCH($B342,'Stato Asta'!$A$9:$A$12,0)),"")</f>
        <v>🟡 Attesa rischiosa</v>
      </c>
    </row>
    <row r="343" customFormat="false" ht="14.25" hidden="false" customHeight="true" outlineLevel="0" collapsed="false">
      <c r="A343" s="21" t="n">
        <v>7463</v>
      </c>
      <c r="B343" s="21" t="s">
        <v>43</v>
      </c>
      <c r="C343" s="21" t="s">
        <v>153</v>
      </c>
      <c r="E343" s="26" t="str">
        <f aca="false">IF(COUNTIF('Info Strategia'!$D$2:$D$51,$C343)&gt;0,"SI","NO")</f>
        <v>NO</v>
      </c>
      <c r="F343" s="27" t="n">
        <f aca="false">IFERROR(ROUND(($G343+($H343-$G343)*'Info Strategia'!$B$6)*(1+IF($E343="SI",'Parametri Modello'!$B$7*'Info Strategia'!$B$6,0)),0),"")</f>
        <v>9</v>
      </c>
      <c r="G343" s="27" t="n">
        <f aca="false">IFERROR(ROUND((IF(OR(INDEX('Parametri Modello'!$C$39:$C$42,MATCH($B343,'Parametri Modello'!$A$39:$A$42,0))="",INDEX('Parametri Modello'!$C$39:$C$42,MATCH($B343,'Parametri Modello'!$A$39:$A$42,0))=0),0,($O343/INDEX('Parametri Modello'!$C$39:$C$42,MATCH($B343,'Parametri Modello'!$A$39:$A$42,0)))*(INDEX('Parametri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7</v>
      </c>
      <c r="H343" s="27" t="n">
        <f aca="false">IFERROR(ROUND((IF(OR(INDEX('Parametri Modello'!$C$39:$C$42,MATCH($B343,'Parametri Modello'!$A$39:$A$42,0))="",INDEX('Parametri Modello'!$C$39:$C$42,MATCH($B343,'Parametri Modello'!$A$39:$A$42,0))=0),0,($O343/INDEX('Parametri Modello'!$C$39:$C$42,MATCH($B343,'Parametri Modello'!$A$39:$A$42,0)))*(INDEX('Parametri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10</v>
      </c>
      <c r="I343" s="26" t="str">
        <f aca="false">IFERROR(INDEX('Input Statistiche 2025_26'!$F$3:$F$665,MATCH($A343,'Input Statistiche 2025_26'!$A$3:$A$665,0)),"")</f>
        <v/>
      </c>
      <c r="J343" s="26" t="str">
        <f aca="false">IFERROR(IF($I343="","",MAX(0,38-$I343)),"")</f>
        <v/>
      </c>
      <c r="K343" s="26" t="str">
        <f aca="false">IFERROR(INDEX('Input Statistiche 2025_26'!$I$3:$I$665,MATCH($A343,'Input Statistiche 2025_26'!$A$3:$A$665,0)),"")</f>
        <v/>
      </c>
      <c r="L343" s="26" t="str">
        <f aca="false">IFERROR(INDEX('Input Statistiche 2025_26'!$O$3:$O$665,MATCH($A343,'Input Statistiche 2025_26'!$A$3:$A$665,0)),"")</f>
        <v/>
      </c>
      <c r="M343" s="28"/>
      <c r="N343" s="27" t="n">
        <f aca="false">IFERROR(INDEX('Input Giocatori 2026_27'!$E$3:$E$493,MATCH($A343,'Input Giocatori 2026_27'!$A$3:$A$493,0)),"")</f>
        <v>2</v>
      </c>
      <c r="O343" s="27" t="n">
        <f aca="false">IFERROR(INDEX('Input Giocatori 2026_27'!$G$3:$G$493,MATCH($A343,'Input Giocatori 2026_27'!$A$3:$A$493,0)),"")</f>
        <v>8</v>
      </c>
      <c r="P343" s="26" t="str">
        <f aca="false">IFERROR(IF($O343="","",IF((1-(COUNTIFS($B$2:$B$492,$B343,$O$2:$O$492,"&gt;"&amp;$O343)+1-1)/COUNTIF($B$2:$B$492,$B343))&gt;=0.85,"Top",IF((1-(COUNTIFS($B$2:$B$492,$B343,$O$2:$O$492,"&gt;"&amp;$O343)+1-1)/COUNTIF($B$2:$B$492,$B343))&gt;=0.6,"Buono",IF((1-(COUNTIFS($B$2:$B$492,$B343,$O$2:$O$492,"&gt;"&amp;$O343)+1-1)/COUNTIF($B$2:$B$492,$B343))&gt;=0.3,"Nella Media","Scommessa/Riserva")))),"")</f>
        <v>Buono</v>
      </c>
      <c r="Q343" s="29" t="n">
        <f aca="false">IF($D343="",COUNTIF($D$2:$D343,""),"")</f>
        <v>342</v>
      </c>
      <c r="R343" s="29" t="str">
        <f aca="false">IF($D343='Info Lega'!$B$28,COUNTIFS($D$2:$D343,'Info Lega'!$B$28),"")</f>
        <v/>
      </c>
      <c r="S343" s="30" t="str">
        <f aca="false">IFERROR(INDEX('Input Statistiche 2025_26'!$G$3:$G$665,MATCH($A343,'Input Statistiche 2025_26'!$A$3:$A$665,0)),"")</f>
        <v/>
      </c>
      <c r="T343" s="30" t="str">
        <f aca="false">IFERROR(INDEX('Input Statistiche 2025_26'!$H$3:$H$665,MATCH($A343,'Input Statistiche 2025_26'!$A$3:$A$665,0)),"")</f>
        <v/>
      </c>
      <c r="U343" s="26" t="str">
        <f aca="false">IF(OR('La Mia Rosa'!$O$12="",$D343&lt;&gt;""),"",IF($F343&lt;='La Mia Rosa'!$O$12*'Parametri Modello'!$B$24,"OK",IF($F343&lt;='La Mia Rosa'!$O$12*'Parametri Modello'!$B$25,"Attenzione","Rischio Alto")))</f>
        <v>OK</v>
      </c>
      <c r="V343" s="26" t="n">
        <f aca="false">IFERROR(COUNTIFS($B$2:$B$492,$B343,$O$2:$O$492,"&gt;"&amp;$O343)+1,"")</f>
        <v>21</v>
      </c>
      <c r="W343" s="21" t="n">
        <f aca="false">'Info Lega'!$B$4-SUMIFS($M$2:$M$492,$D$2:$D$492,'Info Lega'!$B$28)</f>
        <v>1000</v>
      </c>
      <c r="X343" s="21" t="n">
        <f aca="false">('Info Lega'!$B$5-COUNTIFS($D$2:$D$492,'Info Lega'!$B$28,$B$2:$B$492,"P"))+('Info Lega'!$B$6-COUNTIFS($D$2:$D$492,'Info Lega'!$B$28,$B$2:$B$492,"D"))+('Info Lega'!$B$7-COUNTIFS($D$2:$D$492,'Info Lega'!$B$28,$B$2:$B$492,"C"))+('Info Lega'!$B$8-COUNTIFS($D$2:$D$492,'Info Lega'!$B$28,$B$2:$B$492,"A"))</f>
        <v>25</v>
      </c>
      <c r="Y343" s="21" t="n">
        <f aca="false">X343*'Parametri Modello'!$B$30</f>
        <v>25</v>
      </c>
      <c r="Z343" s="21" t="n">
        <f aca="false">MAX(0,W343-Y343)</f>
        <v>975</v>
      </c>
      <c r="AA343" s="21" t="n">
        <f aca="false">MIN(F343,Z343)</f>
        <v>9</v>
      </c>
      <c r="AB343" s="21"/>
      <c r="AC343" s="21" t="str">
        <f aca="false">IF(AB343="","",IF(AB343&gt;AA343,"PASS",IF(AB343&lt;=AA343*0.85,"BID","ATTENZIONE")))</f>
        <v/>
      </c>
      <c r="AD343" s="31" t="str">
        <f aca="false">IF(I343="","",ROUND(100*(1-EXP(-I343/30)),0))</f>
        <v/>
      </c>
      <c r="AE343" s="7" t="str">
        <f aca="false">IFERROR(INDEX('Stato Asta'!$G$9:$G$12,MATCH($B343,'Stato Asta'!$A$9:$A$12,0)),"")</f>
        <v>🟡 Attesa rischiosa</v>
      </c>
    </row>
    <row r="344" customFormat="false" ht="14.25" hidden="false" customHeight="true" outlineLevel="0" collapsed="false">
      <c r="A344" s="21" t="n">
        <v>5603</v>
      </c>
      <c r="B344" s="21" t="s">
        <v>44</v>
      </c>
      <c r="C344" s="21" t="s">
        <v>283</v>
      </c>
      <c r="E344" s="26" t="str">
        <f aca="false">IF(COUNTIF('Info Strategia'!$D$2:$D$51,$C344)&gt;0,"SI","NO")</f>
        <v>NO</v>
      </c>
      <c r="F344" s="27" t="n">
        <f aca="false">IFERROR(ROUND(($G344+($H344-$G344)*'Info Strategia'!$B$6)*(1+IF($E344="SI",'Parametri Modello'!$B$7*'Info Strategia'!$B$6,0)),0),"")</f>
        <v>4</v>
      </c>
      <c r="G344" s="27" t="n">
        <f aca="false">IFERROR(ROUND((IF(OR(INDEX('Parametri Modello'!$C$39:$C$42,MATCH($B344,'Parametri Modello'!$A$39:$A$42,0))="",INDEX('Parametri Modello'!$C$39:$C$42,MATCH($B344,'Parametri Modello'!$A$39:$A$42,0))=0),0,($O344/INDEX('Parametri Modello'!$C$39:$C$42,MATCH($B344,'Parametri Modello'!$A$39:$A$42,0)))*(INDEX('Parametri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3</v>
      </c>
      <c r="H344" s="27" t="n">
        <f aca="false">IFERROR(ROUND((IF(OR(INDEX('Parametri Modello'!$C$39:$C$42,MATCH($B344,'Parametri Modello'!$A$39:$A$42,0))="",INDEX('Parametri Modello'!$C$39:$C$42,MATCH($B344,'Parametri Modello'!$A$39:$A$42,0))=0),0,($O344/INDEX('Parametri Modello'!$C$39:$C$42,MATCH($B344,'Parametri Modello'!$A$39:$A$42,0)))*(INDEX('Parametri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4</v>
      </c>
      <c r="I344" s="26" t="n">
        <f aca="false">IFERROR(INDEX('Input Statistiche 2025_26'!$F$3:$F$665,MATCH($A344,'Input Statistiche 2025_26'!$A$3:$A$665,0)),"")</f>
        <v>35</v>
      </c>
      <c r="J344" s="26" t="n">
        <f aca="false">IFERROR(IF($I344="","",MAX(0,38-$I344)),"")</f>
        <v>3</v>
      </c>
      <c r="K344" s="26" t="n">
        <f aca="false">IFERROR(INDEX('Input Statistiche 2025_26'!$I$3:$I$665,MATCH($A344,'Input Statistiche 2025_26'!$A$3:$A$665,0)),"")</f>
        <v>0</v>
      </c>
      <c r="L344" s="26" t="n">
        <f aca="false">IFERROR(INDEX('Input Statistiche 2025_26'!$O$3:$O$665,MATCH($A344,'Input Statistiche 2025_26'!$A$3:$A$665,0)),"")</f>
        <v>0</v>
      </c>
      <c r="M344" s="28"/>
      <c r="N344" s="27" t="n">
        <f aca="false">IFERROR(INDEX('Input Giocatori 2026_27'!$E$3:$E$493,MATCH($A344,'Input Giocatori 2026_27'!$A$3:$A$493,0)),"")</f>
        <v>4</v>
      </c>
      <c r="O344" s="27" t="n">
        <f aca="false">IFERROR(INDEX('Input Giocatori 2026_27'!$G$3:$G$493,MATCH($A344,'Input Giocatori 2026_27'!$A$3:$A$493,0)),"")</f>
        <v>8</v>
      </c>
      <c r="P344" s="26" t="str">
        <f aca="false">IFERROR(IF($O344="","",IF((1-(COUNTIFS($B$2:$B$492,$B344,$O$2:$O$492,"&gt;"&amp;$O344)+1-1)/COUNTIF($B$2:$B$492,$B344))&gt;=0.85,"Top",IF((1-(COUNTIFS($B$2:$B$492,$B344,$O$2:$O$492,"&gt;"&amp;$O344)+1-1)/COUNTIF($B$2:$B$492,$B344))&gt;=0.6,"Buono",IF((1-(COUNTIFS($B$2:$B$492,$B344,$O$2:$O$492,"&gt;"&amp;$O344)+1-1)/COUNTIF($B$2:$B$492,$B344))&gt;=0.3,"Nella Media","Scommessa/Riserva")))),"")</f>
        <v>Nella Media</v>
      </c>
      <c r="Q344" s="29" t="n">
        <f aca="false">IF($D344="",COUNTIF($D$2:$D344,""),"")</f>
        <v>343</v>
      </c>
      <c r="R344" s="29" t="str">
        <f aca="false">IF($D344='Info Lega'!$B$28,COUNTIFS($D$2:$D344,'Info Lega'!$B$28),"")</f>
        <v/>
      </c>
      <c r="S344" s="30" t="n">
        <f aca="false">IFERROR(INDEX('Input Statistiche 2025_26'!$G$3:$G$665,MATCH($A344,'Input Statistiche 2025_26'!$A$3:$A$665,0)),"")</f>
        <v>5.84</v>
      </c>
      <c r="T344" s="30" t="n">
        <f aca="false">IFERROR(INDEX('Input Statistiche 2025_26'!$H$3:$H$665,MATCH($A344,'Input Statistiche 2025_26'!$A$3:$A$665,0)),"")</f>
        <v>5.67</v>
      </c>
      <c r="U344" s="26" t="str">
        <f aca="false">IF(OR('La Mia Rosa'!$O$12="",$D344&lt;&gt;""),"",IF($F344&lt;='La Mia Rosa'!$O$12*'Parametri Modello'!$B$24,"OK",IF($F344&lt;='La Mia Rosa'!$O$12*'Parametri Modello'!$B$25,"Attenzione","Rischio Alto")))</f>
        <v>OK</v>
      </c>
      <c r="V344" s="26" t="n">
        <f aca="false">IFERROR(COUNTIFS($B$2:$B$492,$B344,$O$2:$O$492,"&gt;"&amp;$O344)+1,"")</f>
        <v>118</v>
      </c>
      <c r="W344" s="21" t="n">
        <f aca="false">'Info Lega'!$B$4-SUMIFS($M$2:$M$492,$D$2:$D$492,'Info Lega'!$B$28)</f>
        <v>1000</v>
      </c>
      <c r="X344" s="21" t="n">
        <f aca="false">('Info Lega'!$B$5-COUNTIFS($D$2:$D$492,'Info Lega'!$B$28,$B$2:$B$492,"P"))+('Info Lega'!$B$6-COUNTIFS($D$2:$D$492,'Info Lega'!$B$28,$B$2:$B$492,"D"))+('Info Lega'!$B$7-COUNTIFS($D$2:$D$492,'Info Lega'!$B$28,$B$2:$B$492,"C"))+('Info Lega'!$B$8-COUNTIFS($D$2:$D$492,'Info Lega'!$B$28,$B$2:$B$492,"A"))</f>
        <v>25</v>
      </c>
      <c r="Y344" s="21" t="n">
        <f aca="false">X344*'Parametri Modello'!$B$30</f>
        <v>25</v>
      </c>
      <c r="Z344" s="21" t="n">
        <f aca="false">MAX(0,W344-Y344)</f>
        <v>975</v>
      </c>
      <c r="AA344" s="21" t="n">
        <f aca="false">MIN(F344,Z344)</f>
        <v>4</v>
      </c>
      <c r="AB344" s="21"/>
      <c r="AC344" s="21" t="str">
        <f aca="false">IF(AB344="","",IF(AB344&gt;AA344,"PASS",IF(AB344&lt;=AA344*0.85,"BID","ATTENZIONE")))</f>
        <v/>
      </c>
      <c r="AD344" s="31" t="n">
        <f aca="false">IF(I344="","",ROUND(100*(1-EXP(-I344/30)),0))</f>
        <v>69</v>
      </c>
      <c r="AE344" s="7" t="str">
        <f aca="false">IFERROR(INDEX('Stato Asta'!$G$9:$G$12,MATCH($B344,'Stato Asta'!$A$9:$A$12,0)),"")</f>
        <v>🟡 Attesa rischiosa</v>
      </c>
    </row>
    <row r="345" customFormat="false" ht="14.25" hidden="false" customHeight="true" outlineLevel="0" collapsed="false">
      <c r="A345" s="21" t="n">
        <v>7312</v>
      </c>
      <c r="B345" s="21" t="s">
        <v>44</v>
      </c>
      <c r="C345" s="21" t="s">
        <v>299</v>
      </c>
      <c r="E345" s="26" t="str">
        <f aca="false">IF(COUNTIF('Info Strategia'!$D$2:$D$51,$C345)&gt;0,"SI","NO")</f>
        <v>NO</v>
      </c>
      <c r="F345" s="27" t="n">
        <f aca="false">IFERROR(ROUND(($G345+($H345-$G345)*'Info Strategia'!$B$6)*(1+IF($E345="SI",'Parametri Modello'!$B$7*'Info Strategia'!$B$6,0)),0),"")</f>
        <v>4</v>
      </c>
      <c r="G345" s="27" t="n">
        <f aca="false">IFERROR(ROUND((IF(OR(INDEX('Parametri Modello'!$C$39:$C$42,MATCH($B345,'Parametri Modello'!$A$39:$A$42,0))="",INDEX('Parametri Modello'!$C$39:$C$42,MATCH($B345,'Parametri Modello'!$A$39:$A$42,0))=0),0,($O345/INDEX('Parametri Modello'!$C$39:$C$42,MATCH($B345,'Parametri Modello'!$A$39:$A$42,0)))*(INDEX('Parametri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3</v>
      </c>
      <c r="H345" s="27" t="n">
        <f aca="false">IFERROR(ROUND((IF(OR(INDEX('Parametri Modello'!$C$39:$C$42,MATCH($B345,'Parametri Modello'!$A$39:$A$42,0))="",INDEX('Parametri Modello'!$C$39:$C$42,MATCH($B345,'Parametri Modello'!$A$39:$A$42,0))=0),0,($O345/INDEX('Parametri Modello'!$C$39:$C$42,MATCH($B345,'Parametri Modello'!$A$39:$A$42,0)))*(INDEX('Parametri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4</v>
      </c>
      <c r="I345" s="26" t="n">
        <f aca="false">IFERROR(INDEX('Input Statistiche 2025_26'!$F$3:$F$665,MATCH($A345,'Input Statistiche 2025_26'!$A$3:$A$665,0)),"")</f>
        <v>5</v>
      </c>
      <c r="J345" s="26" t="n">
        <f aca="false">IFERROR(IF($I345="","",MAX(0,38-$I345)),"")</f>
        <v>33</v>
      </c>
      <c r="K345" s="26" t="n">
        <f aca="false">IFERROR(INDEX('Input Statistiche 2025_26'!$I$3:$I$665,MATCH($A345,'Input Statistiche 2025_26'!$A$3:$A$665,0)),"")</f>
        <v>0</v>
      </c>
      <c r="L345" s="26" t="n">
        <f aca="false">IFERROR(INDEX('Input Statistiche 2025_26'!$O$3:$O$665,MATCH($A345,'Input Statistiche 2025_26'!$A$3:$A$665,0)),"")</f>
        <v>0</v>
      </c>
      <c r="M345" s="28"/>
      <c r="N345" s="27" t="n">
        <f aca="false">IFERROR(INDEX('Input Giocatori 2026_27'!$E$3:$E$493,MATCH($A345,'Input Giocatori 2026_27'!$A$3:$A$493,0)),"")</f>
        <v>4</v>
      </c>
      <c r="O345" s="27" t="n">
        <f aca="false">IFERROR(INDEX('Input Giocatori 2026_27'!$G$3:$G$493,MATCH($A345,'Input Giocatori 2026_27'!$A$3:$A$493,0)),"")</f>
        <v>8</v>
      </c>
      <c r="P345" s="26" t="str">
        <f aca="false">IFERROR(IF($O345="","",IF((1-(COUNTIFS($B$2:$B$492,$B345,$O$2:$O$492,"&gt;"&amp;$O345)+1-1)/COUNTIF($B$2:$B$492,$B345))&gt;=0.85,"Top",IF((1-(COUNTIFS($B$2:$B$492,$B345,$O$2:$O$492,"&gt;"&amp;$O345)+1-1)/COUNTIF($B$2:$B$492,$B345))&gt;=0.6,"Buono",IF((1-(COUNTIFS($B$2:$B$492,$B345,$O$2:$O$492,"&gt;"&amp;$O345)+1-1)/COUNTIF($B$2:$B$492,$B345))&gt;=0.3,"Nella Media","Scommessa/Riserva")))),"")</f>
        <v>Nella Media</v>
      </c>
      <c r="Q345" s="29" t="n">
        <f aca="false">IF($D345="",COUNTIF($D$2:$D345,""),"")</f>
        <v>344</v>
      </c>
      <c r="R345" s="29" t="str">
        <f aca="false">IF($D345='Info Lega'!$B$28,COUNTIFS($D$2:$D345,'Info Lega'!$B$28),"")</f>
        <v/>
      </c>
      <c r="S345" s="30" t="n">
        <f aca="false">IFERROR(INDEX('Input Statistiche 2025_26'!$G$3:$G$665,MATCH($A345,'Input Statistiche 2025_26'!$A$3:$A$665,0)),"")</f>
        <v>5.8</v>
      </c>
      <c r="T345" s="30" t="n">
        <f aca="false">IFERROR(INDEX('Input Statistiche 2025_26'!$H$3:$H$665,MATCH($A345,'Input Statistiche 2025_26'!$A$3:$A$665,0)),"")</f>
        <v>5.8</v>
      </c>
      <c r="U345" s="26" t="str">
        <f aca="false">IF(OR('La Mia Rosa'!$O$12="",$D345&lt;&gt;""),"",IF($F345&lt;='La Mia Rosa'!$O$12*'Parametri Modello'!$B$24,"OK",IF($F345&lt;='La Mia Rosa'!$O$12*'Parametri Modello'!$B$25,"Attenzione","Rischio Alto")))</f>
        <v>OK</v>
      </c>
      <c r="V345" s="26" t="n">
        <f aca="false">IFERROR(COUNTIFS($B$2:$B$492,$B345,$O$2:$O$492,"&gt;"&amp;$O345)+1,"")</f>
        <v>118</v>
      </c>
      <c r="W345" s="21" t="n">
        <f aca="false">'Info Lega'!$B$4-SUMIFS($M$2:$M$492,$D$2:$D$492,'Info Lega'!$B$28)</f>
        <v>1000</v>
      </c>
      <c r="X345" s="21" t="n">
        <f aca="false">('Info Lega'!$B$5-COUNTIFS($D$2:$D$492,'Info Lega'!$B$28,$B$2:$B$492,"P"))+('Info Lega'!$B$6-COUNTIFS($D$2:$D$492,'Info Lega'!$B$28,$B$2:$B$492,"D"))+('Info Lega'!$B$7-COUNTIFS($D$2:$D$492,'Info Lega'!$B$28,$B$2:$B$492,"C"))+('Info Lega'!$B$8-COUNTIFS($D$2:$D$492,'Info Lega'!$B$28,$B$2:$B$492,"A"))</f>
        <v>25</v>
      </c>
      <c r="Y345" s="21" t="n">
        <f aca="false">X345*'Parametri Modello'!$B$30</f>
        <v>25</v>
      </c>
      <c r="Z345" s="21" t="n">
        <f aca="false">MAX(0,W345-Y345)</f>
        <v>975</v>
      </c>
      <c r="AA345" s="21" t="n">
        <f aca="false">MIN(F345,Z345)</f>
        <v>4</v>
      </c>
      <c r="AB345" s="21"/>
      <c r="AC345" s="21" t="str">
        <f aca="false">IF(AB345="","",IF(AB345&gt;AA345,"PASS",IF(AB345&lt;=AA345*0.85,"BID","ATTENZIONE")))</f>
        <v/>
      </c>
      <c r="AD345" s="31" t="n">
        <f aca="false">IF(I345="","",ROUND(100*(1-EXP(-I345/30)),0))</f>
        <v>15</v>
      </c>
      <c r="AE345" s="7" t="str">
        <f aca="false">IFERROR(INDEX('Stato Asta'!$G$9:$G$12,MATCH($B345,'Stato Asta'!$A$9:$A$12,0)),"")</f>
        <v>🟡 Attesa rischiosa</v>
      </c>
    </row>
    <row r="346" customFormat="false" ht="14.25" hidden="false" customHeight="true" outlineLevel="0" collapsed="false">
      <c r="A346" s="21" t="n">
        <v>5757</v>
      </c>
      <c r="B346" s="21" t="s">
        <v>44</v>
      </c>
      <c r="C346" s="21" t="s">
        <v>309</v>
      </c>
      <c r="E346" s="26" t="str">
        <f aca="false">IF(COUNTIF('Info Strategia'!$D$2:$D$51,$C346)&gt;0,"SI","NO")</f>
        <v>NO</v>
      </c>
      <c r="F346" s="27" t="n">
        <f aca="false">IFERROR(ROUND(($G346+($H346-$G346)*'Info Strategia'!$B$6)*(1+IF($E346="SI",'Parametri Modello'!$B$7*'Info Strategia'!$B$6,0)),0),"")</f>
        <v>4</v>
      </c>
      <c r="G346" s="27" t="n">
        <f aca="false">IFERROR(ROUND((IF(OR(INDEX('Parametri Modello'!$C$39:$C$42,MATCH($B346,'Parametri Modello'!$A$39:$A$42,0))="",INDEX('Parametri Modello'!$C$39:$C$42,MATCH($B346,'Parametri Modello'!$A$39:$A$42,0))=0),0,($O346/INDEX('Parametri Modello'!$C$39:$C$42,MATCH($B346,'Parametri Modello'!$A$39:$A$42,0)))*(INDEX('Parametri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3</v>
      </c>
      <c r="H346" s="27" t="n">
        <f aca="false">IFERROR(ROUND((IF(OR(INDEX('Parametri Modello'!$C$39:$C$42,MATCH($B346,'Parametri Modello'!$A$39:$A$42,0))="",INDEX('Parametri Modello'!$C$39:$C$42,MATCH($B346,'Parametri Modello'!$A$39:$A$42,0))=0),0,($O346/INDEX('Parametri Modello'!$C$39:$C$42,MATCH($B346,'Parametri Modello'!$A$39:$A$42,0)))*(INDEX('Parametri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4</v>
      </c>
      <c r="I346" s="26" t="str">
        <f aca="false">IFERROR(INDEX('Input Statistiche 2025_26'!$F$3:$F$665,MATCH($A346,'Input Statistiche 2025_26'!$A$3:$A$665,0)),"")</f>
        <v/>
      </c>
      <c r="J346" s="26" t="str">
        <f aca="false">IFERROR(IF($I346="","",MAX(0,38-$I346)),"")</f>
        <v/>
      </c>
      <c r="K346" s="26" t="str">
        <f aca="false">IFERROR(INDEX('Input Statistiche 2025_26'!$I$3:$I$665,MATCH($A346,'Input Statistiche 2025_26'!$A$3:$A$665,0)),"")</f>
        <v/>
      </c>
      <c r="L346" s="26" t="str">
        <f aca="false">IFERROR(INDEX('Input Statistiche 2025_26'!$O$3:$O$665,MATCH($A346,'Input Statistiche 2025_26'!$A$3:$A$665,0)),"")</f>
        <v/>
      </c>
      <c r="M346" s="28"/>
      <c r="N346" s="27" t="n">
        <f aca="false">IFERROR(INDEX('Input Giocatori 2026_27'!$E$3:$E$493,MATCH($A346,'Input Giocatori 2026_27'!$A$3:$A$493,0)),"")</f>
        <v>3</v>
      </c>
      <c r="O346" s="27" t="n">
        <f aca="false">IFERROR(INDEX('Input Giocatori 2026_27'!$G$3:$G$493,MATCH($A346,'Input Giocatori 2026_27'!$A$3:$A$493,0)),"")</f>
        <v>8</v>
      </c>
      <c r="P346" s="26" t="str">
        <f aca="false">IFERROR(IF($O346="","",IF((1-(COUNTIFS($B$2:$B$492,$B346,$O$2:$O$492,"&gt;"&amp;$O346)+1-1)/COUNTIF($B$2:$B$492,$B346))&gt;=0.85,"Top",IF((1-(COUNTIFS($B$2:$B$492,$B346,$O$2:$O$492,"&gt;"&amp;$O346)+1-1)/COUNTIF($B$2:$B$492,$B346))&gt;=0.6,"Buono",IF((1-(COUNTIFS($B$2:$B$492,$B346,$O$2:$O$492,"&gt;"&amp;$O346)+1-1)/COUNTIF($B$2:$B$492,$B346))&gt;=0.3,"Nella Media","Scommessa/Riserva")))),"")</f>
        <v>Nella Media</v>
      </c>
      <c r="Q346" s="29" t="n">
        <f aca="false">IF($D346="",COUNTIF($D$2:$D346,""),"")</f>
        <v>345</v>
      </c>
      <c r="R346" s="29" t="str">
        <f aca="false">IF($D346='Info Lega'!$B$28,COUNTIFS($D$2:$D346,'Info Lega'!$B$28),"")</f>
        <v/>
      </c>
      <c r="S346" s="30" t="str">
        <f aca="false">IFERROR(INDEX('Input Statistiche 2025_26'!$G$3:$G$665,MATCH($A346,'Input Statistiche 2025_26'!$A$3:$A$665,0)),"")</f>
        <v/>
      </c>
      <c r="T346" s="30" t="str">
        <f aca="false">IFERROR(INDEX('Input Statistiche 2025_26'!$H$3:$H$665,MATCH($A346,'Input Statistiche 2025_26'!$A$3:$A$665,0)),"")</f>
        <v/>
      </c>
      <c r="U346" s="26" t="str">
        <f aca="false">IF(OR('La Mia Rosa'!$O$12="",$D346&lt;&gt;""),"",IF($F346&lt;='La Mia Rosa'!$O$12*'Parametri Modello'!$B$24,"OK",IF($F346&lt;='La Mia Rosa'!$O$12*'Parametri Modello'!$B$25,"Attenzione","Rischio Alto")))</f>
        <v>OK</v>
      </c>
      <c r="V346" s="26" t="n">
        <f aca="false">IFERROR(COUNTIFS($B$2:$B$492,$B346,$O$2:$O$492,"&gt;"&amp;$O346)+1,"")</f>
        <v>118</v>
      </c>
      <c r="W346" s="21" t="n">
        <f aca="false">'Info Lega'!$B$4-SUMIFS($M$2:$M$492,$D$2:$D$492,'Info Lega'!$B$28)</f>
        <v>1000</v>
      </c>
      <c r="X346" s="21" t="n">
        <f aca="false">('Info Lega'!$B$5-COUNTIFS($D$2:$D$492,'Info Lega'!$B$28,$B$2:$B$492,"P"))+('Info Lega'!$B$6-COUNTIFS($D$2:$D$492,'Info Lega'!$B$28,$B$2:$B$492,"D"))+('Info Lega'!$B$7-COUNTIFS($D$2:$D$492,'Info Lega'!$B$28,$B$2:$B$492,"C"))+('Info Lega'!$B$8-COUNTIFS($D$2:$D$492,'Info Lega'!$B$28,$B$2:$B$492,"A"))</f>
        <v>25</v>
      </c>
      <c r="Y346" s="21" t="n">
        <f aca="false">X346*'Parametri Modello'!$B$30</f>
        <v>25</v>
      </c>
      <c r="Z346" s="21" t="n">
        <f aca="false">MAX(0,W346-Y346)</f>
        <v>975</v>
      </c>
      <c r="AA346" s="21" t="n">
        <f aca="false">MIN(F346,Z346)</f>
        <v>4</v>
      </c>
      <c r="AB346" s="21"/>
      <c r="AC346" s="21" t="str">
        <f aca="false">IF(AB346="","",IF(AB346&gt;AA346,"PASS",IF(AB346&lt;=AA346*0.85,"BID","ATTENZIONE")))</f>
        <v/>
      </c>
      <c r="AD346" s="31" t="str">
        <f aca="false">IF(I346="","",ROUND(100*(1-EXP(-I346/30)),0))</f>
        <v/>
      </c>
      <c r="AE346" s="7" t="str">
        <f aca="false">IFERROR(INDEX('Stato Asta'!$G$9:$G$12,MATCH($B346,'Stato Asta'!$A$9:$A$12,0)),"")</f>
        <v>🟡 Attesa rischiosa</v>
      </c>
    </row>
    <row r="347" customFormat="false" ht="14.25" hidden="false" customHeight="true" outlineLevel="0" collapsed="false">
      <c r="A347" s="21" t="n">
        <v>7211</v>
      </c>
      <c r="B347" s="21" t="s">
        <v>44</v>
      </c>
      <c r="C347" s="21" t="s">
        <v>313</v>
      </c>
      <c r="E347" s="26" t="str">
        <f aca="false">IF(COUNTIF('Info Strategia'!$D$2:$D$51,$C347)&gt;0,"SI","NO")</f>
        <v>NO</v>
      </c>
      <c r="F347" s="27" t="n">
        <f aca="false">IFERROR(ROUND(($G347+($H347-$G347)*'Info Strategia'!$B$6)*(1+IF($E347="SI",'Parametri Modello'!$B$7*'Info Strategia'!$B$6,0)),0),"")</f>
        <v>4</v>
      </c>
      <c r="G347" s="27" t="n">
        <f aca="false">IFERROR(ROUND((IF(OR(INDEX('Parametri Modello'!$C$39:$C$42,MATCH($B347,'Parametri Modello'!$A$39:$A$42,0))="",INDEX('Parametri Modello'!$C$39:$C$42,MATCH($B347,'Parametri Modello'!$A$39:$A$42,0))=0),0,($O347/INDEX('Parametri Modello'!$C$39:$C$42,MATCH($B347,'Parametri Modello'!$A$39:$A$42,0)))*(INDEX('Parametri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3</v>
      </c>
      <c r="H347" s="27" t="n">
        <f aca="false">IFERROR(ROUND((IF(OR(INDEX('Parametri Modello'!$C$39:$C$42,MATCH($B347,'Parametri Modello'!$A$39:$A$42,0))="",INDEX('Parametri Modello'!$C$39:$C$42,MATCH($B347,'Parametri Modello'!$A$39:$A$42,0))=0),0,($O347/INDEX('Parametri Modello'!$C$39:$C$42,MATCH($B347,'Parametri Modello'!$A$39:$A$42,0)))*(INDEX('Parametri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4</v>
      </c>
      <c r="I347" s="26" t="n">
        <f aca="false">IFERROR(INDEX('Input Statistiche 2025_26'!$F$3:$F$665,MATCH($A347,'Input Statistiche 2025_26'!$A$3:$A$665,0)),"")</f>
        <v>17</v>
      </c>
      <c r="J347" s="26" t="n">
        <f aca="false">IFERROR(IF($I347="","",MAX(0,38-$I347)),"")</f>
        <v>21</v>
      </c>
      <c r="K347" s="26" t="n">
        <f aca="false">IFERROR(INDEX('Input Statistiche 2025_26'!$I$3:$I$665,MATCH($A347,'Input Statistiche 2025_26'!$A$3:$A$665,0)),"")</f>
        <v>2</v>
      </c>
      <c r="L347" s="26" t="n">
        <f aca="false">IFERROR(INDEX('Input Statistiche 2025_26'!$O$3:$O$665,MATCH($A347,'Input Statistiche 2025_26'!$A$3:$A$665,0)),"")</f>
        <v>2</v>
      </c>
      <c r="M347" s="28"/>
      <c r="N347" s="27" t="n">
        <f aca="false">IFERROR(INDEX('Input Giocatori 2026_27'!$E$3:$E$493,MATCH($A347,'Input Giocatori 2026_27'!$A$3:$A$493,0)),"")</f>
        <v>3</v>
      </c>
      <c r="O347" s="27" t="n">
        <f aca="false">IFERROR(INDEX('Input Giocatori 2026_27'!$G$3:$G$493,MATCH($A347,'Input Giocatori 2026_27'!$A$3:$A$493,0)),"")</f>
        <v>8</v>
      </c>
      <c r="P347" s="26" t="str">
        <f aca="false">IFERROR(IF($O347="","",IF((1-(COUNTIFS($B$2:$B$492,$B347,$O$2:$O$492,"&gt;"&amp;$O347)+1-1)/COUNTIF($B$2:$B$492,$B347))&gt;=0.85,"Top",IF((1-(COUNTIFS($B$2:$B$492,$B347,$O$2:$O$492,"&gt;"&amp;$O347)+1-1)/COUNTIF($B$2:$B$492,$B347))&gt;=0.6,"Buono",IF((1-(COUNTIFS($B$2:$B$492,$B347,$O$2:$O$492,"&gt;"&amp;$O347)+1-1)/COUNTIF($B$2:$B$492,$B347))&gt;=0.3,"Nella Media","Scommessa/Riserva")))),"")</f>
        <v>Nella Media</v>
      </c>
      <c r="Q347" s="29" t="n">
        <f aca="false">IF($D347="",COUNTIF($D$2:$D347,""),"")</f>
        <v>346</v>
      </c>
      <c r="R347" s="29" t="str">
        <f aca="false">IF($D347='Info Lega'!$B$28,COUNTIFS($D$2:$D347,'Info Lega'!$B$28),"")</f>
        <v/>
      </c>
      <c r="S347" s="30" t="n">
        <f aca="false">IFERROR(INDEX('Input Statistiche 2025_26'!$G$3:$G$665,MATCH($A347,'Input Statistiche 2025_26'!$A$3:$A$665,0)),"")</f>
        <v>5.94</v>
      </c>
      <c r="T347" s="30" t="n">
        <f aca="false">IFERROR(INDEX('Input Statistiche 2025_26'!$H$3:$H$665,MATCH($A347,'Input Statistiche 2025_26'!$A$3:$A$665,0)),"")</f>
        <v>6.32</v>
      </c>
      <c r="U347" s="26" t="str">
        <f aca="false">IF(OR('La Mia Rosa'!$O$12="",$D347&lt;&gt;""),"",IF($F347&lt;='La Mia Rosa'!$O$12*'Parametri Modello'!$B$24,"OK",IF($F347&lt;='La Mia Rosa'!$O$12*'Parametri Modello'!$B$25,"Attenzione","Rischio Alto")))</f>
        <v>OK</v>
      </c>
      <c r="V347" s="26" t="n">
        <f aca="false">IFERROR(COUNTIFS($B$2:$B$492,$B347,$O$2:$O$492,"&gt;"&amp;$O347)+1,"")</f>
        <v>118</v>
      </c>
      <c r="W347" s="21" t="n">
        <f aca="false">'Info Lega'!$B$4-SUMIFS($M$2:$M$492,$D$2:$D$492,'Info Lega'!$B$28)</f>
        <v>1000</v>
      </c>
      <c r="X347" s="21" t="n">
        <f aca="false">('Info Lega'!$B$5-COUNTIFS($D$2:$D$492,'Info Lega'!$B$28,$B$2:$B$492,"P"))+('Info Lega'!$B$6-COUNTIFS($D$2:$D$492,'Info Lega'!$B$28,$B$2:$B$492,"D"))+('Info Lega'!$B$7-COUNTIFS($D$2:$D$492,'Info Lega'!$B$28,$B$2:$B$492,"C"))+('Info Lega'!$B$8-COUNTIFS($D$2:$D$492,'Info Lega'!$B$28,$B$2:$B$492,"A"))</f>
        <v>25</v>
      </c>
      <c r="Y347" s="21" t="n">
        <f aca="false">X347*'Parametri Modello'!$B$30</f>
        <v>25</v>
      </c>
      <c r="Z347" s="21" t="n">
        <f aca="false">MAX(0,W347-Y347)</f>
        <v>975</v>
      </c>
      <c r="AA347" s="21" t="n">
        <f aca="false">MIN(F347,Z347)</f>
        <v>4</v>
      </c>
      <c r="AB347" s="21"/>
      <c r="AC347" s="21" t="str">
        <f aca="false">IF(AB347="","",IF(AB347&gt;AA347,"PASS",IF(AB347&lt;=AA347*0.85,"BID","ATTENZIONE")))</f>
        <v/>
      </c>
      <c r="AD347" s="31" t="n">
        <f aca="false">IF(I347="","",ROUND(100*(1-EXP(-I347/30)),0))</f>
        <v>43</v>
      </c>
      <c r="AE347" s="7" t="str">
        <f aca="false">IFERROR(INDEX('Stato Asta'!$G$9:$G$12,MATCH($B347,'Stato Asta'!$A$9:$A$12,0)),"")</f>
        <v>🟡 Attesa rischiosa</v>
      </c>
    </row>
    <row r="348" customFormat="false" ht="14.25" hidden="false" customHeight="true" outlineLevel="0" collapsed="false">
      <c r="A348" s="21" t="n">
        <v>7235</v>
      </c>
      <c r="B348" s="21" t="s">
        <v>44</v>
      </c>
      <c r="C348" s="21" t="s">
        <v>317</v>
      </c>
      <c r="E348" s="26" t="str">
        <f aca="false">IF(COUNTIF('Info Strategia'!$D$2:$D$51,$C348)&gt;0,"SI","NO")</f>
        <v>NO</v>
      </c>
      <c r="F348" s="27" t="n">
        <f aca="false">IFERROR(ROUND(($G348+($H348-$G348)*'Info Strategia'!$B$6)*(1+IF($E348="SI",'Parametri Modello'!$B$7*'Info Strategia'!$B$6,0)),0),"")</f>
        <v>4</v>
      </c>
      <c r="G348" s="27" t="n">
        <f aca="false">IFERROR(ROUND((IF(OR(INDEX('Parametri Modello'!$C$39:$C$42,MATCH($B348,'Parametri Modello'!$A$39:$A$42,0))="",INDEX('Parametri Modello'!$C$39:$C$42,MATCH($B348,'Parametri Modello'!$A$39:$A$42,0))=0),0,($O348/INDEX('Parametri Modello'!$C$39:$C$42,MATCH($B348,'Parametri Modello'!$A$39:$A$42,0)))*(INDEX('Parametri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3</v>
      </c>
      <c r="H348" s="27" t="n">
        <f aca="false">IFERROR(ROUND((IF(OR(INDEX('Parametri Modello'!$C$39:$C$42,MATCH($B348,'Parametri Modello'!$A$39:$A$42,0))="",INDEX('Parametri Modello'!$C$39:$C$42,MATCH($B348,'Parametri Modello'!$A$39:$A$42,0))=0),0,($O348/INDEX('Parametri Modello'!$C$39:$C$42,MATCH($B348,'Parametri Modello'!$A$39:$A$42,0)))*(INDEX('Parametri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4</v>
      </c>
      <c r="I348" s="26" t="n">
        <f aca="false">IFERROR(INDEX('Input Statistiche 2025_26'!$F$3:$F$665,MATCH($A348,'Input Statistiche 2025_26'!$A$3:$A$665,0)),"")</f>
        <v>21</v>
      </c>
      <c r="J348" s="26" t="n">
        <f aca="false">IFERROR(IF($I348="","",MAX(0,38-$I348)),"")</f>
        <v>17</v>
      </c>
      <c r="K348" s="26" t="n">
        <f aca="false">IFERROR(INDEX('Input Statistiche 2025_26'!$I$3:$I$665,MATCH($A348,'Input Statistiche 2025_26'!$A$3:$A$665,0)),"")</f>
        <v>1</v>
      </c>
      <c r="L348" s="26" t="n">
        <f aca="false">IFERROR(INDEX('Input Statistiche 2025_26'!$O$3:$O$665,MATCH($A348,'Input Statistiche 2025_26'!$A$3:$A$665,0)),"")</f>
        <v>0</v>
      </c>
      <c r="M348" s="28"/>
      <c r="N348" s="27" t="n">
        <f aca="false">IFERROR(INDEX('Input Giocatori 2026_27'!$E$3:$E$493,MATCH($A348,'Input Giocatori 2026_27'!$A$3:$A$493,0)),"")</f>
        <v>3</v>
      </c>
      <c r="O348" s="27" t="n">
        <f aca="false">IFERROR(INDEX('Input Giocatori 2026_27'!$G$3:$G$493,MATCH($A348,'Input Giocatori 2026_27'!$A$3:$A$493,0)),"")</f>
        <v>8</v>
      </c>
      <c r="P348" s="26" t="str">
        <f aca="false">IFERROR(IF($O348="","",IF((1-(COUNTIFS($B$2:$B$492,$B348,$O$2:$O$492,"&gt;"&amp;$O348)+1-1)/COUNTIF($B$2:$B$492,$B348))&gt;=0.85,"Top",IF((1-(COUNTIFS($B$2:$B$492,$B348,$O$2:$O$492,"&gt;"&amp;$O348)+1-1)/COUNTIF($B$2:$B$492,$B348))&gt;=0.6,"Buono",IF((1-(COUNTIFS($B$2:$B$492,$B348,$O$2:$O$492,"&gt;"&amp;$O348)+1-1)/COUNTIF($B$2:$B$492,$B348))&gt;=0.3,"Nella Media","Scommessa/Riserva")))),"")</f>
        <v>Nella Media</v>
      </c>
      <c r="Q348" s="29" t="n">
        <f aca="false">IF($D348="",COUNTIF($D$2:$D348,""),"")</f>
        <v>347</v>
      </c>
      <c r="R348" s="29" t="str">
        <f aca="false">IF($D348='Info Lega'!$B$28,COUNTIFS($D$2:$D348,'Info Lega'!$B$28),"")</f>
        <v/>
      </c>
      <c r="S348" s="30" t="n">
        <f aca="false">IFERROR(INDEX('Input Statistiche 2025_26'!$G$3:$G$665,MATCH($A348,'Input Statistiche 2025_26'!$A$3:$A$665,0)),"")</f>
        <v>5.79</v>
      </c>
      <c r="T348" s="30" t="n">
        <f aca="false">IFERROR(INDEX('Input Statistiche 2025_26'!$H$3:$H$665,MATCH($A348,'Input Statistiche 2025_26'!$A$3:$A$665,0)),"")</f>
        <v>5.71</v>
      </c>
      <c r="U348" s="26" t="str">
        <f aca="false">IF(OR('La Mia Rosa'!$O$12="",$D348&lt;&gt;""),"",IF($F348&lt;='La Mia Rosa'!$O$12*'Parametri Modello'!$B$24,"OK",IF($F348&lt;='La Mia Rosa'!$O$12*'Parametri Modello'!$B$25,"Attenzione","Rischio Alto")))</f>
        <v>OK</v>
      </c>
      <c r="V348" s="26" t="n">
        <f aca="false">IFERROR(COUNTIFS($B$2:$B$492,$B348,$O$2:$O$492,"&gt;"&amp;$O348)+1,"")</f>
        <v>118</v>
      </c>
      <c r="W348" s="21" t="n">
        <f aca="false">'Info Lega'!$B$4-SUMIFS($M$2:$M$492,$D$2:$D$492,'Info Lega'!$B$28)</f>
        <v>1000</v>
      </c>
      <c r="X348" s="21" t="n">
        <f aca="false">('Info Lega'!$B$5-COUNTIFS($D$2:$D$492,'Info Lega'!$B$28,$B$2:$B$492,"P"))+('Info Lega'!$B$6-COUNTIFS($D$2:$D$492,'Info Lega'!$B$28,$B$2:$B$492,"D"))+('Info Lega'!$B$7-COUNTIFS($D$2:$D$492,'Info Lega'!$B$28,$B$2:$B$492,"C"))+('Info Lega'!$B$8-COUNTIFS($D$2:$D$492,'Info Lega'!$B$28,$B$2:$B$492,"A"))</f>
        <v>25</v>
      </c>
      <c r="Y348" s="21" t="n">
        <f aca="false">X348*'Parametri Modello'!$B$30</f>
        <v>25</v>
      </c>
      <c r="Z348" s="21" t="n">
        <f aca="false">MAX(0,W348-Y348)</f>
        <v>975</v>
      </c>
      <c r="AA348" s="21" t="n">
        <f aca="false">MIN(F348,Z348)</f>
        <v>4</v>
      </c>
      <c r="AB348" s="21"/>
      <c r="AC348" s="21" t="str">
        <f aca="false">IF(AB348="","",IF(AB348&gt;AA348,"PASS",IF(AB348&lt;=AA348*0.85,"BID","ATTENZIONE")))</f>
        <v/>
      </c>
      <c r="AD348" s="31" t="n">
        <f aca="false">IF(I348="","",ROUND(100*(1-EXP(-I348/30)),0))</f>
        <v>50</v>
      </c>
      <c r="AE348" s="7" t="str">
        <f aca="false">IFERROR(INDEX('Stato Asta'!$G$9:$G$12,MATCH($B348,'Stato Asta'!$A$9:$A$12,0)),"")</f>
        <v>🟡 Attesa rischiosa</v>
      </c>
    </row>
    <row r="349" customFormat="false" ht="14.25" hidden="false" customHeight="true" outlineLevel="0" collapsed="false">
      <c r="A349" s="21" t="n">
        <v>2263</v>
      </c>
      <c r="B349" s="21" t="s">
        <v>44</v>
      </c>
      <c r="C349" s="21" t="s">
        <v>329</v>
      </c>
      <c r="E349" s="26" t="str">
        <f aca="false">IF(COUNTIF('Info Strategia'!$D$2:$D$51,$C349)&gt;0,"SI","NO")</f>
        <v>NO</v>
      </c>
      <c r="F349" s="27" t="n">
        <f aca="false">IFERROR(ROUND(($G349+($H349-$G349)*'Info Strategia'!$B$6)*(1+IF($E349="SI",'Parametri Modello'!$B$7*'Info Strategia'!$B$6,0)),0),"")</f>
        <v>4</v>
      </c>
      <c r="G349" s="27" t="n">
        <f aca="false">IFERROR(ROUND((IF(OR(INDEX('Parametri Modello'!$C$39:$C$42,MATCH($B349,'Parametri Modello'!$A$39:$A$42,0))="",INDEX('Parametri Modello'!$C$39:$C$42,MATCH($B349,'Parametri Modello'!$A$39:$A$42,0))=0),0,($O349/INDEX('Parametri Modello'!$C$39:$C$42,MATCH($B349,'Parametri Modello'!$A$39:$A$42,0)))*(INDEX('Parametri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3</v>
      </c>
      <c r="H349" s="27" t="n">
        <f aca="false">IFERROR(ROUND((IF(OR(INDEX('Parametri Modello'!$C$39:$C$42,MATCH($B349,'Parametri Modello'!$A$39:$A$42,0))="",INDEX('Parametri Modello'!$C$39:$C$42,MATCH($B349,'Parametri Modello'!$A$39:$A$42,0))=0),0,($O349/INDEX('Parametri Modello'!$C$39:$C$42,MATCH($B349,'Parametri Modello'!$A$39:$A$42,0)))*(INDEX('Parametri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4</v>
      </c>
      <c r="I349" s="26" t="n">
        <f aca="false">IFERROR(INDEX('Input Statistiche 2025_26'!$F$3:$F$665,MATCH($A349,'Input Statistiche 2025_26'!$A$3:$A$665,0)),"")</f>
        <v>17</v>
      </c>
      <c r="J349" s="26" t="n">
        <f aca="false">IFERROR(IF($I349="","",MAX(0,38-$I349)),"")</f>
        <v>21</v>
      </c>
      <c r="K349" s="26" t="n">
        <f aca="false">IFERROR(INDEX('Input Statistiche 2025_26'!$I$3:$I$665,MATCH($A349,'Input Statistiche 2025_26'!$A$3:$A$665,0)),"")</f>
        <v>0</v>
      </c>
      <c r="L349" s="26" t="n">
        <f aca="false">IFERROR(INDEX('Input Statistiche 2025_26'!$O$3:$O$665,MATCH($A349,'Input Statistiche 2025_26'!$A$3:$A$665,0)),"")</f>
        <v>0</v>
      </c>
      <c r="M349" s="28"/>
      <c r="N349" s="27" t="n">
        <f aca="false">IFERROR(INDEX('Input Giocatori 2026_27'!$E$3:$E$493,MATCH($A349,'Input Giocatori 2026_27'!$A$3:$A$493,0)),"")</f>
        <v>2</v>
      </c>
      <c r="O349" s="27" t="n">
        <f aca="false">IFERROR(INDEX('Input Giocatori 2026_27'!$G$3:$G$493,MATCH($A349,'Input Giocatori 2026_27'!$A$3:$A$493,0)),"")</f>
        <v>8</v>
      </c>
      <c r="P349" s="26" t="str">
        <f aca="false">IFERROR(IF($O349="","",IF((1-(COUNTIFS($B$2:$B$492,$B349,$O$2:$O$492,"&gt;"&amp;$O349)+1-1)/COUNTIF($B$2:$B$492,$B349))&gt;=0.85,"Top",IF((1-(COUNTIFS($B$2:$B$492,$B349,$O$2:$O$492,"&gt;"&amp;$O349)+1-1)/COUNTIF($B$2:$B$492,$B349))&gt;=0.6,"Buono",IF((1-(COUNTIFS($B$2:$B$492,$B349,$O$2:$O$492,"&gt;"&amp;$O349)+1-1)/COUNTIF($B$2:$B$492,$B349))&gt;=0.3,"Nella Media","Scommessa/Riserva")))),"")</f>
        <v>Nella Media</v>
      </c>
      <c r="Q349" s="29" t="n">
        <f aca="false">IF($D349="",COUNTIF($D$2:$D349,""),"")</f>
        <v>348</v>
      </c>
      <c r="R349" s="29" t="str">
        <f aca="false">IF($D349='Info Lega'!$B$28,COUNTIFS($D$2:$D349,'Info Lega'!$B$28),"")</f>
        <v/>
      </c>
      <c r="S349" s="30" t="n">
        <f aca="false">IFERROR(INDEX('Input Statistiche 2025_26'!$G$3:$G$665,MATCH($A349,'Input Statistiche 2025_26'!$A$3:$A$665,0)),"")</f>
        <v>5.79</v>
      </c>
      <c r="T349" s="30" t="n">
        <f aca="false">IFERROR(INDEX('Input Statistiche 2025_26'!$H$3:$H$665,MATCH($A349,'Input Statistiche 2025_26'!$A$3:$A$665,0)),"")</f>
        <v>5.74</v>
      </c>
      <c r="U349" s="26" t="str">
        <f aca="false">IF(OR('La Mia Rosa'!$O$12="",$D349&lt;&gt;""),"",IF($F349&lt;='La Mia Rosa'!$O$12*'Parametri Modello'!$B$24,"OK",IF($F349&lt;='La Mia Rosa'!$O$12*'Parametri Modello'!$B$25,"Attenzione","Rischio Alto")))</f>
        <v>OK</v>
      </c>
      <c r="V349" s="26" t="n">
        <f aca="false">IFERROR(COUNTIFS($B$2:$B$492,$B349,$O$2:$O$492,"&gt;"&amp;$O349)+1,"")</f>
        <v>118</v>
      </c>
      <c r="W349" s="21" t="n">
        <f aca="false">'Info Lega'!$B$4-SUMIFS($M$2:$M$492,$D$2:$D$492,'Info Lega'!$B$28)</f>
        <v>1000</v>
      </c>
      <c r="X349" s="21" t="n">
        <f aca="false">('Info Lega'!$B$5-COUNTIFS($D$2:$D$492,'Info Lega'!$B$28,$B$2:$B$492,"P"))+('Info Lega'!$B$6-COUNTIFS($D$2:$D$492,'Info Lega'!$B$28,$B$2:$B$492,"D"))+('Info Lega'!$B$7-COUNTIFS($D$2:$D$492,'Info Lega'!$B$28,$B$2:$B$492,"C"))+('Info Lega'!$B$8-COUNTIFS($D$2:$D$492,'Info Lega'!$B$28,$B$2:$B$492,"A"))</f>
        <v>25</v>
      </c>
      <c r="Y349" s="21" t="n">
        <f aca="false">X349*'Parametri Modello'!$B$30</f>
        <v>25</v>
      </c>
      <c r="Z349" s="21" t="n">
        <f aca="false">MAX(0,W349-Y349)</f>
        <v>975</v>
      </c>
      <c r="AA349" s="21" t="n">
        <f aca="false">MIN(F349,Z349)</f>
        <v>4</v>
      </c>
      <c r="AB349" s="21"/>
      <c r="AC349" s="21" t="str">
        <f aca="false">IF(AB349="","",IF(AB349&gt;AA349,"PASS",IF(AB349&lt;=AA349*0.85,"BID","ATTENZIONE")))</f>
        <v/>
      </c>
      <c r="AD349" s="31" t="n">
        <f aca="false">IF(I349="","",ROUND(100*(1-EXP(-I349/30)),0))</f>
        <v>43</v>
      </c>
      <c r="AE349" s="7" t="str">
        <f aca="false">IFERROR(INDEX('Stato Asta'!$G$9:$G$12,MATCH($B349,'Stato Asta'!$A$9:$A$12,0)),"")</f>
        <v>🟡 Attesa rischiosa</v>
      </c>
    </row>
    <row r="350" customFormat="false" ht="14.25" hidden="false" customHeight="true" outlineLevel="0" collapsed="false">
      <c r="A350" s="21" t="n">
        <v>7407</v>
      </c>
      <c r="B350" s="21" t="s">
        <v>44</v>
      </c>
      <c r="C350" s="21" t="s">
        <v>342</v>
      </c>
      <c r="E350" s="26" t="str">
        <f aca="false">IF(COUNTIF('Info Strategia'!$D$2:$D$51,$C350)&gt;0,"SI","NO")</f>
        <v>NO</v>
      </c>
      <c r="F350" s="27" t="n">
        <f aca="false">IFERROR(ROUND(($G350+($H350-$G350)*'Info Strategia'!$B$6)*(1+IF($E350="SI",'Parametri Modello'!$B$7*'Info Strategia'!$B$6,0)),0),"")</f>
        <v>4</v>
      </c>
      <c r="G350" s="27" t="n">
        <f aca="false">IFERROR(ROUND((IF(OR(INDEX('Parametri Modello'!$C$39:$C$42,MATCH($B350,'Parametri Modello'!$A$39:$A$42,0))="",INDEX('Parametri Modello'!$C$39:$C$42,MATCH($B350,'Parametri Modello'!$A$39:$A$42,0))=0),0,($O350/INDEX('Parametri Modello'!$C$39:$C$42,MATCH($B350,'Parametri Modello'!$A$39:$A$42,0)))*(INDEX('Parametri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3</v>
      </c>
      <c r="H350" s="27" t="n">
        <f aca="false">IFERROR(ROUND((IF(OR(INDEX('Parametri Modello'!$C$39:$C$42,MATCH($B350,'Parametri Modello'!$A$39:$A$42,0))="",INDEX('Parametri Modello'!$C$39:$C$42,MATCH($B350,'Parametri Modello'!$A$39:$A$42,0))=0),0,($O350/INDEX('Parametri Modello'!$C$39:$C$42,MATCH($B350,'Parametri Modello'!$A$39:$A$42,0)))*(INDEX('Parametri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4</v>
      </c>
      <c r="I350" s="26" t="str">
        <f aca="false">IFERROR(INDEX('Input Statistiche 2025_26'!$F$3:$F$665,MATCH($A350,'Input Statistiche 2025_26'!$A$3:$A$665,0)),"")</f>
        <v/>
      </c>
      <c r="J350" s="26" t="str">
        <f aca="false">IFERROR(IF($I350="","",MAX(0,38-$I350)),"")</f>
        <v/>
      </c>
      <c r="K350" s="26" t="str">
        <f aca="false">IFERROR(INDEX('Input Statistiche 2025_26'!$I$3:$I$665,MATCH($A350,'Input Statistiche 2025_26'!$A$3:$A$665,0)),"")</f>
        <v/>
      </c>
      <c r="L350" s="26" t="str">
        <f aca="false">IFERROR(INDEX('Input Statistiche 2025_26'!$O$3:$O$665,MATCH($A350,'Input Statistiche 2025_26'!$A$3:$A$665,0)),"")</f>
        <v/>
      </c>
      <c r="M350" s="28"/>
      <c r="N350" s="27" t="n">
        <f aca="false">IFERROR(INDEX('Input Giocatori 2026_27'!$E$3:$E$493,MATCH($A350,'Input Giocatori 2026_27'!$A$3:$A$493,0)),"")</f>
        <v>1</v>
      </c>
      <c r="O350" s="27" t="n">
        <f aca="false">IFERROR(INDEX('Input Giocatori 2026_27'!$G$3:$G$493,MATCH($A350,'Input Giocatori 2026_27'!$A$3:$A$493,0)),"")</f>
        <v>8</v>
      </c>
      <c r="P350" s="26" t="str">
        <f aca="false">IFERROR(IF($O350="","",IF((1-(COUNTIFS($B$2:$B$492,$B350,$O$2:$O$492,"&gt;"&amp;$O350)+1-1)/COUNTIF($B$2:$B$492,$B350))&gt;=0.85,"Top",IF((1-(COUNTIFS($B$2:$B$492,$B350,$O$2:$O$492,"&gt;"&amp;$O350)+1-1)/COUNTIF($B$2:$B$492,$B350))&gt;=0.6,"Buono",IF((1-(COUNTIFS($B$2:$B$492,$B350,$O$2:$O$492,"&gt;"&amp;$O350)+1-1)/COUNTIF($B$2:$B$492,$B350))&gt;=0.3,"Nella Media","Scommessa/Riserva")))),"")</f>
        <v>Nella Media</v>
      </c>
      <c r="Q350" s="29" t="n">
        <f aca="false">IF($D350="",COUNTIF($D$2:$D350,""),"")</f>
        <v>349</v>
      </c>
      <c r="R350" s="29" t="str">
        <f aca="false">IF($D350='Info Lega'!$B$28,COUNTIFS($D$2:$D350,'Info Lega'!$B$28),"")</f>
        <v/>
      </c>
      <c r="S350" s="30" t="str">
        <f aca="false">IFERROR(INDEX('Input Statistiche 2025_26'!$G$3:$G$665,MATCH($A350,'Input Statistiche 2025_26'!$A$3:$A$665,0)),"")</f>
        <v/>
      </c>
      <c r="T350" s="30" t="str">
        <f aca="false">IFERROR(INDEX('Input Statistiche 2025_26'!$H$3:$H$665,MATCH($A350,'Input Statistiche 2025_26'!$A$3:$A$665,0)),"")</f>
        <v/>
      </c>
      <c r="U350" s="26" t="str">
        <f aca="false">IF(OR('La Mia Rosa'!$O$12="",$D350&lt;&gt;""),"",IF($F350&lt;='La Mia Rosa'!$O$12*'Parametri Modello'!$B$24,"OK",IF($F350&lt;='La Mia Rosa'!$O$12*'Parametri Modello'!$B$25,"Attenzione","Rischio Alto")))</f>
        <v>OK</v>
      </c>
      <c r="V350" s="26" t="n">
        <f aca="false">IFERROR(COUNTIFS($B$2:$B$492,$B350,$O$2:$O$492,"&gt;"&amp;$O350)+1,"")</f>
        <v>118</v>
      </c>
      <c r="W350" s="21" t="n">
        <f aca="false">'Info Lega'!$B$4-SUMIFS($M$2:$M$492,$D$2:$D$492,'Info Lega'!$B$28)</f>
        <v>1000</v>
      </c>
      <c r="X350" s="21" t="n">
        <f aca="false">('Info Lega'!$B$5-COUNTIFS($D$2:$D$492,'Info Lega'!$B$28,$B$2:$B$492,"P"))+('Info Lega'!$B$6-COUNTIFS($D$2:$D$492,'Info Lega'!$B$28,$B$2:$B$492,"D"))+('Info Lega'!$B$7-COUNTIFS($D$2:$D$492,'Info Lega'!$B$28,$B$2:$B$492,"C"))+('Info Lega'!$B$8-COUNTIFS($D$2:$D$492,'Info Lega'!$B$28,$B$2:$B$492,"A"))</f>
        <v>25</v>
      </c>
      <c r="Y350" s="21" t="n">
        <f aca="false">X350*'Parametri Modello'!$B$30</f>
        <v>25</v>
      </c>
      <c r="Z350" s="21" t="n">
        <f aca="false">MAX(0,W350-Y350)</f>
        <v>975</v>
      </c>
      <c r="AA350" s="21" t="n">
        <f aca="false">MIN(F350,Z350)</f>
        <v>4</v>
      </c>
      <c r="AB350" s="21"/>
      <c r="AC350" s="21" t="str">
        <f aca="false">IF(AB350="","",IF(AB350&gt;AA350,"PASS",IF(AB350&lt;=AA350*0.85,"BID","ATTENZIONE")))</f>
        <v/>
      </c>
      <c r="AD350" s="31" t="str">
        <f aca="false">IF(I350="","",ROUND(100*(1-EXP(-I350/30)),0))</f>
        <v/>
      </c>
      <c r="AE350" s="7" t="str">
        <f aca="false">IFERROR(INDEX('Stato Asta'!$G$9:$G$12,MATCH($B350,'Stato Asta'!$A$9:$A$12,0)),"")</f>
        <v>🟡 Attesa rischiosa</v>
      </c>
    </row>
    <row r="351" customFormat="false" ht="14.25" hidden="false" customHeight="true" outlineLevel="0" collapsed="false">
      <c r="A351" s="21" t="n">
        <v>6206</v>
      </c>
      <c r="B351" s="21" t="s">
        <v>45</v>
      </c>
      <c r="C351" s="21" t="s">
        <v>475</v>
      </c>
      <c r="E351" s="26" t="str">
        <f aca="false">IF(COUNTIF('Info Strategia'!$D$2:$D$51,$C351)&gt;0,"SI","NO")</f>
        <v>NO</v>
      </c>
      <c r="F351" s="27" t="n">
        <f aca="false">IFERROR(ROUND(($G351+($H351-$G351)*'Info Strategia'!$B$6)*(1+IF($E351="SI",'Parametri Modello'!$B$7*'Info Strategia'!$B$6,0)),0),"")</f>
        <v>4</v>
      </c>
      <c r="G351" s="27" t="n">
        <f aca="false">IFERROR(ROUND((IF(OR(INDEX('Parametri Modello'!$C$39:$C$42,MATCH($B351,'Parametri Modello'!$A$39:$A$42,0))="",INDEX('Parametri Modello'!$C$39:$C$42,MATCH($B351,'Parametri Modello'!$A$39:$A$42,0))=0),0,($O351/INDEX('Parametri Modello'!$C$39:$C$42,MATCH($B351,'Parametri Modello'!$A$39:$A$42,0)))*(INDEX('Parametri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3</v>
      </c>
      <c r="H351" s="27" t="n">
        <f aca="false">IFERROR(ROUND((IF(OR(INDEX('Parametri Modello'!$C$39:$C$42,MATCH($B351,'Parametri Modello'!$A$39:$A$42,0))="",INDEX('Parametri Modello'!$C$39:$C$42,MATCH($B351,'Parametri Modello'!$A$39:$A$42,0))=0),0,($O351/INDEX('Parametri Modello'!$C$39:$C$42,MATCH($B351,'Parametri Modello'!$A$39:$A$42,0)))*(INDEX('Parametri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5</v>
      </c>
      <c r="I351" s="26" t="n">
        <f aca="false">IFERROR(INDEX('Input Statistiche 2025_26'!$F$3:$F$665,MATCH($A351,'Input Statistiche 2025_26'!$A$3:$A$665,0)),"")</f>
        <v>22</v>
      </c>
      <c r="J351" s="26" t="n">
        <f aca="false">IFERROR(IF($I351="","",MAX(0,38-$I351)),"")</f>
        <v>16</v>
      </c>
      <c r="K351" s="26" t="n">
        <f aca="false">IFERROR(INDEX('Input Statistiche 2025_26'!$I$3:$I$665,MATCH($A351,'Input Statistiche 2025_26'!$A$3:$A$665,0)),"")</f>
        <v>2</v>
      </c>
      <c r="L351" s="26" t="n">
        <f aca="false">IFERROR(INDEX('Input Statistiche 2025_26'!$O$3:$O$665,MATCH($A351,'Input Statistiche 2025_26'!$A$3:$A$665,0)),"")</f>
        <v>0</v>
      </c>
      <c r="M351" s="28"/>
      <c r="N351" s="27" t="n">
        <f aca="false">IFERROR(INDEX('Input Giocatori 2026_27'!$E$3:$E$493,MATCH($A351,'Input Giocatori 2026_27'!$A$3:$A$493,0)),"")</f>
        <v>4</v>
      </c>
      <c r="O351" s="27" t="n">
        <f aca="false">IFERROR(INDEX('Input Giocatori 2026_27'!$G$3:$G$493,MATCH($A351,'Input Giocatori 2026_27'!$A$3:$A$493,0)),"")</f>
        <v>8</v>
      </c>
      <c r="P351" s="26" t="str">
        <f aca="false">IFERROR(IF($O351="","",IF((1-(COUNTIFS($B$2:$B$492,$B351,$O$2:$O$492,"&gt;"&amp;$O351)+1-1)/COUNTIF($B$2:$B$492,$B351))&gt;=0.85,"Top",IF((1-(COUNTIFS($B$2:$B$492,$B351,$O$2:$O$492,"&gt;"&amp;$O351)+1-1)/COUNTIF($B$2:$B$492,$B351))&gt;=0.6,"Buono",IF((1-(COUNTIFS($B$2:$B$492,$B351,$O$2:$O$492,"&gt;"&amp;$O351)+1-1)/COUNTIF($B$2:$B$492,$B351))&gt;=0.3,"Nella Media","Scommessa/Riserva")))),"")</f>
        <v>Scommessa/Riserva</v>
      </c>
      <c r="Q351" s="29" t="n">
        <f aca="false">IF($D351="",COUNTIF($D$2:$D351,""),"")</f>
        <v>350</v>
      </c>
      <c r="R351" s="29" t="str">
        <f aca="false">IF($D351='Info Lega'!$B$28,COUNTIFS($D$2:$D351,'Info Lega'!$B$28),"")</f>
        <v/>
      </c>
      <c r="S351" s="30" t="n">
        <f aca="false">IFERROR(INDEX('Input Statistiche 2025_26'!$G$3:$G$665,MATCH($A351,'Input Statistiche 2025_26'!$A$3:$A$665,0)),"")</f>
        <v>5.8</v>
      </c>
      <c r="T351" s="30" t="n">
        <f aca="false">IFERROR(INDEX('Input Statistiche 2025_26'!$H$3:$H$665,MATCH($A351,'Input Statistiche 2025_26'!$A$3:$A$665,0)),"")</f>
        <v>6.05</v>
      </c>
      <c r="U351" s="26" t="str">
        <f aca="false">IF(OR('La Mia Rosa'!$O$12="",$D351&lt;&gt;""),"",IF($F351&lt;='La Mia Rosa'!$O$12*'Parametri Modello'!$B$24,"OK",IF($F351&lt;='La Mia Rosa'!$O$12*'Parametri Modello'!$B$25,"Attenzione","Rischio Alto")))</f>
        <v>OK</v>
      </c>
      <c r="V351" s="26" t="n">
        <f aca="false">IFERROR(COUNTIFS($B$2:$B$492,$B351,$O$2:$O$492,"&gt;"&amp;$O351)+1,"")</f>
        <v>132</v>
      </c>
      <c r="W351" s="21" t="n">
        <f aca="false">'Info Lega'!$B$4-SUMIFS($M$2:$M$492,$D$2:$D$492,'Info Lega'!$B$28)</f>
        <v>1000</v>
      </c>
      <c r="X351" s="21" t="n">
        <f aca="false">('Info Lega'!$B$5-COUNTIFS($D$2:$D$492,'Info Lega'!$B$28,$B$2:$B$492,"P"))+('Info Lega'!$B$6-COUNTIFS($D$2:$D$492,'Info Lega'!$B$28,$B$2:$B$492,"D"))+('Info Lega'!$B$7-COUNTIFS($D$2:$D$492,'Info Lega'!$B$28,$B$2:$B$492,"C"))+('Info Lega'!$B$8-COUNTIFS($D$2:$D$492,'Info Lega'!$B$28,$B$2:$B$492,"A"))</f>
        <v>25</v>
      </c>
      <c r="Y351" s="21" t="n">
        <f aca="false">X351*'Parametri Modello'!$B$30</f>
        <v>25</v>
      </c>
      <c r="Z351" s="21" t="n">
        <f aca="false">MAX(0,W351-Y351)</f>
        <v>975</v>
      </c>
      <c r="AA351" s="21" t="n">
        <f aca="false">MIN(F351,Z351)</f>
        <v>4</v>
      </c>
      <c r="AB351" s="21"/>
      <c r="AC351" s="21" t="str">
        <f aca="false">IF(AB351="","",IF(AB351&gt;AA351,"PASS",IF(AB351&lt;=AA351*0.85,"BID","ATTENZIONE")))</f>
        <v/>
      </c>
      <c r="AD351" s="31" t="n">
        <f aca="false">IF(I351="","",ROUND(100*(1-EXP(-I351/30)),0))</f>
        <v>52</v>
      </c>
      <c r="AE351" s="7" t="str">
        <f aca="false">IFERROR(INDEX('Stato Asta'!$G$9:$G$12,MATCH($B351,'Stato Asta'!$A$9:$A$12,0)),"")</f>
        <v>🟡 Attesa rischiosa</v>
      </c>
    </row>
    <row r="352" customFormat="false" ht="14.25" hidden="false" customHeight="true" outlineLevel="0" collapsed="false">
      <c r="A352" s="21" t="n">
        <v>6895</v>
      </c>
      <c r="B352" s="21" t="s">
        <v>45</v>
      </c>
      <c r="C352" s="21" t="s">
        <v>493</v>
      </c>
      <c r="E352" s="26" t="str">
        <f aca="false">IF(COUNTIF('Info Strategia'!$D$2:$D$51,$C352)&gt;0,"SI","NO")</f>
        <v>NO</v>
      </c>
      <c r="F352" s="27" t="n">
        <f aca="false">IFERROR(ROUND(($G352+($H352-$G352)*'Info Strategia'!$B$6)*(1+IF($E352="SI",'Parametri Modello'!$B$7*'Info Strategia'!$B$6,0)),0),"")</f>
        <v>4</v>
      </c>
      <c r="G352" s="27" t="n">
        <f aca="false">IFERROR(ROUND((IF(OR(INDEX('Parametri Modello'!$C$39:$C$42,MATCH($B352,'Parametri Modello'!$A$39:$A$42,0))="",INDEX('Parametri Modello'!$C$39:$C$42,MATCH($B352,'Parametri Modello'!$A$39:$A$42,0))=0),0,($O352/INDEX('Parametri Modello'!$C$39:$C$42,MATCH($B352,'Parametri Modello'!$A$39:$A$42,0)))*(INDEX('Parametri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3</v>
      </c>
      <c r="H352" s="27" t="n">
        <f aca="false">IFERROR(ROUND((IF(OR(INDEX('Parametri Modello'!$C$39:$C$42,MATCH($B352,'Parametri Modello'!$A$39:$A$42,0))="",INDEX('Parametri Modello'!$C$39:$C$42,MATCH($B352,'Parametri Modello'!$A$39:$A$42,0))=0),0,($O352/INDEX('Parametri Modello'!$C$39:$C$42,MATCH($B352,'Parametri Modello'!$A$39:$A$42,0)))*(INDEX('Parametri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5</v>
      </c>
      <c r="I352" s="26" t="n">
        <f aca="false">IFERROR(INDEX('Input Statistiche 2025_26'!$F$3:$F$665,MATCH($A352,'Input Statistiche 2025_26'!$A$3:$A$665,0)),"")</f>
        <v>12</v>
      </c>
      <c r="J352" s="26" t="n">
        <f aca="false">IFERROR(IF($I352="","",MAX(0,38-$I352)),"")</f>
        <v>26</v>
      </c>
      <c r="K352" s="26" t="n">
        <f aca="false">IFERROR(INDEX('Input Statistiche 2025_26'!$I$3:$I$665,MATCH($A352,'Input Statistiche 2025_26'!$A$3:$A$665,0)),"")</f>
        <v>0</v>
      </c>
      <c r="L352" s="26" t="n">
        <f aca="false">IFERROR(INDEX('Input Statistiche 2025_26'!$O$3:$O$665,MATCH($A352,'Input Statistiche 2025_26'!$A$3:$A$665,0)),"")</f>
        <v>3</v>
      </c>
      <c r="M352" s="28"/>
      <c r="N352" s="27" t="n">
        <f aca="false">IFERROR(INDEX('Input Giocatori 2026_27'!$E$3:$E$493,MATCH($A352,'Input Giocatori 2026_27'!$A$3:$A$493,0)),"")</f>
        <v>3</v>
      </c>
      <c r="O352" s="27" t="n">
        <f aca="false">IFERROR(INDEX('Input Giocatori 2026_27'!$G$3:$G$493,MATCH($A352,'Input Giocatori 2026_27'!$A$3:$A$493,0)),"")</f>
        <v>8</v>
      </c>
      <c r="P352" s="26" t="str">
        <f aca="false">IFERROR(IF($O352="","",IF((1-(COUNTIFS($B$2:$B$492,$B352,$O$2:$O$492,"&gt;"&amp;$O352)+1-1)/COUNTIF($B$2:$B$492,$B352))&gt;=0.85,"Top",IF((1-(COUNTIFS($B$2:$B$492,$B352,$O$2:$O$492,"&gt;"&amp;$O352)+1-1)/COUNTIF($B$2:$B$492,$B352))&gt;=0.6,"Buono",IF((1-(COUNTIFS($B$2:$B$492,$B352,$O$2:$O$492,"&gt;"&amp;$O352)+1-1)/COUNTIF($B$2:$B$492,$B352))&gt;=0.3,"Nella Media","Scommessa/Riserva")))),"")</f>
        <v>Scommessa/Riserva</v>
      </c>
      <c r="Q352" s="29" t="n">
        <f aca="false">IF($D352="",COUNTIF($D$2:$D352,""),"")</f>
        <v>351</v>
      </c>
      <c r="R352" s="29" t="str">
        <f aca="false">IF($D352='Info Lega'!$B$28,COUNTIFS($D$2:$D352,'Info Lega'!$B$28),"")</f>
        <v/>
      </c>
      <c r="S352" s="30" t="n">
        <f aca="false">IFERROR(INDEX('Input Statistiche 2025_26'!$G$3:$G$665,MATCH($A352,'Input Statistiche 2025_26'!$A$3:$A$665,0)),"")</f>
        <v>5.83</v>
      </c>
      <c r="T352" s="30" t="n">
        <f aca="false">IFERROR(INDEX('Input Statistiche 2025_26'!$H$3:$H$665,MATCH($A352,'Input Statistiche 2025_26'!$A$3:$A$665,0)),"")</f>
        <v>6.04</v>
      </c>
      <c r="U352" s="26" t="str">
        <f aca="false">IF(OR('La Mia Rosa'!$O$12="",$D352&lt;&gt;""),"",IF($F352&lt;='La Mia Rosa'!$O$12*'Parametri Modello'!$B$24,"OK",IF($F352&lt;='La Mia Rosa'!$O$12*'Parametri Modello'!$B$25,"Attenzione","Rischio Alto")))</f>
        <v>OK</v>
      </c>
      <c r="V352" s="26" t="n">
        <f aca="false">IFERROR(COUNTIFS($B$2:$B$492,$B352,$O$2:$O$492,"&gt;"&amp;$O352)+1,"")</f>
        <v>132</v>
      </c>
      <c r="W352" s="21" t="n">
        <f aca="false">'Info Lega'!$B$4-SUMIFS($M$2:$M$492,$D$2:$D$492,'Info Lega'!$B$28)</f>
        <v>1000</v>
      </c>
      <c r="X352" s="21" t="n">
        <f aca="false">('Info Lega'!$B$5-COUNTIFS($D$2:$D$492,'Info Lega'!$B$28,$B$2:$B$492,"P"))+('Info Lega'!$B$6-COUNTIFS($D$2:$D$492,'Info Lega'!$B$28,$B$2:$B$492,"D"))+('Info Lega'!$B$7-COUNTIFS($D$2:$D$492,'Info Lega'!$B$28,$B$2:$B$492,"C"))+('Info Lega'!$B$8-COUNTIFS($D$2:$D$492,'Info Lega'!$B$28,$B$2:$B$492,"A"))</f>
        <v>25</v>
      </c>
      <c r="Y352" s="21" t="n">
        <f aca="false">X352*'Parametri Modello'!$B$30</f>
        <v>25</v>
      </c>
      <c r="Z352" s="21" t="n">
        <f aca="false">MAX(0,W352-Y352)</f>
        <v>975</v>
      </c>
      <c r="AA352" s="21" t="n">
        <f aca="false">MIN(F352,Z352)</f>
        <v>4</v>
      </c>
      <c r="AB352" s="21"/>
      <c r="AC352" s="21" t="str">
        <f aca="false">IF(AB352="","",IF(AB352&gt;AA352,"PASS",IF(AB352&lt;=AA352*0.85,"BID","ATTENZIONE")))</f>
        <v/>
      </c>
      <c r="AD352" s="31" t="n">
        <f aca="false">IF(I352="","",ROUND(100*(1-EXP(-I352/30)),0))</f>
        <v>33</v>
      </c>
      <c r="AE352" s="7" t="str">
        <f aca="false">IFERROR(INDEX('Stato Asta'!$G$9:$G$12,MATCH($B352,'Stato Asta'!$A$9:$A$12,0)),"")</f>
        <v>🟡 Attesa rischiosa</v>
      </c>
    </row>
    <row r="353" customFormat="false" ht="14.25" hidden="false" customHeight="true" outlineLevel="0" collapsed="false">
      <c r="A353" s="21" t="n">
        <v>1871</v>
      </c>
      <c r="B353" s="21" t="s">
        <v>45</v>
      </c>
      <c r="C353" s="21" t="s">
        <v>494</v>
      </c>
      <c r="E353" s="26" t="str">
        <f aca="false">IF(COUNTIF('Info Strategia'!$D$2:$D$51,$C353)&gt;0,"SI","NO")</f>
        <v>NO</v>
      </c>
      <c r="F353" s="27" t="n">
        <f aca="false">IFERROR(ROUND(($G353+($H353-$G353)*'Info Strategia'!$B$6)*(1+IF($E353="SI",'Parametri Modello'!$B$7*'Info Strategia'!$B$6,0)),0),"")</f>
        <v>4</v>
      </c>
      <c r="G353" s="27" t="n">
        <f aca="false">IFERROR(ROUND((IF(OR(INDEX('Parametri Modello'!$C$39:$C$42,MATCH($B353,'Parametri Modello'!$A$39:$A$42,0))="",INDEX('Parametri Modello'!$C$39:$C$42,MATCH($B353,'Parametri Modello'!$A$39:$A$42,0))=0),0,($O353/INDEX('Parametri Modello'!$C$39:$C$42,MATCH($B353,'Parametri Modello'!$A$39:$A$42,0)))*(INDEX('Parametri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3</v>
      </c>
      <c r="H353" s="27" t="n">
        <f aca="false">IFERROR(ROUND((IF(OR(INDEX('Parametri Modello'!$C$39:$C$42,MATCH($B353,'Parametri Modello'!$A$39:$A$42,0))="",INDEX('Parametri Modello'!$C$39:$C$42,MATCH($B353,'Parametri Modello'!$A$39:$A$42,0))=0),0,($O353/INDEX('Parametri Modello'!$C$39:$C$42,MATCH($B353,'Parametri Modello'!$A$39:$A$42,0)))*(INDEX('Parametri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5</v>
      </c>
      <c r="I353" s="26" t="n">
        <f aca="false">IFERROR(INDEX('Input Statistiche 2025_26'!$F$3:$F$665,MATCH($A353,'Input Statistiche 2025_26'!$A$3:$A$665,0)),"")</f>
        <v>20</v>
      </c>
      <c r="J353" s="26" t="n">
        <f aca="false">IFERROR(IF($I353="","",MAX(0,38-$I353)),"")</f>
        <v>18</v>
      </c>
      <c r="K353" s="26" t="n">
        <f aca="false">IFERROR(INDEX('Input Statistiche 2025_26'!$I$3:$I$665,MATCH($A353,'Input Statistiche 2025_26'!$A$3:$A$665,0)),"")</f>
        <v>0</v>
      </c>
      <c r="L353" s="26" t="n">
        <f aca="false">IFERROR(INDEX('Input Statistiche 2025_26'!$O$3:$O$665,MATCH($A353,'Input Statistiche 2025_26'!$A$3:$A$665,0)),"")</f>
        <v>1</v>
      </c>
      <c r="M353" s="28"/>
      <c r="N353" s="27" t="n">
        <f aca="false">IFERROR(INDEX('Input Giocatori 2026_27'!$E$3:$E$493,MATCH($A353,'Input Giocatori 2026_27'!$A$3:$A$493,0)),"")</f>
        <v>3</v>
      </c>
      <c r="O353" s="27" t="n">
        <f aca="false">IFERROR(INDEX('Input Giocatori 2026_27'!$G$3:$G$493,MATCH($A353,'Input Giocatori 2026_27'!$A$3:$A$493,0)),"")</f>
        <v>8</v>
      </c>
      <c r="P353" s="26" t="str">
        <f aca="false">IFERROR(IF($O353="","",IF((1-(COUNTIFS($B$2:$B$492,$B353,$O$2:$O$492,"&gt;"&amp;$O353)+1-1)/COUNTIF($B$2:$B$492,$B353))&gt;=0.85,"Top",IF((1-(COUNTIFS($B$2:$B$492,$B353,$O$2:$O$492,"&gt;"&amp;$O353)+1-1)/COUNTIF($B$2:$B$492,$B353))&gt;=0.6,"Buono",IF((1-(COUNTIFS($B$2:$B$492,$B353,$O$2:$O$492,"&gt;"&amp;$O353)+1-1)/COUNTIF($B$2:$B$492,$B353))&gt;=0.3,"Nella Media","Scommessa/Riserva")))),"")</f>
        <v>Scommessa/Riserva</v>
      </c>
      <c r="Q353" s="29" t="n">
        <f aca="false">IF($D353="",COUNTIF($D$2:$D353,""),"")</f>
        <v>352</v>
      </c>
      <c r="R353" s="29" t="str">
        <f aca="false">IF($D353='Info Lega'!$B$28,COUNTIFS($D$2:$D353,'Info Lega'!$B$28),"")</f>
        <v/>
      </c>
      <c r="S353" s="30" t="n">
        <f aca="false">IFERROR(INDEX('Input Statistiche 2025_26'!$G$3:$G$665,MATCH($A353,'Input Statistiche 2025_26'!$A$3:$A$665,0)),"")</f>
        <v>5.98</v>
      </c>
      <c r="T353" s="30" t="n">
        <f aca="false">IFERROR(INDEX('Input Statistiche 2025_26'!$H$3:$H$665,MATCH($A353,'Input Statistiche 2025_26'!$A$3:$A$665,0)),"")</f>
        <v>5.95</v>
      </c>
      <c r="U353" s="26" t="str">
        <f aca="false">IF(OR('La Mia Rosa'!$O$12="",$D353&lt;&gt;""),"",IF($F353&lt;='La Mia Rosa'!$O$12*'Parametri Modello'!$B$24,"OK",IF($F353&lt;='La Mia Rosa'!$O$12*'Parametri Modello'!$B$25,"Attenzione","Rischio Alto")))</f>
        <v>OK</v>
      </c>
      <c r="V353" s="26" t="n">
        <f aca="false">IFERROR(COUNTIFS($B$2:$B$492,$B353,$O$2:$O$492,"&gt;"&amp;$O353)+1,"")</f>
        <v>132</v>
      </c>
      <c r="W353" s="21" t="n">
        <f aca="false">'Info Lega'!$B$4-SUMIFS($M$2:$M$492,$D$2:$D$492,'Info Lega'!$B$28)</f>
        <v>1000</v>
      </c>
      <c r="X353" s="21" t="n">
        <f aca="false">('Info Lega'!$B$5-COUNTIFS($D$2:$D$492,'Info Lega'!$B$28,$B$2:$B$492,"P"))+('Info Lega'!$B$6-COUNTIFS($D$2:$D$492,'Info Lega'!$B$28,$B$2:$B$492,"D"))+('Info Lega'!$B$7-COUNTIFS($D$2:$D$492,'Info Lega'!$B$28,$B$2:$B$492,"C"))+('Info Lega'!$B$8-COUNTIFS($D$2:$D$492,'Info Lega'!$B$28,$B$2:$B$492,"A"))</f>
        <v>25</v>
      </c>
      <c r="Y353" s="21" t="n">
        <f aca="false">X353*'Parametri Modello'!$B$30</f>
        <v>25</v>
      </c>
      <c r="Z353" s="21" t="n">
        <f aca="false">MAX(0,W353-Y353)</f>
        <v>975</v>
      </c>
      <c r="AA353" s="21" t="n">
        <f aca="false">MIN(F353,Z353)</f>
        <v>4</v>
      </c>
      <c r="AB353" s="21"/>
      <c r="AC353" s="21" t="str">
        <f aca="false">IF(AB353="","",IF(AB353&gt;AA353,"PASS",IF(AB353&lt;=AA353*0.85,"BID","ATTENZIONE")))</f>
        <v/>
      </c>
      <c r="AD353" s="31" t="n">
        <f aca="false">IF(I353="","",ROUND(100*(1-EXP(-I353/30)),0))</f>
        <v>49</v>
      </c>
      <c r="AE353" s="7" t="str">
        <f aca="false">IFERROR(INDEX('Stato Asta'!$G$9:$G$12,MATCH($B353,'Stato Asta'!$A$9:$A$12,0)),"")</f>
        <v>🟡 Attesa rischiosa</v>
      </c>
    </row>
    <row r="354" customFormat="false" ht="14.25" hidden="false" customHeight="true" outlineLevel="0" collapsed="false">
      <c r="A354" s="21" t="n">
        <v>6241</v>
      </c>
      <c r="B354" s="21" t="s">
        <v>45</v>
      </c>
      <c r="C354" s="21" t="s">
        <v>496</v>
      </c>
      <c r="E354" s="26" t="str">
        <f aca="false">IF(COUNTIF('Info Strategia'!$D$2:$D$51,$C354)&gt;0,"SI","NO")</f>
        <v>NO</v>
      </c>
      <c r="F354" s="27" t="n">
        <f aca="false">IFERROR(ROUND(($G354+($H354-$G354)*'Info Strategia'!$B$6)*(1+IF($E354="SI",'Parametri Modello'!$B$7*'Info Strategia'!$B$6,0)),0),"")</f>
        <v>4</v>
      </c>
      <c r="G354" s="27" t="n">
        <f aca="false">IFERROR(ROUND((IF(OR(INDEX('Parametri Modello'!$C$39:$C$42,MATCH($B354,'Parametri Modello'!$A$39:$A$42,0))="",INDEX('Parametri Modello'!$C$39:$C$42,MATCH($B354,'Parametri Modello'!$A$39:$A$42,0))=0),0,($O354/INDEX('Parametri Modello'!$C$39:$C$42,MATCH($B354,'Parametri Modello'!$A$39:$A$42,0)))*(INDEX('Parametri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3</v>
      </c>
      <c r="H354" s="27" t="n">
        <f aca="false">IFERROR(ROUND((IF(OR(INDEX('Parametri Modello'!$C$39:$C$42,MATCH($B354,'Parametri Modello'!$A$39:$A$42,0))="",INDEX('Parametri Modello'!$C$39:$C$42,MATCH($B354,'Parametri Modello'!$A$39:$A$42,0))=0),0,($O354/INDEX('Parametri Modello'!$C$39:$C$42,MATCH($B354,'Parametri Modello'!$A$39:$A$42,0)))*(INDEX('Parametri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5</v>
      </c>
      <c r="I354" s="26" t="str">
        <f aca="false">IFERROR(INDEX('Input Statistiche 2025_26'!$F$3:$F$665,MATCH($A354,'Input Statistiche 2025_26'!$A$3:$A$665,0)),"")</f>
        <v/>
      </c>
      <c r="J354" s="26" t="str">
        <f aca="false">IFERROR(IF($I354="","",MAX(0,38-$I354)),"")</f>
        <v/>
      </c>
      <c r="K354" s="26" t="str">
        <f aca="false">IFERROR(INDEX('Input Statistiche 2025_26'!$I$3:$I$665,MATCH($A354,'Input Statistiche 2025_26'!$A$3:$A$665,0)),"")</f>
        <v/>
      </c>
      <c r="L354" s="26" t="str">
        <f aca="false">IFERROR(INDEX('Input Statistiche 2025_26'!$O$3:$O$665,MATCH($A354,'Input Statistiche 2025_26'!$A$3:$A$665,0)),"")</f>
        <v/>
      </c>
      <c r="M354" s="28"/>
      <c r="N354" s="27" t="n">
        <f aca="false">IFERROR(INDEX('Input Giocatori 2026_27'!$E$3:$E$493,MATCH($A354,'Input Giocatori 2026_27'!$A$3:$A$493,0)),"")</f>
        <v>3</v>
      </c>
      <c r="O354" s="27" t="n">
        <f aca="false">IFERROR(INDEX('Input Giocatori 2026_27'!$G$3:$G$493,MATCH($A354,'Input Giocatori 2026_27'!$A$3:$A$493,0)),"")</f>
        <v>8</v>
      </c>
      <c r="P354" s="26" t="str">
        <f aca="false">IFERROR(IF($O354="","",IF((1-(COUNTIFS($B$2:$B$492,$B354,$O$2:$O$492,"&gt;"&amp;$O354)+1-1)/COUNTIF($B$2:$B$492,$B354))&gt;=0.85,"Top",IF((1-(COUNTIFS($B$2:$B$492,$B354,$O$2:$O$492,"&gt;"&amp;$O354)+1-1)/COUNTIF($B$2:$B$492,$B354))&gt;=0.6,"Buono",IF((1-(COUNTIFS($B$2:$B$492,$B354,$O$2:$O$492,"&gt;"&amp;$O354)+1-1)/COUNTIF($B$2:$B$492,$B354))&gt;=0.3,"Nella Media","Scommessa/Riserva")))),"")</f>
        <v>Scommessa/Riserva</v>
      </c>
      <c r="Q354" s="29" t="n">
        <f aca="false">IF($D354="",COUNTIF($D$2:$D354,""),"")</f>
        <v>353</v>
      </c>
      <c r="R354" s="29" t="str">
        <f aca="false">IF($D354='Info Lega'!$B$28,COUNTIFS($D$2:$D354,'Info Lega'!$B$28),"")</f>
        <v/>
      </c>
      <c r="S354" s="30" t="str">
        <f aca="false">IFERROR(INDEX('Input Statistiche 2025_26'!$G$3:$G$665,MATCH($A354,'Input Statistiche 2025_26'!$A$3:$A$665,0)),"")</f>
        <v/>
      </c>
      <c r="T354" s="30" t="str">
        <f aca="false">IFERROR(INDEX('Input Statistiche 2025_26'!$H$3:$H$665,MATCH($A354,'Input Statistiche 2025_26'!$A$3:$A$665,0)),"")</f>
        <v/>
      </c>
      <c r="U354" s="26" t="str">
        <f aca="false">IF(OR('La Mia Rosa'!$O$12="",$D354&lt;&gt;""),"",IF($F354&lt;='La Mia Rosa'!$O$12*'Parametri Modello'!$B$24,"OK",IF($F354&lt;='La Mia Rosa'!$O$12*'Parametri Modello'!$B$25,"Attenzione","Rischio Alto")))</f>
        <v>OK</v>
      </c>
      <c r="V354" s="26" t="n">
        <f aca="false">IFERROR(COUNTIFS($B$2:$B$492,$B354,$O$2:$O$492,"&gt;"&amp;$O354)+1,"")</f>
        <v>132</v>
      </c>
      <c r="W354" s="21" t="n">
        <f aca="false">'Info Lega'!$B$4-SUMIFS($M$2:$M$492,$D$2:$D$492,'Info Lega'!$B$28)</f>
        <v>1000</v>
      </c>
      <c r="X354" s="21" t="n">
        <f aca="false">('Info Lega'!$B$5-COUNTIFS($D$2:$D$492,'Info Lega'!$B$28,$B$2:$B$492,"P"))+('Info Lega'!$B$6-COUNTIFS($D$2:$D$492,'Info Lega'!$B$28,$B$2:$B$492,"D"))+('Info Lega'!$B$7-COUNTIFS($D$2:$D$492,'Info Lega'!$B$28,$B$2:$B$492,"C"))+('Info Lega'!$B$8-COUNTIFS($D$2:$D$492,'Info Lega'!$B$28,$B$2:$B$492,"A"))</f>
        <v>25</v>
      </c>
      <c r="Y354" s="21" t="n">
        <f aca="false">X354*'Parametri Modello'!$B$30</f>
        <v>25</v>
      </c>
      <c r="Z354" s="21" t="n">
        <f aca="false">MAX(0,W354-Y354)</f>
        <v>975</v>
      </c>
      <c r="AA354" s="21" t="n">
        <f aca="false">MIN(F354,Z354)</f>
        <v>4</v>
      </c>
      <c r="AB354" s="21"/>
      <c r="AC354" s="21" t="str">
        <f aca="false">IF(AB354="","",IF(AB354&gt;AA354,"PASS",IF(AB354&lt;=AA354*0.85,"BID","ATTENZIONE")))</f>
        <v/>
      </c>
      <c r="AD354" s="31" t="str">
        <f aca="false">IF(I354="","",ROUND(100*(1-EXP(-I354/30)),0))</f>
        <v/>
      </c>
      <c r="AE354" s="7" t="str">
        <f aca="false">IFERROR(INDEX('Stato Asta'!$G$9:$G$12,MATCH($B354,'Stato Asta'!$A$9:$A$12,0)),"")</f>
        <v>🟡 Attesa rischiosa</v>
      </c>
    </row>
    <row r="355" customFormat="false" ht="14.25" hidden="false" customHeight="true" outlineLevel="0" collapsed="false">
      <c r="A355" s="21" t="n">
        <v>4970</v>
      </c>
      <c r="B355" s="21" t="s">
        <v>45</v>
      </c>
      <c r="C355" s="21" t="s">
        <v>498</v>
      </c>
      <c r="E355" s="26" t="str">
        <f aca="false">IF(COUNTIF('Info Strategia'!$D$2:$D$51,$C355)&gt;0,"SI","NO")</f>
        <v>NO</v>
      </c>
      <c r="F355" s="27" t="n">
        <f aca="false">IFERROR(ROUND(($G355+($H355-$G355)*'Info Strategia'!$B$6)*(1+IF($E355="SI",'Parametri Modello'!$B$7*'Info Strategia'!$B$6,0)),0),"")</f>
        <v>4</v>
      </c>
      <c r="G355" s="27" t="n">
        <f aca="false">IFERROR(ROUND((IF(OR(INDEX('Parametri Modello'!$C$39:$C$42,MATCH($B355,'Parametri Modello'!$A$39:$A$42,0))="",INDEX('Parametri Modello'!$C$39:$C$42,MATCH($B355,'Parametri Modello'!$A$39:$A$42,0))=0),0,($O355/INDEX('Parametri Modello'!$C$39:$C$42,MATCH($B355,'Parametri Modello'!$A$39:$A$42,0)))*(INDEX('Parametri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3</v>
      </c>
      <c r="H355" s="27" t="n">
        <f aca="false">IFERROR(ROUND((IF(OR(INDEX('Parametri Modello'!$C$39:$C$42,MATCH($B355,'Parametri Modello'!$A$39:$A$42,0))="",INDEX('Parametri Modello'!$C$39:$C$42,MATCH($B355,'Parametri Modello'!$A$39:$A$42,0))=0),0,($O355/INDEX('Parametri Modello'!$C$39:$C$42,MATCH($B355,'Parametri Modello'!$A$39:$A$42,0)))*(INDEX('Parametri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5</v>
      </c>
      <c r="I355" s="26" t="n">
        <f aca="false">IFERROR(INDEX('Input Statistiche 2025_26'!$F$3:$F$665,MATCH($A355,'Input Statistiche 2025_26'!$A$3:$A$665,0)),"")</f>
        <v>19</v>
      </c>
      <c r="J355" s="26" t="n">
        <f aca="false">IFERROR(IF($I355="","",MAX(0,38-$I355)),"")</f>
        <v>19</v>
      </c>
      <c r="K355" s="26" t="n">
        <f aca="false">IFERROR(INDEX('Input Statistiche 2025_26'!$I$3:$I$665,MATCH($A355,'Input Statistiche 2025_26'!$A$3:$A$665,0)),"")</f>
        <v>3</v>
      </c>
      <c r="L355" s="26" t="n">
        <f aca="false">IFERROR(INDEX('Input Statistiche 2025_26'!$O$3:$O$665,MATCH($A355,'Input Statistiche 2025_26'!$A$3:$A$665,0)),"")</f>
        <v>1</v>
      </c>
      <c r="M355" s="28"/>
      <c r="N355" s="27" t="n">
        <f aca="false">IFERROR(INDEX('Input Giocatori 2026_27'!$E$3:$E$493,MATCH($A355,'Input Giocatori 2026_27'!$A$3:$A$493,0)),"")</f>
        <v>3</v>
      </c>
      <c r="O355" s="27" t="n">
        <f aca="false">IFERROR(INDEX('Input Giocatori 2026_27'!$G$3:$G$493,MATCH($A355,'Input Giocatori 2026_27'!$A$3:$A$493,0)),"")</f>
        <v>8</v>
      </c>
      <c r="P355" s="26" t="str">
        <f aca="false">IFERROR(IF($O355="","",IF((1-(COUNTIFS($B$2:$B$492,$B355,$O$2:$O$492,"&gt;"&amp;$O355)+1-1)/COUNTIF($B$2:$B$492,$B355))&gt;=0.85,"Top",IF((1-(COUNTIFS($B$2:$B$492,$B355,$O$2:$O$492,"&gt;"&amp;$O355)+1-1)/COUNTIF($B$2:$B$492,$B355))&gt;=0.6,"Buono",IF((1-(COUNTIFS($B$2:$B$492,$B355,$O$2:$O$492,"&gt;"&amp;$O355)+1-1)/COUNTIF($B$2:$B$492,$B355))&gt;=0.3,"Nella Media","Scommessa/Riserva")))),"")</f>
        <v>Scommessa/Riserva</v>
      </c>
      <c r="Q355" s="29" t="n">
        <f aca="false">IF($D355="",COUNTIF($D$2:$D355,""),"")</f>
        <v>354</v>
      </c>
      <c r="R355" s="29" t="str">
        <f aca="false">IF($D355='Info Lega'!$B$28,COUNTIFS($D$2:$D355,'Info Lega'!$B$28),"")</f>
        <v/>
      </c>
      <c r="S355" s="30" t="n">
        <f aca="false">IFERROR(INDEX('Input Statistiche 2025_26'!$G$3:$G$665,MATCH($A355,'Input Statistiche 2025_26'!$A$3:$A$665,0)),"")</f>
        <v>6.18</v>
      </c>
      <c r="T355" s="30" t="n">
        <f aca="false">IFERROR(INDEX('Input Statistiche 2025_26'!$H$3:$H$665,MATCH($A355,'Input Statistiche 2025_26'!$A$3:$A$665,0)),"")</f>
        <v>6.68</v>
      </c>
      <c r="U355" s="26" t="str">
        <f aca="false">IF(OR('La Mia Rosa'!$O$12="",$D355&lt;&gt;""),"",IF($F355&lt;='La Mia Rosa'!$O$12*'Parametri Modello'!$B$24,"OK",IF($F355&lt;='La Mia Rosa'!$O$12*'Parametri Modello'!$B$25,"Attenzione","Rischio Alto")))</f>
        <v>OK</v>
      </c>
      <c r="V355" s="26" t="n">
        <f aca="false">IFERROR(COUNTIFS($B$2:$B$492,$B355,$O$2:$O$492,"&gt;"&amp;$O355)+1,"")</f>
        <v>132</v>
      </c>
      <c r="W355" s="21" t="n">
        <f aca="false">'Info Lega'!$B$4-SUMIFS($M$2:$M$492,$D$2:$D$492,'Info Lega'!$B$28)</f>
        <v>1000</v>
      </c>
      <c r="X355" s="21" t="n">
        <f aca="false">('Info Lega'!$B$5-COUNTIFS($D$2:$D$492,'Info Lega'!$B$28,$B$2:$B$492,"P"))+('Info Lega'!$B$6-COUNTIFS($D$2:$D$492,'Info Lega'!$B$28,$B$2:$B$492,"D"))+('Info Lega'!$B$7-COUNTIFS($D$2:$D$492,'Info Lega'!$B$28,$B$2:$B$492,"C"))+('Info Lega'!$B$8-COUNTIFS($D$2:$D$492,'Info Lega'!$B$28,$B$2:$B$492,"A"))</f>
        <v>25</v>
      </c>
      <c r="Y355" s="21" t="n">
        <f aca="false">X355*'Parametri Modello'!$B$30</f>
        <v>25</v>
      </c>
      <c r="Z355" s="21" t="n">
        <f aca="false">MAX(0,W355-Y355)</f>
        <v>975</v>
      </c>
      <c r="AA355" s="21" t="n">
        <f aca="false">MIN(F355,Z355)</f>
        <v>4</v>
      </c>
      <c r="AB355" s="21"/>
      <c r="AC355" s="21" t="str">
        <f aca="false">IF(AB355="","",IF(AB355&gt;AA355,"PASS",IF(AB355&lt;=AA355*0.85,"BID","ATTENZIONE")))</f>
        <v/>
      </c>
      <c r="AD355" s="31" t="n">
        <f aca="false">IF(I355="","",ROUND(100*(1-EXP(-I355/30)),0))</f>
        <v>47</v>
      </c>
      <c r="AE355" s="7" t="str">
        <f aca="false">IFERROR(INDEX('Stato Asta'!$G$9:$G$12,MATCH($B355,'Stato Asta'!$A$9:$A$12,0)),"")</f>
        <v>🟡 Attesa rischiosa</v>
      </c>
    </row>
    <row r="356" customFormat="false" ht="14.25" hidden="false" customHeight="true" outlineLevel="0" collapsed="false">
      <c r="A356" s="21" t="n">
        <v>5578</v>
      </c>
      <c r="B356" s="21" t="s">
        <v>44</v>
      </c>
      <c r="C356" s="21" t="s">
        <v>302</v>
      </c>
      <c r="E356" s="26" t="str">
        <f aca="false">IF(COUNTIF('Info Strategia'!$D$2:$D$51,$C356)&gt;0,"SI","NO")</f>
        <v>NO</v>
      </c>
      <c r="F356" s="27" t="n">
        <f aca="false">IFERROR(ROUND(($G356+($H356-$G356)*'Info Strategia'!$B$6)*(1+IF($E356="SI",'Parametri Modello'!$B$7*'Info Strategia'!$B$6,0)),0),"")</f>
        <v>3</v>
      </c>
      <c r="G356" s="27" t="n">
        <f aca="false">IFERROR(ROUND((IF(OR(INDEX('Parametri Modello'!$C$39:$C$42,MATCH($B356,'Parametri Modello'!$A$39:$A$42,0))="",INDEX('Parametri Modello'!$C$39:$C$42,MATCH($B356,'Parametri Modello'!$A$39:$A$42,0))=0),0,($O356/INDEX('Parametri Modello'!$C$39:$C$42,MATCH($B356,'Parametri Modello'!$A$39:$A$42,0)))*(INDEX('Parametri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2</v>
      </c>
      <c r="H356" s="27" t="n">
        <f aca="false">IFERROR(ROUND((IF(OR(INDEX('Parametri Modello'!$C$39:$C$42,MATCH($B356,'Parametri Modello'!$A$39:$A$42,0))="",INDEX('Parametri Modello'!$C$39:$C$42,MATCH($B356,'Parametri Modello'!$A$39:$A$42,0))=0),0,($O356/INDEX('Parametri Modello'!$C$39:$C$42,MATCH($B356,'Parametri Modello'!$A$39:$A$42,0)))*(INDEX('Parametri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4</v>
      </c>
      <c r="I356" s="26" t="n">
        <f aca="false">IFERROR(INDEX('Input Statistiche 2025_26'!$F$3:$F$665,MATCH($A356,'Input Statistiche 2025_26'!$A$3:$A$665,0)),"")</f>
        <v>16</v>
      </c>
      <c r="J356" s="26" t="n">
        <f aca="false">IFERROR(IF($I356="","",MAX(0,38-$I356)),"")</f>
        <v>22</v>
      </c>
      <c r="K356" s="26" t="n">
        <f aca="false">IFERROR(INDEX('Input Statistiche 2025_26'!$I$3:$I$665,MATCH($A356,'Input Statistiche 2025_26'!$A$3:$A$665,0)),"")</f>
        <v>1</v>
      </c>
      <c r="L356" s="26" t="n">
        <f aca="false">IFERROR(INDEX('Input Statistiche 2025_26'!$O$3:$O$665,MATCH($A356,'Input Statistiche 2025_26'!$A$3:$A$665,0)),"")</f>
        <v>0</v>
      </c>
      <c r="M356" s="28"/>
      <c r="N356" s="27" t="n">
        <f aca="false">IFERROR(INDEX('Input Giocatori 2026_27'!$E$3:$E$493,MATCH($A356,'Input Giocatori 2026_27'!$A$3:$A$493,0)),"")</f>
        <v>3</v>
      </c>
      <c r="O356" s="27" t="n">
        <f aca="false">IFERROR(INDEX('Input Giocatori 2026_27'!$G$3:$G$493,MATCH($A356,'Input Giocatori 2026_27'!$A$3:$A$493,0)),"")</f>
        <v>7</v>
      </c>
      <c r="P356" s="26" t="str">
        <f aca="false">IFERROR(IF($O356="","",IF((1-(COUNTIFS($B$2:$B$492,$B356,$O$2:$O$492,"&gt;"&amp;$O356)+1-1)/COUNTIF($B$2:$B$492,$B356))&gt;=0.85,"Top",IF((1-(COUNTIFS($B$2:$B$492,$B356,$O$2:$O$492,"&gt;"&amp;$O356)+1-1)/COUNTIF($B$2:$B$492,$B356))&gt;=0.6,"Buono",IF((1-(COUNTIFS($B$2:$B$492,$B356,$O$2:$O$492,"&gt;"&amp;$O356)+1-1)/COUNTIF($B$2:$B$492,$B356))&gt;=0.3,"Nella Media","Scommessa/Riserva")))),"")</f>
        <v>Scommessa/Riserva</v>
      </c>
      <c r="Q356" s="29" t="n">
        <f aca="false">IF($D356="",COUNTIF($D$2:$D356,""),"")</f>
        <v>355</v>
      </c>
      <c r="R356" s="29" t="str">
        <f aca="false">IF($D356='Info Lega'!$B$28,COUNTIFS($D$2:$D356,'Info Lega'!$B$28),"")</f>
        <v/>
      </c>
      <c r="S356" s="30" t="n">
        <f aca="false">IFERROR(INDEX('Input Statistiche 2025_26'!$G$3:$G$665,MATCH($A356,'Input Statistiche 2025_26'!$A$3:$A$665,0)),"")</f>
        <v>5.94</v>
      </c>
      <c r="T356" s="30" t="n">
        <f aca="false">IFERROR(INDEX('Input Statistiche 2025_26'!$H$3:$H$665,MATCH($A356,'Input Statistiche 2025_26'!$A$3:$A$665,0)),"")</f>
        <v>6.09</v>
      </c>
      <c r="U356" s="26" t="str">
        <f aca="false">IF(OR('La Mia Rosa'!$O$12="",$D356&lt;&gt;""),"",IF($F356&lt;='La Mia Rosa'!$O$12*'Parametri Modello'!$B$24,"OK",IF($F356&lt;='La Mia Rosa'!$O$12*'Parametri Modello'!$B$25,"Attenzione","Rischio Alto")))</f>
        <v>OK</v>
      </c>
      <c r="V356" s="26" t="n">
        <f aca="false">IFERROR(COUNTIFS($B$2:$B$492,$B356,$O$2:$O$492,"&gt;"&amp;$O356)+1,"")</f>
        <v>125</v>
      </c>
      <c r="W356" s="21" t="n">
        <f aca="false">'Info Lega'!$B$4-SUMIFS($M$2:$M$492,$D$2:$D$492,'Info Lega'!$B$28)</f>
        <v>1000</v>
      </c>
      <c r="X356" s="21" t="n">
        <f aca="false">('Info Lega'!$B$5-COUNTIFS($D$2:$D$492,'Info Lega'!$B$28,$B$2:$B$492,"P"))+('Info Lega'!$B$6-COUNTIFS($D$2:$D$492,'Info Lega'!$B$28,$B$2:$B$492,"D"))+('Info Lega'!$B$7-COUNTIFS($D$2:$D$492,'Info Lega'!$B$28,$B$2:$B$492,"C"))+('Info Lega'!$B$8-COUNTIFS($D$2:$D$492,'Info Lega'!$B$28,$B$2:$B$492,"A"))</f>
        <v>25</v>
      </c>
      <c r="Y356" s="21" t="n">
        <f aca="false">X356*'Parametri Modello'!$B$30</f>
        <v>25</v>
      </c>
      <c r="Z356" s="21" t="n">
        <f aca="false">MAX(0,W356-Y356)</f>
        <v>975</v>
      </c>
      <c r="AA356" s="21" t="n">
        <f aca="false">MIN(F356,Z356)</f>
        <v>3</v>
      </c>
      <c r="AB356" s="21"/>
      <c r="AC356" s="21" t="str">
        <f aca="false">IF(AB356="","",IF(AB356&gt;AA356,"PASS",IF(AB356&lt;=AA356*0.85,"BID","ATTENZIONE")))</f>
        <v/>
      </c>
      <c r="AD356" s="31" t="n">
        <f aca="false">IF(I356="","",ROUND(100*(1-EXP(-I356/30)),0))</f>
        <v>41</v>
      </c>
      <c r="AE356" s="7" t="str">
        <f aca="false">IFERROR(INDEX('Stato Asta'!$G$9:$G$12,MATCH($B356,'Stato Asta'!$A$9:$A$12,0)),"")</f>
        <v>🟡 Attesa rischiosa</v>
      </c>
    </row>
    <row r="357" customFormat="false" ht="14.25" hidden="false" customHeight="true" outlineLevel="0" collapsed="false">
      <c r="A357" s="21" t="n">
        <v>7125</v>
      </c>
      <c r="B357" s="21" t="s">
        <v>44</v>
      </c>
      <c r="C357" s="21" t="s">
        <v>305</v>
      </c>
      <c r="E357" s="26" t="str">
        <f aca="false">IF(COUNTIF('Info Strategia'!$D$2:$D$51,$C357)&gt;0,"SI","NO")</f>
        <v>NO</v>
      </c>
      <c r="F357" s="27" t="n">
        <f aca="false">IFERROR(ROUND(($G357+($H357-$G357)*'Info Strategia'!$B$6)*(1+IF($E357="SI",'Parametri Modello'!$B$7*'Info Strategia'!$B$6,0)),0),"")</f>
        <v>3</v>
      </c>
      <c r="G357" s="27" t="n">
        <f aca="false">IFERROR(ROUND((IF(OR(INDEX('Parametri Modello'!$C$39:$C$42,MATCH($B357,'Parametri Modello'!$A$39:$A$42,0))="",INDEX('Parametri Modello'!$C$39:$C$42,MATCH($B357,'Parametri Modello'!$A$39:$A$42,0))=0),0,($O357/INDEX('Parametri Modello'!$C$39:$C$42,MATCH($B357,'Parametri Modello'!$A$39:$A$42,0)))*(INDEX('Parametri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2</v>
      </c>
      <c r="H357" s="27" t="n">
        <f aca="false">IFERROR(ROUND((IF(OR(INDEX('Parametri Modello'!$C$39:$C$42,MATCH($B357,'Parametri Modello'!$A$39:$A$42,0))="",INDEX('Parametri Modello'!$C$39:$C$42,MATCH($B357,'Parametri Modello'!$A$39:$A$42,0))=0),0,($O357/INDEX('Parametri Modello'!$C$39:$C$42,MATCH($B357,'Parametri Modello'!$A$39:$A$42,0)))*(INDEX('Parametri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4</v>
      </c>
      <c r="I357" s="26" t="n">
        <f aca="false">IFERROR(INDEX('Input Statistiche 2025_26'!$F$3:$F$665,MATCH($A357,'Input Statistiche 2025_26'!$A$3:$A$665,0)),"")</f>
        <v>17</v>
      </c>
      <c r="J357" s="26" t="n">
        <f aca="false">IFERROR(IF($I357="","",MAX(0,38-$I357)),"")</f>
        <v>21</v>
      </c>
      <c r="K357" s="26" t="n">
        <f aca="false">IFERROR(INDEX('Input Statistiche 2025_26'!$I$3:$I$665,MATCH($A357,'Input Statistiche 2025_26'!$A$3:$A$665,0)),"")</f>
        <v>2</v>
      </c>
      <c r="L357" s="26" t="n">
        <f aca="false">IFERROR(INDEX('Input Statistiche 2025_26'!$O$3:$O$665,MATCH($A357,'Input Statistiche 2025_26'!$A$3:$A$665,0)),"")</f>
        <v>0</v>
      </c>
      <c r="M357" s="28"/>
      <c r="N357" s="27" t="n">
        <f aca="false">IFERROR(INDEX('Input Giocatori 2026_27'!$E$3:$E$493,MATCH($A357,'Input Giocatori 2026_27'!$A$3:$A$493,0)),"")</f>
        <v>3</v>
      </c>
      <c r="O357" s="27" t="n">
        <f aca="false">IFERROR(INDEX('Input Giocatori 2026_27'!$G$3:$G$493,MATCH($A357,'Input Giocatori 2026_27'!$A$3:$A$493,0)),"")</f>
        <v>7</v>
      </c>
      <c r="P357" s="26" t="str">
        <f aca="false">IFERROR(IF($O357="","",IF((1-(COUNTIFS($B$2:$B$492,$B357,$O$2:$O$492,"&gt;"&amp;$O357)+1-1)/COUNTIF($B$2:$B$492,$B357))&gt;=0.85,"Top",IF((1-(COUNTIFS($B$2:$B$492,$B357,$O$2:$O$492,"&gt;"&amp;$O357)+1-1)/COUNTIF($B$2:$B$492,$B357))&gt;=0.6,"Buono",IF((1-(COUNTIFS($B$2:$B$492,$B357,$O$2:$O$492,"&gt;"&amp;$O357)+1-1)/COUNTIF($B$2:$B$492,$B357))&gt;=0.3,"Nella Media","Scommessa/Riserva")))),"")</f>
        <v>Scommessa/Riserva</v>
      </c>
      <c r="Q357" s="29" t="n">
        <f aca="false">IF($D357="",COUNTIF($D$2:$D357,""),"")</f>
        <v>356</v>
      </c>
      <c r="R357" s="29" t="str">
        <f aca="false">IF($D357='Info Lega'!$B$28,COUNTIFS($D$2:$D357,'Info Lega'!$B$28),"")</f>
        <v/>
      </c>
      <c r="S357" s="30" t="n">
        <f aca="false">IFERROR(INDEX('Input Statistiche 2025_26'!$G$3:$G$665,MATCH($A357,'Input Statistiche 2025_26'!$A$3:$A$665,0)),"")</f>
        <v>5.82</v>
      </c>
      <c r="T357" s="30" t="n">
        <f aca="false">IFERROR(INDEX('Input Statistiche 2025_26'!$H$3:$H$665,MATCH($A357,'Input Statistiche 2025_26'!$A$3:$A$665,0)),"")</f>
        <v>6.09</v>
      </c>
      <c r="U357" s="26" t="str">
        <f aca="false">IF(OR('La Mia Rosa'!$O$12="",$D357&lt;&gt;""),"",IF($F357&lt;='La Mia Rosa'!$O$12*'Parametri Modello'!$B$24,"OK",IF($F357&lt;='La Mia Rosa'!$O$12*'Parametri Modello'!$B$25,"Attenzione","Rischio Alto")))</f>
        <v>OK</v>
      </c>
      <c r="V357" s="26" t="n">
        <f aca="false">IFERROR(COUNTIFS($B$2:$B$492,$B357,$O$2:$O$492,"&gt;"&amp;$O357)+1,"")</f>
        <v>125</v>
      </c>
      <c r="W357" s="21" t="n">
        <f aca="false">'Info Lega'!$B$4-SUMIFS($M$2:$M$492,$D$2:$D$492,'Info Lega'!$B$28)</f>
        <v>1000</v>
      </c>
      <c r="X357" s="21" t="n">
        <f aca="false">('Info Lega'!$B$5-COUNTIFS($D$2:$D$492,'Info Lega'!$B$28,$B$2:$B$492,"P"))+('Info Lega'!$B$6-COUNTIFS($D$2:$D$492,'Info Lega'!$B$28,$B$2:$B$492,"D"))+('Info Lega'!$B$7-COUNTIFS($D$2:$D$492,'Info Lega'!$B$28,$B$2:$B$492,"C"))+('Info Lega'!$B$8-COUNTIFS($D$2:$D$492,'Info Lega'!$B$28,$B$2:$B$492,"A"))</f>
        <v>25</v>
      </c>
      <c r="Y357" s="21" t="n">
        <f aca="false">X357*'Parametri Modello'!$B$30</f>
        <v>25</v>
      </c>
      <c r="Z357" s="21" t="n">
        <f aca="false">MAX(0,W357-Y357)</f>
        <v>975</v>
      </c>
      <c r="AA357" s="21" t="n">
        <f aca="false">MIN(F357,Z357)</f>
        <v>3</v>
      </c>
      <c r="AB357" s="21"/>
      <c r="AC357" s="21" t="str">
        <f aca="false">IF(AB357="","",IF(AB357&gt;AA357,"PASS",IF(AB357&lt;=AA357*0.85,"BID","ATTENZIONE")))</f>
        <v/>
      </c>
      <c r="AD357" s="31" t="n">
        <f aca="false">IF(I357="","",ROUND(100*(1-EXP(-I357/30)),0))</f>
        <v>43</v>
      </c>
      <c r="AE357" s="7" t="str">
        <f aca="false">IFERROR(INDEX('Stato Asta'!$G$9:$G$12,MATCH($B357,'Stato Asta'!$A$9:$A$12,0)),"")</f>
        <v>🟡 Attesa rischiosa</v>
      </c>
    </row>
    <row r="358" customFormat="false" ht="14.25" hidden="false" customHeight="true" outlineLevel="0" collapsed="false">
      <c r="A358" s="21" t="n">
        <v>4378</v>
      </c>
      <c r="B358" s="21" t="s">
        <v>44</v>
      </c>
      <c r="C358" s="21" t="s">
        <v>306</v>
      </c>
      <c r="E358" s="26" t="str">
        <f aca="false">IF(COUNTIF('Info Strategia'!$D$2:$D$51,$C358)&gt;0,"SI","NO")</f>
        <v>NO</v>
      </c>
      <c r="F358" s="27" t="n">
        <f aca="false">IFERROR(ROUND(($G358+($H358-$G358)*'Info Strategia'!$B$6)*(1+IF($E358="SI",'Parametri Modello'!$B$7*'Info Strategia'!$B$6,0)),0),"")</f>
        <v>3</v>
      </c>
      <c r="G358" s="27" t="n">
        <f aca="false">IFERROR(ROUND((IF(OR(INDEX('Parametri Modello'!$C$39:$C$42,MATCH($B358,'Parametri Modello'!$A$39:$A$42,0))="",INDEX('Parametri Modello'!$C$39:$C$42,MATCH($B358,'Parametri Modello'!$A$39:$A$42,0))=0),0,($O358/INDEX('Parametri Modello'!$C$39:$C$42,MATCH($B358,'Parametri Modello'!$A$39:$A$42,0)))*(INDEX('Parametri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2</v>
      </c>
      <c r="H358" s="27" t="n">
        <f aca="false">IFERROR(ROUND((IF(OR(INDEX('Parametri Modello'!$C$39:$C$42,MATCH($B358,'Parametri Modello'!$A$39:$A$42,0))="",INDEX('Parametri Modello'!$C$39:$C$42,MATCH($B358,'Parametri Modello'!$A$39:$A$42,0))=0),0,($O358/INDEX('Parametri Modello'!$C$39:$C$42,MATCH($B358,'Parametri Modello'!$A$39:$A$42,0)))*(INDEX('Parametri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4</v>
      </c>
      <c r="I358" s="26" t="n">
        <f aca="false">IFERROR(INDEX('Input Statistiche 2025_26'!$F$3:$F$665,MATCH($A358,'Input Statistiche 2025_26'!$A$3:$A$665,0)),"")</f>
        <v>31</v>
      </c>
      <c r="J358" s="26" t="n">
        <f aca="false">IFERROR(IF($I358="","",MAX(0,38-$I358)),"")</f>
        <v>7</v>
      </c>
      <c r="K358" s="26" t="n">
        <f aca="false">IFERROR(INDEX('Input Statistiche 2025_26'!$I$3:$I$665,MATCH($A358,'Input Statistiche 2025_26'!$A$3:$A$665,0)),"")</f>
        <v>1</v>
      </c>
      <c r="L358" s="26" t="n">
        <f aca="false">IFERROR(INDEX('Input Statistiche 2025_26'!$O$3:$O$665,MATCH($A358,'Input Statistiche 2025_26'!$A$3:$A$665,0)),"")</f>
        <v>0</v>
      </c>
      <c r="M358" s="28"/>
      <c r="N358" s="27" t="n">
        <f aca="false">IFERROR(INDEX('Input Giocatori 2026_27'!$E$3:$E$493,MATCH($A358,'Input Giocatori 2026_27'!$A$3:$A$493,0)),"")</f>
        <v>3</v>
      </c>
      <c r="O358" s="27" t="n">
        <f aca="false">IFERROR(INDEX('Input Giocatori 2026_27'!$G$3:$G$493,MATCH($A358,'Input Giocatori 2026_27'!$A$3:$A$493,0)),"")</f>
        <v>7</v>
      </c>
      <c r="P358" s="26" t="str">
        <f aca="false">IFERROR(IF($O358="","",IF((1-(COUNTIFS($B$2:$B$492,$B358,$O$2:$O$492,"&gt;"&amp;$O358)+1-1)/COUNTIF($B$2:$B$492,$B358))&gt;=0.85,"Top",IF((1-(COUNTIFS($B$2:$B$492,$B358,$O$2:$O$492,"&gt;"&amp;$O358)+1-1)/COUNTIF($B$2:$B$492,$B358))&gt;=0.6,"Buono",IF((1-(COUNTIFS($B$2:$B$492,$B358,$O$2:$O$492,"&gt;"&amp;$O358)+1-1)/COUNTIF($B$2:$B$492,$B358))&gt;=0.3,"Nella Media","Scommessa/Riserva")))),"")</f>
        <v>Scommessa/Riserva</v>
      </c>
      <c r="Q358" s="29" t="n">
        <f aca="false">IF($D358="",COUNTIF($D$2:$D358,""),"")</f>
        <v>357</v>
      </c>
      <c r="R358" s="29" t="str">
        <f aca="false">IF($D358='Info Lega'!$B$28,COUNTIFS($D$2:$D358,'Info Lega'!$B$28),"")</f>
        <v/>
      </c>
      <c r="S358" s="30" t="n">
        <f aca="false">IFERROR(INDEX('Input Statistiche 2025_26'!$G$3:$G$665,MATCH($A358,'Input Statistiche 2025_26'!$A$3:$A$665,0)),"")</f>
        <v>5.85</v>
      </c>
      <c r="T358" s="30" t="n">
        <f aca="false">IFERROR(INDEX('Input Statistiche 2025_26'!$H$3:$H$665,MATCH($A358,'Input Statistiche 2025_26'!$A$3:$A$665,0)),"")</f>
        <v>5.79</v>
      </c>
      <c r="U358" s="26" t="str">
        <f aca="false">IF(OR('La Mia Rosa'!$O$12="",$D358&lt;&gt;""),"",IF($F358&lt;='La Mia Rosa'!$O$12*'Parametri Modello'!$B$24,"OK",IF($F358&lt;='La Mia Rosa'!$O$12*'Parametri Modello'!$B$25,"Attenzione","Rischio Alto")))</f>
        <v>OK</v>
      </c>
      <c r="V358" s="26" t="n">
        <f aca="false">IFERROR(COUNTIFS($B$2:$B$492,$B358,$O$2:$O$492,"&gt;"&amp;$O358)+1,"")</f>
        <v>125</v>
      </c>
      <c r="W358" s="21" t="n">
        <f aca="false">'Info Lega'!$B$4-SUMIFS($M$2:$M$492,$D$2:$D$492,'Info Lega'!$B$28)</f>
        <v>1000</v>
      </c>
      <c r="X358" s="21" t="n">
        <f aca="false">('Info Lega'!$B$5-COUNTIFS($D$2:$D$492,'Info Lega'!$B$28,$B$2:$B$492,"P"))+('Info Lega'!$B$6-COUNTIFS($D$2:$D$492,'Info Lega'!$B$28,$B$2:$B$492,"D"))+('Info Lega'!$B$7-COUNTIFS($D$2:$D$492,'Info Lega'!$B$28,$B$2:$B$492,"C"))+('Info Lega'!$B$8-COUNTIFS($D$2:$D$492,'Info Lega'!$B$28,$B$2:$B$492,"A"))</f>
        <v>25</v>
      </c>
      <c r="Y358" s="21" t="n">
        <f aca="false">X358*'Parametri Modello'!$B$30</f>
        <v>25</v>
      </c>
      <c r="Z358" s="21" t="n">
        <f aca="false">MAX(0,W358-Y358)</f>
        <v>975</v>
      </c>
      <c r="AA358" s="21" t="n">
        <f aca="false">MIN(F358,Z358)</f>
        <v>3</v>
      </c>
      <c r="AB358" s="21"/>
      <c r="AC358" s="21" t="str">
        <f aca="false">IF(AB358="","",IF(AB358&gt;AA358,"PASS",IF(AB358&lt;=AA358*0.85,"BID","ATTENZIONE")))</f>
        <v/>
      </c>
      <c r="AD358" s="31" t="n">
        <f aca="false">IF(I358="","",ROUND(100*(1-EXP(-I358/30)),0))</f>
        <v>64</v>
      </c>
      <c r="AE358" s="7" t="str">
        <f aca="false">IFERROR(INDEX('Stato Asta'!$G$9:$G$12,MATCH($B358,'Stato Asta'!$A$9:$A$12,0)),"")</f>
        <v>🟡 Attesa rischiosa</v>
      </c>
    </row>
    <row r="359" customFormat="false" ht="14.25" hidden="false" customHeight="true" outlineLevel="0" collapsed="false">
      <c r="A359" s="21" t="n">
        <v>7175</v>
      </c>
      <c r="B359" s="21" t="s">
        <v>44</v>
      </c>
      <c r="C359" s="21" t="s">
        <v>307</v>
      </c>
      <c r="E359" s="26" t="str">
        <f aca="false">IF(COUNTIF('Info Strategia'!$D$2:$D$51,$C359)&gt;0,"SI","NO")</f>
        <v>NO</v>
      </c>
      <c r="F359" s="27" t="n">
        <f aca="false">IFERROR(ROUND(($G359+($H359-$G359)*'Info Strategia'!$B$6)*(1+IF($E359="SI",'Parametri Modello'!$B$7*'Info Strategia'!$B$6,0)),0),"")</f>
        <v>3</v>
      </c>
      <c r="G359" s="27" t="n">
        <f aca="false">IFERROR(ROUND((IF(OR(INDEX('Parametri Modello'!$C$39:$C$42,MATCH($B359,'Parametri Modello'!$A$39:$A$42,0))="",INDEX('Parametri Modello'!$C$39:$C$42,MATCH($B359,'Parametri Modello'!$A$39:$A$42,0))=0),0,($O359/INDEX('Parametri Modello'!$C$39:$C$42,MATCH($B359,'Parametri Modello'!$A$39:$A$42,0)))*(INDEX('Parametri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2</v>
      </c>
      <c r="H359" s="27" t="n">
        <f aca="false">IFERROR(ROUND((IF(OR(INDEX('Parametri Modello'!$C$39:$C$42,MATCH($B359,'Parametri Modello'!$A$39:$A$42,0))="",INDEX('Parametri Modello'!$C$39:$C$42,MATCH($B359,'Parametri Modello'!$A$39:$A$42,0))=0),0,($O359/INDEX('Parametri Modello'!$C$39:$C$42,MATCH($B359,'Parametri Modello'!$A$39:$A$42,0)))*(INDEX('Parametri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4</v>
      </c>
      <c r="I359" s="26" t="n">
        <f aca="false">IFERROR(INDEX('Input Statistiche 2025_26'!$F$3:$F$665,MATCH($A359,'Input Statistiche 2025_26'!$A$3:$A$665,0)),"")</f>
        <v>14</v>
      </c>
      <c r="J359" s="26" t="n">
        <f aca="false">IFERROR(IF($I359="","",MAX(0,38-$I359)),"")</f>
        <v>24</v>
      </c>
      <c r="K359" s="26" t="n">
        <f aca="false">IFERROR(INDEX('Input Statistiche 2025_26'!$I$3:$I$665,MATCH($A359,'Input Statistiche 2025_26'!$A$3:$A$665,0)),"")</f>
        <v>1</v>
      </c>
      <c r="L359" s="26" t="n">
        <f aca="false">IFERROR(INDEX('Input Statistiche 2025_26'!$O$3:$O$665,MATCH($A359,'Input Statistiche 2025_26'!$A$3:$A$665,0)),"")</f>
        <v>1</v>
      </c>
      <c r="M359" s="28"/>
      <c r="N359" s="27" t="n">
        <f aca="false">IFERROR(INDEX('Input Giocatori 2026_27'!$E$3:$E$493,MATCH($A359,'Input Giocatori 2026_27'!$A$3:$A$493,0)),"")</f>
        <v>3</v>
      </c>
      <c r="O359" s="27" t="n">
        <f aca="false">IFERROR(INDEX('Input Giocatori 2026_27'!$G$3:$G$493,MATCH($A359,'Input Giocatori 2026_27'!$A$3:$A$493,0)),"")</f>
        <v>7</v>
      </c>
      <c r="P359" s="26" t="str">
        <f aca="false">IFERROR(IF($O359="","",IF((1-(COUNTIFS($B$2:$B$492,$B359,$O$2:$O$492,"&gt;"&amp;$O359)+1-1)/COUNTIF($B$2:$B$492,$B359))&gt;=0.85,"Top",IF((1-(COUNTIFS($B$2:$B$492,$B359,$O$2:$O$492,"&gt;"&amp;$O359)+1-1)/COUNTIF($B$2:$B$492,$B359))&gt;=0.6,"Buono",IF((1-(COUNTIFS($B$2:$B$492,$B359,$O$2:$O$492,"&gt;"&amp;$O359)+1-1)/COUNTIF($B$2:$B$492,$B359))&gt;=0.3,"Nella Media","Scommessa/Riserva")))),"")</f>
        <v>Scommessa/Riserva</v>
      </c>
      <c r="Q359" s="29" t="n">
        <f aca="false">IF($D359="",COUNTIF($D$2:$D359,""),"")</f>
        <v>358</v>
      </c>
      <c r="R359" s="29" t="str">
        <f aca="false">IF($D359='Info Lega'!$B$28,COUNTIFS($D$2:$D359,'Info Lega'!$B$28),"")</f>
        <v/>
      </c>
      <c r="S359" s="30" t="n">
        <f aca="false">IFERROR(INDEX('Input Statistiche 2025_26'!$G$3:$G$665,MATCH($A359,'Input Statistiche 2025_26'!$A$3:$A$665,0)),"")</f>
        <v>5.79</v>
      </c>
      <c r="T359" s="30" t="n">
        <f aca="false">IFERROR(INDEX('Input Statistiche 2025_26'!$H$3:$H$665,MATCH($A359,'Input Statistiche 2025_26'!$A$3:$A$665,0)),"")</f>
        <v>6</v>
      </c>
      <c r="U359" s="26" t="str">
        <f aca="false">IF(OR('La Mia Rosa'!$O$12="",$D359&lt;&gt;""),"",IF($F359&lt;='La Mia Rosa'!$O$12*'Parametri Modello'!$B$24,"OK",IF($F359&lt;='La Mia Rosa'!$O$12*'Parametri Modello'!$B$25,"Attenzione","Rischio Alto")))</f>
        <v>OK</v>
      </c>
      <c r="V359" s="26" t="n">
        <f aca="false">IFERROR(COUNTIFS($B$2:$B$492,$B359,$O$2:$O$492,"&gt;"&amp;$O359)+1,"")</f>
        <v>125</v>
      </c>
      <c r="W359" s="21" t="n">
        <f aca="false">'Info Lega'!$B$4-SUMIFS($M$2:$M$492,$D$2:$D$492,'Info Lega'!$B$28)</f>
        <v>1000</v>
      </c>
      <c r="X359" s="21" t="n">
        <f aca="false">('Info Lega'!$B$5-COUNTIFS($D$2:$D$492,'Info Lega'!$B$28,$B$2:$B$492,"P"))+('Info Lega'!$B$6-COUNTIFS($D$2:$D$492,'Info Lega'!$B$28,$B$2:$B$492,"D"))+('Info Lega'!$B$7-COUNTIFS($D$2:$D$492,'Info Lega'!$B$28,$B$2:$B$492,"C"))+('Info Lega'!$B$8-COUNTIFS($D$2:$D$492,'Info Lega'!$B$28,$B$2:$B$492,"A"))</f>
        <v>25</v>
      </c>
      <c r="Y359" s="21" t="n">
        <f aca="false">X359*'Parametri Modello'!$B$30</f>
        <v>25</v>
      </c>
      <c r="Z359" s="21" t="n">
        <f aca="false">MAX(0,W359-Y359)</f>
        <v>975</v>
      </c>
      <c r="AA359" s="21" t="n">
        <f aca="false">MIN(F359,Z359)</f>
        <v>3</v>
      </c>
      <c r="AB359" s="21"/>
      <c r="AC359" s="21" t="str">
        <f aca="false">IF(AB359="","",IF(AB359&gt;AA359,"PASS",IF(AB359&lt;=AA359*0.85,"BID","ATTENZIONE")))</f>
        <v/>
      </c>
      <c r="AD359" s="31" t="n">
        <f aca="false">IF(I359="","",ROUND(100*(1-EXP(-I359/30)),0))</f>
        <v>37</v>
      </c>
      <c r="AE359" s="7" t="str">
        <f aca="false">IFERROR(INDEX('Stato Asta'!$G$9:$G$12,MATCH($B359,'Stato Asta'!$A$9:$A$12,0)),"")</f>
        <v>🟡 Attesa rischiosa</v>
      </c>
    </row>
    <row r="360" customFormat="false" ht="14.25" hidden="false" customHeight="true" outlineLevel="0" collapsed="false">
      <c r="A360" s="21" t="n">
        <v>7540</v>
      </c>
      <c r="B360" s="21" t="s">
        <v>44</v>
      </c>
      <c r="C360" s="21" t="s">
        <v>308</v>
      </c>
      <c r="E360" s="26" t="str">
        <f aca="false">IF(COUNTIF('Info Strategia'!$D$2:$D$51,$C360)&gt;0,"SI","NO")</f>
        <v>NO</v>
      </c>
      <c r="F360" s="27" t="n">
        <f aca="false">IFERROR(ROUND(($G360+($H360-$G360)*'Info Strategia'!$B$6)*(1+IF($E360="SI",'Parametri Modello'!$B$7*'Info Strategia'!$B$6,0)),0),"")</f>
        <v>3</v>
      </c>
      <c r="G360" s="27" t="n">
        <f aca="false">IFERROR(ROUND((IF(OR(INDEX('Parametri Modello'!$C$39:$C$42,MATCH($B360,'Parametri Modello'!$A$39:$A$42,0))="",INDEX('Parametri Modello'!$C$39:$C$42,MATCH($B360,'Parametri Modello'!$A$39:$A$42,0))=0),0,($O360/INDEX('Parametri Modello'!$C$39:$C$42,MATCH($B360,'Parametri Modello'!$A$39:$A$42,0)))*(INDEX('Parametri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2</v>
      </c>
      <c r="H360" s="27" t="n">
        <f aca="false">IFERROR(ROUND((IF(OR(INDEX('Parametri Modello'!$C$39:$C$42,MATCH($B360,'Parametri Modello'!$A$39:$A$42,0))="",INDEX('Parametri Modello'!$C$39:$C$42,MATCH($B360,'Parametri Modello'!$A$39:$A$42,0))=0),0,($O360/INDEX('Parametri Modello'!$C$39:$C$42,MATCH($B360,'Parametri Modello'!$A$39:$A$42,0)))*(INDEX('Parametri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4</v>
      </c>
      <c r="I360" s="26" t="str">
        <f aca="false">IFERROR(INDEX('Input Statistiche 2025_26'!$F$3:$F$665,MATCH($A360,'Input Statistiche 2025_26'!$A$3:$A$665,0)),"")</f>
        <v/>
      </c>
      <c r="J360" s="26" t="str">
        <f aca="false">IFERROR(IF($I360="","",MAX(0,38-$I360)),"")</f>
        <v/>
      </c>
      <c r="K360" s="26" t="str">
        <f aca="false">IFERROR(INDEX('Input Statistiche 2025_26'!$I$3:$I$665,MATCH($A360,'Input Statistiche 2025_26'!$A$3:$A$665,0)),"")</f>
        <v/>
      </c>
      <c r="L360" s="26" t="str">
        <f aca="false">IFERROR(INDEX('Input Statistiche 2025_26'!$O$3:$O$665,MATCH($A360,'Input Statistiche 2025_26'!$A$3:$A$665,0)),"")</f>
        <v/>
      </c>
      <c r="M360" s="28"/>
      <c r="N360" s="27" t="n">
        <f aca="false">IFERROR(INDEX('Input Giocatori 2026_27'!$E$3:$E$493,MATCH($A360,'Input Giocatori 2026_27'!$A$3:$A$493,0)),"")</f>
        <v>3</v>
      </c>
      <c r="O360" s="27" t="n">
        <f aca="false">IFERROR(INDEX('Input Giocatori 2026_27'!$G$3:$G$493,MATCH($A360,'Input Giocatori 2026_27'!$A$3:$A$493,0)),"")</f>
        <v>7</v>
      </c>
      <c r="P360" s="26" t="str">
        <f aca="false">IFERROR(IF($O360="","",IF((1-(COUNTIFS($B$2:$B$492,$B360,$O$2:$O$492,"&gt;"&amp;$O360)+1-1)/COUNTIF($B$2:$B$492,$B360))&gt;=0.85,"Top",IF((1-(COUNTIFS($B$2:$B$492,$B360,$O$2:$O$492,"&gt;"&amp;$O360)+1-1)/COUNTIF($B$2:$B$492,$B360))&gt;=0.6,"Buono",IF((1-(COUNTIFS($B$2:$B$492,$B360,$O$2:$O$492,"&gt;"&amp;$O360)+1-1)/COUNTIF($B$2:$B$492,$B360))&gt;=0.3,"Nella Media","Scommessa/Riserva")))),"")</f>
        <v>Scommessa/Riserva</v>
      </c>
      <c r="Q360" s="29" t="n">
        <f aca="false">IF($D360="",COUNTIF($D$2:$D360,""),"")</f>
        <v>359</v>
      </c>
      <c r="R360" s="29" t="str">
        <f aca="false">IF($D360='Info Lega'!$B$28,COUNTIFS($D$2:$D360,'Info Lega'!$B$28),"")</f>
        <v/>
      </c>
      <c r="S360" s="30" t="str">
        <f aca="false">IFERROR(INDEX('Input Statistiche 2025_26'!$G$3:$G$665,MATCH($A360,'Input Statistiche 2025_26'!$A$3:$A$665,0)),"")</f>
        <v/>
      </c>
      <c r="T360" s="30" t="str">
        <f aca="false">IFERROR(INDEX('Input Statistiche 2025_26'!$H$3:$H$665,MATCH($A360,'Input Statistiche 2025_26'!$A$3:$A$665,0)),"")</f>
        <v/>
      </c>
      <c r="U360" s="26" t="str">
        <f aca="false">IF(OR('La Mia Rosa'!$O$12="",$D360&lt;&gt;""),"",IF($F360&lt;='La Mia Rosa'!$O$12*'Parametri Modello'!$B$24,"OK",IF($F360&lt;='La Mia Rosa'!$O$12*'Parametri Modello'!$B$25,"Attenzione","Rischio Alto")))</f>
        <v>OK</v>
      </c>
      <c r="V360" s="26" t="n">
        <f aca="false">IFERROR(COUNTIFS($B$2:$B$492,$B360,$O$2:$O$492,"&gt;"&amp;$O360)+1,"")</f>
        <v>125</v>
      </c>
      <c r="W360" s="21" t="n">
        <f aca="false">'Info Lega'!$B$4-SUMIFS($M$2:$M$492,$D$2:$D$492,'Info Lega'!$B$28)</f>
        <v>1000</v>
      </c>
      <c r="X360" s="21" t="n">
        <f aca="false">('Info Lega'!$B$5-COUNTIFS($D$2:$D$492,'Info Lega'!$B$28,$B$2:$B$492,"P"))+('Info Lega'!$B$6-COUNTIFS($D$2:$D$492,'Info Lega'!$B$28,$B$2:$B$492,"D"))+('Info Lega'!$B$7-COUNTIFS($D$2:$D$492,'Info Lega'!$B$28,$B$2:$B$492,"C"))+('Info Lega'!$B$8-COUNTIFS($D$2:$D$492,'Info Lega'!$B$28,$B$2:$B$492,"A"))</f>
        <v>25</v>
      </c>
      <c r="Y360" s="21" t="n">
        <f aca="false">X360*'Parametri Modello'!$B$30</f>
        <v>25</v>
      </c>
      <c r="Z360" s="21" t="n">
        <f aca="false">MAX(0,W360-Y360)</f>
        <v>975</v>
      </c>
      <c r="AA360" s="21" t="n">
        <f aca="false">MIN(F360,Z360)</f>
        <v>3</v>
      </c>
      <c r="AB360" s="21"/>
      <c r="AC360" s="21" t="str">
        <f aca="false">IF(AB360="","",IF(AB360&gt;AA360,"PASS",IF(AB360&lt;=AA360*0.85,"BID","ATTENZIONE")))</f>
        <v/>
      </c>
      <c r="AD360" s="31" t="str">
        <f aca="false">IF(I360="","",ROUND(100*(1-EXP(-I360/30)),0))</f>
        <v/>
      </c>
      <c r="AE360" s="7" t="str">
        <f aca="false">IFERROR(INDEX('Stato Asta'!$G$9:$G$12,MATCH($B360,'Stato Asta'!$A$9:$A$12,0)),"")</f>
        <v>🟡 Attesa rischiosa</v>
      </c>
    </row>
    <row r="361" customFormat="false" ht="14.25" hidden="false" customHeight="true" outlineLevel="0" collapsed="false">
      <c r="A361" s="21" t="n">
        <v>6892</v>
      </c>
      <c r="B361" s="21" t="s">
        <v>44</v>
      </c>
      <c r="C361" s="21" t="s">
        <v>320</v>
      </c>
      <c r="E361" s="26" t="str">
        <f aca="false">IF(COUNTIF('Info Strategia'!$D$2:$D$51,$C361)&gt;0,"SI","NO")</f>
        <v>NO</v>
      </c>
      <c r="F361" s="27" t="n">
        <f aca="false">IFERROR(ROUND(($G361+($H361-$G361)*'Info Strategia'!$B$6)*(1+IF($E361="SI",'Parametri Modello'!$B$7*'Info Strategia'!$B$6,0)),0),"")</f>
        <v>3</v>
      </c>
      <c r="G361" s="27" t="n">
        <f aca="false">IFERROR(ROUND((IF(OR(INDEX('Parametri Modello'!$C$39:$C$42,MATCH($B361,'Parametri Modello'!$A$39:$A$42,0))="",INDEX('Parametri Modello'!$C$39:$C$42,MATCH($B361,'Parametri Modello'!$A$39:$A$42,0))=0),0,($O361/INDEX('Parametri Modello'!$C$39:$C$42,MATCH($B361,'Parametri Modello'!$A$39:$A$42,0)))*(INDEX('Parametri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2</v>
      </c>
      <c r="H361" s="27" t="n">
        <f aca="false">IFERROR(ROUND((IF(OR(INDEX('Parametri Modello'!$C$39:$C$42,MATCH($B361,'Parametri Modello'!$A$39:$A$42,0))="",INDEX('Parametri Modello'!$C$39:$C$42,MATCH($B361,'Parametri Modello'!$A$39:$A$42,0))=0),0,($O361/INDEX('Parametri Modello'!$C$39:$C$42,MATCH($B361,'Parametri Modello'!$A$39:$A$42,0)))*(INDEX('Parametri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4</v>
      </c>
      <c r="I361" s="26" t="str">
        <f aca="false">IFERROR(INDEX('Input Statistiche 2025_26'!$F$3:$F$665,MATCH($A361,'Input Statistiche 2025_26'!$A$3:$A$665,0)),"")</f>
        <v/>
      </c>
      <c r="J361" s="26" t="str">
        <f aca="false">IFERROR(IF($I361="","",MAX(0,38-$I361)),"")</f>
        <v/>
      </c>
      <c r="K361" s="26" t="str">
        <f aca="false">IFERROR(INDEX('Input Statistiche 2025_26'!$I$3:$I$665,MATCH($A361,'Input Statistiche 2025_26'!$A$3:$A$665,0)),"")</f>
        <v/>
      </c>
      <c r="L361" s="26" t="str">
        <f aca="false">IFERROR(INDEX('Input Statistiche 2025_26'!$O$3:$O$665,MATCH($A361,'Input Statistiche 2025_26'!$A$3:$A$665,0)),"")</f>
        <v/>
      </c>
      <c r="M361" s="28"/>
      <c r="N361" s="27" t="n">
        <f aca="false">IFERROR(INDEX('Input Giocatori 2026_27'!$E$3:$E$493,MATCH($A361,'Input Giocatori 2026_27'!$A$3:$A$493,0)),"")</f>
        <v>3</v>
      </c>
      <c r="O361" s="27" t="n">
        <f aca="false">IFERROR(INDEX('Input Giocatori 2026_27'!$G$3:$G$493,MATCH($A361,'Input Giocatori 2026_27'!$A$3:$A$493,0)),"")</f>
        <v>7</v>
      </c>
      <c r="P361" s="26" t="str">
        <f aca="false">IFERROR(IF($O361="","",IF((1-(COUNTIFS($B$2:$B$492,$B361,$O$2:$O$492,"&gt;"&amp;$O361)+1-1)/COUNTIF($B$2:$B$492,$B361))&gt;=0.85,"Top",IF((1-(COUNTIFS($B$2:$B$492,$B361,$O$2:$O$492,"&gt;"&amp;$O361)+1-1)/COUNTIF($B$2:$B$492,$B361))&gt;=0.6,"Buono",IF((1-(COUNTIFS($B$2:$B$492,$B361,$O$2:$O$492,"&gt;"&amp;$O361)+1-1)/COUNTIF($B$2:$B$492,$B361))&gt;=0.3,"Nella Media","Scommessa/Riserva")))),"")</f>
        <v>Scommessa/Riserva</v>
      </c>
      <c r="Q361" s="29" t="n">
        <f aca="false">IF($D361="",COUNTIF($D$2:$D361,""),"")</f>
        <v>360</v>
      </c>
      <c r="R361" s="29" t="str">
        <f aca="false">IF($D361='Info Lega'!$B$28,COUNTIFS($D$2:$D361,'Info Lega'!$B$28),"")</f>
        <v/>
      </c>
      <c r="S361" s="30" t="str">
        <f aca="false">IFERROR(INDEX('Input Statistiche 2025_26'!$G$3:$G$665,MATCH($A361,'Input Statistiche 2025_26'!$A$3:$A$665,0)),"")</f>
        <v/>
      </c>
      <c r="T361" s="30" t="str">
        <f aca="false">IFERROR(INDEX('Input Statistiche 2025_26'!$H$3:$H$665,MATCH($A361,'Input Statistiche 2025_26'!$A$3:$A$665,0)),"")</f>
        <v/>
      </c>
      <c r="U361" s="26" t="str">
        <f aca="false">IF(OR('La Mia Rosa'!$O$12="",$D361&lt;&gt;""),"",IF($F361&lt;='La Mia Rosa'!$O$12*'Parametri Modello'!$B$24,"OK",IF($F361&lt;='La Mia Rosa'!$O$12*'Parametri Modello'!$B$25,"Attenzione","Rischio Alto")))</f>
        <v>OK</v>
      </c>
      <c r="V361" s="26" t="n">
        <f aca="false">IFERROR(COUNTIFS($B$2:$B$492,$B361,$O$2:$O$492,"&gt;"&amp;$O361)+1,"")</f>
        <v>125</v>
      </c>
      <c r="W361" s="21" t="n">
        <f aca="false">'Info Lega'!$B$4-SUMIFS($M$2:$M$492,$D$2:$D$492,'Info Lega'!$B$28)</f>
        <v>1000</v>
      </c>
      <c r="X361" s="21" t="n">
        <f aca="false">('Info Lega'!$B$5-COUNTIFS($D$2:$D$492,'Info Lega'!$B$28,$B$2:$B$492,"P"))+('Info Lega'!$B$6-COUNTIFS($D$2:$D$492,'Info Lega'!$B$28,$B$2:$B$492,"D"))+('Info Lega'!$B$7-COUNTIFS($D$2:$D$492,'Info Lega'!$B$28,$B$2:$B$492,"C"))+('Info Lega'!$B$8-COUNTIFS($D$2:$D$492,'Info Lega'!$B$28,$B$2:$B$492,"A"))</f>
        <v>25</v>
      </c>
      <c r="Y361" s="21" t="n">
        <f aca="false">X361*'Parametri Modello'!$B$30</f>
        <v>25</v>
      </c>
      <c r="Z361" s="21" t="n">
        <f aca="false">MAX(0,W361-Y361)</f>
        <v>975</v>
      </c>
      <c r="AA361" s="21" t="n">
        <f aca="false">MIN(F361,Z361)</f>
        <v>3</v>
      </c>
      <c r="AB361" s="21"/>
      <c r="AC361" s="21" t="str">
        <f aca="false">IF(AB361="","",IF(AB361&gt;AA361,"PASS",IF(AB361&lt;=AA361*0.85,"BID","ATTENZIONE")))</f>
        <v/>
      </c>
      <c r="AD361" s="31" t="str">
        <f aca="false">IF(I361="","",ROUND(100*(1-EXP(-I361/30)),0))</f>
        <v/>
      </c>
      <c r="AE361" s="7" t="str">
        <f aca="false">IFERROR(INDEX('Stato Asta'!$G$9:$G$12,MATCH($B361,'Stato Asta'!$A$9:$A$12,0)),"")</f>
        <v>🟡 Attesa rischiosa</v>
      </c>
    </row>
    <row r="362" customFormat="false" ht="14.25" hidden="false" customHeight="true" outlineLevel="0" collapsed="false">
      <c r="A362" s="21" t="n">
        <v>6673</v>
      </c>
      <c r="B362" s="21" t="s">
        <v>44</v>
      </c>
      <c r="C362" s="21" t="s">
        <v>321</v>
      </c>
      <c r="E362" s="26" t="str">
        <f aca="false">IF(COUNTIF('Info Strategia'!$D$2:$D$51,$C362)&gt;0,"SI","NO")</f>
        <v>NO</v>
      </c>
      <c r="F362" s="27" t="n">
        <f aca="false">IFERROR(ROUND(($G362+($H362-$G362)*'Info Strategia'!$B$6)*(1+IF($E362="SI",'Parametri Modello'!$B$7*'Info Strategia'!$B$6,0)),0),"")</f>
        <v>3</v>
      </c>
      <c r="G362" s="27" t="n">
        <f aca="false">IFERROR(ROUND((IF(OR(INDEX('Parametri Modello'!$C$39:$C$42,MATCH($B362,'Parametri Modello'!$A$39:$A$42,0))="",INDEX('Parametri Modello'!$C$39:$C$42,MATCH($B362,'Parametri Modello'!$A$39:$A$42,0))=0),0,($O362/INDEX('Parametri Modello'!$C$39:$C$42,MATCH($B362,'Parametri Modello'!$A$39:$A$42,0)))*(INDEX('Parametri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2</v>
      </c>
      <c r="H362" s="27" t="n">
        <f aca="false">IFERROR(ROUND((IF(OR(INDEX('Parametri Modello'!$C$39:$C$42,MATCH($B362,'Parametri Modello'!$A$39:$A$42,0))="",INDEX('Parametri Modello'!$C$39:$C$42,MATCH($B362,'Parametri Modello'!$A$39:$A$42,0))=0),0,($O362/INDEX('Parametri Modello'!$C$39:$C$42,MATCH($B362,'Parametri Modello'!$A$39:$A$42,0)))*(INDEX('Parametri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4</v>
      </c>
      <c r="I362" s="26" t="str">
        <f aca="false">IFERROR(INDEX('Input Statistiche 2025_26'!$F$3:$F$665,MATCH($A362,'Input Statistiche 2025_26'!$A$3:$A$665,0)),"")</f>
        <v/>
      </c>
      <c r="J362" s="26" t="str">
        <f aca="false">IFERROR(IF($I362="","",MAX(0,38-$I362)),"")</f>
        <v/>
      </c>
      <c r="K362" s="26" t="str">
        <f aca="false">IFERROR(INDEX('Input Statistiche 2025_26'!$I$3:$I$665,MATCH($A362,'Input Statistiche 2025_26'!$A$3:$A$665,0)),"")</f>
        <v/>
      </c>
      <c r="L362" s="26" t="str">
        <f aca="false">IFERROR(INDEX('Input Statistiche 2025_26'!$O$3:$O$665,MATCH($A362,'Input Statistiche 2025_26'!$A$3:$A$665,0)),"")</f>
        <v/>
      </c>
      <c r="M362" s="28"/>
      <c r="N362" s="27" t="n">
        <f aca="false">IFERROR(INDEX('Input Giocatori 2026_27'!$E$3:$E$493,MATCH($A362,'Input Giocatori 2026_27'!$A$3:$A$493,0)),"")</f>
        <v>3</v>
      </c>
      <c r="O362" s="27" t="n">
        <f aca="false">IFERROR(INDEX('Input Giocatori 2026_27'!$G$3:$G$493,MATCH($A362,'Input Giocatori 2026_27'!$A$3:$A$493,0)),"")</f>
        <v>7</v>
      </c>
      <c r="P362" s="26" t="str">
        <f aca="false">IFERROR(IF($O362="","",IF((1-(COUNTIFS($B$2:$B$492,$B362,$O$2:$O$492,"&gt;"&amp;$O362)+1-1)/COUNTIF($B$2:$B$492,$B362))&gt;=0.85,"Top",IF((1-(COUNTIFS($B$2:$B$492,$B362,$O$2:$O$492,"&gt;"&amp;$O362)+1-1)/COUNTIF($B$2:$B$492,$B362))&gt;=0.6,"Buono",IF((1-(COUNTIFS($B$2:$B$492,$B362,$O$2:$O$492,"&gt;"&amp;$O362)+1-1)/COUNTIF($B$2:$B$492,$B362))&gt;=0.3,"Nella Media","Scommessa/Riserva")))),"")</f>
        <v>Scommessa/Riserva</v>
      </c>
      <c r="Q362" s="29" t="n">
        <f aca="false">IF($D362="",COUNTIF($D$2:$D362,""),"")</f>
        <v>361</v>
      </c>
      <c r="R362" s="29" t="str">
        <f aca="false">IF($D362='Info Lega'!$B$28,COUNTIFS($D$2:$D362,'Info Lega'!$B$28),"")</f>
        <v/>
      </c>
      <c r="S362" s="30" t="str">
        <f aca="false">IFERROR(INDEX('Input Statistiche 2025_26'!$G$3:$G$665,MATCH($A362,'Input Statistiche 2025_26'!$A$3:$A$665,0)),"")</f>
        <v/>
      </c>
      <c r="T362" s="30" t="str">
        <f aca="false">IFERROR(INDEX('Input Statistiche 2025_26'!$H$3:$H$665,MATCH($A362,'Input Statistiche 2025_26'!$A$3:$A$665,0)),"")</f>
        <v/>
      </c>
      <c r="U362" s="26" t="str">
        <f aca="false">IF(OR('La Mia Rosa'!$O$12="",$D362&lt;&gt;""),"",IF($F362&lt;='La Mia Rosa'!$O$12*'Parametri Modello'!$B$24,"OK",IF($F362&lt;='La Mia Rosa'!$O$12*'Parametri Modello'!$B$25,"Attenzione","Rischio Alto")))</f>
        <v>OK</v>
      </c>
      <c r="V362" s="26" t="n">
        <f aca="false">IFERROR(COUNTIFS($B$2:$B$492,$B362,$O$2:$O$492,"&gt;"&amp;$O362)+1,"")</f>
        <v>125</v>
      </c>
      <c r="W362" s="21" t="n">
        <f aca="false">'Info Lega'!$B$4-SUMIFS($M$2:$M$492,$D$2:$D$492,'Info Lega'!$B$28)</f>
        <v>1000</v>
      </c>
      <c r="X362" s="21" t="n">
        <f aca="false">('Info Lega'!$B$5-COUNTIFS($D$2:$D$492,'Info Lega'!$B$28,$B$2:$B$492,"P"))+('Info Lega'!$B$6-COUNTIFS($D$2:$D$492,'Info Lega'!$B$28,$B$2:$B$492,"D"))+('Info Lega'!$B$7-COUNTIFS($D$2:$D$492,'Info Lega'!$B$28,$B$2:$B$492,"C"))+('Info Lega'!$B$8-COUNTIFS($D$2:$D$492,'Info Lega'!$B$28,$B$2:$B$492,"A"))</f>
        <v>25</v>
      </c>
      <c r="Y362" s="21" t="n">
        <f aca="false">X362*'Parametri Modello'!$B$30</f>
        <v>25</v>
      </c>
      <c r="Z362" s="21" t="n">
        <f aca="false">MAX(0,W362-Y362)</f>
        <v>975</v>
      </c>
      <c r="AA362" s="21" t="n">
        <f aca="false">MIN(F362,Z362)</f>
        <v>3</v>
      </c>
      <c r="AB362" s="21"/>
      <c r="AC362" s="21" t="str">
        <f aca="false">IF(AB362="","",IF(AB362&gt;AA362,"PASS",IF(AB362&lt;=AA362*0.85,"BID","ATTENZIONE")))</f>
        <v/>
      </c>
      <c r="AD362" s="31" t="str">
        <f aca="false">IF(I362="","",ROUND(100*(1-EXP(-I362/30)),0))</f>
        <v/>
      </c>
      <c r="AE362" s="7" t="str">
        <f aca="false">IFERROR(INDEX('Stato Asta'!$G$9:$G$12,MATCH($B362,'Stato Asta'!$A$9:$A$12,0)),"")</f>
        <v>🟡 Attesa rischiosa</v>
      </c>
    </row>
    <row r="363" customFormat="false" ht="14.25" hidden="false" customHeight="true" outlineLevel="0" collapsed="false">
      <c r="A363" s="21" t="n">
        <v>6821</v>
      </c>
      <c r="B363" s="21" t="s">
        <v>44</v>
      </c>
      <c r="C363" s="21" t="s">
        <v>322</v>
      </c>
      <c r="E363" s="26" t="str">
        <f aca="false">IF(COUNTIF('Info Strategia'!$D$2:$D$51,$C363)&gt;0,"SI","NO")</f>
        <v>NO</v>
      </c>
      <c r="F363" s="27" t="n">
        <f aca="false">IFERROR(ROUND(($G363+($H363-$G363)*'Info Strategia'!$B$6)*(1+IF($E363="SI",'Parametri Modello'!$B$7*'Info Strategia'!$B$6,0)),0),"")</f>
        <v>3</v>
      </c>
      <c r="G363" s="27" t="n">
        <f aca="false">IFERROR(ROUND((IF(OR(INDEX('Parametri Modello'!$C$39:$C$42,MATCH($B363,'Parametri Modello'!$A$39:$A$42,0))="",INDEX('Parametri Modello'!$C$39:$C$42,MATCH($B363,'Parametri Modello'!$A$39:$A$42,0))=0),0,($O363/INDEX('Parametri Modello'!$C$39:$C$42,MATCH($B363,'Parametri Modello'!$A$39:$A$42,0)))*(INDEX('Parametri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2</v>
      </c>
      <c r="H363" s="27" t="n">
        <f aca="false">IFERROR(ROUND((IF(OR(INDEX('Parametri Modello'!$C$39:$C$42,MATCH($B363,'Parametri Modello'!$A$39:$A$42,0))="",INDEX('Parametri Modello'!$C$39:$C$42,MATCH($B363,'Parametri Modello'!$A$39:$A$42,0))=0),0,($O363/INDEX('Parametri Modello'!$C$39:$C$42,MATCH($B363,'Parametri Modello'!$A$39:$A$42,0)))*(INDEX('Parametri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4</v>
      </c>
      <c r="I363" s="26" t="n">
        <f aca="false">IFERROR(INDEX('Input Statistiche 2025_26'!$F$3:$F$665,MATCH($A363,'Input Statistiche 2025_26'!$A$3:$A$665,0)),"")</f>
        <v>0</v>
      </c>
      <c r="J363" s="26" t="n">
        <f aca="false">IFERROR(IF($I363="","",MAX(0,38-$I363)),"")</f>
        <v>38</v>
      </c>
      <c r="K363" s="26" t="n">
        <f aca="false">IFERROR(INDEX('Input Statistiche 2025_26'!$I$3:$I$665,MATCH($A363,'Input Statistiche 2025_26'!$A$3:$A$665,0)),"")</f>
        <v>0</v>
      </c>
      <c r="L363" s="26" t="n">
        <f aca="false">IFERROR(INDEX('Input Statistiche 2025_26'!$O$3:$O$665,MATCH($A363,'Input Statistiche 2025_26'!$A$3:$A$665,0)),"")</f>
        <v>0</v>
      </c>
      <c r="M363" s="28"/>
      <c r="N363" s="27" t="n">
        <f aca="false">IFERROR(INDEX('Input Giocatori 2026_27'!$E$3:$E$493,MATCH($A363,'Input Giocatori 2026_27'!$A$3:$A$493,0)),"")</f>
        <v>3</v>
      </c>
      <c r="O363" s="27" t="n">
        <f aca="false">IFERROR(INDEX('Input Giocatori 2026_27'!$G$3:$G$493,MATCH($A363,'Input Giocatori 2026_27'!$A$3:$A$493,0)),"")</f>
        <v>7</v>
      </c>
      <c r="P363" s="26" t="str">
        <f aca="false">IFERROR(IF($O363="","",IF((1-(COUNTIFS($B$2:$B$492,$B363,$O$2:$O$492,"&gt;"&amp;$O363)+1-1)/COUNTIF($B$2:$B$492,$B363))&gt;=0.85,"Top",IF((1-(COUNTIFS($B$2:$B$492,$B363,$O$2:$O$492,"&gt;"&amp;$O363)+1-1)/COUNTIF($B$2:$B$492,$B363))&gt;=0.6,"Buono",IF((1-(COUNTIFS($B$2:$B$492,$B363,$O$2:$O$492,"&gt;"&amp;$O363)+1-1)/COUNTIF($B$2:$B$492,$B363))&gt;=0.3,"Nella Media","Scommessa/Riserva")))),"")</f>
        <v>Scommessa/Riserva</v>
      </c>
      <c r="Q363" s="29" t="n">
        <f aca="false">IF($D363="",COUNTIF($D$2:$D363,""),"")</f>
        <v>362</v>
      </c>
      <c r="R363" s="29" t="str">
        <f aca="false">IF($D363='Info Lega'!$B$28,COUNTIFS($D$2:$D363,'Info Lega'!$B$28),"")</f>
        <v/>
      </c>
      <c r="S363" s="30" t="n">
        <f aca="false">IFERROR(INDEX('Input Statistiche 2025_26'!$G$3:$G$665,MATCH($A363,'Input Statistiche 2025_26'!$A$3:$A$665,0)),"")</f>
        <v>0</v>
      </c>
      <c r="T363" s="30" t="n">
        <f aca="false">IFERROR(INDEX('Input Statistiche 2025_26'!$H$3:$H$665,MATCH($A363,'Input Statistiche 2025_26'!$A$3:$A$665,0)),"")</f>
        <v>0</v>
      </c>
      <c r="U363" s="26" t="str">
        <f aca="false">IF(OR('La Mia Rosa'!$O$12="",$D363&lt;&gt;""),"",IF($F363&lt;='La Mia Rosa'!$O$12*'Parametri Modello'!$B$24,"OK",IF($F363&lt;='La Mia Rosa'!$O$12*'Parametri Modello'!$B$25,"Attenzione","Rischio Alto")))</f>
        <v>OK</v>
      </c>
      <c r="V363" s="26" t="n">
        <f aca="false">IFERROR(COUNTIFS($B$2:$B$492,$B363,$O$2:$O$492,"&gt;"&amp;$O363)+1,"")</f>
        <v>125</v>
      </c>
      <c r="W363" s="21" t="n">
        <f aca="false">'Info Lega'!$B$4-SUMIFS($M$2:$M$492,$D$2:$D$492,'Info Lega'!$B$28)</f>
        <v>1000</v>
      </c>
      <c r="X363" s="21" t="n">
        <f aca="false">('Info Lega'!$B$5-COUNTIFS($D$2:$D$492,'Info Lega'!$B$28,$B$2:$B$492,"P"))+('Info Lega'!$B$6-COUNTIFS($D$2:$D$492,'Info Lega'!$B$28,$B$2:$B$492,"D"))+('Info Lega'!$B$7-COUNTIFS($D$2:$D$492,'Info Lega'!$B$28,$B$2:$B$492,"C"))+('Info Lega'!$B$8-COUNTIFS($D$2:$D$492,'Info Lega'!$B$28,$B$2:$B$492,"A"))</f>
        <v>25</v>
      </c>
      <c r="Y363" s="21" t="n">
        <f aca="false">X363*'Parametri Modello'!$B$30</f>
        <v>25</v>
      </c>
      <c r="Z363" s="21" t="n">
        <f aca="false">MAX(0,W363-Y363)</f>
        <v>975</v>
      </c>
      <c r="AA363" s="21" t="n">
        <f aca="false">MIN(F363,Z363)</f>
        <v>3</v>
      </c>
      <c r="AB363" s="21"/>
      <c r="AC363" s="21" t="str">
        <f aca="false">IF(AB363="","",IF(AB363&gt;AA363,"PASS",IF(AB363&lt;=AA363*0.85,"BID","ATTENZIONE")))</f>
        <v/>
      </c>
      <c r="AD363" s="31" t="n">
        <f aca="false">IF(I363="","",ROUND(100*(1-EXP(-I363/30)),0))</f>
        <v>0</v>
      </c>
      <c r="AE363" s="7" t="str">
        <f aca="false">IFERROR(INDEX('Stato Asta'!$G$9:$G$12,MATCH($B363,'Stato Asta'!$A$9:$A$12,0)),"")</f>
        <v>🟡 Attesa rischiosa</v>
      </c>
    </row>
    <row r="364" customFormat="false" ht="14.25" hidden="false" customHeight="true" outlineLevel="0" collapsed="false">
      <c r="A364" s="21" t="n">
        <v>7413</v>
      </c>
      <c r="B364" s="21" t="s">
        <v>44</v>
      </c>
      <c r="C364" s="21" t="s">
        <v>327</v>
      </c>
      <c r="E364" s="26" t="str">
        <f aca="false">IF(COUNTIF('Info Strategia'!$D$2:$D$51,$C364)&gt;0,"SI","NO")</f>
        <v>NO</v>
      </c>
      <c r="F364" s="27" t="n">
        <f aca="false">IFERROR(ROUND(($G364+($H364-$G364)*'Info Strategia'!$B$6)*(1+IF($E364="SI",'Parametri Modello'!$B$7*'Info Strategia'!$B$6,0)),0),"")</f>
        <v>3</v>
      </c>
      <c r="G364" s="27" t="n">
        <f aca="false">IFERROR(ROUND((IF(OR(INDEX('Parametri Modello'!$C$39:$C$42,MATCH($B364,'Parametri Modello'!$A$39:$A$42,0))="",INDEX('Parametri Modello'!$C$39:$C$42,MATCH($B364,'Parametri Modello'!$A$39:$A$42,0))=0),0,($O364/INDEX('Parametri Modello'!$C$39:$C$42,MATCH($B364,'Parametri Modello'!$A$39:$A$42,0)))*(INDEX('Parametri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2</v>
      </c>
      <c r="H364" s="27" t="n">
        <f aca="false">IFERROR(ROUND((IF(OR(INDEX('Parametri Modello'!$C$39:$C$42,MATCH($B364,'Parametri Modello'!$A$39:$A$42,0))="",INDEX('Parametri Modello'!$C$39:$C$42,MATCH($B364,'Parametri Modello'!$A$39:$A$42,0))=0),0,($O364/INDEX('Parametri Modello'!$C$39:$C$42,MATCH($B364,'Parametri Modello'!$A$39:$A$42,0)))*(INDEX('Parametri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4</v>
      </c>
      <c r="I364" s="26" t="str">
        <f aca="false">IFERROR(INDEX('Input Statistiche 2025_26'!$F$3:$F$665,MATCH($A364,'Input Statistiche 2025_26'!$A$3:$A$665,0)),"")</f>
        <v/>
      </c>
      <c r="J364" s="26" t="str">
        <f aca="false">IFERROR(IF($I364="","",MAX(0,38-$I364)),"")</f>
        <v/>
      </c>
      <c r="K364" s="26" t="str">
        <f aca="false">IFERROR(INDEX('Input Statistiche 2025_26'!$I$3:$I$665,MATCH($A364,'Input Statistiche 2025_26'!$A$3:$A$665,0)),"")</f>
        <v/>
      </c>
      <c r="L364" s="26" t="str">
        <f aca="false">IFERROR(INDEX('Input Statistiche 2025_26'!$O$3:$O$665,MATCH($A364,'Input Statistiche 2025_26'!$A$3:$A$665,0)),"")</f>
        <v/>
      </c>
      <c r="M364" s="28"/>
      <c r="N364" s="27" t="n">
        <f aca="false">IFERROR(INDEX('Input Giocatori 2026_27'!$E$3:$E$493,MATCH($A364,'Input Giocatori 2026_27'!$A$3:$A$493,0)),"")</f>
        <v>2</v>
      </c>
      <c r="O364" s="27" t="n">
        <f aca="false">IFERROR(INDEX('Input Giocatori 2026_27'!$G$3:$G$493,MATCH($A364,'Input Giocatori 2026_27'!$A$3:$A$493,0)),"")</f>
        <v>7</v>
      </c>
      <c r="P364" s="26" t="str">
        <f aca="false">IFERROR(IF($O364="","",IF((1-(COUNTIFS($B$2:$B$492,$B364,$O$2:$O$492,"&gt;"&amp;$O364)+1-1)/COUNTIF($B$2:$B$492,$B364))&gt;=0.85,"Top",IF((1-(COUNTIFS($B$2:$B$492,$B364,$O$2:$O$492,"&gt;"&amp;$O364)+1-1)/COUNTIF($B$2:$B$492,$B364))&gt;=0.6,"Buono",IF((1-(COUNTIFS($B$2:$B$492,$B364,$O$2:$O$492,"&gt;"&amp;$O364)+1-1)/COUNTIF($B$2:$B$492,$B364))&gt;=0.3,"Nella Media","Scommessa/Riserva")))),"")</f>
        <v>Scommessa/Riserva</v>
      </c>
      <c r="Q364" s="29" t="n">
        <f aca="false">IF($D364="",COUNTIF($D$2:$D364,""),"")</f>
        <v>363</v>
      </c>
      <c r="R364" s="29" t="str">
        <f aca="false">IF($D364='Info Lega'!$B$28,COUNTIFS($D$2:$D364,'Info Lega'!$B$28),"")</f>
        <v/>
      </c>
      <c r="S364" s="30" t="str">
        <f aca="false">IFERROR(INDEX('Input Statistiche 2025_26'!$G$3:$G$665,MATCH($A364,'Input Statistiche 2025_26'!$A$3:$A$665,0)),"")</f>
        <v/>
      </c>
      <c r="T364" s="30" t="str">
        <f aca="false">IFERROR(INDEX('Input Statistiche 2025_26'!$H$3:$H$665,MATCH($A364,'Input Statistiche 2025_26'!$A$3:$A$665,0)),"")</f>
        <v/>
      </c>
      <c r="U364" s="26" t="str">
        <f aca="false">IF(OR('La Mia Rosa'!$O$12="",$D364&lt;&gt;""),"",IF($F364&lt;='La Mia Rosa'!$O$12*'Parametri Modello'!$B$24,"OK",IF($F364&lt;='La Mia Rosa'!$O$12*'Parametri Modello'!$B$25,"Attenzione","Rischio Alto")))</f>
        <v>OK</v>
      </c>
      <c r="V364" s="26" t="n">
        <f aca="false">IFERROR(COUNTIFS($B$2:$B$492,$B364,$O$2:$O$492,"&gt;"&amp;$O364)+1,"")</f>
        <v>125</v>
      </c>
      <c r="W364" s="21" t="n">
        <f aca="false">'Info Lega'!$B$4-SUMIFS($M$2:$M$492,$D$2:$D$492,'Info Lega'!$B$28)</f>
        <v>1000</v>
      </c>
      <c r="X364" s="21" t="n">
        <f aca="false">('Info Lega'!$B$5-COUNTIFS($D$2:$D$492,'Info Lega'!$B$28,$B$2:$B$492,"P"))+('Info Lega'!$B$6-COUNTIFS($D$2:$D$492,'Info Lega'!$B$28,$B$2:$B$492,"D"))+('Info Lega'!$B$7-COUNTIFS($D$2:$D$492,'Info Lega'!$B$28,$B$2:$B$492,"C"))+('Info Lega'!$B$8-COUNTIFS($D$2:$D$492,'Info Lega'!$B$28,$B$2:$B$492,"A"))</f>
        <v>25</v>
      </c>
      <c r="Y364" s="21" t="n">
        <f aca="false">X364*'Parametri Modello'!$B$30</f>
        <v>25</v>
      </c>
      <c r="Z364" s="21" t="n">
        <f aca="false">MAX(0,W364-Y364)</f>
        <v>975</v>
      </c>
      <c r="AA364" s="21" t="n">
        <f aca="false">MIN(F364,Z364)</f>
        <v>3</v>
      </c>
      <c r="AB364" s="21"/>
      <c r="AC364" s="21" t="str">
        <f aca="false">IF(AB364="","",IF(AB364&gt;AA364,"PASS",IF(AB364&lt;=AA364*0.85,"BID","ATTENZIONE")))</f>
        <v/>
      </c>
      <c r="AD364" s="31" t="str">
        <f aca="false">IF(I364="","",ROUND(100*(1-EXP(-I364/30)),0))</f>
        <v/>
      </c>
      <c r="AE364" s="7" t="str">
        <f aca="false">IFERROR(INDEX('Stato Asta'!$G$9:$G$12,MATCH($B364,'Stato Asta'!$A$9:$A$12,0)),"")</f>
        <v>🟡 Attesa rischiosa</v>
      </c>
    </row>
    <row r="365" customFormat="false" ht="14.25" hidden="false" customHeight="true" outlineLevel="0" collapsed="false">
      <c r="A365" s="21" t="n">
        <v>6424</v>
      </c>
      <c r="B365" s="21" t="s">
        <v>45</v>
      </c>
      <c r="C365" s="21" t="s">
        <v>474</v>
      </c>
      <c r="E365" s="26" t="str">
        <f aca="false">IF(COUNTIF('Info Strategia'!$D$2:$D$51,$C365)&gt;0,"SI","NO")</f>
        <v>NO</v>
      </c>
      <c r="F365" s="27" t="n">
        <f aca="false">IFERROR(ROUND(($G365+($H365-$G365)*'Info Strategia'!$B$6)*(1+IF($E365="SI",'Parametri Modello'!$B$7*'Info Strategia'!$B$6,0)),0),"")</f>
        <v>4</v>
      </c>
      <c r="G365" s="27" t="n">
        <f aca="false">IFERROR(ROUND((IF(OR(INDEX('Parametri Modello'!$C$39:$C$42,MATCH($B365,'Parametri Modello'!$A$39:$A$42,0))="",INDEX('Parametri Modello'!$C$39:$C$42,MATCH($B365,'Parametri Modello'!$A$39:$A$42,0))=0),0,($O365/INDEX('Parametri Modello'!$C$39:$C$42,MATCH($B365,'Parametri Modello'!$A$39:$A$42,0)))*(INDEX('Parametri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3</v>
      </c>
      <c r="H365" s="27" t="n">
        <f aca="false">IFERROR(ROUND((IF(OR(INDEX('Parametri Modello'!$C$39:$C$42,MATCH($B365,'Parametri Modello'!$A$39:$A$42,0))="",INDEX('Parametri Modello'!$C$39:$C$42,MATCH($B365,'Parametri Modello'!$A$39:$A$42,0))=0),0,($O365/INDEX('Parametri Modello'!$C$39:$C$42,MATCH($B365,'Parametri Modello'!$A$39:$A$42,0)))*(INDEX('Parametri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4</v>
      </c>
      <c r="I365" s="26" t="n">
        <f aca="false">IFERROR(INDEX('Input Statistiche 2025_26'!$F$3:$F$665,MATCH($A365,'Input Statistiche 2025_26'!$A$3:$A$665,0)),"")</f>
        <v>32</v>
      </c>
      <c r="J365" s="26" t="n">
        <f aca="false">IFERROR(IF($I365="","",MAX(0,38-$I365)),"")</f>
        <v>6</v>
      </c>
      <c r="K365" s="26" t="n">
        <f aca="false">IFERROR(INDEX('Input Statistiche 2025_26'!$I$3:$I$665,MATCH($A365,'Input Statistiche 2025_26'!$A$3:$A$665,0)),"")</f>
        <v>1</v>
      </c>
      <c r="L365" s="26" t="n">
        <f aca="false">IFERROR(INDEX('Input Statistiche 2025_26'!$O$3:$O$665,MATCH($A365,'Input Statistiche 2025_26'!$A$3:$A$665,0)),"")</f>
        <v>0</v>
      </c>
      <c r="M365" s="28"/>
      <c r="N365" s="27" t="n">
        <f aca="false">IFERROR(INDEX('Input Giocatori 2026_27'!$E$3:$E$493,MATCH($A365,'Input Giocatori 2026_27'!$A$3:$A$493,0)),"")</f>
        <v>4</v>
      </c>
      <c r="O365" s="27" t="n">
        <f aca="false">IFERROR(INDEX('Input Giocatori 2026_27'!$G$3:$G$493,MATCH($A365,'Input Giocatori 2026_27'!$A$3:$A$493,0)),"")</f>
        <v>7</v>
      </c>
      <c r="P365" s="26" t="str">
        <f aca="false">IFERROR(IF($O365="","",IF((1-(COUNTIFS($B$2:$B$492,$B365,$O$2:$O$492,"&gt;"&amp;$O365)+1-1)/COUNTIF($B$2:$B$492,$B365))&gt;=0.85,"Top",IF((1-(COUNTIFS($B$2:$B$492,$B365,$O$2:$O$492,"&gt;"&amp;$O365)+1-1)/COUNTIF($B$2:$B$492,$B365))&gt;=0.6,"Buono",IF((1-(COUNTIFS($B$2:$B$492,$B365,$O$2:$O$492,"&gt;"&amp;$O365)+1-1)/COUNTIF($B$2:$B$492,$B365))&gt;=0.3,"Nella Media","Scommessa/Riserva")))),"")</f>
        <v>Scommessa/Riserva</v>
      </c>
      <c r="Q365" s="29" t="n">
        <f aca="false">IF($D365="",COUNTIF($D$2:$D365,""),"")</f>
        <v>364</v>
      </c>
      <c r="R365" s="29" t="str">
        <f aca="false">IF($D365='Info Lega'!$B$28,COUNTIFS($D$2:$D365,'Info Lega'!$B$28),"")</f>
        <v/>
      </c>
      <c r="S365" s="30" t="n">
        <f aca="false">IFERROR(INDEX('Input Statistiche 2025_26'!$G$3:$G$665,MATCH($A365,'Input Statistiche 2025_26'!$A$3:$A$665,0)),"")</f>
        <v>5.88</v>
      </c>
      <c r="T365" s="30" t="n">
        <f aca="false">IFERROR(INDEX('Input Statistiche 2025_26'!$H$3:$H$665,MATCH($A365,'Input Statistiche 2025_26'!$A$3:$A$665,0)),"")</f>
        <v>5.88</v>
      </c>
      <c r="U365" s="26" t="str">
        <f aca="false">IF(OR('La Mia Rosa'!$O$12="",$D365&lt;&gt;""),"",IF($F365&lt;='La Mia Rosa'!$O$12*'Parametri Modello'!$B$24,"OK",IF($F365&lt;='La Mia Rosa'!$O$12*'Parametri Modello'!$B$25,"Attenzione","Rischio Alto")))</f>
        <v>OK</v>
      </c>
      <c r="V365" s="26" t="n">
        <f aca="false">IFERROR(COUNTIFS($B$2:$B$492,$B365,$O$2:$O$492,"&gt;"&amp;$O365)+1,"")</f>
        <v>137</v>
      </c>
      <c r="W365" s="21" t="n">
        <f aca="false">'Info Lega'!$B$4-SUMIFS($M$2:$M$492,$D$2:$D$492,'Info Lega'!$B$28)</f>
        <v>1000</v>
      </c>
      <c r="X365" s="21" t="n">
        <f aca="false">('Info Lega'!$B$5-COUNTIFS($D$2:$D$492,'Info Lega'!$B$28,$B$2:$B$492,"P"))+('Info Lega'!$B$6-COUNTIFS($D$2:$D$492,'Info Lega'!$B$28,$B$2:$B$492,"D"))+('Info Lega'!$B$7-COUNTIFS($D$2:$D$492,'Info Lega'!$B$28,$B$2:$B$492,"C"))+('Info Lega'!$B$8-COUNTIFS($D$2:$D$492,'Info Lega'!$B$28,$B$2:$B$492,"A"))</f>
        <v>25</v>
      </c>
      <c r="Y365" s="21" t="n">
        <f aca="false">X365*'Parametri Modello'!$B$30</f>
        <v>25</v>
      </c>
      <c r="Z365" s="21" t="n">
        <f aca="false">MAX(0,W365-Y365)</f>
        <v>975</v>
      </c>
      <c r="AA365" s="21" t="n">
        <f aca="false">MIN(F365,Z365)</f>
        <v>4</v>
      </c>
      <c r="AB365" s="21"/>
      <c r="AC365" s="21" t="str">
        <f aca="false">IF(AB365="","",IF(AB365&gt;AA365,"PASS",IF(AB365&lt;=AA365*0.85,"BID","ATTENZIONE")))</f>
        <v/>
      </c>
      <c r="AD365" s="31" t="n">
        <f aca="false">IF(I365="","",ROUND(100*(1-EXP(-I365/30)),0))</f>
        <v>66</v>
      </c>
      <c r="AE365" s="7" t="str">
        <f aca="false">IFERROR(INDEX('Stato Asta'!$G$9:$G$12,MATCH($B365,'Stato Asta'!$A$9:$A$12,0)),"")</f>
        <v>🟡 Attesa rischiosa</v>
      </c>
    </row>
    <row r="366" customFormat="false" ht="14.25" hidden="false" customHeight="true" outlineLevel="0" collapsed="false">
      <c r="A366" s="21" t="n">
        <v>6024</v>
      </c>
      <c r="B366" s="21" t="s">
        <v>45</v>
      </c>
      <c r="C366" s="21" t="s">
        <v>492</v>
      </c>
      <c r="E366" s="26" t="str">
        <f aca="false">IF(COUNTIF('Info Strategia'!$D$2:$D$51,$C366)&gt;0,"SI","NO")</f>
        <v>NO</v>
      </c>
      <c r="F366" s="27" t="n">
        <f aca="false">IFERROR(ROUND(($G366+($H366-$G366)*'Info Strategia'!$B$6)*(1+IF($E366="SI",'Parametri Modello'!$B$7*'Info Strategia'!$B$6,0)),0),"")</f>
        <v>4</v>
      </c>
      <c r="G366" s="27" t="n">
        <f aca="false">IFERROR(ROUND((IF(OR(INDEX('Parametri Modello'!$C$39:$C$42,MATCH($B366,'Parametri Modello'!$A$39:$A$42,0))="",INDEX('Parametri Modello'!$C$39:$C$42,MATCH($B366,'Parametri Modello'!$A$39:$A$42,0))=0),0,($O366/INDEX('Parametri Modello'!$C$39:$C$42,MATCH($B366,'Parametri Modello'!$A$39:$A$42,0)))*(INDEX('Parametri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3</v>
      </c>
      <c r="H366" s="27" t="n">
        <f aca="false">IFERROR(ROUND((IF(OR(INDEX('Parametri Modello'!$C$39:$C$42,MATCH($B366,'Parametri Modello'!$A$39:$A$42,0))="",INDEX('Parametri Modello'!$C$39:$C$42,MATCH($B366,'Parametri Modello'!$A$39:$A$42,0))=0),0,($O366/INDEX('Parametri Modello'!$C$39:$C$42,MATCH($B366,'Parametri Modello'!$A$39:$A$42,0)))*(INDEX('Parametri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4</v>
      </c>
      <c r="I366" s="26" t="n">
        <f aca="false">IFERROR(INDEX('Input Statistiche 2025_26'!$F$3:$F$665,MATCH($A366,'Input Statistiche 2025_26'!$A$3:$A$665,0)),"")</f>
        <v>18</v>
      </c>
      <c r="J366" s="26" t="n">
        <f aca="false">IFERROR(IF($I366="","",MAX(0,38-$I366)),"")</f>
        <v>20</v>
      </c>
      <c r="K366" s="26" t="n">
        <f aca="false">IFERROR(INDEX('Input Statistiche 2025_26'!$I$3:$I$665,MATCH($A366,'Input Statistiche 2025_26'!$A$3:$A$665,0)),"")</f>
        <v>1</v>
      </c>
      <c r="L366" s="26" t="n">
        <f aca="false">IFERROR(INDEX('Input Statistiche 2025_26'!$O$3:$O$665,MATCH($A366,'Input Statistiche 2025_26'!$A$3:$A$665,0)),"")</f>
        <v>0</v>
      </c>
      <c r="M366" s="28"/>
      <c r="N366" s="27" t="n">
        <f aca="false">IFERROR(INDEX('Input Giocatori 2026_27'!$E$3:$E$493,MATCH($A366,'Input Giocatori 2026_27'!$A$3:$A$493,0)),"")</f>
        <v>3</v>
      </c>
      <c r="O366" s="27" t="n">
        <f aca="false">IFERROR(INDEX('Input Giocatori 2026_27'!$G$3:$G$493,MATCH($A366,'Input Giocatori 2026_27'!$A$3:$A$493,0)),"")</f>
        <v>7</v>
      </c>
      <c r="P366" s="26" t="str">
        <f aca="false">IFERROR(IF($O366="","",IF((1-(COUNTIFS($B$2:$B$492,$B366,$O$2:$O$492,"&gt;"&amp;$O366)+1-1)/COUNTIF($B$2:$B$492,$B366))&gt;=0.85,"Top",IF((1-(COUNTIFS($B$2:$B$492,$B366,$O$2:$O$492,"&gt;"&amp;$O366)+1-1)/COUNTIF($B$2:$B$492,$B366))&gt;=0.6,"Buono",IF((1-(COUNTIFS($B$2:$B$492,$B366,$O$2:$O$492,"&gt;"&amp;$O366)+1-1)/COUNTIF($B$2:$B$492,$B366))&gt;=0.3,"Nella Media","Scommessa/Riserva")))),"")</f>
        <v>Scommessa/Riserva</v>
      </c>
      <c r="Q366" s="29" t="n">
        <f aca="false">IF($D366="",COUNTIF($D$2:$D366,""),"")</f>
        <v>365</v>
      </c>
      <c r="R366" s="29" t="str">
        <f aca="false">IF($D366='Info Lega'!$B$28,COUNTIFS($D$2:$D366,'Info Lega'!$B$28),"")</f>
        <v/>
      </c>
      <c r="S366" s="30" t="n">
        <f aca="false">IFERROR(INDEX('Input Statistiche 2025_26'!$G$3:$G$665,MATCH($A366,'Input Statistiche 2025_26'!$A$3:$A$665,0)),"")</f>
        <v>5.69</v>
      </c>
      <c r="T366" s="30" t="n">
        <f aca="false">IFERROR(INDEX('Input Statistiche 2025_26'!$H$3:$H$665,MATCH($A366,'Input Statistiche 2025_26'!$A$3:$A$665,0)),"")</f>
        <v>5.78</v>
      </c>
      <c r="U366" s="26" t="str">
        <f aca="false">IF(OR('La Mia Rosa'!$O$12="",$D366&lt;&gt;""),"",IF($F366&lt;='La Mia Rosa'!$O$12*'Parametri Modello'!$B$24,"OK",IF($F366&lt;='La Mia Rosa'!$O$12*'Parametri Modello'!$B$25,"Attenzione","Rischio Alto")))</f>
        <v>OK</v>
      </c>
      <c r="V366" s="26" t="n">
        <f aca="false">IFERROR(COUNTIFS($B$2:$B$492,$B366,$O$2:$O$492,"&gt;"&amp;$O366)+1,"")</f>
        <v>137</v>
      </c>
      <c r="W366" s="21" t="n">
        <f aca="false">'Info Lega'!$B$4-SUMIFS($M$2:$M$492,$D$2:$D$492,'Info Lega'!$B$28)</f>
        <v>1000</v>
      </c>
      <c r="X366" s="21" t="n">
        <f aca="false">('Info Lega'!$B$5-COUNTIFS($D$2:$D$492,'Info Lega'!$B$28,$B$2:$B$492,"P"))+('Info Lega'!$B$6-COUNTIFS($D$2:$D$492,'Info Lega'!$B$28,$B$2:$B$492,"D"))+('Info Lega'!$B$7-COUNTIFS($D$2:$D$492,'Info Lega'!$B$28,$B$2:$B$492,"C"))+('Info Lega'!$B$8-COUNTIFS($D$2:$D$492,'Info Lega'!$B$28,$B$2:$B$492,"A"))</f>
        <v>25</v>
      </c>
      <c r="Y366" s="21" t="n">
        <f aca="false">X366*'Parametri Modello'!$B$30</f>
        <v>25</v>
      </c>
      <c r="Z366" s="21" t="n">
        <f aca="false">MAX(0,W366-Y366)</f>
        <v>975</v>
      </c>
      <c r="AA366" s="21" t="n">
        <f aca="false">MIN(F366,Z366)</f>
        <v>4</v>
      </c>
      <c r="AB366" s="21"/>
      <c r="AC366" s="21" t="str">
        <f aca="false">IF(AB366="","",IF(AB366&gt;AA366,"PASS",IF(AB366&lt;=AA366*0.85,"BID","ATTENZIONE")))</f>
        <v/>
      </c>
      <c r="AD366" s="31" t="n">
        <f aca="false">IF(I366="","",ROUND(100*(1-EXP(-I366/30)),0))</f>
        <v>45</v>
      </c>
      <c r="AE366" s="7" t="str">
        <f aca="false">IFERROR(INDEX('Stato Asta'!$G$9:$G$12,MATCH($B366,'Stato Asta'!$A$9:$A$12,0)),"")</f>
        <v>🟡 Attesa rischiosa</v>
      </c>
    </row>
    <row r="367" customFormat="false" ht="14.25" hidden="false" customHeight="true" outlineLevel="0" collapsed="false">
      <c r="A367" s="21" t="n">
        <v>4947</v>
      </c>
      <c r="B367" s="21" t="s">
        <v>45</v>
      </c>
      <c r="C367" s="21" t="s">
        <v>495</v>
      </c>
      <c r="E367" s="26" t="str">
        <f aca="false">IF(COUNTIF('Info Strategia'!$D$2:$D$51,$C367)&gt;0,"SI","NO")</f>
        <v>NO</v>
      </c>
      <c r="F367" s="27" t="n">
        <f aca="false">IFERROR(ROUND(($G367+($H367-$G367)*'Info Strategia'!$B$6)*(1+IF($E367="SI",'Parametri Modello'!$B$7*'Info Strategia'!$B$6,0)),0),"")</f>
        <v>4</v>
      </c>
      <c r="G367" s="27" t="n">
        <f aca="false">IFERROR(ROUND((IF(OR(INDEX('Parametri Modello'!$C$39:$C$42,MATCH($B367,'Parametri Modello'!$A$39:$A$42,0))="",INDEX('Parametri Modello'!$C$39:$C$42,MATCH($B367,'Parametri Modello'!$A$39:$A$42,0))=0),0,($O367/INDEX('Parametri Modello'!$C$39:$C$42,MATCH($B367,'Parametri Modello'!$A$39:$A$42,0)))*(INDEX('Parametri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3</v>
      </c>
      <c r="H367" s="27" t="n">
        <f aca="false">IFERROR(ROUND((IF(OR(INDEX('Parametri Modello'!$C$39:$C$42,MATCH($B367,'Parametri Modello'!$A$39:$A$42,0))="",INDEX('Parametri Modello'!$C$39:$C$42,MATCH($B367,'Parametri Modello'!$A$39:$A$42,0))=0),0,($O367/INDEX('Parametri Modello'!$C$39:$C$42,MATCH($B367,'Parametri Modello'!$A$39:$A$42,0)))*(INDEX('Parametri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4</v>
      </c>
      <c r="I367" s="26" t="n">
        <f aca="false">IFERROR(INDEX('Input Statistiche 2025_26'!$F$3:$F$665,MATCH($A367,'Input Statistiche 2025_26'!$A$3:$A$665,0)),"")</f>
        <v>18</v>
      </c>
      <c r="J367" s="26" t="n">
        <f aca="false">IFERROR(IF($I367="","",MAX(0,38-$I367)),"")</f>
        <v>20</v>
      </c>
      <c r="K367" s="26" t="n">
        <f aca="false">IFERROR(INDEX('Input Statistiche 2025_26'!$I$3:$I$665,MATCH($A367,'Input Statistiche 2025_26'!$A$3:$A$665,0)),"")</f>
        <v>2</v>
      </c>
      <c r="L367" s="26" t="n">
        <f aca="false">IFERROR(INDEX('Input Statistiche 2025_26'!$O$3:$O$665,MATCH($A367,'Input Statistiche 2025_26'!$A$3:$A$665,0)),"")</f>
        <v>1</v>
      </c>
      <c r="M367" s="28"/>
      <c r="N367" s="27" t="n">
        <f aca="false">IFERROR(INDEX('Input Giocatori 2026_27'!$E$3:$E$493,MATCH($A367,'Input Giocatori 2026_27'!$A$3:$A$493,0)),"")</f>
        <v>3</v>
      </c>
      <c r="O367" s="27" t="n">
        <f aca="false">IFERROR(INDEX('Input Giocatori 2026_27'!$G$3:$G$493,MATCH($A367,'Input Giocatori 2026_27'!$A$3:$A$493,0)),"")</f>
        <v>7</v>
      </c>
      <c r="P367" s="26" t="str">
        <f aca="false">IFERROR(IF($O367="","",IF((1-(COUNTIFS($B$2:$B$492,$B367,$O$2:$O$492,"&gt;"&amp;$O367)+1-1)/COUNTIF($B$2:$B$492,$B367))&gt;=0.85,"Top",IF((1-(COUNTIFS($B$2:$B$492,$B367,$O$2:$O$492,"&gt;"&amp;$O367)+1-1)/COUNTIF($B$2:$B$492,$B367))&gt;=0.6,"Buono",IF((1-(COUNTIFS($B$2:$B$492,$B367,$O$2:$O$492,"&gt;"&amp;$O367)+1-1)/COUNTIF($B$2:$B$492,$B367))&gt;=0.3,"Nella Media","Scommessa/Riserva")))),"")</f>
        <v>Scommessa/Riserva</v>
      </c>
      <c r="Q367" s="29" t="n">
        <f aca="false">IF($D367="",COUNTIF($D$2:$D367,""),"")</f>
        <v>366</v>
      </c>
      <c r="R367" s="29" t="str">
        <f aca="false">IF($D367='Info Lega'!$B$28,COUNTIFS($D$2:$D367,'Info Lega'!$B$28),"")</f>
        <v/>
      </c>
      <c r="S367" s="30" t="n">
        <f aca="false">IFERROR(INDEX('Input Statistiche 2025_26'!$G$3:$G$665,MATCH($A367,'Input Statistiche 2025_26'!$A$3:$A$665,0)),"")</f>
        <v>5.97</v>
      </c>
      <c r="T367" s="30" t="n">
        <f aca="false">IFERROR(INDEX('Input Statistiche 2025_26'!$H$3:$H$665,MATCH($A367,'Input Statistiche 2025_26'!$A$3:$A$665,0)),"")</f>
        <v>6.31</v>
      </c>
      <c r="U367" s="26" t="str">
        <f aca="false">IF(OR('La Mia Rosa'!$O$12="",$D367&lt;&gt;""),"",IF($F367&lt;='La Mia Rosa'!$O$12*'Parametri Modello'!$B$24,"OK",IF($F367&lt;='La Mia Rosa'!$O$12*'Parametri Modello'!$B$25,"Attenzione","Rischio Alto")))</f>
        <v>OK</v>
      </c>
      <c r="V367" s="26" t="n">
        <f aca="false">IFERROR(COUNTIFS($B$2:$B$492,$B367,$O$2:$O$492,"&gt;"&amp;$O367)+1,"")</f>
        <v>137</v>
      </c>
      <c r="W367" s="21" t="n">
        <f aca="false">'Info Lega'!$B$4-SUMIFS($M$2:$M$492,$D$2:$D$492,'Info Lega'!$B$28)</f>
        <v>1000</v>
      </c>
      <c r="X367" s="21" t="n">
        <f aca="false">('Info Lega'!$B$5-COUNTIFS($D$2:$D$492,'Info Lega'!$B$28,$B$2:$B$492,"P"))+('Info Lega'!$B$6-COUNTIFS($D$2:$D$492,'Info Lega'!$B$28,$B$2:$B$492,"D"))+('Info Lega'!$B$7-COUNTIFS($D$2:$D$492,'Info Lega'!$B$28,$B$2:$B$492,"C"))+('Info Lega'!$B$8-COUNTIFS($D$2:$D$492,'Info Lega'!$B$28,$B$2:$B$492,"A"))</f>
        <v>25</v>
      </c>
      <c r="Y367" s="21" t="n">
        <f aca="false">X367*'Parametri Modello'!$B$30</f>
        <v>25</v>
      </c>
      <c r="Z367" s="21" t="n">
        <f aca="false">MAX(0,W367-Y367)</f>
        <v>975</v>
      </c>
      <c r="AA367" s="21" t="n">
        <f aca="false">MIN(F367,Z367)</f>
        <v>4</v>
      </c>
      <c r="AB367" s="21"/>
      <c r="AC367" s="21" t="str">
        <f aca="false">IF(AB367="","",IF(AB367&gt;AA367,"PASS",IF(AB367&lt;=AA367*0.85,"BID","ATTENZIONE")))</f>
        <v/>
      </c>
      <c r="AD367" s="31" t="n">
        <f aca="false">IF(I367="","",ROUND(100*(1-EXP(-I367/30)),0))</f>
        <v>45</v>
      </c>
      <c r="AE367" s="7" t="str">
        <f aca="false">IFERROR(INDEX('Stato Asta'!$G$9:$G$12,MATCH($B367,'Stato Asta'!$A$9:$A$12,0)),"")</f>
        <v>🟡 Attesa rischiosa</v>
      </c>
    </row>
    <row r="368" customFormat="false" ht="14.25" hidden="false" customHeight="true" outlineLevel="0" collapsed="false">
      <c r="A368" s="21" t="n">
        <v>7477</v>
      </c>
      <c r="B368" s="21" t="s">
        <v>45</v>
      </c>
      <c r="C368" s="21" t="s">
        <v>501</v>
      </c>
      <c r="E368" s="26" t="str">
        <f aca="false">IF(COUNTIF('Info Strategia'!$D$2:$D$51,$C368)&gt;0,"SI","NO")</f>
        <v>NO</v>
      </c>
      <c r="F368" s="27" t="n">
        <f aca="false">IFERROR(ROUND(($G368+($H368-$G368)*'Info Strategia'!$B$6)*(1+IF($E368="SI",'Parametri Modello'!$B$7*'Info Strategia'!$B$6,0)),0),"")</f>
        <v>4</v>
      </c>
      <c r="G368" s="27" t="n">
        <f aca="false">IFERROR(ROUND((IF(OR(INDEX('Parametri Modello'!$C$39:$C$42,MATCH($B368,'Parametri Modello'!$A$39:$A$42,0))="",INDEX('Parametri Modello'!$C$39:$C$42,MATCH($B368,'Parametri Modello'!$A$39:$A$42,0))=0),0,($O368/INDEX('Parametri Modello'!$C$39:$C$42,MATCH($B368,'Parametri Modello'!$A$39:$A$42,0)))*(INDEX('Parametri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3</v>
      </c>
      <c r="H368" s="27" t="n">
        <f aca="false">IFERROR(ROUND((IF(OR(INDEX('Parametri Modello'!$C$39:$C$42,MATCH($B368,'Parametri Modello'!$A$39:$A$42,0))="",INDEX('Parametri Modello'!$C$39:$C$42,MATCH($B368,'Parametri Modello'!$A$39:$A$42,0))=0),0,($O368/INDEX('Parametri Modello'!$C$39:$C$42,MATCH($B368,'Parametri Modello'!$A$39:$A$42,0)))*(INDEX('Parametri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4</v>
      </c>
      <c r="I368" s="26" t="str">
        <f aca="false">IFERROR(INDEX('Input Statistiche 2025_26'!$F$3:$F$665,MATCH($A368,'Input Statistiche 2025_26'!$A$3:$A$665,0)),"")</f>
        <v/>
      </c>
      <c r="J368" s="26" t="str">
        <f aca="false">IFERROR(IF($I368="","",MAX(0,38-$I368)),"")</f>
        <v/>
      </c>
      <c r="K368" s="26" t="str">
        <f aca="false">IFERROR(INDEX('Input Statistiche 2025_26'!$I$3:$I$665,MATCH($A368,'Input Statistiche 2025_26'!$A$3:$A$665,0)),"")</f>
        <v/>
      </c>
      <c r="L368" s="26" t="str">
        <f aca="false">IFERROR(INDEX('Input Statistiche 2025_26'!$O$3:$O$665,MATCH($A368,'Input Statistiche 2025_26'!$A$3:$A$665,0)),"")</f>
        <v/>
      </c>
      <c r="M368" s="28"/>
      <c r="N368" s="27" t="n">
        <f aca="false">IFERROR(INDEX('Input Giocatori 2026_27'!$E$3:$E$493,MATCH($A368,'Input Giocatori 2026_27'!$A$3:$A$493,0)),"")</f>
        <v>3</v>
      </c>
      <c r="O368" s="27" t="n">
        <f aca="false">IFERROR(INDEX('Input Giocatori 2026_27'!$G$3:$G$493,MATCH($A368,'Input Giocatori 2026_27'!$A$3:$A$493,0)),"")</f>
        <v>7</v>
      </c>
      <c r="P368" s="26" t="str">
        <f aca="false">IFERROR(IF($O368="","",IF((1-(COUNTIFS($B$2:$B$492,$B368,$O$2:$O$492,"&gt;"&amp;$O368)+1-1)/COUNTIF($B$2:$B$492,$B368))&gt;=0.85,"Top",IF((1-(COUNTIFS($B$2:$B$492,$B368,$O$2:$O$492,"&gt;"&amp;$O368)+1-1)/COUNTIF($B$2:$B$492,$B368))&gt;=0.6,"Buono",IF((1-(COUNTIFS($B$2:$B$492,$B368,$O$2:$O$492,"&gt;"&amp;$O368)+1-1)/COUNTIF($B$2:$B$492,$B368))&gt;=0.3,"Nella Media","Scommessa/Riserva")))),"")</f>
        <v>Scommessa/Riserva</v>
      </c>
      <c r="Q368" s="29" t="n">
        <f aca="false">IF($D368="",COUNTIF($D$2:$D368,""),"")</f>
        <v>367</v>
      </c>
      <c r="R368" s="29" t="str">
        <f aca="false">IF($D368='Info Lega'!$B$28,COUNTIFS($D$2:$D368,'Info Lega'!$B$28),"")</f>
        <v/>
      </c>
      <c r="S368" s="30" t="str">
        <f aca="false">IFERROR(INDEX('Input Statistiche 2025_26'!$G$3:$G$665,MATCH($A368,'Input Statistiche 2025_26'!$A$3:$A$665,0)),"")</f>
        <v/>
      </c>
      <c r="T368" s="30" t="str">
        <f aca="false">IFERROR(INDEX('Input Statistiche 2025_26'!$H$3:$H$665,MATCH($A368,'Input Statistiche 2025_26'!$A$3:$A$665,0)),"")</f>
        <v/>
      </c>
      <c r="U368" s="26" t="str">
        <f aca="false">IF(OR('La Mia Rosa'!$O$12="",$D368&lt;&gt;""),"",IF($F368&lt;='La Mia Rosa'!$O$12*'Parametri Modello'!$B$24,"OK",IF($F368&lt;='La Mia Rosa'!$O$12*'Parametri Modello'!$B$25,"Attenzione","Rischio Alto")))</f>
        <v>OK</v>
      </c>
      <c r="V368" s="26" t="n">
        <f aca="false">IFERROR(COUNTIFS($B$2:$B$492,$B368,$O$2:$O$492,"&gt;"&amp;$O368)+1,"")</f>
        <v>137</v>
      </c>
      <c r="W368" s="21" t="n">
        <f aca="false">'Info Lega'!$B$4-SUMIFS($M$2:$M$492,$D$2:$D$492,'Info Lega'!$B$28)</f>
        <v>1000</v>
      </c>
      <c r="X368" s="21" t="n">
        <f aca="false">('Info Lega'!$B$5-COUNTIFS($D$2:$D$492,'Info Lega'!$B$28,$B$2:$B$492,"P"))+('Info Lega'!$B$6-COUNTIFS($D$2:$D$492,'Info Lega'!$B$28,$B$2:$B$492,"D"))+('Info Lega'!$B$7-COUNTIFS($D$2:$D$492,'Info Lega'!$B$28,$B$2:$B$492,"C"))+('Info Lega'!$B$8-COUNTIFS($D$2:$D$492,'Info Lega'!$B$28,$B$2:$B$492,"A"))</f>
        <v>25</v>
      </c>
      <c r="Y368" s="21" t="n">
        <f aca="false">X368*'Parametri Modello'!$B$30</f>
        <v>25</v>
      </c>
      <c r="Z368" s="21" t="n">
        <f aca="false">MAX(0,W368-Y368)</f>
        <v>975</v>
      </c>
      <c r="AA368" s="21" t="n">
        <f aca="false">MIN(F368,Z368)</f>
        <v>4</v>
      </c>
      <c r="AB368" s="21"/>
      <c r="AC368" s="21" t="str">
        <f aca="false">IF(AB368="","",IF(AB368&gt;AA368,"PASS",IF(AB368&lt;=AA368*0.85,"BID","ATTENZIONE")))</f>
        <v/>
      </c>
      <c r="AD368" s="31" t="str">
        <f aca="false">IF(I368="","",ROUND(100*(1-EXP(-I368/30)),0))</f>
        <v/>
      </c>
      <c r="AE368" s="7" t="str">
        <f aca="false">IFERROR(INDEX('Stato Asta'!$G$9:$G$12,MATCH($B368,'Stato Asta'!$A$9:$A$12,0)),"")</f>
        <v>🟡 Attesa rischiosa</v>
      </c>
    </row>
    <row r="369" customFormat="false" ht="14.25" hidden="false" customHeight="true" outlineLevel="0" collapsed="false">
      <c r="A369" s="21" t="n">
        <v>5872</v>
      </c>
      <c r="B369" s="21" t="s">
        <v>45</v>
      </c>
      <c r="C369" s="21" t="s">
        <v>507</v>
      </c>
      <c r="E369" s="26" t="str">
        <f aca="false">IF(COUNTIF('Info Strategia'!$D$2:$D$51,$C369)&gt;0,"SI","NO")</f>
        <v>NO</v>
      </c>
      <c r="F369" s="27" t="n">
        <f aca="false">IFERROR(ROUND(($G369+($H369-$G369)*'Info Strategia'!$B$6)*(1+IF($E369="SI",'Parametri Modello'!$B$7*'Info Strategia'!$B$6,0)),0),"")</f>
        <v>4</v>
      </c>
      <c r="G369" s="27" t="n">
        <f aca="false">IFERROR(ROUND((IF(OR(INDEX('Parametri Modello'!$C$39:$C$42,MATCH($B369,'Parametri Modello'!$A$39:$A$42,0))="",INDEX('Parametri Modello'!$C$39:$C$42,MATCH($B369,'Parametri Modello'!$A$39:$A$42,0))=0),0,($O369/INDEX('Parametri Modello'!$C$39:$C$42,MATCH($B369,'Parametri Modello'!$A$39:$A$42,0)))*(INDEX('Parametri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3</v>
      </c>
      <c r="H369" s="27" t="n">
        <f aca="false">IFERROR(ROUND((IF(OR(INDEX('Parametri Modello'!$C$39:$C$42,MATCH($B369,'Parametri Modello'!$A$39:$A$42,0))="",INDEX('Parametri Modello'!$C$39:$C$42,MATCH($B369,'Parametri Modello'!$A$39:$A$42,0))=0),0,($O369/INDEX('Parametri Modello'!$C$39:$C$42,MATCH($B369,'Parametri Modello'!$A$39:$A$42,0)))*(INDEX('Parametri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4</v>
      </c>
      <c r="I369" s="26" t="n">
        <f aca="false">IFERROR(INDEX('Input Statistiche 2025_26'!$F$3:$F$665,MATCH($A369,'Input Statistiche 2025_26'!$A$3:$A$665,0)),"")</f>
        <v>4</v>
      </c>
      <c r="J369" s="26" t="n">
        <f aca="false">IFERROR(IF($I369="","",MAX(0,38-$I369)),"")</f>
        <v>34</v>
      </c>
      <c r="K369" s="26" t="n">
        <f aca="false">IFERROR(INDEX('Input Statistiche 2025_26'!$I$3:$I$665,MATCH($A369,'Input Statistiche 2025_26'!$A$3:$A$665,0)),"")</f>
        <v>0</v>
      </c>
      <c r="L369" s="26" t="n">
        <f aca="false">IFERROR(INDEX('Input Statistiche 2025_26'!$O$3:$O$665,MATCH($A369,'Input Statistiche 2025_26'!$A$3:$A$665,0)),"")</f>
        <v>0</v>
      </c>
      <c r="M369" s="28"/>
      <c r="N369" s="27" t="n">
        <f aca="false">IFERROR(INDEX('Input Giocatori 2026_27'!$E$3:$E$493,MATCH($A369,'Input Giocatori 2026_27'!$A$3:$A$493,0)),"")</f>
        <v>3</v>
      </c>
      <c r="O369" s="27" t="n">
        <f aca="false">IFERROR(INDEX('Input Giocatori 2026_27'!$G$3:$G$493,MATCH($A369,'Input Giocatori 2026_27'!$A$3:$A$493,0)),"")</f>
        <v>7</v>
      </c>
      <c r="P369" s="26" t="str">
        <f aca="false">IFERROR(IF($O369="","",IF((1-(COUNTIFS($B$2:$B$492,$B369,$O$2:$O$492,"&gt;"&amp;$O369)+1-1)/COUNTIF($B$2:$B$492,$B369))&gt;=0.85,"Top",IF((1-(COUNTIFS($B$2:$B$492,$B369,$O$2:$O$492,"&gt;"&amp;$O369)+1-1)/COUNTIF($B$2:$B$492,$B369))&gt;=0.6,"Buono",IF((1-(COUNTIFS($B$2:$B$492,$B369,$O$2:$O$492,"&gt;"&amp;$O369)+1-1)/COUNTIF($B$2:$B$492,$B369))&gt;=0.3,"Nella Media","Scommessa/Riserva")))),"")</f>
        <v>Scommessa/Riserva</v>
      </c>
      <c r="Q369" s="29" t="n">
        <f aca="false">IF($D369="",COUNTIF($D$2:$D369,""),"")</f>
        <v>368</v>
      </c>
      <c r="R369" s="29" t="str">
        <f aca="false">IF($D369='Info Lega'!$B$28,COUNTIFS($D$2:$D369,'Info Lega'!$B$28),"")</f>
        <v/>
      </c>
      <c r="S369" s="30" t="n">
        <f aca="false">IFERROR(INDEX('Input Statistiche 2025_26'!$G$3:$G$665,MATCH($A369,'Input Statistiche 2025_26'!$A$3:$A$665,0)),"")</f>
        <v>5.62</v>
      </c>
      <c r="T369" s="30" t="n">
        <f aca="false">IFERROR(INDEX('Input Statistiche 2025_26'!$H$3:$H$665,MATCH($A369,'Input Statistiche 2025_26'!$A$3:$A$665,0)),"")</f>
        <v>5.62</v>
      </c>
      <c r="U369" s="26" t="str">
        <f aca="false">IF(OR('La Mia Rosa'!$O$12="",$D369&lt;&gt;""),"",IF($F369&lt;='La Mia Rosa'!$O$12*'Parametri Modello'!$B$24,"OK",IF($F369&lt;='La Mia Rosa'!$O$12*'Parametri Modello'!$B$25,"Attenzione","Rischio Alto")))</f>
        <v>OK</v>
      </c>
      <c r="V369" s="26" t="n">
        <f aca="false">IFERROR(COUNTIFS($B$2:$B$492,$B369,$O$2:$O$492,"&gt;"&amp;$O369)+1,"")</f>
        <v>137</v>
      </c>
      <c r="W369" s="21" t="n">
        <f aca="false">'Info Lega'!$B$4-SUMIFS($M$2:$M$492,$D$2:$D$492,'Info Lega'!$B$28)</f>
        <v>1000</v>
      </c>
      <c r="X369" s="21" t="n">
        <f aca="false">('Info Lega'!$B$5-COUNTIFS($D$2:$D$492,'Info Lega'!$B$28,$B$2:$B$492,"P"))+('Info Lega'!$B$6-COUNTIFS($D$2:$D$492,'Info Lega'!$B$28,$B$2:$B$492,"D"))+('Info Lega'!$B$7-COUNTIFS($D$2:$D$492,'Info Lega'!$B$28,$B$2:$B$492,"C"))+('Info Lega'!$B$8-COUNTIFS($D$2:$D$492,'Info Lega'!$B$28,$B$2:$B$492,"A"))</f>
        <v>25</v>
      </c>
      <c r="Y369" s="21" t="n">
        <f aca="false">X369*'Parametri Modello'!$B$30</f>
        <v>25</v>
      </c>
      <c r="Z369" s="21" t="n">
        <f aca="false">MAX(0,W369-Y369)</f>
        <v>975</v>
      </c>
      <c r="AA369" s="21" t="n">
        <f aca="false">MIN(F369,Z369)</f>
        <v>4</v>
      </c>
      <c r="AB369" s="21"/>
      <c r="AC369" s="21" t="str">
        <f aca="false">IF(AB369="","",IF(AB369&gt;AA369,"PASS",IF(AB369&lt;=AA369*0.85,"BID","ATTENZIONE")))</f>
        <v/>
      </c>
      <c r="AD369" s="31" t="n">
        <f aca="false">IF(I369="","",ROUND(100*(1-EXP(-I369/30)),0))</f>
        <v>12</v>
      </c>
      <c r="AE369" s="7" t="str">
        <f aca="false">IFERROR(INDEX('Stato Asta'!$G$9:$G$12,MATCH($B369,'Stato Asta'!$A$9:$A$12,0)),"")</f>
        <v>🟡 Attesa rischiosa</v>
      </c>
    </row>
    <row r="370" customFormat="false" ht="14.25" hidden="false" customHeight="true" outlineLevel="0" collapsed="false">
      <c r="A370" s="21" t="n">
        <v>7272</v>
      </c>
      <c r="B370" s="21" t="s">
        <v>46</v>
      </c>
      <c r="C370" s="21" t="s">
        <v>605</v>
      </c>
      <c r="E370" s="26" t="str">
        <f aca="false">IF(COUNTIF('Info Strategia'!$D$2:$D$51,$C370)&gt;0,"SI","NO")</f>
        <v>NO</v>
      </c>
      <c r="F370" s="27" t="n">
        <f aca="false">IFERROR(ROUND(($G370+($H370-$G370)*'Info Strategia'!$B$6)*(1+IF($E370="SI",'Parametri Modello'!$B$7*'Info Strategia'!$B$6,0)),0),"")</f>
        <v>6</v>
      </c>
      <c r="G370" s="27" t="n">
        <f aca="false">IFERROR(ROUND((IF(OR(INDEX('Parametri Modello'!$C$39:$C$42,MATCH($B370,'Parametri Modello'!$A$39:$A$42,0))="",INDEX('Parametri Modello'!$C$39:$C$42,MATCH($B370,'Parametri Modello'!$A$39:$A$42,0))=0),0,($O370/INDEX('Parametri Modello'!$C$39:$C$42,MATCH($B370,'Parametri Modello'!$A$39:$A$42,0)))*(INDEX('Parametri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4</v>
      </c>
      <c r="H370" s="27" t="n">
        <f aca="false">IFERROR(ROUND((IF(OR(INDEX('Parametri Modello'!$C$39:$C$42,MATCH($B370,'Parametri Modello'!$A$39:$A$42,0))="",INDEX('Parametri Modello'!$C$39:$C$42,MATCH($B370,'Parametri Modello'!$A$39:$A$42,0))=0),0,($O370/INDEX('Parametri Modello'!$C$39:$C$42,MATCH($B370,'Parametri Modello'!$A$39:$A$42,0)))*(INDEX('Parametri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7</v>
      </c>
      <c r="I370" s="26" t="n">
        <f aca="false">IFERROR(INDEX('Input Statistiche 2025_26'!$F$3:$F$665,MATCH($A370,'Input Statistiche 2025_26'!$A$3:$A$665,0)),"")</f>
        <v>13</v>
      </c>
      <c r="J370" s="26" t="n">
        <f aca="false">IFERROR(IF($I370="","",MAX(0,38-$I370)),"")</f>
        <v>25</v>
      </c>
      <c r="K370" s="26" t="n">
        <f aca="false">IFERROR(INDEX('Input Statistiche 2025_26'!$I$3:$I$665,MATCH($A370,'Input Statistiche 2025_26'!$A$3:$A$665,0)),"")</f>
        <v>1</v>
      </c>
      <c r="L370" s="26" t="n">
        <f aca="false">IFERROR(INDEX('Input Statistiche 2025_26'!$O$3:$O$665,MATCH($A370,'Input Statistiche 2025_26'!$A$3:$A$665,0)),"")</f>
        <v>0</v>
      </c>
      <c r="M370" s="28"/>
      <c r="N370" s="27" t="n">
        <f aca="false">IFERROR(INDEX('Input Giocatori 2026_27'!$E$3:$E$493,MATCH($A370,'Input Giocatori 2026_27'!$A$3:$A$493,0)),"")</f>
        <v>4</v>
      </c>
      <c r="O370" s="27" t="n">
        <f aca="false">IFERROR(INDEX('Input Giocatori 2026_27'!$G$3:$G$493,MATCH($A370,'Input Giocatori 2026_27'!$A$3:$A$493,0)),"")</f>
        <v>7</v>
      </c>
      <c r="P370" s="26" t="str">
        <f aca="false">IFERROR(IF($O370="","",IF((1-(COUNTIFS($B$2:$B$492,$B370,$O$2:$O$492,"&gt;"&amp;$O370)+1-1)/COUNTIF($B$2:$B$492,$B370))&gt;=0.85,"Top",IF((1-(COUNTIFS($B$2:$B$492,$B370,$O$2:$O$492,"&gt;"&amp;$O370)+1-1)/COUNTIF($B$2:$B$492,$B370))&gt;=0.6,"Buono",IF((1-(COUNTIFS($B$2:$B$492,$B370,$O$2:$O$492,"&gt;"&amp;$O370)+1-1)/COUNTIF($B$2:$B$492,$B370))&gt;=0.3,"Nella Media","Scommessa/Riserva")))),"")</f>
        <v>Scommessa/Riserva</v>
      </c>
      <c r="Q370" s="29" t="n">
        <f aca="false">IF($D370="",COUNTIF($D$2:$D370,""),"")</f>
        <v>369</v>
      </c>
      <c r="R370" s="29" t="str">
        <f aca="false">IF($D370='Info Lega'!$B$28,COUNTIFS($D$2:$D370,'Info Lega'!$B$28),"")</f>
        <v/>
      </c>
      <c r="S370" s="30" t="n">
        <f aca="false">IFERROR(INDEX('Input Statistiche 2025_26'!$G$3:$G$665,MATCH($A370,'Input Statistiche 2025_26'!$A$3:$A$665,0)),"")</f>
        <v>5.77</v>
      </c>
      <c r="T370" s="30" t="n">
        <f aca="false">IFERROR(INDEX('Input Statistiche 2025_26'!$H$3:$H$665,MATCH($A370,'Input Statistiche 2025_26'!$A$3:$A$665,0)),"")</f>
        <v>5.92</v>
      </c>
      <c r="U370" s="26" t="str">
        <f aca="false">IF(OR('La Mia Rosa'!$O$12="",$D370&lt;&gt;""),"",IF($F370&lt;='La Mia Rosa'!$O$12*'Parametri Modello'!$B$24,"OK",IF($F370&lt;='La Mia Rosa'!$O$12*'Parametri Modello'!$B$25,"Attenzione","Rischio Alto")))</f>
        <v>OK</v>
      </c>
      <c r="V370" s="26" t="n">
        <f aca="false">IFERROR(COUNTIFS($B$2:$B$492,$B370,$O$2:$O$492,"&gt;"&amp;$O370)+1,"")</f>
        <v>73</v>
      </c>
      <c r="W370" s="21" t="n">
        <f aca="false">'Info Lega'!$B$4-SUMIFS($M$2:$M$492,$D$2:$D$492,'Info Lega'!$B$28)</f>
        <v>1000</v>
      </c>
      <c r="X370" s="21" t="n">
        <f aca="false">('Info Lega'!$B$5-COUNTIFS($D$2:$D$492,'Info Lega'!$B$28,$B$2:$B$492,"P"))+('Info Lega'!$B$6-COUNTIFS($D$2:$D$492,'Info Lega'!$B$28,$B$2:$B$492,"D"))+('Info Lega'!$B$7-COUNTIFS($D$2:$D$492,'Info Lega'!$B$28,$B$2:$B$492,"C"))+('Info Lega'!$B$8-COUNTIFS($D$2:$D$492,'Info Lega'!$B$28,$B$2:$B$492,"A"))</f>
        <v>25</v>
      </c>
      <c r="Y370" s="21" t="n">
        <f aca="false">X370*'Parametri Modello'!$B$30</f>
        <v>25</v>
      </c>
      <c r="Z370" s="21" t="n">
        <f aca="false">MAX(0,W370-Y370)</f>
        <v>975</v>
      </c>
      <c r="AA370" s="21" t="n">
        <f aca="false">MIN(F370,Z370)</f>
        <v>6</v>
      </c>
      <c r="AB370" s="21"/>
      <c r="AC370" s="21" t="str">
        <f aca="false">IF(AB370="","",IF(AB370&gt;AA370,"PASS",IF(AB370&lt;=AA370*0.85,"BID","ATTENZIONE")))</f>
        <v/>
      </c>
      <c r="AD370" s="31" t="n">
        <f aca="false">IF(I370="","",ROUND(100*(1-EXP(-I370/30)),0))</f>
        <v>35</v>
      </c>
      <c r="AE370" s="7" t="str">
        <f aca="false">IFERROR(INDEX('Stato Asta'!$G$9:$G$12,MATCH($B370,'Stato Asta'!$A$9:$A$12,0)),"")</f>
        <v>🔴 Non aspettare</v>
      </c>
    </row>
    <row r="371" customFormat="false" ht="14.25" hidden="false" customHeight="true" outlineLevel="0" collapsed="false">
      <c r="A371" s="21" t="n">
        <v>7523</v>
      </c>
      <c r="B371" s="21" t="s">
        <v>46</v>
      </c>
      <c r="C371" s="21" t="s">
        <v>609</v>
      </c>
      <c r="E371" s="26" t="str">
        <f aca="false">IF(COUNTIF('Info Strategia'!$D$2:$D$51,$C371)&gt;0,"SI","NO")</f>
        <v>NO</v>
      </c>
      <c r="F371" s="27" t="n">
        <f aca="false">IFERROR(ROUND(($G371+($H371-$G371)*'Info Strategia'!$B$6)*(1+IF($E371="SI",'Parametri Modello'!$B$7*'Info Strategia'!$B$6,0)),0),"")</f>
        <v>6</v>
      </c>
      <c r="G371" s="27" t="n">
        <f aca="false">IFERROR(ROUND((IF(OR(INDEX('Parametri Modello'!$C$39:$C$42,MATCH($B371,'Parametri Modello'!$A$39:$A$42,0))="",INDEX('Parametri Modello'!$C$39:$C$42,MATCH($B371,'Parametri Modello'!$A$39:$A$42,0))=0),0,($O371/INDEX('Parametri Modello'!$C$39:$C$42,MATCH($B371,'Parametri Modello'!$A$39:$A$42,0)))*(INDEX('Parametri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4</v>
      </c>
      <c r="H371" s="27" t="n">
        <f aca="false">IFERROR(ROUND((IF(OR(INDEX('Parametri Modello'!$C$39:$C$42,MATCH($B371,'Parametri Modello'!$A$39:$A$42,0))="",INDEX('Parametri Modello'!$C$39:$C$42,MATCH($B371,'Parametri Modello'!$A$39:$A$42,0))=0),0,($O371/INDEX('Parametri Modello'!$C$39:$C$42,MATCH($B371,'Parametri Modello'!$A$39:$A$42,0)))*(INDEX('Parametri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7</v>
      </c>
      <c r="I371" s="26" t="str">
        <f aca="false">IFERROR(INDEX('Input Statistiche 2025_26'!$F$3:$F$665,MATCH($A371,'Input Statistiche 2025_26'!$A$3:$A$665,0)),"")</f>
        <v/>
      </c>
      <c r="J371" s="26" t="str">
        <f aca="false">IFERROR(IF($I371="","",MAX(0,38-$I371)),"")</f>
        <v/>
      </c>
      <c r="K371" s="26" t="str">
        <f aca="false">IFERROR(INDEX('Input Statistiche 2025_26'!$I$3:$I$665,MATCH($A371,'Input Statistiche 2025_26'!$A$3:$A$665,0)),"")</f>
        <v/>
      </c>
      <c r="L371" s="26" t="str">
        <f aca="false">IFERROR(INDEX('Input Statistiche 2025_26'!$O$3:$O$665,MATCH($A371,'Input Statistiche 2025_26'!$A$3:$A$665,0)),"")</f>
        <v/>
      </c>
      <c r="M371" s="28"/>
      <c r="N371" s="27" t="n">
        <f aca="false">IFERROR(INDEX('Input Giocatori 2026_27'!$E$3:$E$493,MATCH($A371,'Input Giocatori 2026_27'!$A$3:$A$493,0)),"")</f>
        <v>3</v>
      </c>
      <c r="O371" s="27" t="n">
        <f aca="false">IFERROR(INDEX('Input Giocatori 2026_27'!$G$3:$G$493,MATCH($A371,'Input Giocatori 2026_27'!$A$3:$A$493,0)),"")</f>
        <v>7</v>
      </c>
      <c r="P371" s="26" t="str">
        <f aca="false">IFERROR(IF($O371="","",IF((1-(COUNTIFS($B$2:$B$492,$B371,$O$2:$O$492,"&gt;"&amp;$O371)+1-1)/COUNTIF($B$2:$B$492,$B371))&gt;=0.85,"Top",IF((1-(COUNTIFS($B$2:$B$492,$B371,$O$2:$O$492,"&gt;"&amp;$O371)+1-1)/COUNTIF($B$2:$B$492,$B371))&gt;=0.6,"Buono",IF((1-(COUNTIFS($B$2:$B$492,$B371,$O$2:$O$492,"&gt;"&amp;$O371)+1-1)/COUNTIF($B$2:$B$492,$B371))&gt;=0.3,"Nella Media","Scommessa/Riserva")))),"")</f>
        <v>Scommessa/Riserva</v>
      </c>
      <c r="Q371" s="29" t="n">
        <f aca="false">IF($D371="",COUNTIF($D$2:$D371,""),"")</f>
        <v>370</v>
      </c>
      <c r="R371" s="29" t="str">
        <f aca="false">IF($D371='Info Lega'!$B$28,COUNTIFS($D$2:$D371,'Info Lega'!$B$28),"")</f>
        <v/>
      </c>
      <c r="S371" s="30" t="str">
        <f aca="false">IFERROR(INDEX('Input Statistiche 2025_26'!$G$3:$G$665,MATCH($A371,'Input Statistiche 2025_26'!$A$3:$A$665,0)),"")</f>
        <v/>
      </c>
      <c r="T371" s="30" t="str">
        <f aca="false">IFERROR(INDEX('Input Statistiche 2025_26'!$H$3:$H$665,MATCH($A371,'Input Statistiche 2025_26'!$A$3:$A$665,0)),"")</f>
        <v/>
      </c>
      <c r="U371" s="26" t="str">
        <f aca="false">IF(OR('La Mia Rosa'!$O$12="",$D371&lt;&gt;""),"",IF($F371&lt;='La Mia Rosa'!$O$12*'Parametri Modello'!$B$24,"OK",IF($F371&lt;='La Mia Rosa'!$O$12*'Parametri Modello'!$B$25,"Attenzione","Rischio Alto")))</f>
        <v>OK</v>
      </c>
      <c r="V371" s="26" t="n">
        <f aca="false">IFERROR(COUNTIFS($B$2:$B$492,$B371,$O$2:$O$492,"&gt;"&amp;$O371)+1,"")</f>
        <v>73</v>
      </c>
      <c r="W371" s="21" t="n">
        <f aca="false">'Info Lega'!$B$4-SUMIFS($M$2:$M$492,$D$2:$D$492,'Info Lega'!$B$28)</f>
        <v>1000</v>
      </c>
      <c r="X371" s="21" t="n">
        <f aca="false">('Info Lega'!$B$5-COUNTIFS($D$2:$D$492,'Info Lega'!$B$28,$B$2:$B$492,"P"))+('Info Lega'!$B$6-COUNTIFS($D$2:$D$492,'Info Lega'!$B$28,$B$2:$B$492,"D"))+('Info Lega'!$B$7-COUNTIFS($D$2:$D$492,'Info Lega'!$B$28,$B$2:$B$492,"C"))+('Info Lega'!$B$8-COUNTIFS($D$2:$D$492,'Info Lega'!$B$28,$B$2:$B$492,"A"))</f>
        <v>25</v>
      </c>
      <c r="Y371" s="21" t="n">
        <f aca="false">X371*'Parametri Modello'!$B$30</f>
        <v>25</v>
      </c>
      <c r="Z371" s="21" t="n">
        <f aca="false">MAX(0,W371-Y371)</f>
        <v>975</v>
      </c>
      <c r="AA371" s="21" t="n">
        <f aca="false">MIN(F371,Z371)</f>
        <v>6</v>
      </c>
      <c r="AB371" s="21"/>
      <c r="AC371" s="21" t="str">
        <f aca="false">IF(AB371="","",IF(AB371&gt;AA371,"PASS",IF(AB371&lt;=AA371*0.85,"BID","ATTENZIONE")))</f>
        <v/>
      </c>
      <c r="AD371" s="31" t="str">
        <f aca="false">IF(I371="","",ROUND(100*(1-EXP(-I371/30)),0))</f>
        <v/>
      </c>
      <c r="AE371" s="7" t="str">
        <f aca="false">IFERROR(INDEX('Stato Asta'!$G$9:$G$12,MATCH($B371,'Stato Asta'!$A$9:$A$12,0)),"")</f>
        <v>🔴 Non aspettare</v>
      </c>
    </row>
    <row r="372" customFormat="false" ht="14.25" hidden="false" customHeight="true" outlineLevel="0" collapsed="false">
      <c r="A372" s="21" t="n">
        <v>5498</v>
      </c>
      <c r="B372" s="21" t="s">
        <v>44</v>
      </c>
      <c r="C372" s="21" t="s">
        <v>303</v>
      </c>
      <c r="E372" s="26" t="str">
        <f aca="false">IF(COUNTIF('Info Strategia'!$D$2:$D$51,$C372)&gt;0,"SI","NO")</f>
        <v>NO</v>
      </c>
      <c r="F372" s="27" t="n">
        <f aca="false">IFERROR(ROUND(($G372+($H372-$G372)*'Info Strategia'!$B$6)*(1+IF($E372="SI",'Parametri Modello'!$B$7*'Info Strategia'!$B$6,0)),0),"")</f>
        <v>3</v>
      </c>
      <c r="G372" s="27" t="n">
        <f aca="false">IFERROR(ROUND((IF(OR(INDEX('Parametri Modello'!$C$39:$C$42,MATCH($B372,'Parametri Modello'!$A$39:$A$42,0))="",INDEX('Parametri Modello'!$C$39:$C$42,MATCH($B372,'Parametri Modello'!$A$39:$A$42,0))=0),0,($O372/INDEX('Parametri Modello'!$C$39:$C$42,MATCH($B372,'Parametri Modello'!$A$39:$A$42,0)))*(INDEX('Parametri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2</v>
      </c>
      <c r="H372" s="27" t="n">
        <f aca="false">IFERROR(ROUND((IF(OR(INDEX('Parametri Modello'!$C$39:$C$42,MATCH($B372,'Parametri Modello'!$A$39:$A$42,0))="",INDEX('Parametri Modello'!$C$39:$C$42,MATCH($B372,'Parametri Modello'!$A$39:$A$42,0))=0),0,($O372/INDEX('Parametri Modello'!$C$39:$C$42,MATCH($B372,'Parametri Modello'!$A$39:$A$42,0)))*(INDEX('Parametri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3</v>
      </c>
      <c r="I372" s="26" t="n">
        <f aca="false">IFERROR(INDEX('Input Statistiche 2025_26'!$F$3:$F$665,MATCH($A372,'Input Statistiche 2025_26'!$A$3:$A$665,0)),"")</f>
        <v>10</v>
      </c>
      <c r="J372" s="26" t="n">
        <f aca="false">IFERROR(IF($I372="","",MAX(0,38-$I372)),"")</f>
        <v>28</v>
      </c>
      <c r="K372" s="26" t="n">
        <f aca="false">IFERROR(INDEX('Input Statistiche 2025_26'!$I$3:$I$665,MATCH($A372,'Input Statistiche 2025_26'!$A$3:$A$665,0)),"")</f>
        <v>0</v>
      </c>
      <c r="L372" s="26" t="n">
        <f aca="false">IFERROR(INDEX('Input Statistiche 2025_26'!$O$3:$O$665,MATCH($A372,'Input Statistiche 2025_26'!$A$3:$A$665,0)),"")</f>
        <v>0</v>
      </c>
      <c r="M372" s="28"/>
      <c r="N372" s="27" t="n">
        <f aca="false">IFERROR(INDEX('Input Giocatori 2026_27'!$E$3:$E$493,MATCH($A372,'Input Giocatori 2026_27'!$A$3:$A$493,0)),"")</f>
        <v>3</v>
      </c>
      <c r="O372" s="27" t="n">
        <f aca="false">IFERROR(INDEX('Input Giocatori 2026_27'!$G$3:$G$493,MATCH($A372,'Input Giocatori 2026_27'!$A$3:$A$493,0)),"")</f>
        <v>6</v>
      </c>
      <c r="P372" s="26" t="str">
        <f aca="false">IFERROR(IF($O372="","",IF((1-(COUNTIFS($B$2:$B$492,$B372,$O$2:$O$492,"&gt;"&amp;$O372)+1-1)/COUNTIF($B$2:$B$492,$B372))&gt;=0.85,"Top",IF((1-(COUNTIFS($B$2:$B$492,$B372,$O$2:$O$492,"&gt;"&amp;$O372)+1-1)/COUNTIF($B$2:$B$492,$B372))&gt;=0.6,"Buono",IF((1-(COUNTIFS($B$2:$B$492,$B372,$O$2:$O$492,"&gt;"&amp;$O372)+1-1)/COUNTIF($B$2:$B$492,$B372))&gt;=0.3,"Nella Media","Scommessa/Riserva")))),"")</f>
        <v>Scommessa/Riserva</v>
      </c>
      <c r="Q372" s="29" t="n">
        <f aca="false">IF($D372="",COUNTIF($D$2:$D372,""),"")</f>
        <v>371</v>
      </c>
      <c r="R372" s="29" t="str">
        <f aca="false">IF($D372='Info Lega'!$B$28,COUNTIFS($D$2:$D372,'Info Lega'!$B$28),"")</f>
        <v/>
      </c>
      <c r="S372" s="30" t="n">
        <f aca="false">IFERROR(INDEX('Input Statistiche 2025_26'!$G$3:$G$665,MATCH($A372,'Input Statistiche 2025_26'!$A$3:$A$665,0)),"")</f>
        <v>5.65</v>
      </c>
      <c r="T372" s="30" t="n">
        <f aca="false">IFERROR(INDEX('Input Statistiche 2025_26'!$H$3:$H$665,MATCH($A372,'Input Statistiche 2025_26'!$A$3:$A$665,0)),"")</f>
        <v>5.65</v>
      </c>
      <c r="U372" s="26" t="str">
        <f aca="false">IF(OR('La Mia Rosa'!$O$12="",$D372&lt;&gt;""),"",IF($F372&lt;='La Mia Rosa'!$O$12*'Parametri Modello'!$B$24,"OK",IF($F372&lt;='La Mia Rosa'!$O$12*'Parametri Modello'!$B$25,"Attenzione","Rischio Alto")))</f>
        <v>OK</v>
      </c>
      <c r="V372" s="26" t="n">
        <f aca="false">IFERROR(COUNTIFS($B$2:$B$492,$B372,$O$2:$O$492,"&gt;"&amp;$O372)+1,"")</f>
        <v>134</v>
      </c>
      <c r="W372" s="21" t="n">
        <f aca="false">'Info Lega'!$B$4-SUMIFS($M$2:$M$492,$D$2:$D$492,'Info Lega'!$B$28)</f>
        <v>1000</v>
      </c>
      <c r="X372" s="21" t="n">
        <f aca="false">('Info Lega'!$B$5-COUNTIFS($D$2:$D$492,'Info Lega'!$B$28,$B$2:$B$492,"P"))+('Info Lega'!$B$6-COUNTIFS($D$2:$D$492,'Info Lega'!$B$28,$B$2:$B$492,"D"))+('Info Lega'!$B$7-COUNTIFS($D$2:$D$492,'Info Lega'!$B$28,$B$2:$B$492,"C"))+('Info Lega'!$B$8-COUNTIFS($D$2:$D$492,'Info Lega'!$B$28,$B$2:$B$492,"A"))</f>
        <v>25</v>
      </c>
      <c r="Y372" s="21" t="n">
        <f aca="false">X372*'Parametri Modello'!$B$30</f>
        <v>25</v>
      </c>
      <c r="Z372" s="21" t="n">
        <f aca="false">MAX(0,W372-Y372)</f>
        <v>975</v>
      </c>
      <c r="AA372" s="21" t="n">
        <f aca="false">MIN(F372,Z372)</f>
        <v>3</v>
      </c>
      <c r="AB372" s="21"/>
      <c r="AC372" s="21" t="str">
        <f aca="false">IF(AB372="","",IF(AB372&gt;AA372,"PASS",IF(AB372&lt;=AA372*0.85,"BID","ATTENZIONE")))</f>
        <v/>
      </c>
      <c r="AD372" s="31" t="n">
        <f aca="false">IF(I372="","",ROUND(100*(1-EXP(-I372/30)),0))</f>
        <v>28</v>
      </c>
      <c r="AE372" s="7" t="str">
        <f aca="false">IFERROR(INDEX('Stato Asta'!$G$9:$G$12,MATCH($B372,'Stato Asta'!$A$9:$A$12,0)),"")</f>
        <v>🟡 Attesa rischiosa</v>
      </c>
    </row>
    <row r="373" customFormat="false" ht="14.25" hidden="false" customHeight="true" outlineLevel="0" collapsed="false">
      <c r="A373" s="21" t="n">
        <v>7483</v>
      </c>
      <c r="B373" s="21" t="s">
        <v>44</v>
      </c>
      <c r="C373" s="21" t="s">
        <v>324</v>
      </c>
      <c r="E373" s="26" t="str">
        <f aca="false">IF(COUNTIF('Info Strategia'!$D$2:$D$51,$C373)&gt;0,"SI","NO")</f>
        <v>NO</v>
      </c>
      <c r="F373" s="27" t="n">
        <f aca="false">IFERROR(ROUND(($G373+($H373-$G373)*'Info Strategia'!$B$6)*(1+IF($E373="SI",'Parametri Modello'!$B$7*'Info Strategia'!$B$6,0)),0),"")</f>
        <v>3</v>
      </c>
      <c r="G373" s="27" t="n">
        <f aca="false">IFERROR(ROUND((IF(OR(INDEX('Parametri Modello'!$C$39:$C$42,MATCH($B373,'Parametri Modello'!$A$39:$A$42,0))="",INDEX('Parametri Modello'!$C$39:$C$42,MATCH($B373,'Parametri Modello'!$A$39:$A$42,0))=0),0,($O373/INDEX('Parametri Modello'!$C$39:$C$42,MATCH($B373,'Parametri Modello'!$A$39:$A$42,0)))*(INDEX('Parametri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2</v>
      </c>
      <c r="H373" s="27" t="n">
        <f aca="false">IFERROR(ROUND((IF(OR(INDEX('Parametri Modello'!$C$39:$C$42,MATCH($B373,'Parametri Modello'!$A$39:$A$42,0))="",INDEX('Parametri Modello'!$C$39:$C$42,MATCH($B373,'Parametri Modello'!$A$39:$A$42,0))=0),0,($O373/INDEX('Parametri Modello'!$C$39:$C$42,MATCH($B373,'Parametri Modello'!$A$39:$A$42,0)))*(INDEX('Parametri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3</v>
      </c>
      <c r="I373" s="26" t="str">
        <f aca="false">IFERROR(INDEX('Input Statistiche 2025_26'!$F$3:$F$665,MATCH($A373,'Input Statistiche 2025_26'!$A$3:$A$665,0)),"")</f>
        <v/>
      </c>
      <c r="J373" s="26" t="str">
        <f aca="false">IFERROR(IF($I373="","",MAX(0,38-$I373)),"")</f>
        <v/>
      </c>
      <c r="K373" s="26" t="str">
        <f aca="false">IFERROR(INDEX('Input Statistiche 2025_26'!$I$3:$I$665,MATCH($A373,'Input Statistiche 2025_26'!$A$3:$A$665,0)),"")</f>
        <v/>
      </c>
      <c r="L373" s="26" t="str">
        <f aca="false">IFERROR(INDEX('Input Statistiche 2025_26'!$O$3:$O$665,MATCH($A373,'Input Statistiche 2025_26'!$A$3:$A$665,0)),"")</f>
        <v/>
      </c>
      <c r="M373" s="28"/>
      <c r="N373" s="27" t="n">
        <f aca="false">IFERROR(INDEX('Input Giocatori 2026_27'!$E$3:$E$493,MATCH($A373,'Input Giocatori 2026_27'!$A$3:$A$493,0)),"")</f>
        <v>2</v>
      </c>
      <c r="O373" s="27" t="n">
        <f aca="false">IFERROR(INDEX('Input Giocatori 2026_27'!$G$3:$G$493,MATCH($A373,'Input Giocatori 2026_27'!$A$3:$A$493,0)),"")</f>
        <v>6</v>
      </c>
      <c r="P373" s="26" t="str">
        <f aca="false">IFERROR(IF($O373="","",IF((1-(COUNTIFS($B$2:$B$492,$B373,$O$2:$O$492,"&gt;"&amp;$O373)+1-1)/COUNTIF($B$2:$B$492,$B373))&gt;=0.85,"Top",IF((1-(COUNTIFS($B$2:$B$492,$B373,$O$2:$O$492,"&gt;"&amp;$O373)+1-1)/COUNTIF($B$2:$B$492,$B373))&gt;=0.6,"Buono",IF((1-(COUNTIFS($B$2:$B$492,$B373,$O$2:$O$492,"&gt;"&amp;$O373)+1-1)/COUNTIF($B$2:$B$492,$B373))&gt;=0.3,"Nella Media","Scommessa/Riserva")))),"")</f>
        <v>Scommessa/Riserva</v>
      </c>
      <c r="Q373" s="29" t="n">
        <f aca="false">IF($D373="",COUNTIF($D$2:$D373,""),"")</f>
        <v>372</v>
      </c>
      <c r="R373" s="29" t="str">
        <f aca="false">IF($D373='Info Lega'!$B$28,COUNTIFS($D$2:$D373,'Info Lega'!$B$28),"")</f>
        <v/>
      </c>
      <c r="S373" s="30" t="str">
        <f aca="false">IFERROR(INDEX('Input Statistiche 2025_26'!$G$3:$G$665,MATCH($A373,'Input Statistiche 2025_26'!$A$3:$A$665,0)),"")</f>
        <v/>
      </c>
      <c r="T373" s="30" t="str">
        <f aca="false">IFERROR(INDEX('Input Statistiche 2025_26'!$H$3:$H$665,MATCH($A373,'Input Statistiche 2025_26'!$A$3:$A$665,0)),"")</f>
        <v/>
      </c>
      <c r="U373" s="26" t="str">
        <f aca="false">IF(OR('La Mia Rosa'!$O$12="",$D373&lt;&gt;""),"",IF($F373&lt;='La Mia Rosa'!$O$12*'Parametri Modello'!$B$24,"OK",IF($F373&lt;='La Mia Rosa'!$O$12*'Parametri Modello'!$B$25,"Attenzione","Rischio Alto")))</f>
        <v>OK</v>
      </c>
      <c r="V373" s="26" t="n">
        <f aca="false">IFERROR(COUNTIFS($B$2:$B$492,$B373,$O$2:$O$492,"&gt;"&amp;$O373)+1,"")</f>
        <v>134</v>
      </c>
      <c r="W373" s="21" t="n">
        <f aca="false">'Info Lega'!$B$4-SUMIFS($M$2:$M$492,$D$2:$D$492,'Info Lega'!$B$28)</f>
        <v>1000</v>
      </c>
      <c r="X373" s="21" t="n">
        <f aca="false">('Info Lega'!$B$5-COUNTIFS($D$2:$D$492,'Info Lega'!$B$28,$B$2:$B$492,"P"))+('Info Lega'!$B$6-COUNTIFS($D$2:$D$492,'Info Lega'!$B$28,$B$2:$B$492,"D"))+('Info Lega'!$B$7-COUNTIFS($D$2:$D$492,'Info Lega'!$B$28,$B$2:$B$492,"C"))+('Info Lega'!$B$8-COUNTIFS($D$2:$D$492,'Info Lega'!$B$28,$B$2:$B$492,"A"))</f>
        <v>25</v>
      </c>
      <c r="Y373" s="21" t="n">
        <f aca="false">X373*'Parametri Modello'!$B$30</f>
        <v>25</v>
      </c>
      <c r="Z373" s="21" t="n">
        <f aca="false">MAX(0,W373-Y373)</f>
        <v>975</v>
      </c>
      <c r="AA373" s="21" t="n">
        <f aca="false">MIN(F373,Z373)</f>
        <v>3</v>
      </c>
      <c r="AB373" s="21"/>
      <c r="AC373" s="21" t="str">
        <f aca="false">IF(AB373="","",IF(AB373&gt;AA373,"PASS",IF(AB373&lt;=AA373*0.85,"BID","ATTENZIONE")))</f>
        <v/>
      </c>
      <c r="AD373" s="31" t="str">
        <f aca="false">IF(I373="","",ROUND(100*(1-EXP(-I373/30)),0))</f>
        <v/>
      </c>
      <c r="AE373" s="7" t="str">
        <f aca="false">IFERROR(INDEX('Stato Asta'!$G$9:$G$12,MATCH($B373,'Stato Asta'!$A$9:$A$12,0)),"")</f>
        <v>🟡 Attesa rischiosa</v>
      </c>
    </row>
    <row r="374" customFormat="false" ht="14.25" hidden="false" customHeight="true" outlineLevel="0" collapsed="false">
      <c r="A374" s="21" t="n">
        <v>6638</v>
      </c>
      <c r="B374" s="21" t="s">
        <v>44</v>
      </c>
      <c r="C374" s="21" t="s">
        <v>333</v>
      </c>
      <c r="E374" s="26" t="str">
        <f aca="false">IF(COUNTIF('Info Strategia'!$D$2:$D$51,$C374)&gt;0,"SI","NO")</f>
        <v>NO</v>
      </c>
      <c r="F374" s="27" t="n">
        <f aca="false">IFERROR(ROUND(($G374+($H374-$G374)*'Info Strategia'!$B$6)*(1+IF($E374="SI",'Parametri Modello'!$B$7*'Info Strategia'!$B$6,0)),0),"")</f>
        <v>3</v>
      </c>
      <c r="G374" s="27" t="n">
        <f aca="false">IFERROR(ROUND((IF(OR(INDEX('Parametri Modello'!$C$39:$C$42,MATCH($B374,'Parametri Modello'!$A$39:$A$42,0))="",INDEX('Parametri Modello'!$C$39:$C$42,MATCH($B374,'Parametri Modello'!$A$39:$A$42,0))=0),0,($O374/INDEX('Parametri Modello'!$C$39:$C$42,MATCH($B374,'Parametri Modello'!$A$39:$A$42,0)))*(INDEX('Parametri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2</v>
      </c>
      <c r="H374" s="27" t="n">
        <f aca="false">IFERROR(ROUND((IF(OR(INDEX('Parametri Modello'!$C$39:$C$42,MATCH($B374,'Parametri Modello'!$A$39:$A$42,0))="",INDEX('Parametri Modello'!$C$39:$C$42,MATCH($B374,'Parametri Modello'!$A$39:$A$42,0))=0),0,($O374/INDEX('Parametri Modello'!$C$39:$C$42,MATCH($B374,'Parametri Modello'!$A$39:$A$42,0)))*(INDEX('Parametri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3</v>
      </c>
      <c r="I374" s="26" t="str">
        <f aca="false">IFERROR(INDEX('Input Statistiche 2025_26'!$F$3:$F$665,MATCH($A374,'Input Statistiche 2025_26'!$A$3:$A$665,0)),"")</f>
        <v/>
      </c>
      <c r="J374" s="26" t="str">
        <f aca="false">IFERROR(IF($I374="","",MAX(0,38-$I374)),"")</f>
        <v/>
      </c>
      <c r="K374" s="26" t="str">
        <f aca="false">IFERROR(INDEX('Input Statistiche 2025_26'!$I$3:$I$665,MATCH($A374,'Input Statistiche 2025_26'!$A$3:$A$665,0)),"")</f>
        <v/>
      </c>
      <c r="L374" s="26" t="str">
        <f aca="false">IFERROR(INDEX('Input Statistiche 2025_26'!$O$3:$O$665,MATCH($A374,'Input Statistiche 2025_26'!$A$3:$A$665,0)),"")</f>
        <v/>
      </c>
      <c r="M374" s="28"/>
      <c r="N374" s="27" t="n">
        <f aca="false">IFERROR(INDEX('Input Giocatori 2026_27'!$E$3:$E$493,MATCH($A374,'Input Giocatori 2026_27'!$A$3:$A$493,0)),"")</f>
        <v>2</v>
      </c>
      <c r="O374" s="27" t="n">
        <f aca="false">IFERROR(INDEX('Input Giocatori 2026_27'!$G$3:$G$493,MATCH($A374,'Input Giocatori 2026_27'!$A$3:$A$493,0)),"")</f>
        <v>6</v>
      </c>
      <c r="P374" s="26" t="str">
        <f aca="false">IFERROR(IF($O374="","",IF((1-(COUNTIFS($B$2:$B$492,$B374,$O$2:$O$492,"&gt;"&amp;$O374)+1-1)/COUNTIF($B$2:$B$492,$B374))&gt;=0.85,"Top",IF((1-(COUNTIFS($B$2:$B$492,$B374,$O$2:$O$492,"&gt;"&amp;$O374)+1-1)/COUNTIF($B$2:$B$492,$B374))&gt;=0.6,"Buono",IF((1-(COUNTIFS($B$2:$B$492,$B374,$O$2:$O$492,"&gt;"&amp;$O374)+1-1)/COUNTIF($B$2:$B$492,$B374))&gt;=0.3,"Nella Media","Scommessa/Riserva")))),"")</f>
        <v>Scommessa/Riserva</v>
      </c>
      <c r="Q374" s="29" t="n">
        <f aca="false">IF($D374="",COUNTIF($D$2:$D374,""),"")</f>
        <v>373</v>
      </c>
      <c r="R374" s="29" t="str">
        <f aca="false">IF($D374='Info Lega'!$B$28,COUNTIFS($D$2:$D374,'Info Lega'!$B$28),"")</f>
        <v/>
      </c>
      <c r="S374" s="30" t="str">
        <f aca="false">IFERROR(INDEX('Input Statistiche 2025_26'!$G$3:$G$665,MATCH($A374,'Input Statistiche 2025_26'!$A$3:$A$665,0)),"")</f>
        <v/>
      </c>
      <c r="T374" s="30" t="str">
        <f aca="false">IFERROR(INDEX('Input Statistiche 2025_26'!$H$3:$H$665,MATCH($A374,'Input Statistiche 2025_26'!$A$3:$A$665,0)),"")</f>
        <v/>
      </c>
      <c r="U374" s="26" t="str">
        <f aca="false">IF(OR('La Mia Rosa'!$O$12="",$D374&lt;&gt;""),"",IF($F374&lt;='La Mia Rosa'!$O$12*'Parametri Modello'!$B$24,"OK",IF($F374&lt;='La Mia Rosa'!$O$12*'Parametri Modello'!$B$25,"Attenzione","Rischio Alto")))</f>
        <v>OK</v>
      </c>
      <c r="V374" s="26" t="n">
        <f aca="false">IFERROR(COUNTIFS($B$2:$B$492,$B374,$O$2:$O$492,"&gt;"&amp;$O374)+1,"")</f>
        <v>134</v>
      </c>
      <c r="W374" s="21" t="n">
        <f aca="false">'Info Lega'!$B$4-SUMIFS($M$2:$M$492,$D$2:$D$492,'Info Lega'!$B$28)</f>
        <v>1000</v>
      </c>
      <c r="X374" s="21" t="n">
        <f aca="false">('Info Lega'!$B$5-COUNTIFS($D$2:$D$492,'Info Lega'!$B$28,$B$2:$B$492,"P"))+('Info Lega'!$B$6-COUNTIFS($D$2:$D$492,'Info Lega'!$B$28,$B$2:$B$492,"D"))+('Info Lega'!$B$7-COUNTIFS($D$2:$D$492,'Info Lega'!$B$28,$B$2:$B$492,"C"))+('Info Lega'!$B$8-COUNTIFS($D$2:$D$492,'Info Lega'!$B$28,$B$2:$B$492,"A"))</f>
        <v>25</v>
      </c>
      <c r="Y374" s="21" t="n">
        <f aca="false">X374*'Parametri Modello'!$B$30</f>
        <v>25</v>
      </c>
      <c r="Z374" s="21" t="n">
        <f aca="false">MAX(0,W374-Y374)</f>
        <v>975</v>
      </c>
      <c r="AA374" s="21" t="n">
        <f aca="false">MIN(F374,Z374)</f>
        <v>3</v>
      </c>
      <c r="AB374" s="21"/>
      <c r="AC374" s="21" t="str">
        <f aca="false">IF(AB374="","",IF(AB374&gt;AA374,"PASS",IF(AB374&lt;=AA374*0.85,"BID","ATTENZIONE")))</f>
        <v/>
      </c>
      <c r="AD374" s="31" t="str">
        <f aca="false">IF(I374="","",ROUND(100*(1-EXP(-I374/30)),0))</f>
        <v/>
      </c>
      <c r="AE374" s="7" t="str">
        <f aca="false">IFERROR(INDEX('Stato Asta'!$G$9:$G$12,MATCH($B374,'Stato Asta'!$A$9:$A$12,0)),"")</f>
        <v>🟡 Attesa rischiosa</v>
      </c>
    </row>
    <row r="375" customFormat="false" ht="14.25" hidden="false" customHeight="true" outlineLevel="0" collapsed="false">
      <c r="A375" s="21" t="n">
        <v>6980</v>
      </c>
      <c r="B375" s="21" t="s">
        <v>45</v>
      </c>
      <c r="C375" s="21" t="s">
        <v>512</v>
      </c>
      <c r="E375" s="26" t="str">
        <f aca="false">IF(COUNTIF('Info Strategia'!$D$2:$D$51,$C375)&gt;0,"SI","NO")</f>
        <v>NO</v>
      </c>
      <c r="F375" s="27" t="n">
        <f aca="false">IFERROR(ROUND(($G375+($H375-$G375)*'Info Strategia'!$B$6)*(1+IF($E375="SI",'Parametri Modello'!$B$7*'Info Strategia'!$B$6,0)),0),"")</f>
        <v>3</v>
      </c>
      <c r="G375" s="27" t="n">
        <f aca="false">IFERROR(ROUND((IF(OR(INDEX('Parametri Modello'!$C$39:$C$42,MATCH($B375,'Parametri Modello'!$A$39:$A$42,0))="",INDEX('Parametri Modello'!$C$39:$C$42,MATCH($B375,'Parametri Modello'!$A$39:$A$42,0))=0),0,($O375/INDEX('Parametri Modello'!$C$39:$C$42,MATCH($B375,'Parametri Modello'!$A$39:$A$42,0)))*(INDEX('Parametri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2</v>
      </c>
      <c r="H375" s="27" t="n">
        <f aca="false">IFERROR(ROUND((IF(OR(INDEX('Parametri Modello'!$C$39:$C$42,MATCH($B375,'Parametri Modello'!$A$39:$A$42,0))="",INDEX('Parametri Modello'!$C$39:$C$42,MATCH($B375,'Parametri Modello'!$A$39:$A$42,0))=0),0,($O375/INDEX('Parametri Modello'!$C$39:$C$42,MATCH($B375,'Parametri Modello'!$A$39:$A$42,0)))*(INDEX('Parametri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4</v>
      </c>
      <c r="I375" s="26" t="n">
        <f aca="false">IFERROR(INDEX('Input Statistiche 2025_26'!$F$3:$F$665,MATCH($A375,'Input Statistiche 2025_26'!$A$3:$A$665,0)),"")</f>
        <v>7</v>
      </c>
      <c r="J375" s="26" t="n">
        <f aca="false">IFERROR(IF($I375="","",MAX(0,38-$I375)),"")</f>
        <v>31</v>
      </c>
      <c r="K375" s="26" t="n">
        <f aca="false">IFERROR(INDEX('Input Statistiche 2025_26'!$I$3:$I$665,MATCH($A375,'Input Statistiche 2025_26'!$A$3:$A$665,0)),"")</f>
        <v>0</v>
      </c>
      <c r="L375" s="26" t="n">
        <f aca="false">IFERROR(INDEX('Input Statistiche 2025_26'!$O$3:$O$665,MATCH($A375,'Input Statistiche 2025_26'!$A$3:$A$665,0)),"")</f>
        <v>0</v>
      </c>
      <c r="M375" s="28"/>
      <c r="N375" s="27" t="n">
        <f aca="false">IFERROR(INDEX('Input Giocatori 2026_27'!$E$3:$E$493,MATCH($A375,'Input Giocatori 2026_27'!$A$3:$A$493,0)),"")</f>
        <v>2</v>
      </c>
      <c r="O375" s="27" t="n">
        <f aca="false">IFERROR(INDEX('Input Giocatori 2026_27'!$G$3:$G$493,MATCH($A375,'Input Giocatori 2026_27'!$A$3:$A$493,0)),"")</f>
        <v>6</v>
      </c>
      <c r="P375" s="26" t="str">
        <f aca="false">IFERROR(IF($O375="","",IF((1-(COUNTIFS($B$2:$B$492,$B375,$O$2:$O$492,"&gt;"&amp;$O375)+1-1)/COUNTIF($B$2:$B$492,$B375))&gt;=0.85,"Top",IF((1-(COUNTIFS($B$2:$B$492,$B375,$O$2:$O$492,"&gt;"&amp;$O375)+1-1)/COUNTIF($B$2:$B$492,$B375))&gt;=0.6,"Buono",IF((1-(COUNTIFS($B$2:$B$492,$B375,$O$2:$O$492,"&gt;"&amp;$O375)+1-1)/COUNTIF($B$2:$B$492,$B375))&gt;=0.3,"Nella Media","Scommessa/Riserva")))),"")</f>
        <v>Scommessa/Riserva</v>
      </c>
      <c r="Q375" s="29" t="n">
        <f aca="false">IF($D375="",COUNTIF($D$2:$D375,""),"")</f>
        <v>374</v>
      </c>
      <c r="R375" s="29" t="str">
        <f aca="false">IF($D375='Info Lega'!$B$28,COUNTIFS($D$2:$D375,'Info Lega'!$B$28),"")</f>
        <v/>
      </c>
      <c r="S375" s="30" t="n">
        <f aca="false">IFERROR(INDEX('Input Statistiche 2025_26'!$G$3:$G$665,MATCH($A375,'Input Statistiche 2025_26'!$A$3:$A$665,0)),"")</f>
        <v>5.86</v>
      </c>
      <c r="T375" s="30" t="n">
        <f aca="false">IFERROR(INDEX('Input Statistiche 2025_26'!$H$3:$H$665,MATCH($A375,'Input Statistiche 2025_26'!$A$3:$A$665,0)),"")</f>
        <v>5.86</v>
      </c>
      <c r="U375" s="26" t="str">
        <f aca="false">IF(OR('La Mia Rosa'!$O$12="",$D375&lt;&gt;""),"",IF($F375&lt;='La Mia Rosa'!$O$12*'Parametri Modello'!$B$24,"OK",IF($F375&lt;='La Mia Rosa'!$O$12*'Parametri Modello'!$B$25,"Attenzione","Rischio Alto")))</f>
        <v>OK</v>
      </c>
      <c r="V375" s="26" t="n">
        <f aca="false">IFERROR(COUNTIFS($B$2:$B$492,$B375,$O$2:$O$492,"&gt;"&amp;$O375)+1,"")</f>
        <v>142</v>
      </c>
      <c r="W375" s="21" t="n">
        <f aca="false">'Info Lega'!$B$4-SUMIFS($M$2:$M$492,$D$2:$D$492,'Info Lega'!$B$28)</f>
        <v>1000</v>
      </c>
      <c r="X375" s="21" t="n">
        <f aca="false">('Info Lega'!$B$5-COUNTIFS($D$2:$D$492,'Info Lega'!$B$28,$B$2:$B$492,"P"))+('Info Lega'!$B$6-COUNTIFS($D$2:$D$492,'Info Lega'!$B$28,$B$2:$B$492,"D"))+('Info Lega'!$B$7-COUNTIFS($D$2:$D$492,'Info Lega'!$B$28,$B$2:$B$492,"C"))+('Info Lega'!$B$8-COUNTIFS($D$2:$D$492,'Info Lega'!$B$28,$B$2:$B$492,"A"))</f>
        <v>25</v>
      </c>
      <c r="Y375" s="21" t="n">
        <f aca="false">X375*'Parametri Modello'!$B$30</f>
        <v>25</v>
      </c>
      <c r="Z375" s="21" t="n">
        <f aca="false">MAX(0,W375-Y375)</f>
        <v>975</v>
      </c>
      <c r="AA375" s="21" t="n">
        <f aca="false">MIN(F375,Z375)</f>
        <v>3</v>
      </c>
      <c r="AB375" s="21"/>
      <c r="AC375" s="21" t="str">
        <f aca="false">IF(AB375="","",IF(AB375&gt;AA375,"PASS",IF(AB375&lt;=AA375*0.85,"BID","ATTENZIONE")))</f>
        <v/>
      </c>
      <c r="AD375" s="31" t="n">
        <f aca="false">IF(I375="","",ROUND(100*(1-EXP(-I375/30)),0))</f>
        <v>21</v>
      </c>
      <c r="AE375" s="7" t="str">
        <f aca="false">IFERROR(INDEX('Stato Asta'!$G$9:$G$12,MATCH($B375,'Stato Asta'!$A$9:$A$12,0)),"")</f>
        <v>🟡 Attesa rischiosa</v>
      </c>
    </row>
    <row r="376" customFormat="false" ht="14.25" hidden="false" customHeight="true" outlineLevel="0" collapsed="false">
      <c r="A376" s="21" t="n">
        <v>5295</v>
      </c>
      <c r="B376" s="21" t="s">
        <v>45</v>
      </c>
      <c r="C376" s="21" t="s">
        <v>514</v>
      </c>
      <c r="E376" s="26" t="str">
        <f aca="false">IF(COUNTIF('Info Strategia'!$D$2:$D$51,$C376)&gt;0,"SI","NO")</f>
        <v>NO</v>
      </c>
      <c r="F376" s="27" t="n">
        <f aca="false">IFERROR(ROUND(($G376+($H376-$G376)*'Info Strategia'!$B$6)*(1+IF($E376="SI",'Parametri Modello'!$B$7*'Info Strategia'!$B$6,0)),0),"")</f>
        <v>3</v>
      </c>
      <c r="G376" s="27" t="n">
        <f aca="false">IFERROR(ROUND((IF(OR(INDEX('Parametri Modello'!$C$39:$C$42,MATCH($B376,'Parametri Modello'!$A$39:$A$42,0))="",INDEX('Parametri Modello'!$C$39:$C$42,MATCH($B376,'Parametri Modello'!$A$39:$A$42,0))=0),0,($O376/INDEX('Parametri Modello'!$C$39:$C$42,MATCH($B376,'Parametri Modello'!$A$39:$A$42,0)))*(INDEX('Parametri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2</v>
      </c>
      <c r="H376" s="27" t="n">
        <f aca="false">IFERROR(ROUND((IF(OR(INDEX('Parametri Modello'!$C$39:$C$42,MATCH($B376,'Parametri Modello'!$A$39:$A$42,0))="",INDEX('Parametri Modello'!$C$39:$C$42,MATCH($B376,'Parametri Modello'!$A$39:$A$42,0))=0),0,($O376/INDEX('Parametri Modello'!$C$39:$C$42,MATCH($B376,'Parametri Modello'!$A$39:$A$42,0)))*(INDEX('Parametri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4</v>
      </c>
      <c r="I376" s="26" t="n">
        <f aca="false">IFERROR(INDEX('Input Statistiche 2025_26'!$F$3:$F$665,MATCH($A376,'Input Statistiche 2025_26'!$A$3:$A$665,0)),"")</f>
        <v>16</v>
      </c>
      <c r="J376" s="26" t="n">
        <f aca="false">IFERROR(IF($I376="","",MAX(0,38-$I376)),"")</f>
        <v>22</v>
      </c>
      <c r="K376" s="26" t="n">
        <f aca="false">IFERROR(INDEX('Input Statistiche 2025_26'!$I$3:$I$665,MATCH($A376,'Input Statistiche 2025_26'!$A$3:$A$665,0)),"")</f>
        <v>1</v>
      </c>
      <c r="L376" s="26" t="n">
        <f aca="false">IFERROR(INDEX('Input Statistiche 2025_26'!$O$3:$O$665,MATCH($A376,'Input Statistiche 2025_26'!$A$3:$A$665,0)),"")</f>
        <v>0</v>
      </c>
      <c r="M376" s="28"/>
      <c r="N376" s="27" t="n">
        <f aca="false">IFERROR(INDEX('Input Giocatori 2026_27'!$E$3:$E$493,MATCH($A376,'Input Giocatori 2026_27'!$A$3:$A$493,0)),"")</f>
        <v>2</v>
      </c>
      <c r="O376" s="27" t="n">
        <f aca="false">IFERROR(INDEX('Input Giocatori 2026_27'!$G$3:$G$493,MATCH($A376,'Input Giocatori 2026_27'!$A$3:$A$493,0)),"")</f>
        <v>6</v>
      </c>
      <c r="P376" s="26" t="str">
        <f aca="false">IFERROR(IF($O376="","",IF((1-(COUNTIFS($B$2:$B$492,$B376,$O$2:$O$492,"&gt;"&amp;$O376)+1-1)/COUNTIF($B$2:$B$492,$B376))&gt;=0.85,"Top",IF((1-(COUNTIFS($B$2:$B$492,$B376,$O$2:$O$492,"&gt;"&amp;$O376)+1-1)/COUNTIF($B$2:$B$492,$B376))&gt;=0.6,"Buono",IF((1-(COUNTIFS($B$2:$B$492,$B376,$O$2:$O$492,"&gt;"&amp;$O376)+1-1)/COUNTIF($B$2:$B$492,$B376))&gt;=0.3,"Nella Media","Scommessa/Riserva")))),"")</f>
        <v>Scommessa/Riserva</v>
      </c>
      <c r="Q376" s="29" t="n">
        <f aca="false">IF($D376="",COUNTIF($D$2:$D376,""),"")</f>
        <v>375</v>
      </c>
      <c r="R376" s="29" t="str">
        <f aca="false">IF($D376='Info Lega'!$B$28,COUNTIFS($D$2:$D376,'Info Lega'!$B$28),"")</f>
        <v/>
      </c>
      <c r="S376" s="30" t="n">
        <f aca="false">IFERROR(INDEX('Input Statistiche 2025_26'!$G$3:$G$665,MATCH($A376,'Input Statistiche 2025_26'!$A$3:$A$665,0)),"")</f>
        <v>5.94</v>
      </c>
      <c r="T376" s="30" t="n">
        <f aca="false">IFERROR(INDEX('Input Statistiche 2025_26'!$H$3:$H$665,MATCH($A376,'Input Statistiche 2025_26'!$A$3:$A$665,0)),"")</f>
        <v>6.09</v>
      </c>
      <c r="U376" s="26" t="str">
        <f aca="false">IF(OR('La Mia Rosa'!$O$12="",$D376&lt;&gt;""),"",IF($F376&lt;='La Mia Rosa'!$O$12*'Parametri Modello'!$B$24,"OK",IF($F376&lt;='La Mia Rosa'!$O$12*'Parametri Modello'!$B$25,"Attenzione","Rischio Alto")))</f>
        <v>OK</v>
      </c>
      <c r="V376" s="26" t="n">
        <f aca="false">IFERROR(COUNTIFS($B$2:$B$492,$B376,$O$2:$O$492,"&gt;"&amp;$O376)+1,"")</f>
        <v>142</v>
      </c>
      <c r="W376" s="21" t="n">
        <f aca="false">'Info Lega'!$B$4-SUMIFS($M$2:$M$492,$D$2:$D$492,'Info Lega'!$B$28)</f>
        <v>1000</v>
      </c>
      <c r="X376" s="21" t="n">
        <f aca="false">('Info Lega'!$B$5-COUNTIFS($D$2:$D$492,'Info Lega'!$B$28,$B$2:$B$492,"P"))+('Info Lega'!$B$6-COUNTIFS($D$2:$D$492,'Info Lega'!$B$28,$B$2:$B$492,"D"))+('Info Lega'!$B$7-COUNTIFS($D$2:$D$492,'Info Lega'!$B$28,$B$2:$B$492,"C"))+('Info Lega'!$B$8-COUNTIFS($D$2:$D$492,'Info Lega'!$B$28,$B$2:$B$492,"A"))</f>
        <v>25</v>
      </c>
      <c r="Y376" s="21" t="n">
        <f aca="false">X376*'Parametri Modello'!$B$30</f>
        <v>25</v>
      </c>
      <c r="Z376" s="21" t="n">
        <f aca="false">MAX(0,W376-Y376)</f>
        <v>975</v>
      </c>
      <c r="AA376" s="21" t="n">
        <f aca="false">MIN(F376,Z376)</f>
        <v>3</v>
      </c>
      <c r="AB376" s="21"/>
      <c r="AC376" s="21" t="str">
        <f aca="false">IF(AB376="","",IF(AB376&gt;AA376,"PASS",IF(AB376&lt;=AA376*0.85,"BID","ATTENZIONE")))</f>
        <v/>
      </c>
      <c r="AD376" s="31" t="n">
        <f aca="false">IF(I376="","",ROUND(100*(1-EXP(-I376/30)),0))</f>
        <v>41</v>
      </c>
      <c r="AE376" s="7" t="str">
        <f aca="false">IFERROR(INDEX('Stato Asta'!$G$9:$G$12,MATCH($B376,'Stato Asta'!$A$9:$A$12,0)),"")</f>
        <v>🟡 Attesa rischiosa</v>
      </c>
    </row>
    <row r="377" customFormat="false" ht="14.25" hidden="false" customHeight="true" outlineLevel="0" collapsed="false">
      <c r="A377" s="21" t="n">
        <v>5880</v>
      </c>
      <c r="B377" s="21" t="s">
        <v>45</v>
      </c>
      <c r="C377" s="21" t="s">
        <v>515</v>
      </c>
      <c r="E377" s="26" t="str">
        <f aca="false">IF(COUNTIF('Info Strategia'!$D$2:$D$51,$C377)&gt;0,"SI","NO")</f>
        <v>NO</v>
      </c>
      <c r="F377" s="27" t="n">
        <f aca="false">IFERROR(ROUND(($G377+($H377-$G377)*'Info Strategia'!$B$6)*(1+IF($E377="SI",'Parametri Modello'!$B$7*'Info Strategia'!$B$6,0)),0),"")</f>
        <v>3</v>
      </c>
      <c r="G377" s="27" t="n">
        <f aca="false">IFERROR(ROUND((IF(OR(INDEX('Parametri Modello'!$C$39:$C$42,MATCH($B377,'Parametri Modello'!$A$39:$A$42,0))="",INDEX('Parametri Modello'!$C$39:$C$42,MATCH($B377,'Parametri Modello'!$A$39:$A$42,0))=0),0,($O377/INDEX('Parametri Modello'!$C$39:$C$42,MATCH($B377,'Parametri Modello'!$A$39:$A$42,0)))*(INDEX('Parametri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2</v>
      </c>
      <c r="H377" s="27" t="n">
        <f aca="false">IFERROR(ROUND((IF(OR(INDEX('Parametri Modello'!$C$39:$C$42,MATCH($B377,'Parametri Modello'!$A$39:$A$42,0))="",INDEX('Parametri Modello'!$C$39:$C$42,MATCH($B377,'Parametri Modello'!$A$39:$A$42,0))=0),0,($O377/INDEX('Parametri Modello'!$C$39:$C$42,MATCH($B377,'Parametri Modello'!$A$39:$A$42,0)))*(INDEX('Parametri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4</v>
      </c>
      <c r="I377" s="26" t="str">
        <f aca="false">IFERROR(INDEX('Input Statistiche 2025_26'!$F$3:$F$665,MATCH($A377,'Input Statistiche 2025_26'!$A$3:$A$665,0)),"")</f>
        <v/>
      </c>
      <c r="J377" s="26" t="str">
        <f aca="false">IFERROR(IF($I377="","",MAX(0,38-$I377)),"")</f>
        <v/>
      </c>
      <c r="K377" s="26" t="str">
        <f aca="false">IFERROR(INDEX('Input Statistiche 2025_26'!$I$3:$I$665,MATCH($A377,'Input Statistiche 2025_26'!$A$3:$A$665,0)),"")</f>
        <v/>
      </c>
      <c r="L377" s="26" t="str">
        <f aca="false">IFERROR(INDEX('Input Statistiche 2025_26'!$O$3:$O$665,MATCH($A377,'Input Statistiche 2025_26'!$A$3:$A$665,0)),"")</f>
        <v/>
      </c>
      <c r="M377" s="28"/>
      <c r="N377" s="27" t="n">
        <f aca="false">IFERROR(INDEX('Input Giocatori 2026_27'!$E$3:$E$493,MATCH($A377,'Input Giocatori 2026_27'!$A$3:$A$493,0)),"")</f>
        <v>2</v>
      </c>
      <c r="O377" s="27" t="n">
        <f aca="false">IFERROR(INDEX('Input Giocatori 2026_27'!$G$3:$G$493,MATCH($A377,'Input Giocatori 2026_27'!$A$3:$A$493,0)),"")</f>
        <v>6</v>
      </c>
      <c r="P377" s="26" t="str">
        <f aca="false">IFERROR(IF($O377="","",IF((1-(COUNTIFS($B$2:$B$492,$B377,$O$2:$O$492,"&gt;"&amp;$O377)+1-1)/COUNTIF($B$2:$B$492,$B377))&gt;=0.85,"Top",IF((1-(COUNTIFS($B$2:$B$492,$B377,$O$2:$O$492,"&gt;"&amp;$O377)+1-1)/COUNTIF($B$2:$B$492,$B377))&gt;=0.6,"Buono",IF((1-(COUNTIFS($B$2:$B$492,$B377,$O$2:$O$492,"&gt;"&amp;$O377)+1-1)/COUNTIF($B$2:$B$492,$B377))&gt;=0.3,"Nella Media","Scommessa/Riserva")))),"")</f>
        <v>Scommessa/Riserva</v>
      </c>
      <c r="Q377" s="29" t="n">
        <f aca="false">IF($D377="",COUNTIF($D$2:$D377,""),"")</f>
        <v>376</v>
      </c>
      <c r="R377" s="29" t="str">
        <f aca="false">IF($D377='Info Lega'!$B$28,COUNTIFS($D$2:$D377,'Info Lega'!$B$28),"")</f>
        <v/>
      </c>
      <c r="S377" s="30" t="str">
        <f aca="false">IFERROR(INDEX('Input Statistiche 2025_26'!$G$3:$G$665,MATCH($A377,'Input Statistiche 2025_26'!$A$3:$A$665,0)),"")</f>
        <v/>
      </c>
      <c r="T377" s="30" t="str">
        <f aca="false">IFERROR(INDEX('Input Statistiche 2025_26'!$H$3:$H$665,MATCH($A377,'Input Statistiche 2025_26'!$A$3:$A$665,0)),"")</f>
        <v/>
      </c>
      <c r="U377" s="26" t="str">
        <f aca="false">IF(OR('La Mia Rosa'!$O$12="",$D377&lt;&gt;""),"",IF($F377&lt;='La Mia Rosa'!$O$12*'Parametri Modello'!$B$24,"OK",IF($F377&lt;='La Mia Rosa'!$O$12*'Parametri Modello'!$B$25,"Attenzione","Rischio Alto")))</f>
        <v>OK</v>
      </c>
      <c r="V377" s="26" t="n">
        <f aca="false">IFERROR(COUNTIFS($B$2:$B$492,$B377,$O$2:$O$492,"&gt;"&amp;$O377)+1,"")</f>
        <v>142</v>
      </c>
      <c r="W377" s="21" t="n">
        <f aca="false">'Info Lega'!$B$4-SUMIFS($M$2:$M$492,$D$2:$D$492,'Info Lega'!$B$28)</f>
        <v>1000</v>
      </c>
      <c r="X377" s="21" t="n">
        <f aca="false">('Info Lega'!$B$5-COUNTIFS($D$2:$D$492,'Info Lega'!$B$28,$B$2:$B$492,"P"))+('Info Lega'!$B$6-COUNTIFS($D$2:$D$492,'Info Lega'!$B$28,$B$2:$B$492,"D"))+('Info Lega'!$B$7-COUNTIFS($D$2:$D$492,'Info Lega'!$B$28,$B$2:$B$492,"C"))+('Info Lega'!$B$8-COUNTIFS($D$2:$D$492,'Info Lega'!$B$28,$B$2:$B$492,"A"))</f>
        <v>25</v>
      </c>
      <c r="Y377" s="21" t="n">
        <f aca="false">X377*'Parametri Modello'!$B$30</f>
        <v>25</v>
      </c>
      <c r="Z377" s="21" t="n">
        <f aca="false">MAX(0,W377-Y377)</f>
        <v>975</v>
      </c>
      <c r="AA377" s="21" t="n">
        <f aca="false">MIN(F377,Z377)</f>
        <v>3</v>
      </c>
      <c r="AB377" s="21"/>
      <c r="AC377" s="21" t="str">
        <f aca="false">IF(AB377="","",IF(AB377&gt;AA377,"PASS",IF(AB377&lt;=AA377*0.85,"BID","ATTENZIONE")))</f>
        <v/>
      </c>
      <c r="AD377" s="31" t="str">
        <f aca="false">IF(I377="","",ROUND(100*(1-EXP(-I377/30)),0))</f>
        <v/>
      </c>
      <c r="AE377" s="7" t="str">
        <f aca="false">IFERROR(INDEX('Stato Asta'!$G$9:$G$12,MATCH($B377,'Stato Asta'!$A$9:$A$12,0)),"")</f>
        <v>🟡 Attesa rischiosa</v>
      </c>
    </row>
    <row r="378" customFormat="false" ht="14.25" hidden="false" customHeight="true" outlineLevel="0" collapsed="false">
      <c r="A378" s="21" t="n">
        <v>7418</v>
      </c>
      <c r="B378" s="21" t="s">
        <v>45</v>
      </c>
      <c r="C378" s="21" t="s">
        <v>519</v>
      </c>
      <c r="E378" s="26" t="str">
        <f aca="false">IF(COUNTIF('Info Strategia'!$D$2:$D$51,$C378)&gt;0,"SI","NO")</f>
        <v>NO</v>
      </c>
      <c r="F378" s="27" t="n">
        <f aca="false">IFERROR(ROUND(($G378+($H378-$G378)*'Info Strategia'!$B$6)*(1+IF($E378="SI",'Parametri Modello'!$B$7*'Info Strategia'!$B$6,0)),0),"")</f>
        <v>3</v>
      </c>
      <c r="G378" s="27" t="n">
        <f aca="false">IFERROR(ROUND((IF(OR(INDEX('Parametri Modello'!$C$39:$C$42,MATCH($B378,'Parametri Modello'!$A$39:$A$42,0))="",INDEX('Parametri Modello'!$C$39:$C$42,MATCH($B378,'Parametri Modello'!$A$39:$A$42,0))=0),0,($O378/INDEX('Parametri Modello'!$C$39:$C$42,MATCH($B378,'Parametri Modello'!$A$39:$A$42,0)))*(INDEX('Parametri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2</v>
      </c>
      <c r="H378" s="27" t="n">
        <f aca="false">IFERROR(ROUND((IF(OR(INDEX('Parametri Modello'!$C$39:$C$42,MATCH($B378,'Parametri Modello'!$A$39:$A$42,0))="",INDEX('Parametri Modello'!$C$39:$C$42,MATCH($B378,'Parametri Modello'!$A$39:$A$42,0))=0),0,($O378/INDEX('Parametri Modello'!$C$39:$C$42,MATCH($B378,'Parametri Modello'!$A$39:$A$42,0)))*(INDEX('Parametri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4</v>
      </c>
      <c r="I378" s="26" t="str">
        <f aca="false">IFERROR(INDEX('Input Statistiche 2025_26'!$F$3:$F$665,MATCH($A378,'Input Statistiche 2025_26'!$A$3:$A$665,0)),"")</f>
        <v/>
      </c>
      <c r="J378" s="26" t="str">
        <f aca="false">IFERROR(IF($I378="","",MAX(0,38-$I378)),"")</f>
        <v/>
      </c>
      <c r="K378" s="26" t="str">
        <f aca="false">IFERROR(INDEX('Input Statistiche 2025_26'!$I$3:$I$665,MATCH($A378,'Input Statistiche 2025_26'!$A$3:$A$665,0)),"")</f>
        <v/>
      </c>
      <c r="L378" s="26" t="str">
        <f aca="false">IFERROR(INDEX('Input Statistiche 2025_26'!$O$3:$O$665,MATCH($A378,'Input Statistiche 2025_26'!$A$3:$A$665,0)),"")</f>
        <v/>
      </c>
      <c r="M378" s="28"/>
      <c r="N378" s="27" t="n">
        <f aca="false">IFERROR(INDEX('Input Giocatori 2026_27'!$E$3:$E$493,MATCH($A378,'Input Giocatori 2026_27'!$A$3:$A$493,0)),"")</f>
        <v>2</v>
      </c>
      <c r="O378" s="27" t="n">
        <f aca="false">IFERROR(INDEX('Input Giocatori 2026_27'!$G$3:$G$493,MATCH($A378,'Input Giocatori 2026_27'!$A$3:$A$493,0)),"")</f>
        <v>6</v>
      </c>
      <c r="P378" s="26" t="str">
        <f aca="false">IFERROR(IF($O378="","",IF((1-(COUNTIFS($B$2:$B$492,$B378,$O$2:$O$492,"&gt;"&amp;$O378)+1-1)/COUNTIF($B$2:$B$492,$B378))&gt;=0.85,"Top",IF((1-(COUNTIFS($B$2:$B$492,$B378,$O$2:$O$492,"&gt;"&amp;$O378)+1-1)/COUNTIF($B$2:$B$492,$B378))&gt;=0.6,"Buono",IF((1-(COUNTIFS($B$2:$B$492,$B378,$O$2:$O$492,"&gt;"&amp;$O378)+1-1)/COUNTIF($B$2:$B$492,$B378))&gt;=0.3,"Nella Media","Scommessa/Riserva")))),"")</f>
        <v>Scommessa/Riserva</v>
      </c>
      <c r="Q378" s="29" t="n">
        <f aca="false">IF($D378="",COUNTIF($D$2:$D378,""),"")</f>
        <v>377</v>
      </c>
      <c r="R378" s="29" t="str">
        <f aca="false">IF($D378='Info Lega'!$B$28,COUNTIFS($D$2:$D378,'Info Lega'!$B$28),"")</f>
        <v/>
      </c>
      <c r="S378" s="30" t="str">
        <f aca="false">IFERROR(INDEX('Input Statistiche 2025_26'!$G$3:$G$665,MATCH($A378,'Input Statistiche 2025_26'!$A$3:$A$665,0)),"")</f>
        <v/>
      </c>
      <c r="T378" s="30" t="str">
        <f aca="false">IFERROR(INDEX('Input Statistiche 2025_26'!$H$3:$H$665,MATCH($A378,'Input Statistiche 2025_26'!$A$3:$A$665,0)),"")</f>
        <v/>
      </c>
      <c r="U378" s="26" t="str">
        <f aca="false">IF(OR('La Mia Rosa'!$O$12="",$D378&lt;&gt;""),"",IF($F378&lt;='La Mia Rosa'!$O$12*'Parametri Modello'!$B$24,"OK",IF($F378&lt;='La Mia Rosa'!$O$12*'Parametri Modello'!$B$25,"Attenzione","Rischio Alto")))</f>
        <v>OK</v>
      </c>
      <c r="V378" s="26" t="n">
        <f aca="false">IFERROR(COUNTIFS($B$2:$B$492,$B378,$O$2:$O$492,"&gt;"&amp;$O378)+1,"")</f>
        <v>142</v>
      </c>
      <c r="W378" s="21" t="n">
        <f aca="false">'Info Lega'!$B$4-SUMIFS($M$2:$M$492,$D$2:$D$492,'Info Lega'!$B$28)</f>
        <v>1000</v>
      </c>
      <c r="X378" s="21" t="n">
        <f aca="false">('Info Lega'!$B$5-COUNTIFS($D$2:$D$492,'Info Lega'!$B$28,$B$2:$B$492,"P"))+('Info Lega'!$B$6-COUNTIFS($D$2:$D$492,'Info Lega'!$B$28,$B$2:$B$492,"D"))+('Info Lega'!$B$7-COUNTIFS($D$2:$D$492,'Info Lega'!$B$28,$B$2:$B$492,"C"))+('Info Lega'!$B$8-COUNTIFS($D$2:$D$492,'Info Lega'!$B$28,$B$2:$B$492,"A"))</f>
        <v>25</v>
      </c>
      <c r="Y378" s="21" t="n">
        <f aca="false">X378*'Parametri Modello'!$B$30</f>
        <v>25</v>
      </c>
      <c r="Z378" s="21" t="n">
        <f aca="false">MAX(0,W378-Y378)</f>
        <v>975</v>
      </c>
      <c r="AA378" s="21" t="n">
        <f aca="false">MIN(F378,Z378)</f>
        <v>3</v>
      </c>
      <c r="AB378" s="21"/>
      <c r="AC378" s="21" t="str">
        <f aca="false">IF(AB378="","",IF(AB378&gt;AA378,"PASS",IF(AB378&lt;=AA378*0.85,"BID","ATTENZIONE")))</f>
        <v/>
      </c>
      <c r="AD378" s="31" t="str">
        <f aca="false">IF(I378="","",ROUND(100*(1-EXP(-I378/30)),0))</f>
        <v/>
      </c>
      <c r="AE378" s="7" t="str">
        <f aca="false">IFERROR(INDEX('Stato Asta'!$G$9:$G$12,MATCH($B378,'Stato Asta'!$A$9:$A$12,0)),"")</f>
        <v>🟡 Attesa rischiosa</v>
      </c>
    </row>
    <row r="379" customFormat="false" ht="14.25" hidden="false" customHeight="true" outlineLevel="0" collapsed="false">
      <c r="A379" s="21" t="n">
        <v>7411</v>
      </c>
      <c r="B379" s="21" t="s">
        <v>43</v>
      </c>
      <c r="C379" s="21" t="s">
        <v>140</v>
      </c>
      <c r="E379" s="26" t="str">
        <f aca="false">IF(COUNTIF('Info Strategia'!$D$2:$D$51,$C379)&gt;0,"SI","NO")</f>
        <v>NO</v>
      </c>
      <c r="F379" s="27" t="n">
        <f aca="false">IFERROR(ROUND(($G379+($H379-$G379)*'Info Strategia'!$B$6)*(1+IF($E379="SI",'Parametri Modello'!$B$7*'Info Strategia'!$B$6,0)),0),"")</f>
        <v>6</v>
      </c>
      <c r="G379" s="27" t="n">
        <f aca="false">IFERROR(ROUND((IF(OR(INDEX('Parametri Modello'!$C$39:$C$42,MATCH($B379,'Parametri Modello'!$A$39:$A$42,0))="",INDEX('Parametri Modello'!$C$39:$C$42,MATCH($B379,'Parametri Modello'!$A$39:$A$42,0))=0),0,($O379/INDEX('Parametri Modello'!$C$39:$C$42,MATCH($B379,'Parametri Modello'!$A$39:$A$42,0)))*(INDEX('Parametri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5</v>
      </c>
      <c r="H379" s="27" t="n">
        <f aca="false">IFERROR(ROUND((IF(OR(INDEX('Parametri Modello'!$C$39:$C$42,MATCH($B379,'Parametri Modello'!$A$39:$A$42,0))="",INDEX('Parametri Modello'!$C$39:$C$42,MATCH($B379,'Parametri Modello'!$A$39:$A$42,0))=0),0,($O379/INDEX('Parametri Modello'!$C$39:$C$42,MATCH($B379,'Parametri Modello'!$A$39:$A$42,0)))*(INDEX('Parametri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6</v>
      </c>
      <c r="I379" s="26" t="str">
        <f aca="false">IFERROR(INDEX('Input Statistiche 2025_26'!$F$3:$F$665,MATCH($A379,'Input Statistiche 2025_26'!$A$3:$A$665,0)),"")</f>
        <v/>
      </c>
      <c r="J379" s="26" t="str">
        <f aca="false">IFERROR(IF($I379="","",MAX(0,38-$I379)),"")</f>
        <v/>
      </c>
      <c r="K379" s="26" t="str">
        <f aca="false">IFERROR(INDEX('Input Statistiche 2025_26'!$I$3:$I$665,MATCH($A379,'Input Statistiche 2025_26'!$A$3:$A$665,0)),"")</f>
        <v/>
      </c>
      <c r="L379" s="26" t="str">
        <f aca="false">IFERROR(INDEX('Input Statistiche 2025_26'!$O$3:$O$665,MATCH($A379,'Input Statistiche 2025_26'!$A$3:$A$665,0)),"")</f>
        <v/>
      </c>
      <c r="M379" s="28"/>
      <c r="N379" s="27" t="n">
        <f aca="false">IFERROR(INDEX('Input Giocatori 2026_27'!$E$3:$E$493,MATCH($A379,'Input Giocatori 2026_27'!$A$3:$A$493,0)),"")</f>
        <v>7</v>
      </c>
      <c r="O379" s="27" t="n">
        <f aca="false">IFERROR(INDEX('Input Giocatori 2026_27'!$G$3:$G$493,MATCH($A379,'Input Giocatori 2026_27'!$A$3:$A$493,0)),"")</f>
        <v>5</v>
      </c>
      <c r="P379" s="26" t="str">
        <f aca="false">IFERROR(IF($O379="","",IF((1-(COUNTIFS($B$2:$B$492,$B379,$O$2:$O$492,"&gt;"&amp;$O379)+1-1)/COUNTIF($B$2:$B$492,$B379))&gt;=0.85,"Top",IF((1-(COUNTIFS($B$2:$B$492,$B379,$O$2:$O$492,"&gt;"&amp;$O379)+1-1)/COUNTIF($B$2:$B$492,$B379))&gt;=0.6,"Buono",IF((1-(COUNTIFS($B$2:$B$492,$B379,$O$2:$O$492,"&gt;"&amp;$O379)+1-1)/COUNTIF($B$2:$B$492,$B379))&gt;=0.3,"Nella Media","Scommessa/Riserva")))),"")</f>
        <v>Buono</v>
      </c>
      <c r="Q379" s="29" t="n">
        <f aca="false">IF($D379="",COUNTIF($D$2:$D379,""),"")</f>
        <v>378</v>
      </c>
      <c r="R379" s="29" t="str">
        <f aca="false">IF($D379='Info Lega'!$B$28,COUNTIFS($D$2:$D379,'Info Lega'!$B$28),"")</f>
        <v/>
      </c>
      <c r="S379" s="30" t="str">
        <f aca="false">IFERROR(INDEX('Input Statistiche 2025_26'!$G$3:$G$665,MATCH($A379,'Input Statistiche 2025_26'!$A$3:$A$665,0)),"")</f>
        <v/>
      </c>
      <c r="T379" s="30" t="str">
        <f aca="false">IFERROR(INDEX('Input Statistiche 2025_26'!$H$3:$H$665,MATCH($A379,'Input Statistiche 2025_26'!$A$3:$A$665,0)),"")</f>
        <v/>
      </c>
      <c r="U379" s="26" t="str">
        <f aca="false">IF(OR('La Mia Rosa'!$O$12="",$D379&lt;&gt;""),"",IF($F379&lt;='La Mia Rosa'!$O$12*'Parametri Modello'!$B$24,"OK",IF($F379&lt;='La Mia Rosa'!$O$12*'Parametri Modello'!$B$25,"Attenzione","Rischio Alto")))</f>
        <v>OK</v>
      </c>
      <c r="V379" s="26" t="n">
        <f aca="false">IFERROR(COUNTIFS($B$2:$B$492,$B379,$O$2:$O$492,"&gt;"&amp;$O379)+1,"")</f>
        <v>23</v>
      </c>
      <c r="W379" s="21" t="n">
        <f aca="false">'Info Lega'!$B$4-SUMIFS($M$2:$M$492,$D$2:$D$492,'Info Lega'!$B$28)</f>
        <v>1000</v>
      </c>
      <c r="X379" s="21" t="n">
        <f aca="false">('Info Lega'!$B$5-COUNTIFS($D$2:$D$492,'Info Lega'!$B$28,$B$2:$B$492,"P"))+('Info Lega'!$B$6-COUNTIFS($D$2:$D$492,'Info Lega'!$B$28,$B$2:$B$492,"D"))+('Info Lega'!$B$7-COUNTIFS($D$2:$D$492,'Info Lega'!$B$28,$B$2:$B$492,"C"))+('Info Lega'!$B$8-COUNTIFS($D$2:$D$492,'Info Lega'!$B$28,$B$2:$B$492,"A"))</f>
        <v>25</v>
      </c>
      <c r="Y379" s="21" t="n">
        <f aca="false">X379*'Parametri Modello'!$B$30</f>
        <v>25</v>
      </c>
      <c r="Z379" s="21" t="n">
        <f aca="false">MAX(0,W379-Y379)</f>
        <v>975</v>
      </c>
      <c r="AA379" s="21" t="n">
        <f aca="false">MIN(F379,Z379)</f>
        <v>6</v>
      </c>
      <c r="AB379" s="21"/>
      <c r="AC379" s="21" t="str">
        <f aca="false">IF(AB379="","",IF(AB379&gt;AA379,"PASS",IF(AB379&lt;=AA379*0.85,"BID","ATTENZIONE")))</f>
        <v/>
      </c>
      <c r="AD379" s="31" t="str">
        <f aca="false">IF(I379="","",ROUND(100*(1-EXP(-I379/30)),0))</f>
        <v/>
      </c>
      <c r="AE379" s="7" t="str">
        <f aca="false">IFERROR(INDEX('Stato Asta'!$G$9:$G$12,MATCH($B379,'Stato Asta'!$A$9:$A$12,0)),"")</f>
        <v>🟡 Attesa rischiosa</v>
      </c>
    </row>
    <row r="380" customFormat="false" ht="14.25" hidden="false" customHeight="true" outlineLevel="0" collapsed="false">
      <c r="A380" s="21" t="n">
        <v>2814</v>
      </c>
      <c r="B380" s="21" t="s">
        <v>43</v>
      </c>
      <c r="C380" s="21" t="s">
        <v>154</v>
      </c>
      <c r="E380" s="26" t="str">
        <f aca="false">IF(COUNTIF('Info Strategia'!$D$2:$D$51,$C380)&gt;0,"SI","NO")</f>
        <v>NO</v>
      </c>
      <c r="F380" s="27" t="n">
        <f aca="false">IFERROR(ROUND(($G380+($H380-$G380)*'Info Strategia'!$B$6)*(1+IF($E380="SI",'Parametri Modello'!$B$7*'Info Strategia'!$B$6,0)),0),"")</f>
        <v>6</v>
      </c>
      <c r="G380" s="27" t="n">
        <f aca="false">IFERROR(ROUND((IF(OR(INDEX('Parametri Modello'!$C$39:$C$42,MATCH($B380,'Parametri Modello'!$A$39:$A$42,0))="",INDEX('Parametri Modello'!$C$39:$C$42,MATCH($B380,'Parametri Modello'!$A$39:$A$42,0))=0),0,($O380/INDEX('Parametri Modello'!$C$39:$C$42,MATCH($B380,'Parametri Modello'!$A$39:$A$42,0)))*(INDEX('Parametri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5</v>
      </c>
      <c r="H380" s="27" t="n">
        <f aca="false">IFERROR(ROUND((IF(OR(INDEX('Parametri Modello'!$C$39:$C$42,MATCH($B380,'Parametri Modello'!$A$39:$A$42,0))="",INDEX('Parametri Modello'!$C$39:$C$42,MATCH($B380,'Parametri Modello'!$A$39:$A$42,0))=0),0,($O380/INDEX('Parametri Modello'!$C$39:$C$42,MATCH($B380,'Parametri Modello'!$A$39:$A$42,0)))*(INDEX('Parametri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6</v>
      </c>
      <c r="I380" s="26" t="n">
        <f aca="false">IFERROR(INDEX('Input Statistiche 2025_26'!$F$3:$F$665,MATCH($A380,'Input Statistiche 2025_26'!$A$3:$A$665,0)),"")</f>
        <v>27</v>
      </c>
      <c r="J380" s="26" t="n">
        <f aca="false">IFERROR(IF($I380="","",MAX(0,38-$I380)),"")</f>
        <v>11</v>
      </c>
      <c r="K380" s="26" t="n">
        <f aca="false">IFERROR(INDEX('Input Statistiche 2025_26'!$I$3:$I$665,MATCH($A380,'Input Statistiche 2025_26'!$A$3:$A$665,0)),"")</f>
        <v>0</v>
      </c>
      <c r="L380" s="26" t="n">
        <f aca="false">IFERROR(INDEX('Input Statistiche 2025_26'!$O$3:$O$665,MATCH($A380,'Input Statistiche 2025_26'!$A$3:$A$665,0)),"")</f>
        <v>0</v>
      </c>
      <c r="M380" s="28"/>
      <c r="N380" s="27" t="n">
        <f aca="false">IFERROR(INDEX('Input Giocatori 2026_27'!$E$3:$E$493,MATCH($A380,'Input Giocatori 2026_27'!$A$3:$A$493,0)),"")</f>
        <v>2</v>
      </c>
      <c r="O380" s="27" t="n">
        <f aca="false">IFERROR(INDEX('Input Giocatori 2026_27'!$G$3:$G$493,MATCH($A380,'Input Giocatori 2026_27'!$A$3:$A$493,0)),"")</f>
        <v>5</v>
      </c>
      <c r="P380" s="26" t="str">
        <f aca="false">IFERROR(IF($O380="","",IF((1-(COUNTIFS($B$2:$B$492,$B380,$O$2:$O$492,"&gt;"&amp;$O380)+1-1)/COUNTIF($B$2:$B$492,$B380))&gt;=0.85,"Top",IF((1-(COUNTIFS($B$2:$B$492,$B380,$O$2:$O$492,"&gt;"&amp;$O380)+1-1)/COUNTIF($B$2:$B$492,$B380))&gt;=0.6,"Buono",IF((1-(COUNTIFS($B$2:$B$492,$B380,$O$2:$O$492,"&gt;"&amp;$O380)+1-1)/COUNTIF($B$2:$B$492,$B380))&gt;=0.3,"Nella Media","Scommessa/Riserva")))),"")</f>
        <v>Buono</v>
      </c>
      <c r="Q380" s="29" t="n">
        <f aca="false">IF($D380="",COUNTIF($D$2:$D380,""),"")</f>
        <v>379</v>
      </c>
      <c r="R380" s="29" t="str">
        <f aca="false">IF($D380='Info Lega'!$B$28,COUNTIFS($D$2:$D380,'Info Lega'!$B$28),"")</f>
        <v/>
      </c>
      <c r="S380" s="30" t="n">
        <f aca="false">IFERROR(INDEX('Input Statistiche 2025_26'!$G$3:$G$665,MATCH($A380,'Input Statistiche 2025_26'!$A$3:$A$665,0)),"")</f>
        <v>6.26</v>
      </c>
      <c r="T380" s="30" t="n">
        <f aca="false">IFERROR(INDEX('Input Statistiche 2025_26'!$H$3:$H$665,MATCH($A380,'Input Statistiche 2025_26'!$A$3:$A$665,0)),"")</f>
        <v>5.35</v>
      </c>
      <c r="U380" s="26" t="str">
        <f aca="false">IF(OR('La Mia Rosa'!$O$12="",$D380&lt;&gt;""),"",IF($F380&lt;='La Mia Rosa'!$O$12*'Parametri Modello'!$B$24,"OK",IF($F380&lt;='La Mia Rosa'!$O$12*'Parametri Modello'!$B$25,"Attenzione","Rischio Alto")))</f>
        <v>OK</v>
      </c>
      <c r="V380" s="26" t="n">
        <f aca="false">IFERROR(COUNTIFS($B$2:$B$492,$B380,$O$2:$O$492,"&gt;"&amp;$O380)+1,"")</f>
        <v>23</v>
      </c>
      <c r="W380" s="21" t="n">
        <f aca="false">'Info Lega'!$B$4-SUMIFS($M$2:$M$492,$D$2:$D$492,'Info Lega'!$B$28)</f>
        <v>1000</v>
      </c>
      <c r="X380" s="21" t="n">
        <f aca="false">('Info Lega'!$B$5-COUNTIFS($D$2:$D$492,'Info Lega'!$B$28,$B$2:$B$492,"P"))+('Info Lega'!$B$6-COUNTIFS($D$2:$D$492,'Info Lega'!$B$28,$B$2:$B$492,"D"))+('Info Lega'!$B$7-COUNTIFS($D$2:$D$492,'Info Lega'!$B$28,$B$2:$B$492,"C"))+('Info Lega'!$B$8-COUNTIFS($D$2:$D$492,'Info Lega'!$B$28,$B$2:$B$492,"A"))</f>
        <v>25</v>
      </c>
      <c r="Y380" s="21" t="n">
        <f aca="false">X380*'Parametri Modello'!$B$30</f>
        <v>25</v>
      </c>
      <c r="Z380" s="21" t="n">
        <f aca="false">MAX(0,W380-Y380)</f>
        <v>975</v>
      </c>
      <c r="AA380" s="21" t="n">
        <f aca="false">MIN(F380,Z380)</f>
        <v>6</v>
      </c>
      <c r="AB380" s="21"/>
      <c r="AC380" s="21" t="str">
        <f aca="false">IF(AB380="","",IF(AB380&gt;AA380,"PASS",IF(AB380&lt;=AA380*0.85,"BID","ATTENZIONE")))</f>
        <v/>
      </c>
      <c r="AD380" s="31" t="n">
        <f aca="false">IF(I380="","",ROUND(100*(1-EXP(-I380/30)),0))</f>
        <v>59</v>
      </c>
      <c r="AE380" s="7" t="str">
        <f aca="false">IFERROR(INDEX('Stato Asta'!$G$9:$G$12,MATCH($B380,'Stato Asta'!$A$9:$A$12,0)),"")</f>
        <v>🟡 Attesa rischiosa</v>
      </c>
    </row>
    <row r="381" customFormat="false" ht="14.25" hidden="false" customHeight="true" outlineLevel="0" collapsed="false">
      <c r="A381" s="21" t="n">
        <v>7326</v>
      </c>
      <c r="B381" s="21" t="s">
        <v>44</v>
      </c>
      <c r="C381" s="21" t="s">
        <v>323</v>
      </c>
      <c r="E381" s="26" t="str">
        <f aca="false">IF(COUNTIF('Info Strategia'!$D$2:$D$51,$C381)&gt;0,"SI","NO")</f>
        <v>NO</v>
      </c>
      <c r="F381" s="27" t="n">
        <f aca="false">IFERROR(ROUND(($G381+($H381-$G381)*'Info Strategia'!$B$6)*(1+IF($E381="SI",'Parametri Modello'!$B$7*'Info Strategia'!$B$6,0)),0),"")</f>
        <v>3</v>
      </c>
      <c r="G381" s="27" t="n">
        <f aca="false">IFERROR(ROUND((IF(OR(INDEX('Parametri Modello'!$C$39:$C$42,MATCH($B381,'Parametri Modello'!$A$39:$A$42,0))="",INDEX('Parametri Modello'!$C$39:$C$42,MATCH($B381,'Parametri Modello'!$A$39:$A$42,0))=0),0,($O381/INDEX('Parametri Modello'!$C$39:$C$42,MATCH($B381,'Parametri Modello'!$A$39:$A$42,0)))*(INDEX('Parametri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2</v>
      </c>
      <c r="H381" s="27" t="n">
        <f aca="false">IFERROR(ROUND((IF(OR(INDEX('Parametri Modello'!$C$39:$C$42,MATCH($B381,'Parametri Modello'!$A$39:$A$42,0))="",INDEX('Parametri Modello'!$C$39:$C$42,MATCH($B381,'Parametri Modello'!$A$39:$A$42,0))=0),0,($O381/INDEX('Parametri Modello'!$C$39:$C$42,MATCH($B381,'Parametri Modello'!$A$39:$A$42,0)))*(INDEX('Parametri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3</v>
      </c>
      <c r="I381" s="26" t="n">
        <f aca="false">IFERROR(INDEX('Input Statistiche 2025_26'!$F$3:$F$665,MATCH($A381,'Input Statistiche 2025_26'!$A$3:$A$665,0)),"")</f>
        <v>6</v>
      </c>
      <c r="J381" s="26" t="n">
        <f aca="false">IFERROR(IF($I381="","",MAX(0,38-$I381)),"")</f>
        <v>32</v>
      </c>
      <c r="K381" s="26" t="n">
        <f aca="false">IFERROR(INDEX('Input Statistiche 2025_26'!$I$3:$I$665,MATCH($A381,'Input Statistiche 2025_26'!$A$3:$A$665,0)),"")</f>
        <v>0</v>
      </c>
      <c r="L381" s="26" t="n">
        <f aca="false">IFERROR(INDEX('Input Statistiche 2025_26'!$O$3:$O$665,MATCH($A381,'Input Statistiche 2025_26'!$A$3:$A$665,0)),"")</f>
        <v>0</v>
      </c>
      <c r="M381" s="28"/>
      <c r="N381" s="27" t="n">
        <f aca="false">IFERROR(INDEX('Input Giocatori 2026_27'!$E$3:$E$493,MATCH($A381,'Input Giocatori 2026_27'!$A$3:$A$493,0)),"")</f>
        <v>2</v>
      </c>
      <c r="O381" s="27" t="n">
        <f aca="false">IFERROR(INDEX('Input Giocatori 2026_27'!$G$3:$G$493,MATCH($A381,'Input Giocatori 2026_27'!$A$3:$A$493,0)),"")</f>
        <v>5</v>
      </c>
      <c r="P381" s="26" t="str">
        <f aca="false">IFERROR(IF($O381="","",IF((1-(COUNTIFS($B$2:$B$492,$B381,$O$2:$O$492,"&gt;"&amp;$O381)+1-1)/COUNTIF($B$2:$B$492,$B381))&gt;=0.85,"Top",IF((1-(COUNTIFS($B$2:$B$492,$B381,$O$2:$O$492,"&gt;"&amp;$O381)+1-1)/COUNTIF($B$2:$B$492,$B381))&gt;=0.6,"Buono",IF((1-(COUNTIFS($B$2:$B$492,$B381,$O$2:$O$492,"&gt;"&amp;$O381)+1-1)/COUNTIF($B$2:$B$492,$B381))&gt;=0.3,"Nella Media","Scommessa/Riserva")))),"")</f>
        <v>Scommessa/Riserva</v>
      </c>
      <c r="Q381" s="29" t="n">
        <f aca="false">IF($D381="",COUNTIF($D$2:$D381,""),"")</f>
        <v>380</v>
      </c>
      <c r="R381" s="29" t="str">
        <f aca="false">IF($D381='Info Lega'!$B$28,COUNTIFS($D$2:$D381,'Info Lega'!$B$28),"")</f>
        <v/>
      </c>
      <c r="S381" s="30" t="n">
        <f aca="false">IFERROR(INDEX('Input Statistiche 2025_26'!$G$3:$G$665,MATCH($A381,'Input Statistiche 2025_26'!$A$3:$A$665,0)),"")</f>
        <v>5.5</v>
      </c>
      <c r="T381" s="30" t="n">
        <f aca="false">IFERROR(INDEX('Input Statistiche 2025_26'!$H$3:$H$665,MATCH($A381,'Input Statistiche 2025_26'!$A$3:$A$665,0)),"")</f>
        <v>5.33</v>
      </c>
      <c r="U381" s="26" t="str">
        <f aca="false">IF(OR('La Mia Rosa'!$O$12="",$D381&lt;&gt;""),"",IF($F381&lt;='La Mia Rosa'!$O$12*'Parametri Modello'!$B$24,"OK",IF($F381&lt;='La Mia Rosa'!$O$12*'Parametri Modello'!$B$25,"Attenzione","Rischio Alto")))</f>
        <v>OK</v>
      </c>
      <c r="V381" s="26" t="n">
        <f aca="false">IFERROR(COUNTIFS($B$2:$B$492,$B381,$O$2:$O$492,"&gt;"&amp;$O381)+1,"")</f>
        <v>137</v>
      </c>
      <c r="W381" s="21" t="n">
        <f aca="false">'Info Lega'!$B$4-SUMIFS($M$2:$M$492,$D$2:$D$492,'Info Lega'!$B$28)</f>
        <v>1000</v>
      </c>
      <c r="X381" s="21" t="n">
        <f aca="false">('Info Lega'!$B$5-COUNTIFS($D$2:$D$492,'Info Lega'!$B$28,$B$2:$B$492,"P"))+('Info Lega'!$B$6-COUNTIFS($D$2:$D$492,'Info Lega'!$B$28,$B$2:$B$492,"D"))+('Info Lega'!$B$7-COUNTIFS($D$2:$D$492,'Info Lega'!$B$28,$B$2:$B$492,"C"))+('Info Lega'!$B$8-COUNTIFS($D$2:$D$492,'Info Lega'!$B$28,$B$2:$B$492,"A"))</f>
        <v>25</v>
      </c>
      <c r="Y381" s="21" t="n">
        <f aca="false">X381*'Parametri Modello'!$B$30</f>
        <v>25</v>
      </c>
      <c r="Z381" s="21" t="n">
        <f aca="false">MAX(0,W381-Y381)</f>
        <v>975</v>
      </c>
      <c r="AA381" s="21" t="n">
        <f aca="false">MIN(F381,Z381)</f>
        <v>3</v>
      </c>
      <c r="AB381" s="21"/>
      <c r="AC381" s="21" t="str">
        <f aca="false">IF(AB381="","",IF(AB381&gt;AA381,"PASS",IF(AB381&lt;=AA381*0.85,"BID","ATTENZIONE")))</f>
        <v/>
      </c>
      <c r="AD381" s="31" t="n">
        <f aca="false">IF(I381="","",ROUND(100*(1-EXP(-I381/30)),0))</f>
        <v>18</v>
      </c>
      <c r="AE381" s="7" t="str">
        <f aca="false">IFERROR(INDEX('Stato Asta'!$G$9:$G$12,MATCH($B381,'Stato Asta'!$A$9:$A$12,0)),"")</f>
        <v>🟡 Attesa rischiosa</v>
      </c>
    </row>
    <row r="382" customFormat="false" ht="14.25" hidden="false" customHeight="true" outlineLevel="0" collapsed="false">
      <c r="A382" s="21" t="n">
        <v>6896</v>
      </c>
      <c r="B382" s="21" t="s">
        <v>44</v>
      </c>
      <c r="C382" s="21" t="s">
        <v>325</v>
      </c>
      <c r="E382" s="26" t="str">
        <f aca="false">IF(COUNTIF('Info Strategia'!$D$2:$D$51,$C382)&gt;0,"SI","NO")</f>
        <v>NO</v>
      </c>
      <c r="F382" s="27" t="n">
        <f aca="false">IFERROR(ROUND(($G382+($H382-$G382)*'Info Strategia'!$B$6)*(1+IF($E382="SI",'Parametri Modello'!$B$7*'Info Strategia'!$B$6,0)),0),"")</f>
        <v>3</v>
      </c>
      <c r="G382" s="27" t="n">
        <f aca="false">IFERROR(ROUND((IF(OR(INDEX('Parametri Modello'!$C$39:$C$42,MATCH($B382,'Parametri Modello'!$A$39:$A$42,0))="",INDEX('Parametri Modello'!$C$39:$C$42,MATCH($B382,'Parametri Modello'!$A$39:$A$42,0))=0),0,($O382/INDEX('Parametri Modello'!$C$39:$C$42,MATCH($B382,'Parametri Modello'!$A$39:$A$42,0)))*(INDEX('Parametri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2</v>
      </c>
      <c r="H382" s="27" t="n">
        <f aca="false">IFERROR(ROUND((IF(OR(INDEX('Parametri Modello'!$C$39:$C$42,MATCH($B382,'Parametri Modello'!$A$39:$A$42,0))="",INDEX('Parametri Modello'!$C$39:$C$42,MATCH($B382,'Parametri Modello'!$A$39:$A$42,0))=0),0,($O382/INDEX('Parametri Modello'!$C$39:$C$42,MATCH($B382,'Parametri Modello'!$A$39:$A$42,0)))*(INDEX('Parametri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3</v>
      </c>
      <c r="I382" s="26" t="n">
        <f aca="false">IFERROR(INDEX('Input Statistiche 2025_26'!$F$3:$F$665,MATCH($A382,'Input Statistiche 2025_26'!$A$3:$A$665,0)),"")</f>
        <v>14</v>
      </c>
      <c r="J382" s="26" t="n">
        <f aca="false">IFERROR(IF($I382="","",MAX(0,38-$I382)),"")</f>
        <v>24</v>
      </c>
      <c r="K382" s="26" t="n">
        <f aca="false">IFERROR(INDEX('Input Statistiche 2025_26'!$I$3:$I$665,MATCH($A382,'Input Statistiche 2025_26'!$A$3:$A$665,0)),"")</f>
        <v>0</v>
      </c>
      <c r="L382" s="26" t="n">
        <f aca="false">IFERROR(INDEX('Input Statistiche 2025_26'!$O$3:$O$665,MATCH($A382,'Input Statistiche 2025_26'!$A$3:$A$665,0)),"")</f>
        <v>1</v>
      </c>
      <c r="M382" s="28"/>
      <c r="N382" s="27" t="n">
        <f aca="false">IFERROR(INDEX('Input Giocatori 2026_27'!$E$3:$E$493,MATCH($A382,'Input Giocatori 2026_27'!$A$3:$A$493,0)),"")</f>
        <v>2</v>
      </c>
      <c r="O382" s="27" t="n">
        <f aca="false">IFERROR(INDEX('Input Giocatori 2026_27'!$G$3:$G$493,MATCH($A382,'Input Giocatori 2026_27'!$A$3:$A$493,0)),"")</f>
        <v>5</v>
      </c>
      <c r="P382" s="26" t="str">
        <f aca="false">IFERROR(IF($O382="","",IF((1-(COUNTIFS($B$2:$B$492,$B382,$O$2:$O$492,"&gt;"&amp;$O382)+1-1)/COUNTIF($B$2:$B$492,$B382))&gt;=0.85,"Top",IF((1-(COUNTIFS($B$2:$B$492,$B382,$O$2:$O$492,"&gt;"&amp;$O382)+1-1)/COUNTIF($B$2:$B$492,$B382))&gt;=0.6,"Buono",IF((1-(COUNTIFS($B$2:$B$492,$B382,$O$2:$O$492,"&gt;"&amp;$O382)+1-1)/COUNTIF($B$2:$B$492,$B382))&gt;=0.3,"Nella Media","Scommessa/Riserva")))),"")</f>
        <v>Scommessa/Riserva</v>
      </c>
      <c r="Q382" s="29" t="n">
        <f aca="false">IF($D382="",COUNTIF($D$2:$D382,""),"")</f>
        <v>381</v>
      </c>
      <c r="R382" s="29" t="str">
        <f aca="false">IF($D382='Info Lega'!$B$28,COUNTIFS($D$2:$D382,'Info Lega'!$B$28),"")</f>
        <v/>
      </c>
      <c r="S382" s="30" t="n">
        <f aca="false">IFERROR(INDEX('Input Statistiche 2025_26'!$G$3:$G$665,MATCH($A382,'Input Statistiche 2025_26'!$A$3:$A$665,0)),"")</f>
        <v>5.96</v>
      </c>
      <c r="T382" s="30" t="n">
        <f aca="false">IFERROR(INDEX('Input Statistiche 2025_26'!$H$3:$H$665,MATCH($A382,'Input Statistiche 2025_26'!$A$3:$A$665,0)),"")</f>
        <v>5.96</v>
      </c>
      <c r="U382" s="26" t="str">
        <f aca="false">IF(OR('La Mia Rosa'!$O$12="",$D382&lt;&gt;""),"",IF($F382&lt;='La Mia Rosa'!$O$12*'Parametri Modello'!$B$24,"OK",IF($F382&lt;='La Mia Rosa'!$O$12*'Parametri Modello'!$B$25,"Attenzione","Rischio Alto")))</f>
        <v>OK</v>
      </c>
      <c r="V382" s="26" t="n">
        <f aca="false">IFERROR(COUNTIFS($B$2:$B$492,$B382,$O$2:$O$492,"&gt;"&amp;$O382)+1,"")</f>
        <v>137</v>
      </c>
      <c r="W382" s="21" t="n">
        <f aca="false">'Info Lega'!$B$4-SUMIFS($M$2:$M$492,$D$2:$D$492,'Info Lega'!$B$28)</f>
        <v>1000</v>
      </c>
      <c r="X382" s="21" t="n">
        <f aca="false">('Info Lega'!$B$5-COUNTIFS($D$2:$D$492,'Info Lega'!$B$28,$B$2:$B$492,"P"))+('Info Lega'!$B$6-COUNTIFS($D$2:$D$492,'Info Lega'!$B$28,$B$2:$B$492,"D"))+('Info Lega'!$B$7-COUNTIFS($D$2:$D$492,'Info Lega'!$B$28,$B$2:$B$492,"C"))+('Info Lega'!$B$8-COUNTIFS($D$2:$D$492,'Info Lega'!$B$28,$B$2:$B$492,"A"))</f>
        <v>25</v>
      </c>
      <c r="Y382" s="21" t="n">
        <f aca="false">X382*'Parametri Modello'!$B$30</f>
        <v>25</v>
      </c>
      <c r="Z382" s="21" t="n">
        <f aca="false">MAX(0,W382-Y382)</f>
        <v>975</v>
      </c>
      <c r="AA382" s="21" t="n">
        <f aca="false">MIN(F382,Z382)</f>
        <v>3</v>
      </c>
      <c r="AB382" s="21"/>
      <c r="AC382" s="21" t="str">
        <f aca="false">IF(AB382="","",IF(AB382&gt;AA382,"PASS",IF(AB382&lt;=AA382*0.85,"BID","ATTENZIONE")))</f>
        <v/>
      </c>
      <c r="AD382" s="31" t="n">
        <f aca="false">IF(I382="","",ROUND(100*(1-EXP(-I382/30)),0))</f>
        <v>37</v>
      </c>
      <c r="AE382" s="7" t="str">
        <f aca="false">IFERROR(INDEX('Stato Asta'!$G$9:$G$12,MATCH($B382,'Stato Asta'!$A$9:$A$12,0)),"")</f>
        <v>🟡 Attesa rischiosa</v>
      </c>
    </row>
    <row r="383" customFormat="false" ht="14.25" hidden="false" customHeight="true" outlineLevel="0" collapsed="false">
      <c r="A383" s="21" t="n">
        <v>6977</v>
      </c>
      <c r="B383" s="21" t="s">
        <v>44</v>
      </c>
      <c r="C383" s="21" t="s">
        <v>326</v>
      </c>
      <c r="E383" s="26" t="str">
        <f aca="false">IF(COUNTIF('Info Strategia'!$D$2:$D$51,$C383)&gt;0,"SI","NO")</f>
        <v>NO</v>
      </c>
      <c r="F383" s="27" t="n">
        <f aca="false">IFERROR(ROUND(($G383+($H383-$G383)*'Info Strategia'!$B$6)*(1+IF($E383="SI",'Parametri Modello'!$B$7*'Info Strategia'!$B$6,0)),0),"")</f>
        <v>3</v>
      </c>
      <c r="G383" s="27" t="n">
        <f aca="false">IFERROR(ROUND((IF(OR(INDEX('Parametri Modello'!$C$39:$C$42,MATCH($B383,'Parametri Modello'!$A$39:$A$42,0))="",INDEX('Parametri Modello'!$C$39:$C$42,MATCH($B383,'Parametri Modello'!$A$39:$A$42,0))=0),0,($O383/INDEX('Parametri Modello'!$C$39:$C$42,MATCH($B383,'Parametri Modello'!$A$39:$A$42,0)))*(INDEX('Parametri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2</v>
      </c>
      <c r="H383" s="27" t="n">
        <f aca="false">IFERROR(ROUND((IF(OR(INDEX('Parametri Modello'!$C$39:$C$42,MATCH($B383,'Parametri Modello'!$A$39:$A$42,0))="",INDEX('Parametri Modello'!$C$39:$C$42,MATCH($B383,'Parametri Modello'!$A$39:$A$42,0))=0),0,($O383/INDEX('Parametri Modello'!$C$39:$C$42,MATCH($B383,'Parametri Modello'!$A$39:$A$42,0)))*(INDEX('Parametri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3</v>
      </c>
      <c r="I383" s="26" t="n">
        <f aca="false">IFERROR(INDEX('Input Statistiche 2025_26'!$F$3:$F$665,MATCH($A383,'Input Statistiche 2025_26'!$A$3:$A$665,0)),"")</f>
        <v>10</v>
      </c>
      <c r="J383" s="26" t="n">
        <f aca="false">IFERROR(IF($I383="","",MAX(0,38-$I383)),"")</f>
        <v>28</v>
      </c>
      <c r="K383" s="26" t="n">
        <f aca="false">IFERROR(INDEX('Input Statistiche 2025_26'!$I$3:$I$665,MATCH($A383,'Input Statistiche 2025_26'!$A$3:$A$665,0)),"")</f>
        <v>0</v>
      </c>
      <c r="L383" s="26" t="n">
        <f aca="false">IFERROR(INDEX('Input Statistiche 2025_26'!$O$3:$O$665,MATCH($A383,'Input Statistiche 2025_26'!$A$3:$A$665,0)),"")</f>
        <v>0</v>
      </c>
      <c r="M383" s="28"/>
      <c r="N383" s="27" t="n">
        <f aca="false">IFERROR(INDEX('Input Giocatori 2026_27'!$E$3:$E$493,MATCH($A383,'Input Giocatori 2026_27'!$A$3:$A$493,0)),"")</f>
        <v>2</v>
      </c>
      <c r="O383" s="27" t="n">
        <f aca="false">IFERROR(INDEX('Input Giocatori 2026_27'!$G$3:$G$493,MATCH($A383,'Input Giocatori 2026_27'!$A$3:$A$493,0)),"")</f>
        <v>5</v>
      </c>
      <c r="P383" s="26" t="str">
        <f aca="false">IFERROR(IF($O383="","",IF((1-(COUNTIFS($B$2:$B$492,$B383,$O$2:$O$492,"&gt;"&amp;$O383)+1-1)/COUNTIF($B$2:$B$492,$B383))&gt;=0.85,"Top",IF((1-(COUNTIFS($B$2:$B$492,$B383,$O$2:$O$492,"&gt;"&amp;$O383)+1-1)/COUNTIF($B$2:$B$492,$B383))&gt;=0.6,"Buono",IF((1-(COUNTIFS($B$2:$B$492,$B383,$O$2:$O$492,"&gt;"&amp;$O383)+1-1)/COUNTIF($B$2:$B$492,$B383))&gt;=0.3,"Nella Media","Scommessa/Riserva")))),"")</f>
        <v>Scommessa/Riserva</v>
      </c>
      <c r="Q383" s="29" t="n">
        <f aca="false">IF($D383="",COUNTIF($D$2:$D383,""),"")</f>
        <v>382</v>
      </c>
      <c r="R383" s="29" t="str">
        <f aca="false">IF($D383='Info Lega'!$B$28,COUNTIFS($D$2:$D383,'Info Lega'!$B$28),"")</f>
        <v/>
      </c>
      <c r="S383" s="30" t="n">
        <f aca="false">IFERROR(INDEX('Input Statistiche 2025_26'!$G$3:$G$665,MATCH($A383,'Input Statistiche 2025_26'!$A$3:$A$665,0)),"")</f>
        <v>5.6</v>
      </c>
      <c r="T383" s="30" t="n">
        <f aca="false">IFERROR(INDEX('Input Statistiche 2025_26'!$H$3:$H$665,MATCH($A383,'Input Statistiche 2025_26'!$A$3:$A$665,0)),"")</f>
        <v>5.35</v>
      </c>
      <c r="U383" s="26" t="str">
        <f aca="false">IF(OR('La Mia Rosa'!$O$12="",$D383&lt;&gt;""),"",IF($F383&lt;='La Mia Rosa'!$O$12*'Parametri Modello'!$B$24,"OK",IF($F383&lt;='La Mia Rosa'!$O$12*'Parametri Modello'!$B$25,"Attenzione","Rischio Alto")))</f>
        <v>OK</v>
      </c>
      <c r="V383" s="26" t="n">
        <f aca="false">IFERROR(COUNTIFS($B$2:$B$492,$B383,$O$2:$O$492,"&gt;"&amp;$O383)+1,"")</f>
        <v>137</v>
      </c>
      <c r="W383" s="21" t="n">
        <f aca="false">'Info Lega'!$B$4-SUMIFS($M$2:$M$492,$D$2:$D$492,'Info Lega'!$B$28)</f>
        <v>1000</v>
      </c>
      <c r="X383" s="21" t="n">
        <f aca="false">('Info Lega'!$B$5-COUNTIFS($D$2:$D$492,'Info Lega'!$B$28,$B$2:$B$492,"P"))+('Info Lega'!$B$6-COUNTIFS($D$2:$D$492,'Info Lega'!$B$28,$B$2:$B$492,"D"))+('Info Lega'!$B$7-COUNTIFS($D$2:$D$492,'Info Lega'!$B$28,$B$2:$B$492,"C"))+('Info Lega'!$B$8-COUNTIFS($D$2:$D$492,'Info Lega'!$B$28,$B$2:$B$492,"A"))</f>
        <v>25</v>
      </c>
      <c r="Y383" s="21" t="n">
        <f aca="false">X383*'Parametri Modello'!$B$30</f>
        <v>25</v>
      </c>
      <c r="Z383" s="21" t="n">
        <f aca="false">MAX(0,W383-Y383)</f>
        <v>975</v>
      </c>
      <c r="AA383" s="21" t="n">
        <f aca="false">MIN(F383,Z383)</f>
        <v>3</v>
      </c>
      <c r="AB383" s="21"/>
      <c r="AC383" s="21" t="str">
        <f aca="false">IF(AB383="","",IF(AB383&gt;AA383,"PASS",IF(AB383&lt;=AA383*0.85,"BID","ATTENZIONE")))</f>
        <v/>
      </c>
      <c r="AD383" s="31" t="n">
        <f aca="false">IF(I383="","",ROUND(100*(1-EXP(-I383/30)),0))</f>
        <v>28</v>
      </c>
      <c r="AE383" s="7" t="str">
        <f aca="false">IFERROR(INDEX('Stato Asta'!$G$9:$G$12,MATCH($B383,'Stato Asta'!$A$9:$A$12,0)),"")</f>
        <v>🟡 Attesa rischiosa</v>
      </c>
    </row>
    <row r="384" customFormat="false" ht="14.25" hidden="false" customHeight="true" outlineLevel="0" collapsed="false">
      <c r="A384" s="21" t="n">
        <v>791</v>
      </c>
      <c r="B384" s="21" t="s">
        <v>44</v>
      </c>
      <c r="C384" s="21" t="s">
        <v>328</v>
      </c>
      <c r="E384" s="26" t="str">
        <f aca="false">IF(COUNTIF('Info Strategia'!$D$2:$D$51,$C384)&gt;0,"SI","NO")</f>
        <v>NO</v>
      </c>
      <c r="F384" s="27" t="n">
        <f aca="false">IFERROR(ROUND(($G384+($H384-$G384)*'Info Strategia'!$B$6)*(1+IF($E384="SI",'Parametri Modello'!$B$7*'Info Strategia'!$B$6,0)),0),"")</f>
        <v>3</v>
      </c>
      <c r="G384" s="27" t="n">
        <f aca="false">IFERROR(ROUND((IF(OR(INDEX('Parametri Modello'!$C$39:$C$42,MATCH($B384,'Parametri Modello'!$A$39:$A$42,0))="",INDEX('Parametri Modello'!$C$39:$C$42,MATCH($B384,'Parametri Modello'!$A$39:$A$42,0))=0),0,($O384/INDEX('Parametri Modello'!$C$39:$C$42,MATCH($B384,'Parametri Modello'!$A$39:$A$42,0)))*(INDEX('Parametri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2</v>
      </c>
      <c r="H384" s="27" t="n">
        <f aca="false">IFERROR(ROUND((IF(OR(INDEX('Parametri Modello'!$C$39:$C$42,MATCH($B384,'Parametri Modello'!$A$39:$A$42,0))="",INDEX('Parametri Modello'!$C$39:$C$42,MATCH($B384,'Parametri Modello'!$A$39:$A$42,0))=0),0,($O384/INDEX('Parametri Modello'!$C$39:$C$42,MATCH($B384,'Parametri Modello'!$A$39:$A$42,0)))*(INDEX('Parametri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3</v>
      </c>
      <c r="I384" s="26" t="n">
        <f aca="false">IFERROR(INDEX('Input Statistiche 2025_26'!$F$3:$F$665,MATCH($A384,'Input Statistiche 2025_26'!$A$3:$A$665,0)),"")</f>
        <v>13</v>
      </c>
      <c r="J384" s="26" t="n">
        <f aca="false">IFERROR(IF($I384="","",MAX(0,38-$I384)),"")</f>
        <v>25</v>
      </c>
      <c r="K384" s="26" t="n">
        <f aca="false">IFERROR(INDEX('Input Statistiche 2025_26'!$I$3:$I$665,MATCH($A384,'Input Statistiche 2025_26'!$A$3:$A$665,0)),"")</f>
        <v>0</v>
      </c>
      <c r="L384" s="26" t="n">
        <f aca="false">IFERROR(INDEX('Input Statistiche 2025_26'!$O$3:$O$665,MATCH($A384,'Input Statistiche 2025_26'!$A$3:$A$665,0)),"")</f>
        <v>0</v>
      </c>
      <c r="M384" s="28"/>
      <c r="N384" s="27" t="n">
        <f aca="false">IFERROR(INDEX('Input Giocatori 2026_27'!$E$3:$E$493,MATCH($A384,'Input Giocatori 2026_27'!$A$3:$A$493,0)),"")</f>
        <v>2</v>
      </c>
      <c r="O384" s="27" t="n">
        <f aca="false">IFERROR(INDEX('Input Giocatori 2026_27'!$G$3:$G$493,MATCH($A384,'Input Giocatori 2026_27'!$A$3:$A$493,0)),"")</f>
        <v>5</v>
      </c>
      <c r="P384" s="26" t="str">
        <f aca="false">IFERROR(IF($O384="","",IF((1-(COUNTIFS($B$2:$B$492,$B384,$O$2:$O$492,"&gt;"&amp;$O384)+1-1)/COUNTIF($B$2:$B$492,$B384))&gt;=0.85,"Top",IF((1-(COUNTIFS($B$2:$B$492,$B384,$O$2:$O$492,"&gt;"&amp;$O384)+1-1)/COUNTIF($B$2:$B$492,$B384))&gt;=0.6,"Buono",IF((1-(COUNTIFS($B$2:$B$492,$B384,$O$2:$O$492,"&gt;"&amp;$O384)+1-1)/COUNTIF($B$2:$B$492,$B384))&gt;=0.3,"Nella Media","Scommessa/Riserva")))),"")</f>
        <v>Scommessa/Riserva</v>
      </c>
      <c r="Q384" s="29" t="n">
        <f aca="false">IF($D384="",COUNTIF($D$2:$D384,""),"")</f>
        <v>383</v>
      </c>
      <c r="R384" s="29" t="str">
        <f aca="false">IF($D384='Info Lega'!$B$28,COUNTIFS($D$2:$D384,'Info Lega'!$B$28),"")</f>
        <v/>
      </c>
      <c r="S384" s="30" t="n">
        <f aca="false">IFERROR(INDEX('Input Statistiche 2025_26'!$G$3:$G$665,MATCH($A384,'Input Statistiche 2025_26'!$A$3:$A$665,0)),"")</f>
        <v>5.81</v>
      </c>
      <c r="T384" s="30" t="n">
        <f aca="false">IFERROR(INDEX('Input Statistiche 2025_26'!$H$3:$H$665,MATCH($A384,'Input Statistiche 2025_26'!$A$3:$A$665,0)),"")</f>
        <v>5.65</v>
      </c>
      <c r="U384" s="26" t="str">
        <f aca="false">IF(OR('La Mia Rosa'!$O$12="",$D384&lt;&gt;""),"",IF($F384&lt;='La Mia Rosa'!$O$12*'Parametri Modello'!$B$24,"OK",IF($F384&lt;='La Mia Rosa'!$O$12*'Parametri Modello'!$B$25,"Attenzione","Rischio Alto")))</f>
        <v>OK</v>
      </c>
      <c r="V384" s="26" t="n">
        <f aca="false">IFERROR(COUNTIFS($B$2:$B$492,$B384,$O$2:$O$492,"&gt;"&amp;$O384)+1,"")</f>
        <v>137</v>
      </c>
      <c r="W384" s="21" t="n">
        <f aca="false">'Info Lega'!$B$4-SUMIFS($M$2:$M$492,$D$2:$D$492,'Info Lega'!$B$28)</f>
        <v>1000</v>
      </c>
      <c r="X384" s="21" t="n">
        <f aca="false">('Info Lega'!$B$5-COUNTIFS($D$2:$D$492,'Info Lega'!$B$28,$B$2:$B$492,"P"))+('Info Lega'!$B$6-COUNTIFS($D$2:$D$492,'Info Lega'!$B$28,$B$2:$B$492,"D"))+('Info Lega'!$B$7-COUNTIFS($D$2:$D$492,'Info Lega'!$B$28,$B$2:$B$492,"C"))+('Info Lega'!$B$8-COUNTIFS($D$2:$D$492,'Info Lega'!$B$28,$B$2:$B$492,"A"))</f>
        <v>25</v>
      </c>
      <c r="Y384" s="21" t="n">
        <f aca="false">X384*'Parametri Modello'!$B$30</f>
        <v>25</v>
      </c>
      <c r="Z384" s="21" t="n">
        <f aca="false">MAX(0,W384-Y384)</f>
        <v>975</v>
      </c>
      <c r="AA384" s="21" t="n">
        <f aca="false">MIN(F384,Z384)</f>
        <v>3</v>
      </c>
      <c r="AB384" s="21"/>
      <c r="AC384" s="21" t="str">
        <f aca="false">IF(AB384="","",IF(AB384&gt;AA384,"PASS",IF(AB384&lt;=AA384*0.85,"BID","ATTENZIONE")))</f>
        <v/>
      </c>
      <c r="AD384" s="31" t="n">
        <f aca="false">IF(I384="","",ROUND(100*(1-EXP(-I384/30)),0))</f>
        <v>35</v>
      </c>
      <c r="AE384" s="7" t="str">
        <f aca="false">IFERROR(INDEX('Stato Asta'!$G$9:$G$12,MATCH($B384,'Stato Asta'!$A$9:$A$12,0)),"")</f>
        <v>🟡 Attesa rischiosa</v>
      </c>
    </row>
    <row r="385" customFormat="false" ht="14.25" hidden="false" customHeight="true" outlineLevel="0" collapsed="false">
      <c r="A385" s="21" t="n">
        <v>2728</v>
      </c>
      <c r="B385" s="21" t="s">
        <v>44</v>
      </c>
      <c r="C385" s="21" t="s">
        <v>330</v>
      </c>
      <c r="E385" s="26" t="str">
        <f aca="false">IF(COUNTIF('Info Strategia'!$D$2:$D$51,$C385)&gt;0,"SI","NO")</f>
        <v>NO</v>
      </c>
      <c r="F385" s="27" t="n">
        <f aca="false">IFERROR(ROUND(($G385+($H385-$G385)*'Info Strategia'!$B$6)*(1+IF($E385="SI",'Parametri Modello'!$B$7*'Info Strategia'!$B$6,0)),0),"")</f>
        <v>3</v>
      </c>
      <c r="G385" s="27" t="n">
        <f aca="false">IFERROR(ROUND((IF(OR(INDEX('Parametri Modello'!$C$39:$C$42,MATCH($B385,'Parametri Modello'!$A$39:$A$42,0))="",INDEX('Parametri Modello'!$C$39:$C$42,MATCH($B385,'Parametri Modello'!$A$39:$A$42,0))=0),0,($O385/INDEX('Parametri Modello'!$C$39:$C$42,MATCH($B385,'Parametri Modello'!$A$39:$A$42,0)))*(INDEX('Parametri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2</v>
      </c>
      <c r="H385" s="27" t="n">
        <f aca="false">IFERROR(ROUND((IF(OR(INDEX('Parametri Modello'!$C$39:$C$42,MATCH($B385,'Parametri Modello'!$A$39:$A$42,0))="",INDEX('Parametri Modello'!$C$39:$C$42,MATCH($B385,'Parametri Modello'!$A$39:$A$42,0))=0),0,($O385/INDEX('Parametri Modello'!$C$39:$C$42,MATCH($B385,'Parametri Modello'!$A$39:$A$42,0)))*(INDEX('Parametri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3</v>
      </c>
      <c r="I385" s="26" t="n">
        <f aca="false">IFERROR(INDEX('Input Statistiche 2025_26'!$F$3:$F$665,MATCH($A385,'Input Statistiche 2025_26'!$A$3:$A$665,0)),"")</f>
        <v>24</v>
      </c>
      <c r="J385" s="26" t="n">
        <f aca="false">IFERROR(IF($I385="","",MAX(0,38-$I385)),"")</f>
        <v>14</v>
      </c>
      <c r="K385" s="26" t="n">
        <f aca="false">IFERROR(INDEX('Input Statistiche 2025_26'!$I$3:$I$665,MATCH($A385,'Input Statistiche 2025_26'!$A$3:$A$665,0)),"")</f>
        <v>1</v>
      </c>
      <c r="L385" s="26" t="n">
        <f aca="false">IFERROR(INDEX('Input Statistiche 2025_26'!$O$3:$O$665,MATCH($A385,'Input Statistiche 2025_26'!$A$3:$A$665,0)),"")</f>
        <v>0</v>
      </c>
      <c r="M385" s="28"/>
      <c r="N385" s="27" t="n">
        <f aca="false">IFERROR(INDEX('Input Giocatori 2026_27'!$E$3:$E$493,MATCH($A385,'Input Giocatori 2026_27'!$A$3:$A$493,0)),"")</f>
        <v>2</v>
      </c>
      <c r="O385" s="27" t="n">
        <f aca="false">IFERROR(INDEX('Input Giocatori 2026_27'!$G$3:$G$493,MATCH($A385,'Input Giocatori 2026_27'!$A$3:$A$493,0)),"")</f>
        <v>5</v>
      </c>
      <c r="P385" s="26" t="str">
        <f aca="false">IFERROR(IF($O385="","",IF((1-(COUNTIFS($B$2:$B$492,$B385,$O$2:$O$492,"&gt;"&amp;$O385)+1-1)/COUNTIF($B$2:$B$492,$B385))&gt;=0.85,"Top",IF((1-(COUNTIFS($B$2:$B$492,$B385,$O$2:$O$492,"&gt;"&amp;$O385)+1-1)/COUNTIF($B$2:$B$492,$B385))&gt;=0.6,"Buono",IF((1-(COUNTIFS($B$2:$B$492,$B385,$O$2:$O$492,"&gt;"&amp;$O385)+1-1)/COUNTIF($B$2:$B$492,$B385))&gt;=0.3,"Nella Media","Scommessa/Riserva")))),"")</f>
        <v>Scommessa/Riserva</v>
      </c>
      <c r="Q385" s="29" t="n">
        <f aca="false">IF($D385="",COUNTIF($D$2:$D385,""),"")</f>
        <v>384</v>
      </c>
      <c r="R385" s="29" t="str">
        <f aca="false">IF($D385='Info Lega'!$B$28,COUNTIFS($D$2:$D385,'Info Lega'!$B$28),"")</f>
        <v/>
      </c>
      <c r="S385" s="30" t="n">
        <f aca="false">IFERROR(INDEX('Input Statistiche 2025_26'!$G$3:$G$665,MATCH($A385,'Input Statistiche 2025_26'!$A$3:$A$665,0)),"")</f>
        <v>5.85</v>
      </c>
      <c r="T385" s="30" t="n">
        <f aca="false">IFERROR(INDEX('Input Statistiche 2025_26'!$H$3:$H$665,MATCH($A385,'Input Statistiche 2025_26'!$A$3:$A$665,0)),"")</f>
        <v>5.81</v>
      </c>
      <c r="U385" s="26" t="str">
        <f aca="false">IF(OR('La Mia Rosa'!$O$12="",$D385&lt;&gt;""),"",IF($F385&lt;='La Mia Rosa'!$O$12*'Parametri Modello'!$B$24,"OK",IF($F385&lt;='La Mia Rosa'!$O$12*'Parametri Modello'!$B$25,"Attenzione","Rischio Alto")))</f>
        <v>OK</v>
      </c>
      <c r="V385" s="26" t="n">
        <f aca="false">IFERROR(COUNTIFS($B$2:$B$492,$B385,$O$2:$O$492,"&gt;"&amp;$O385)+1,"")</f>
        <v>137</v>
      </c>
      <c r="W385" s="21" t="n">
        <f aca="false">'Info Lega'!$B$4-SUMIFS($M$2:$M$492,$D$2:$D$492,'Info Lega'!$B$28)</f>
        <v>1000</v>
      </c>
      <c r="X385" s="21" t="n">
        <f aca="false">('Info Lega'!$B$5-COUNTIFS($D$2:$D$492,'Info Lega'!$B$28,$B$2:$B$492,"P"))+('Info Lega'!$B$6-COUNTIFS($D$2:$D$492,'Info Lega'!$B$28,$B$2:$B$492,"D"))+('Info Lega'!$B$7-COUNTIFS($D$2:$D$492,'Info Lega'!$B$28,$B$2:$B$492,"C"))+('Info Lega'!$B$8-COUNTIFS($D$2:$D$492,'Info Lega'!$B$28,$B$2:$B$492,"A"))</f>
        <v>25</v>
      </c>
      <c r="Y385" s="21" t="n">
        <f aca="false">X385*'Parametri Modello'!$B$30</f>
        <v>25</v>
      </c>
      <c r="Z385" s="21" t="n">
        <f aca="false">MAX(0,W385-Y385)</f>
        <v>975</v>
      </c>
      <c r="AA385" s="21" t="n">
        <f aca="false">MIN(F385,Z385)</f>
        <v>3</v>
      </c>
      <c r="AB385" s="21"/>
      <c r="AC385" s="21" t="str">
        <f aca="false">IF(AB385="","",IF(AB385&gt;AA385,"PASS",IF(AB385&lt;=AA385*0.85,"BID","ATTENZIONE")))</f>
        <v/>
      </c>
      <c r="AD385" s="31" t="n">
        <f aca="false">IF(I385="","",ROUND(100*(1-EXP(-I385/30)),0))</f>
        <v>55</v>
      </c>
      <c r="AE385" s="7" t="str">
        <f aca="false">IFERROR(INDEX('Stato Asta'!$G$9:$G$12,MATCH($B385,'Stato Asta'!$A$9:$A$12,0)),"")</f>
        <v>🟡 Attesa rischiosa</v>
      </c>
    </row>
    <row r="386" customFormat="false" ht="14.25" hidden="false" customHeight="true" outlineLevel="0" collapsed="false">
      <c r="A386" s="21" t="n">
        <v>252</v>
      </c>
      <c r="B386" s="21" t="s">
        <v>44</v>
      </c>
      <c r="C386" s="21" t="s">
        <v>334</v>
      </c>
      <c r="E386" s="26" t="str">
        <f aca="false">IF(COUNTIF('Info Strategia'!$D$2:$D$51,$C386)&gt;0,"SI","NO")</f>
        <v>NO</v>
      </c>
      <c r="F386" s="27" t="n">
        <f aca="false">IFERROR(ROUND(($G386+($H386-$G386)*'Info Strategia'!$B$6)*(1+IF($E386="SI",'Parametri Modello'!$B$7*'Info Strategia'!$B$6,0)),0),"")</f>
        <v>3</v>
      </c>
      <c r="G386" s="27" t="n">
        <f aca="false">IFERROR(ROUND((IF(OR(INDEX('Parametri Modello'!$C$39:$C$42,MATCH($B386,'Parametri Modello'!$A$39:$A$42,0))="",INDEX('Parametri Modello'!$C$39:$C$42,MATCH($B386,'Parametri Modello'!$A$39:$A$42,0))=0),0,($O386/INDEX('Parametri Modello'!$C$39:$C$42,MATCH($B386,'Parametri Modello'!$A$39:$A$42,0)))*(INDEX('Parametri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2</v>
      </c>
      <c r="H386" s="27" t="n">
        <f aca="false">IFERROR(ROUND((IF(OR(INDEX('Parametri Modello'!$C$39:$C$42,MATCH($B386,'Parametri Modello'!$A$39:$A$42,0))="",INDEX('Parametri Modello'!$C$39:$C$42,MATCH($B386,'Parametri Modello'!$A$39:$A$42,0))=0),0,($O386/INDEX('Parametri Modello'!$C$39:$C$42,MATCH($B386,'Parametri Modello'!$A$39:$A$42,0)))*(INDEX('Parametri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3</v>
      </c>
      <c r="I386" s="26" t="n">
        <f aca="false">IFERROR(INDEX('Input Statistiche 2025_26'!$F$3:$F$665,MATCH($A386,'Input Statistiche 2025_26'!$A$3:$A$665,0)),"")</f>
        <v>11</v>
      </c>
      <c r="J386" s="26" t="n">
        <f aca="false">IFERROR(IF($I386="","",MAX(0,38-$I386)),"")</f>
        <v>27</v>
      </c>
      <c r="K386" s="26" t="n">
        <f aca="false">IFERROR(INDEX('Input Statistiche 2025_26'!$I$3:$I$665,MATCH($A386,'Input Statistiche 2025_26'!$A$3:$A$665,0)),"")</f>
        <v>0</v>
      </c>
      <c r="L386" s="26" t="n">
        <f aca="false">IFERROR(INDEX('Input Statistiche 2025_26'!$O$3:$O$665,MATCH($A386,'Input Statistiche 2025_26'!$A$3:$A$665,0)),"")</f>
        <v>0</v>
      </c>
      <c r="M386" s="28"/>
      <c r="N386" s="27" t="n">
        <f aca="false">IFERROR(INDEX('Input Giocatori 2026_27'!$E$3:$E$493,MATCH($A386,'Input Giocatori 2026_27'!$A$3:$A$493,0)),"")</f>
        <v>2</v>
      </c>
      <c r="O386" s="27" t="n">
        <f aca="false">IFERROR(INDEX('Input Giocatori 2026_27'!$G$3:$G$493,MATCH($A386,'Input Giocatori 2026_27'!$A$3:$A$493,0)),"")</f>
        <v>5</v>
      </c>
      <c r="P386" s="26" t="str">
        <f aca="false">IFERROR(IF($O386="","",IF((1-(COUNTIFS($B$2:$B$492,$B386,$O$2:$O$492,"&gt;"&amp;$O386)+1-1)/COUNTIF($B$2:$B$492,$B386))&gt;=0.85,"Top",IF((1-(COUNTIFS($B$2:$B$492,$B386,$O$2:$O$492,"&gt;"&amp;$O386)+1-1)/COUNTIF($B$2:$B$492,$B386))&gt;=0.6,"Buono",IF((1-(COUNTIFS($B$2:$B$492,$B386,$O$2:$O$492,"&gt;"&amp;$O386)+1-1)/COUNTIF($B$2:$B$492,$B386))&gt;=0.3,"Nella Media","Scommessa/Riserva")))),"")</f>
        <v>Scommessa/Riserva</v>
      </c>
      <c r="Q386" s="29" t="n">
        <f aca="false">IF($D386="",COUNTIF($D$2:$D386,""),"")</f>
        <v>385</v>
      </c>
      <c r="R386" s="29" t="str">
        <f aca="false">IF($D386='Info Lega'!$B$28,COUNTIFS($D$2:$D386,'Info Lega'!$B$28),"")</f>
        <v/>
      </c>
      <c r="S386" s="30" t="n">
        <f aca="false">IFERROR(INDEX('Input Statistiche 2025_26'!$G$3:$G$665,MATCH($A386,'Input Statistiche 2025_26'!$A$3:$A$665,0)),"")</f>
        <v>5.59</v>
      </c>
      <c r="T386" s="30" t="n">
        <f aca="false">IFERROR(INDEX('Input Statistiche 2025_26'!$H$3:$H$665,MATCH($A386,'Input Statistiche 2025_26'!$A$3:$A$665,0)),"")</f>
        <v>5.59</v>
      </c>
      <c r="U386" s="26" t="str">
        <f aca="false">IF(OR('La Mia Rosa'!$O$12="",$D386&lt;&gt;""),"",IF($F386&lt;='La Mia Rosa'!$O$12*'Parametri Modello'!$B$24,"OK",IF($F386&lt;='La Mia Rosa'!$O$12*'Parametri Modello'!$B$25,"Attenzione","Rischio Alto")))</f>
        <v>OK</v>
      </c>
      <c r="V386" s="26" t="n">
        <f aca="false">IFERROR(COUNTIFS($B$2:$B$492,$B386,$O$2:$O$492,"&gt;"&amp;$O386)+1,"")</f>
        <v>137</v>
      </c>
      <c r="W386" s="21" t="n">
        <f aca="false">'Info Lega'!$B$4-SUMIFS($M$2:$M$492,$D$2:$D$492,'Info Lega'!$B$28)</f>
        <v>1000</v>
      </c>
      <c r="X386" s="21" t="n">
        <f aca="false">('Info Lega'!$B$5-COUNTIFS($D$2:$D$492,'Info Lega'!$B$28,$B$2:$B$492,"P"))+('Info Lega'!$B$6-COUNTIFS($D$2:$D$492,'Info Lega'!$B$28,$B$2:$B$492,"D"))+('Info Lega'!$B$7-COUNTIFS($D$2:$D$492,'Info Lega'!$B$28,$B$2:$B$492,"C"))+('Info Lega'!$B$8-COUNTIFS($D$2:$D$492,'Info Lega'!$B$28,$B$2:$B$492,"A"))</f>
        <v>25</v>
      </c>
      <c r="Y386" s="21" t="n">
        <f aca="false">X386*'Parametri Modello'!$B$30</f>
        <v>25</v>
      </c>
      <c r="Z386" s="21" t="n">
        <f aca="false">MAX(0,W386-Y386)</f>
        <v>975</v>
      </c>
      <c r="AA386" s="21" t="n">
        <f aca="false">MIN(F386,Z386)</f>
        <v>3</v>
      </c>
      <c r="AB386" s="21"/>
      <c r="AC386" s="21" t="str">
        <f aca="false">IF(AB386="","",IF(AB386&gt;AA386,"PASS",IF(AB386&lt;=AA386*0.85,"BID","ATTENZIONE")))</f>
        <v/>
      </c>
      <c r="AD386" s="31" t="n">
        <f aca="false">IF(I386="","",ROUND(100*(1-EXP(-I386/30)),0))</f>
        <v>31</v>
      </c>
      <c r="AE386" s="7" t="str">
        <f aca="false">IFERROR(INDEX('Stato Asta'!$G$9:$G$12,MATCH($B386,'Stato Asta'!$A$9:$A$12,0)),"")</f>
        <v>🟡 Attesa rischiosa</v>
      </c>
    </row>
    <row r="387" customFormat="false" ht="14.25" hidden="false" customHeight="true" outlineLevel="0" collapsed="false">
      <c r="A387" s="21" t="n">
        <v>6925</v>
      </c>
      <c r="B387" s="21" t="s">
        <v>44</v>
      </c>
      <c r="C387" s="21" t="s">
        <v>335</v>
      </c>
      <c r="E387" s="26" t="str">
        <f aca="false">IF(COUNTIF('Info Strategia'!$D$2:$D$51,$C387)&gt;0,"SI","NO")</f>
        <v>NO</v>
      </c>
      <c r="F387" s="27" t="n">
        <f aca="false">IFERROR(ROUND(($G387+($H387-$G387)*'Info Strategia'!$B$6)*(1+IF($E387="SI",'Parametri Modello'!$B$7*'Info Strategia'!$B$6,0)),0),"")</f>
        <v>3</v>
      </c>
      <c r="G387" s="27" t="n">
        <f aca="false">IFERROR(ROUND((IF(OR(INDEX('Parametri Modello'!$C$39:$C$42,MATCH($B387,'Parametri Modello'!$A$39:$A$42,0))="",INDEX('Parametri Modello'!$C$39:$C$42,MATCH($B387,'Parametri Modello'!$A$39:$A$42,0))=0),0,($O387/INDEX('Parametri Modello'!$C$39:$C$42,MATCH($B387,'Parametri Modello'!$A$39:$A$42,0)))*(INDEX('Parametri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2</v>
      </c>
      <c r="H387" s="27" t="n">
        <f aca="false">IFERROR(ROUND((IF(OR(INDEX('Parametri Modello'!$C$39:$C$42,MATCH($B387,'Parametri Modello'!$A$39:$A$42,0))="",INDEX('Parametri Modello'!$C$39:$C$42,MATCH($B387,'Parametri Modello'!$A$39:$A$42,0))=0),0,($O387/INDEX('Parametri Modello'!$C$39:$C$42,MATCH($B387,'Parametri Modello'!$A$39:$A$42,0)))*(INDEX('Parametri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3</v>
      </c>
      <c r="I387" s="26" t="n">
        <f aca="false">IFERROR(INDEX('Input Statistiche 2025_26'!$F$3:$F$665,MATCH($A387,'Input Statistiche 2025_26'!$A$3:$A$665,0)),"")</f>
        <v>4</v>
      </c>
      <c r="J387" s="26" t="n">
        <f aca="false">IFERROR(IF($I387="","",MAX(0,38-$I387)),"")</f>
        <v>34</v>
      </c>
      <c r="K387" s="26" t="n">
        <f aca="false">IFERROR(INDEX('Input Statistiche 2025_26'!$I$3:$I$665,MATCH($A387,'Input Statistiche 2025_26'!$A$3:$A$665,0)),"")</f>
        <v>0</v>
      </c>
      <c r="L387" s="26" t="n">
        <f aca="false">IFERROR(INDEX('Input Statistiche 2025_26'!$O$3:$O$665,MATCH($A387,'Input Statistiche 2025_26'!$A$3:$A$665,0)),"")</f>
        <v>0</v>
      </c>
      <c r="M387" s="28"/>
      <c r="N387" s="27" t="n">
        <f aca="false">IFERROR(INDEX('Input Giocatori 2026_27'!$E$3:$E$493,MATCH($A387,'Input Giocatori 2026_27'!$A$3:$A$493,0)),"")</f>
        <v>2</v>
      </c>
      <c r="O387" s="27" t="n">
        <f aca="false">IFERROR(INDEX('Input Giocatori 2026_27'!$G$3:$G$493,MATCH($A387,'Input Giocatori 2026_27'!$A$3:$A$493,0)),"")</f>
        <v>5</v>
      </c>
      <c r="P387" s="26" t="str">
        <f aca="false">IFERROR(IF($O387="","",IF((1-(COUNTIFS($B$2:$B$492,$B387,$O$2:$O$492,"&gt;"&amp;$O387)+1-1)/COUNTIF($B$2:$B$492,$B387))&gt;=0.85,"Top",IF((1-(COUNTIFS($B$2:$B$492,$B387,$O$2:$O$492,"&gt;"&amp;$O387)+1-1)/COUNTIF($B$2:$B$492,$B387))&gt;=0.6,"Buono",IF((1-(COUNTIFS($B$2:$B$492,$B387,$O$2:$O$492,"&gt;"&amp;$O387)+1-1)/COUNTIF($B$2:$B$492,$B387))&gt;=0.3,"Nella Media","Scommessa/Riserva")))),"")</f>
        <v>Scommessa/Riserva</v>
      </c>
      <c r="Q387" s="29" t="n">
        <f aca="false">IF($D387="",COUNTIF($D$2:$D387,""),"")</f>
        <v>386</v>
      </c>
      <c r="R387" s="29" t="str">
        <f aca="false">IF($D387='Info Lega'!$B$28,COUNTIFS($D$2:$D387,'Info Lega'!$B$28),"")</f>
        <v/>
      </c>
      <c r="S387" s="30" t="n">
        <f aca="false">IFERROR(INDEX('Input Statistiche 2025_26'!$G$3:$G$665,MATCH($A387,'Input Statistiche 2025_26'!$A$3:$A$665,0)),"")</f>
        <v>5.5</v>
      </c>
      <c r="T387" s="30" t="n">
        <f aca="false">IFERROR(INDEX('Input Statistiche 2025_26'!$H$3:$H$665,MATCH($A387,'Input Statistiche 2025_26'!$A$3:$A$665,0)),"")</f>
        <v>5.5</v>
      </c>
      <c r="U387" s="26" t="str">
        <f aca="false">IF(OR('La Mia Rosa'!$O$12="",$D387&lt;&gt;""),"",IF($F387&lt;='La Mia Rosa'!$O$12*'Parametri Modello'!$B$24,"OK",IF($F387&lt;='La Mia Rosa'!$O$12*'Parametri Modello'!$B$25,"Attenzione","Rischio Alto")))</f>
        <v>OK</v>
      </c>
      <c r="V387" s="26" t="n">
        <f aca="false">IFERROR(COUNTIFS($B$2:$B$492,$B387,$O$2:$O$492,"&gt;"&amp;$O387)+1,"")</f>
        <v>137</v>
      </c>
      <c r="W387" s="21" t="n">
        <f aca="false">'Info Lega'!$B$4-SUMIFS($M$2:$M$492,$D$2:$D$492,'Info Lega'!$B$28)</f>
        <v>1000</v>
      </c>
      <c r="X387" s="21" t="n">
        <f aca="false">('Info Lega'!$B$5-COUNTIFS($D$2:$D$492,'Info Lega'!$B$28,$B$2:$B$492,"P"))+('Info Lega'!$B$6-COUNTIFS($D$2:$D$492,'Info Lega'!$B$28,$B$2:$B$492,"D"))+('Info Lega'!$B$7-COUNTIFS($D$2:$D$492,'Info Lega'!$B$28,$B$2:$B$492,"C"))+('Info Lega'!$B$8-COUNTIFS($D$2:$D$492,'Info Lega'!$B$28,$B$2:$B$492,"A"))</f>
        <v>25</v>
      </c>
      <c r="Y387" s="21" t="n">
        <f aca="false">X387*'Parametri Modello'!$B$30</f>
        <v>25</v>
      </c>
      <c r="Z387" s="21" t="n">
        <f aca="false">MAX(0,W387-Y387)</f>
        <v>975</v>
      </c>
      <c r="AA387" s="21" t="n">
        <f aca="false">MIN(F387,Z387)</f>
        <v>3</v>
      </c>
      <c r="AB387" s="21"/>
      <c r="AC387" s="21" t="str">
        <f aca="false">IF(AB387="","",IF(AB387&gt;AA387,"PASS",IF(AB387&lt;=AA387*0.85,"BID","ATTENZIONE")))</f>
        <v/>
      </c>
      <c r="AD387" s="31" t="n">
        <f aca="false">IF(I387="","",ROUND(100*(1-EXP(-I387/30)),0))</f>
        <v>12</v>
      </c>
      <c r="AE387" s="7" t="str">
        <f aca="false">IFERROR(INDEX('Stato Asta'!$G$9:$G$12,MATCH($B387,'Stato Asta'!$A$9:$A$12,0)),"")</f>
        <v>🟡 Attesa rischiosa</v>
      </c>
    </row>
    <row r="388" customFormat="false" ht="14.25" hidden="false" customHeight="true" outlineLevel="0" collapsed="false">
      <c r="A388" s="21" t="n">
        <v>6809</v>
      </c>
      <c r="B388" s="21" t="s">
        <v>44</v>
      </c>
      <c r="C388" s="21" t="s">
        <v>356</v>
      </c>
      <c r="E388" s="26" t="str">
        <f aca="false">IF(COUNTIF('Info Strategia'!$D$2:$D$51,$C388)&gt;0,"SI","NO")</f>
        <v>NO</v>
      </c>
      <c r="F388" s="27" t="n">
        <f aca="false">IFERROR(ROUND(($G388+($H388-$G388)*'Info Strategia'!$B$6)*(1+IF($E388="SI",'Parametri Modello'!$B$7*'Info Strategia'!$B$6,0)),0),"")</f>
        <v>3</v>
      </c>
      <c r="G388" s="27" t="n">
        <f aca="false">IFERROR(ROUND((IF(OR(INDEX('Parametri Modello'!$C$39:$C$42,MATCH($B388,'Parametri Modello'!$A$39:$A$42,0))="",INDEX('Parametri Modello'!$C$39:$C$42,MATCH($B388,'Parametri Modello'!$A$39:$A$42,0))=0),0,($O388/INDEX('Parametri Modello'!$C$39:$C$42,MATCH($B388,'Parametri Modello'!$A$39:$A$42,0)))*(INDEX('Parametri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2</v>
      </c>
      <c r="H388" s="27" t="n">
        <f aca="false">IFERROR(ROUND((IF(OR(INDEX('Parametri Modello'!$C$39:$C$42,MATCH($B388,'Parametri Modello'!$A$39:$A$42,0))="",INDEX('Parametri Modello'!$C$39:$C$42,MATCH($B388,'Parametri Modello'!$A$39:$A$42,0))=0),0,($O388/INDEX('Parametri Modello'!$C$39:$C$42,MATCH($B388,'Parametri Modello'!$A$39:$A$42,0)))*(INDEX('Parametri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3</v>
      </c>
      <c r="I388" s="26" t="n">
        <f aca="false">IFERROR(INDEX('Input Statistiche 2025_26'!$F$3:$F$665,MATCH($A388,'Input Statistiche 2025_26'!$A$3:$A$665,0)),"")</f>
        <v>11</v>
      </c>
      <c r="J388" s="26" t="n">
        <f aca="false">IFERROR(IF($I388="","",MAX(0,38-$I388)),"")</f>
        <v>27</v>
      </c>
      <c r="K388" s="26" t="n">
        <f aca="false">IFERROR(INDEX('Input Statistiche 2025_26'!$I$3:$I$665,MATCH($A388,'Input Statistiche 2025_26'!$A$3:$A$665,0)),"")</f>
        <v>0</v>
      </c>
      <c r="L388" s="26" t="n">
        <f aca="false">IFERROR(INDEX('Input Statistiche 2025_26'!$O$3:$O$665,MATCH($A388,'Input Statistiche 2025_26'!$A$3:$A$665,0)),"")</f>
        <v>1</v>
      </c>
      <c r="M388" s="28"/>
      <c r="N388" s="27" t="n">
        <f aca="false">IFERROR(INDEX('Input Giocatori 2026_27'!$E$3:$E$493,MATCH($A388,'Input Giocatori 2026_27'!$A$3:$A$493,0)),"")</f>
        <v>1</v>
      </c>
      <c r="O388" s="27" t="n">
        <f aca="false">IFERROR(INDEX('Input Giocatori 2026_27'!$G$3:$G$493,MATCH($A388,'Input Giocatori 2026_27'!$A$3:$A$493,0)),"")</f>
        <v>5</v>
      </c>
      <c r="P388" s="26" t="str">
        <f aca="false">IFERROR(IF($O388="","",IF((1-(COUNTIFS($B$2:$B$492,$B388,$O$2:$O$492,"&gt;"&amp;$O388)+1-1)/COUNTIF($B$2:$B$492,$B388))&gt;=0.85,"Top",IF((1-(COUNTIFS($B$2:$B$492,$B388,$O$2:$O$492,"&gt;"&amp;$O388)+1-1)/COUNTIF($B$2:$B$492,$B388))&gt;=0.6,"Buono",IF((1-(COUNTIFS($B$2:$B$492,$B388,$O$2:$O$492,"&gt;"&amp;$O388)+1-1)/COUNTIF($B$2:$B$492,$B388))&gt;=0.3,"Nella Media","Scommessa/Riserva")))),"")</f>
        <v>Scommessa/Riserva</v>
      </c>
      <c r="Q388" s="29" t="n">
        <f aca="false">IF($D388="",COUNTIF($D$2:$D388,""),"")</f>
        <v>387</v>
      </c>
      <c r="R388" s="29" t="str">
        <f aca="false">IF($D388='Info Lega'!$B$28,COUNTIFS($D$2:$D388,'Info Lega'!$B$28),"")</f>
        <v/>
      </c>
      <c r="S388" s="30" t="n">
        <f aca="false">IFERROR(INDEX('Input Statistiche 2025_26'!$G$3:$G$665,MATCH($A388,'Input Statistiche 2025_26'!$A$3:$A$665,0)),"")</f>
        <v>5.73</v>
      </c>
      <c r="T388" s="30" t="n">
        <f aca="false">IFERROR(INDEX('Input Statistiche 2025_26'!$H$3:$H$665,MATCH($A388,'Input Statistiche 2025_26'!$A$3:$A$665,0)),"")</f>
        <v>5.73</v>
      </c>
      <c r="U388" s="26" t="str">
        <f aca="false">IF(OR('La Mia Rosa'!$O$12="",$D388&lt;&gt;""),"",IF($F388&lt;='La Mia Rosa'!$O$12*'Parametri Modello'!$B$24,"OK",IF($F388&lt;='La Mia Rosa'!$O$12*'Parametri Modello'!$B$25,"Attenzione","Rischio Alto")))</f>
        <v>OK</v>
      </c>
      <c r="V388" s="26" t="n">
        <f aca="false">IFERROR(COUNTIFS($B$2:$B$492,$B388,$O$2:$O$492,"&gt;"&amp;$O388)+1,"")</f>
        <v>137</v>
      </c>
      <c r="W388" s="21" t="n">
        <f aca="false">'Info Lega'!$B$4-SUMIFS($M$2:$M$492,$D$2:$D$492,'Info Lega'!$B$28)</f>
        <v>1000</v>
      </c>
      <c r="X388" s="21" t="n">
        <f aca="false">('Info Lega'!$B$5-COUNTIFS($D$2:$D$492,'Info Lega'!$B$28,$B$2:$B$492,"P"))+('Info Lega'!$B$6-COUNTIFS($D$2:$D$492,'Info Lega'!$B$28,$B$2:$B$492,"D"))+('Info Lega'!$B$7-COUNTIFS($D$2:$D$492,'Info Lega'!$B$28,$B$2:$B$492,"C"))+('Info Lega'!$B$8-COUNTIFS($D$2:$D$492,'Info Lega'!$B$28,$B$2:$B$492,"A"))</f>
        <v>25</v>
      </c>
      <c r="Y388" s="21" t="n">
        <f aca="false">X388*'Parametri Modello'!$B$30</f>
        <v>25</v>
      </c>
      <c r="Z388" s="21" t="n">
        <f aca="false">MAX(0,W388-Y388)</f>
        <v>975</v>
      </c>
      <c r="AA388" s="21" t="n">
        <f aca="false">MIN(F388,Z388)</f>
        <v>3</v>
      </c>
      <c r="AB388" s="21"/>
      <c r="AC388" s="21" t="str">
        <f aca="false">IF(AB388="","",IF(AB388&gt;AA388,"PASS",IF(AB388&lt;=AA388*0.85,"BID","ATTENZIONE")))</f>
        <v/>
      </c>
      <c r="AD388" s="31" t="n">
        <f aca="false">IF(I388="","",ROUND(100*(1-EXP(-I388/30)),0))</f>
        <v>31</v>
      </c>
      <c r="AE388" s="7" t="str">
        <f aca="false">IFERROR(INDEX('Stato Asta'!$G$9:$G$12,MATCH($B388,'Stato Asta'!$A$9:$A$12,0)),"")</f>
        <v>🟡 Attesa rischiosa</v>
      </c>
    </row>
    <row r="389" customFormat="false" ht="14.25" hidden="false" customHeight="true" outlineLevel="0" collapsed="false">
      <c r="A389" s="21" t="n">
        <v>7183</v>
      </c>
      <c r="B389" s="21" t="s">
        <v>45</v>
      </c>
      <c r="C389" s="21" t="s">
        <v>505</v>
      </c>
      <c r="E389" s="26" t="str">
        <f aca="false">IF(COUNTIF('Info Strategia'!$D$2:$D$51,$C389)&gt;0,"SI","NO")</f>
        <v>NO</v>
      </c>
      <c r="F389" s="27" t="n">
        <f aca="false">IFERROR(ROUND(($G389+($H389-$G389)*'Info Strategia'!$B$6)*(1+IF($E389="SI",'Parametri Modello'!$B$7*'Info Strategia'!$B$6,0)),0),"")</f>
        <v>3</v>
      </c>
      <c r="G389" s="27" t="n">
        <f aca="false">IFERROR(ROUND((IF(OR(INDEX('Parametri Modello'!$C$39:$C$42,MATCH($B389,'Parametri Modello'!$A$39:$A$42,0))="",INDEX('Parametri Modello'!$C$39:$C$42,MATCH($B389,'Parametri Modello'!$A$39:$A$42,0))=0),0,($O389/INDEX('Parametri Modello'!$C$39:$C$42,MATCH($B389,'Parametri Modello'!$A$39:$A$42,0)))*(INDEX('Parametri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2</v>
      </c>
      <c r="H389" s="27" t="n">
        <f aca="false">IFERROR(ROUND((IF(OR(INDEX('Parametri Modello'!$C$39:$C$42,MATCH($B389,'Parametri Modello'!$A$39:$A$42,0))="",INDEX('Parametri Modello'!$C$39:$C$42,MATCH($B389,'Parametri Modello'!$A$39:$A$42,0))=0),0,($O389/INDEX('Parametri Modello'!$C$39:$C$42,MATCH($B389,'Parametri Modello'!$A$39:$A$42,0)))*(INDEX('Parametri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3</v>
      </c>
      <c r="I389" s="26" t="n">
        <f aca="false">IFERROR(INDEX('Input Statistiche 2025_26'!$F$3:$F$665,MATCH($A389,'Input Statistiche 2025_26'!$A$3:$A$665,0)),"")</f>
        <v>11</v>
      </c>
      <c r="J389" s="26" t="n">
        <f aca="false">IFERROR(IF($I389="","",MAX(0,38-$I389)),"")</f>
        <v>27</v>
      </c>
      <c r="K389" s="26" t="n">
        <f aca="false">IFERROR(INDEX('Input Statistiche 2025_26'!$I$3:$I$665,MATCH($A389,'Input Statistiche 2025_26'!$A$3:$A$665,0)),"")</f>
        <v>0</v>
      </c>
      <c r="L389" s="26" t="n">
        <f aca="false">IFERROR(INDEX('Input Statistiche 2025_26'!$O$3:$O$665,MATCH($A389,'Input Statistiche 2025_26'!$A$3:$A$665,0)),"")</f>
        <v>0</v>
      </c>
      <c r="M389" s="28"/>
      <c r="N389" s="27" t="n">
        <f aca="false">IFERROR(INDEX('Input Giocatori 2026_27'!$E$3:$E$493,MATCH($A389,'Input Giocatori 2026_27'!$A$3:$A$493,0)),"")</f>
        <v>3</v>
      </c>
      <c r="O389" s="27" t="n">
        <f aca="false">IFERROR(INDEX('Input Giocatori 2026_27'!$G$3:$G$493,MATCH($A389,'Input Giocatori 2026_27'!$A$3:$A$493,0)),"")</f>
        <v>5</v>
      </c>
      <c r="P389" s="26" t="str">
        <f aca="false">IFERROR(IF($O389="","",IF((1-(COUNTIFS($B$2:$B$492,$B389,$O$2:$O$492,"&gt;"&amp;$O389)+1-1)/COUNTIF($B$2:$B$492,$B389))&gt;=0.85,"Top",IF((1-(COUNTIFS($B$2:$B$492,$B389,$O$2:$O$492,"&gt;"&amp;$O389)+1-1)/COUNTIF($B$2:$B$492,$B389))&gt;=0.6,"Buono",IF((1-(COUNTIFS($B$2:$B$492,$B389,$O$2:$O$492,"&gt;"&amp;$O389)+1-1)/COUNTIF($B$2:$B$492,$B389))&gt;=0.3,"Nella Media","Scommessa/Riserva")))),"")</f>
        <v>Scommessa/Riserva</v>
      </c>
      <c r="Q389" s="29" t="n">
        <f aca="false">IF($D389="",COUNTIF($D$2:$D389,""),"")</f>
        <v>388</v>
      </c>
      <c r="R389" s="29" t="str">
        <f aca="false">IF($D389='Info Lega'!$B$28,COUNTIFS($D$2:$D389,'Info Lega'!$B$28),"")</f>
        <v/>
      </c>
      <c r="S389" s="30" t="n">
        <f aca="false">IFERROR(INDEX('Input Statistiche 2025_26'!$G$3:$G$665,MATCH($A389,'Input Statistiche 2025_26'!$A$3:$A$665,0)),"")</f>
        <v>5.77</v>
      </c>
      <c r="T389" s="30" t="n">
        <f aca="false">IFERROR(INDEX('Input Statistiche 2025_26'!$H$3:$H$665,MATCH($A389,'Input Statistiche 2025_26'!$A$3:$A$665,0)),"")</f>
        <v>5.64</v>
      </c>
      <c r="U389" s="26" t="str">
        <f aca="false">IF(OR('La Mia Rosa'!$O$12="",$D389&lt;&gt;""),"",IF($F389&lt;='La Mia Rosa'!$O$12*'Parametri Modello'!$B$24,"OK",IF($F389&lt;='La Mia Rosa'!$O$12*'Parametri Modello'!$B$25,"Attenzione","Rischio Alto")))</f>
        <v>OK</v>
      </c>
      <c r="V389" s="26" t="n">
        <f aca="false">IFERROR(COUNTIFS($B$2:$B$492,$B389,$O$2:$O$492,"&gt;"&amp;$O389)+1,"")</f>
        <v>146</v>
      </c>
      <c r="W389" s="21" t="n">
        <f aca="false">'Info Lega'!$B$4-SUMIFS($M$2:$M$492,$D$2:$D$492,'Info Lega'!$B$28)</f>
        <v>1000</v>
      </c>
      <c r="X389" s="21" t="n">
        <f aca="false">('Info Lega'!$B$5-COUNTIFS($D$2:$D$492,'Info Lega'!$B$28,$B$2:$B$492,"P"))+('Info Lega'!$B$6-COUNTIFS($D$2:$D$492,'Info Lega'!$B$28,$B$2:$B$492,"D"))+('Info Lega'!$B$7-COUNTIFS($D$2:$D$492,'Info Lega'!$B$28,$B$2:$B$492,"C"))+('Info Lega'!$B$8-COUNTIFS($D$2:$D$492,'Info Lega'!$B$28,$B$2:$B$492,"A"))</f>
        <v>25</v>
      </c>
      <c r="Y389" s="21" t="n">
        <f aca="false">X389*'Parametri Modello'!$B$30</f>
        <v>25</v>
      </c>
      <c r="Z389" s="21" t="n">
        <f aca="false">MAX(0,W389-Y389)</f>
        <v>975</v>
      </c>
      <c r="AA389" s="21" t="n">
        <f aca="false">MIN(F389,Z389)</f>
        <v>3</v>
      </c>
      <c r="AB389" s="21"/>
      <c r="AC389" s="21" t="str">
        <f aca="false">IF(AB389="","",IF(AB389&gt;AA389,"PASS",IF(AB389&lt;=AA389*0.85,"BID","ATTENZIONE")))</f>
        <v/>
      </c>
      <c r="AD389" s="31" t="n">
        <f aca="false">IF(I389="","",ROUND(100*(1-EXP(-I389/30)),0))</f>
        <v>31</v>
      </c>
      <c r="AE389" s="7" t="str">
        <f aca="false">IFERROR(INDEX('Stato Asta'!$G$9:$G$12,MATCH($B389,'Stato Asta'!$A$9:$A$12,0)),"")</f>
        <v>🟡 Attesa rischiosa</v>
      </c>
    </row>
    <row r="390" customFormat="false" ht="14.25" hidden="false" customHeight="true" outlineLevel="0" collapsed="false">
      <c r="A390" s="21" t="n">
        <v>6903</v>
      </c>
      <c r="B390" s="21" t="s">
        <v>45</v>
      </c>
      <c r="C390" s="21" t="s">
        <v>510</v>
      </c>
      <c r="E390" s="26" t="str">
        <f aca="false">IF(COUNTIF('Info Strategia'!$D$2:$D$51,$C390)&gt;0,"SI","NO")</f>
        <v>NO</v>
      </c>
      <c r="F390" s="27" t="n">
        <f aca="false">IFERROR(ROUND(($G390+($H390-$G390)*'Info Strategia'!$B$6)*(1+IF($E390="SI",'Parametri Modello'!$B$7*'Info Strategia'!$B$6,0)),0),"")</f>
        <v>3</v>
      </c>
      <c r="G390" s="27" t="n">
        <f aca="false">IFERROR(ROUND((IF(OR(INDEX('Parametri Modello'!$C$39:$C$42,MATCH($B390,'Parametri Modello'!$A$39:$A$42,0))="",INDEX('Parametri Modello'!$C$39:$C$42,MATCH($B390,'Parametri Modello'!$A$39:$A$42,0))=0),0,($O390/INDEX('Parametri Modello'!$C$39:$C$42,MATCH($B390,'Parametri Modello'!$A$39:$A$42,0)))*(INDEX('Parametri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2</v>
      </c>
      <c r="H390" s="27" t="n">
        <f aca="false">IFERROR(ROUND((IF(OR(INDEX('Parametri Modello'!$C$39:$C$42,MATCH($B390,'Parametri Modello'!$A$39:$A$42,0))="",INDEX('Parametri Modello'!$C$39:$C$42,MATCH($B390,'Parametri Modello'!$A$39:$A$42,0))=0),0,($O390/INDEX('Parametri Modello'!$C$39:$C$42,MATCH($B390,'Parametri Modello'!$A$39:$A$42,0)))*(INDEX('Parametri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3</v>
      </c>
      <c r="I390" s="26" t="str">
        <f aca="false">IFERROR(INDEX('Input Statistiche 2025_26'!$F$3:$F$665,MATCH($A390,'Input Statistiche 2025_26'!$A$3:$A$665,0)),"")</f>
        <v/>
      </c>
      <c r="J390" s="26" t="str">
        <f aca="false">IFERROR(IF($I390="","",MAX(0,38-$I390)),"")</f>
        <v/>
      </c>
      <c r="K390" s="26" t="str">
        <f aca="false">IFERROR(INDEX('Input Statistiche 2025_26'!$I$3:$I$665,MATCH($A390,'Input Statistiche 2025_26'!$A$3:$A$665,0)),"")</f>
        <v/>
      </c>
      <c r="L390" s="26" t="str">
        <f aca="false">IFERROR(INDEX('Input Statistiche 2025_26'!$O$3:$O$665,MATCH($A390,'Input Statistiche 2025_26'!$A$3:$A$665,0)),"")</f>
        <v/>
      </c>
      <c r="M390" s="28"/>
      <c r="N390" s="27" t="n">
        <f aca="false">IFERROR(INDEX('Input Giocatori 2026_27'!$E$3:$E$493,MATCH($A390,'Input Giocatori 2026_27'!$A$3:$A$493,0)),"")</f>
        <v>2</v>
      </c>
      <c r="O390" s="27" t="n">
        <f aca="false">IFERROR(INDEX('Input Giocatori 2026_27'!$G$3:$G$493,MATCH($A390,'Input Giocatori 2026_27'!$A$3:$A$493,0)),"")</f>
        <v>5</v>
      </c>
      <c r="P390" s="26" t="str">
        <f aca="false">IFERROR(IF($O390="","",IF((1-(COUNTIFS($B$2:$B$492,$B390,$O$2:$O$492,"&gt;"&amp;$O390)+1-1)/COUNTIF($B$2:$B$492,$B390))&gt;=0.85,"Top",IF((1-(COUNTIFS($B$2:$B$492,$B390,$O$2:$O$492,"&gt;"&amp;$O390)+1-1)/COUNTIF($B$2:$B$492,$B390))&gt;=0.6,"Buono",IF((1-(COUNTIFS($B$2:$B$492,$B390,$O$2:$O$492,"&gt;"&amp;$O390)+1-1)/COUNTIF($B$2:$B$492,$B390))&gt;=0.3,"Nella Media","Scommessa/Riserva")))),"")</f>
        <v>Scommessa/Riserva</v>
      </c>
      <c r="Q390" s="29" t="n">
        <f aca="false">IF($D390="",COUNTIF($D$2:$D390,""),"")</f>
        <v>389</v>
      </c>
      <c r="R390" s="29" t="str">
        <f aca="false">IF($D390='Info Lega'!$B$28,COUNTIFS($D$2:$D390,'Info Lega'!$B$28),"")</f>
        <v/>
      </c>
      <c r="S390" s="30" t="str">
        <f aca="false">IFERROR(INDEX('Input Statistiche 2025_26'!$G$3:$G$665,MATCH($A390,'Input Statistiche 2025_26'!$A$3:$A$665,0)),"")</f>
        <v/>
      </c>
      <c r="T390" s="30" t="str">
        <f aca="false">IFERROR(INDEX('Input Statistiche 2025_26'!$H$3:$H$665,MATCH($A390,'Input Statistiche 2025_26'!$A$3:$A$665,0)),"")</f>
        <v/>
      </c>
      <c r="U390" s="26" t="str">
        <f aca="false">IF(OR('La Mia Rosa'!$O$12="",$D390&lt;&gt;""),"",IF($F390&lt;='La Mia Rosa'!$O$12*'Parametri Modello'!$B$24,"OK",IF($F390&lt;='La Mia Rosa'!$O$12*'Parametri Modello'!$B$25,"Attenzione","Rischio Alto")))</f>
        <v>OK</v>
      </c>
      <c r="V390" s="26" t="n">
        <f aca="false">IFERROR(COUNTIFS($B$2:$B$492,$B390,$O$2:$O$492,"&gt;"&amp;$O390)+1,"")</f>
        <v>146</v>
      </c>
      <c r="W390" s="21" t="n">
        <f aca="false">'Info Lega'!$B$4-SUMIFS($M$2:$M$492,$D$2:$D$492,'Info Lega'!$B$28)</f>
        <v>1000</v>
      </c>
      <c r="X390" s="21" t="n">
        <f aca="false">('Info Lega'!$B$5-COUNTIFS($D$2:$D$492,'Info Lega'!$B$28,$B$2:$B$492,"P"))+('Info Lega'!$B$6-COUNTIFS($D$2:$D$492,'Info Lega'!$B$28,$B$2:$B$492,"D"))+('Info Lega'!$B$7-COUNTIFS($D$2:$D$492,'Info Lega'!$B$28,$B$2:$B$492,"C"))+('Info Lega'!$B$8-COUNTIFS($D$2:$D$492,'Info Lega'!$B$28,$B$2:$B$492,"A"))</f>
        <v>25</v>
      </c>
      <c r="Y390" s="21" t="n">
        <f aca="false">X390*'Parametri Modello'!$B$30</f>
        <v>25</v>
      </c>
      <c r="Z390" s="21" t="n">
        <f aca="false">MAX(0,W390-Y390)</f>
        <v>975</v>
      </c>
      <c r="AA390" s="21" t="n">
        <f aca="false">MIN(F390,Z390)</f>
        <v>3</v>
      </c>
      <c r="AB390" s="21"/>
      <c r="AC390" s="21" t="str">
        <f aca="false">IF(AB390="","",IF(AB390&gt;AA390,"PASS",IF(AB390&lt;=AA390*0.85,"BID","ATTENZIONE")))</f>
        <v/>
      </c>
      <c r="AD390" s="31" t="str">
        <f aca="false">IF(I390="","",ROUND(100*(1-EXP(-I390/30)),0))</f>
        <v/>
      </c>
      <c r="AE390" s="7" t="str">
        <f aca="false">IFERROR(INDEX('Stato Asta'!$G$9:$G$12,MATCH($B390,'Stato Asta'!$A$9:$A$12,0)),"")</f>
        <v>🟡 Attesa rischiosa</v>
      </c>
    </row>
    <row r="391" customFormat="false" ht="14.25" hidden="false" customHeight="true" outlineLevel="0" collapsed="false">
      <c r="A391" s="21" t="n">
        <v>5457</v>
      </c>
      <c r="B391" s="21" t="s">
        <v>45</v>
      </c>
      <c r="C391" s="21" t="s">
        <v>513</v>
      </c>
      <c r="E391" s="26" t="str">
        <f aca="false">IF(COUNTIF('Info Strategia'!$D$2:$D$51,$C391)&gt;0,"SI","NO")</f>
        <v>NO</v>
      </c>
      <c r="F391" s="27" t="n">
        <f aca="false">IFERROR(ROUND(($G391+($H391-$G391)*'Info Strategia'!$B$6)*(1+IF($E391="SI",'Parametri Modello'!$B$7*'Info Strategia'!$B$6,0)),0),"")</f>
        <v>3</v>
      </c>
      <c r="G391" s="27" t="n">
        <f aca="false">IFERROR(ROUND((IF(OR(INDEX('Parametri Modello'!$C$39:$C$42,MATCH($B391,'Parametri Modello'!$A$39:$A$42,0))="",INDEX('Parametri Modello'!$C$39:$C$42,MATCH($B391,'Parametri Modello'!$A$39:$A$42,0))=0),0,($O391/INDEX('Parametri Modello'!$C$39:$C$42,MATCH($B391,'Parametri Modello'!$A$39:$A$42,0)))*(INDEX('Parametri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2</v>
      </c>
      <c r="H391" s="27" t="n">
        <f aca="false">IFERROR(ROUND((IF(OR(INDEX('Parametri Modello'!$C$39:$C$42,MATCH($B391,'Parametri Modello'!$A$39:$A$42,0))="",INDEX('Parametri Modello'!$C$39:$C$42,MATCH($B391,'Parametri Modello'!$A$39:$A$42,0))=0),0,($O391/INDEX('Parametri Modello'!$C$39:$C$42,MATCH($B391,'Parametri Modello'!$A$39:$A$42,0)))*(INDEX('Parametri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3</v>
      </c>
      <c r="I391" s="26" t="n">
        <f aca="false">IFERROR(INDEX('Input Statistiche 2025_26'!$F$3:$F$665,MATCH($A391,'Input Statistiche 2025_26'!$A$3:$A$665,0)),"")</f>
        <v>21</v>
      </c>
      <c r="J391" s="26" t="n">
        <f aca="false">IFERROR(IF($I391="","",MAX(0,38-$I391)),"")</f>
        <v>17</v>
      </c>
      <c r="K391" s="26" t="n">
        <f aca="false">IFERROR(INDEX('Input Statistiche 2025_26'!$I$3:$I$665,MATCH($A391,'Input Statistiche 2025_26'!$A$3:$A$665,0)),"")</f>
        <v>1</v>
      </c>
      <c r="L391" s="26" t="n">
        <f aca="false">IFERROR(INDEX('Input Statistiche 2025_26'!$O$3:$O$665,MATCH($A391,'Input Statistiche 2025_26'!$A$3:$A$665,0)),"")</f>
        <v>0</v>
      </c>
      <c r="M391" s="28"/>
      <c r="N391" s="27" t="n">
        <f aca="false">IFERROR(INDEX('Input Giocatori 2026_27'!$E$3:$E$493,MATCH($A391,'Input Giocatori 2026_27'!$A$3:$A$493,0)),"")</f>
        <v>2</v>
      </c>
      <c r="O391" s="27" t="n">
        <f aca="false">IFERROR(INDEX('Input Giocatori 2026_27'!$G$3:$G$493,MATCH($A391,'Input Giocatori 2026_27'!$A$3:$A$493,0)),"")</f>
        <v>5</v>
      </c>
      <c r="P391" s="26" t="str">
        <f aca="false">IFERROR(IF($O391="","",IF((1-(COUNTIFS($B$2:$B$492,$B391,$O$2:$O$492,"&gt;"&amp;$O391)+1-1)/COUNTIF($B$2:$B$492,$B391))&gt;=0.85,"Top",IF((1-(COUNTIFS($B$2:$B$492,$B391,$O$2:$O$492,"&gt;"&amp;$O391)+1-1)/COUNTIF($B$2:$B$492,$B391))&gt;=0.6,"Buono",IF((1-(COUNTIFS($B$2:$B$492,$B391,$O$2:$O$492,"&gt;"&amp;$O391)+1-1)/COUNTIF($B$2:$B$492,$B391))&gt;=0.3,"Nella Media","Scommessa/Riserva")))),"")</f>
        <v>Scommessa/Riserva</v>
      </c>
      <c r="Q391" s="29" t="n">
        <f aca="false">IF($D391="",COUNTIF($D$2:$D391,""),"")</f>
        <v>390</v>
      </c>
      <c r="R391" s="29" t="str">
        <f aca="false">IF($D391='Info Lega'!$B$28,COUNTIFS($D$2:$D391,'Info Lega'!$B$28),"")</f>
        <v/>
      </c>
      <c r="S391" s="30" t="n">
        <f aca="false">IFERROR(INDEX('Input Statistiche 2025_26'!$G$3:$G$665,MATCH($A391,'Input Statistiche 2025_26'!$A$3:$A$665,0)),"")</f>
        <v>5.69</v>
      </c>
      <c r="T391" s="30" t="n">
        <f aca="false">IFERROR(INDEX('Input Statistiche 2025_26'!$H$3:$H$665,MATCH($A391,'Input Statistiche 2025_26'!$A$3:$A$665,0)),"")</f>
        <v>5.71</v>
      </c>
      <c r="U391" s="26" t="str">
        <f aca="false">IF(OR('La Mia Rosa'!$O$12="",$D391&lt;&gt;""),"",IF($F391&lt;='La Mia Rosa'!$O$12*'Parametri Modello'!$B$24,"OK",IF($F391&lt;='La Mia Rosa'!$O$12*'Parametri Modello'!$B$25,"Attenzione","Rischio Alto")))</f>
        <v>OK</v>
      </c>
      <c r="V391" s="26" t="n">
        <f aca="false">IFERROR(COUNTIFS($B$2:$B$492,$B391,$O$2:$O$492,"&gt;"&amp;$O391)+1,"")</f>
        <v>146</v>
      </c>
      <c r="W391" s="21" t="n">
        <f aca="false">'Info Lega'!$B$4-SUMIFS($M$2:$M$492,$D$2:$D$492,'Info Lega'!$B$28)</f>
        <v>1000</v>
      </c>
      <c r="X391" s="21" t="n">
        <f aca="false">('Info Lega'!$B$5-COUNTIFS($D$2:$D$492,'Info Lega'!$B$28,$B$2:$B$492,"P"))+('Info Lega'!$B$6-COUNTIFS($D$2:$D$492,'Info Lega'!$B$28,$B$2:$B$492,"D"))+('Info Lega'!$B$7-COUNTIFS($D$2:$D$492,'Info Lega'!$B$28,$B$2:$B$492,"C"))+('Info Lega'!$B$8-COUNTIFS($D$2:$D$492,'Info Lega'!$B$28,$B$2:$B$492,"A"))</f>
        <v>25</v>
      </c>
      <c r="Y391" s="21" t="n">
        <f aca="false">X391*'Parametri Modello'!$B$30</f>
        <v>25</v>
      </c>
      <c r="Z391" s="21" t="n">
        <f aca="false">MAX(0,W391-Y391)</f>
        <v>975</v>
      </c>
      <c r="AA391" s="21" t="n">
        <f aca="false">MIN(F391,Z391)</f>
        <v>3</v>
      </c>
      <c r="AB391" s="21"/>
      <c r="AC391" s="21" t="str">
        <f aca="false">IF(AB391="","",IF(AB391&gt;AA391,"PASS",IF(AB391&lt;=AA391*0.85,"BID","ATTENZIONE")))</f>
        <v/>
      </c>
      <c r="AD391" s="31" t="n">
        <f aca="false">IF(I391="","",ROUND(100*(1-EXP(-I391/30)),0))</f>
        <v>50</v>
      </c>
      <c r="AE391" s="7" t="str">
        <f aca="false">IFERROR(INDEX('Stato Asta'!$G$9:$G$12,MATCH($B391,'Stato Asta'!$A$9:$A$12,0)),"")</f>
        <v>🟡 Attesa rischiosa</v>
      </c>
    </row>
    <row r="392" customFormat="false" ht="14.25" hidden="false" customHeight="true" outlineLevel="0" collapsed="false">
      <c r="A392" s="21" t="n">
        <v>7138</v>
      </c>
      <c r="B392" s="21" t="s">
        <v>45</v>
      </c>
      <c r="C392" s="21" t="s">
        <v>516</v>
      </c>
      <c r="E392" s="26" t="str">
        <f aca="false">IF(COUNTIF('Info Strategia'!$D$2:$D$51,$C392)&gt;0,"SI","NO")</f>
        <v>NO</v>
      </c>
      <c r="F392" s="27" t="n">
        <f aca="false">IFERROR(ROUND(($G392+($H392-$G392)*'Info Strategia'!$B$6)*(1+IF($E392="SI",'Parametri Modello'!$B$7*'Info Strategia'!$B$6,0)),0),"")</f>
        <v>3</v>
      </c>
      <c r="G392" s="27" t="n">
        <f aca="false">IFERROR(ROUND((IF(OR(INDEX('Parametri Modello'!$C$39:$C$42,MATCH($B392,'Parametri Modello'!$A$39:$A$42,0))="",INDEX('Parametri Modello'!$C$39:$C$42,MATCH($B392,'Parametri Modello'!$A$39:$A$42,0))=0),0,($O392/INDEX('Parametri Modello'!$C$39:$C$42,MATCH($B392,'Parametri Modello'!$A$39:$A$42,0)))*(INDEX('Parametri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2</v>
      </c>
      <c r="H392" s="27" t="n">
        <f aca="false">IFERROR(ROUND((IF(OR(INDEX('Parametri Modello'!$C$39:$C$42,MATCH($B392,'Parametri Modello'!$A$39:$A$42,0))="",INDEX('Parametri Modello'!$C$39:$C$42,MATCH($B392,'Parametri Modello'!$A$39:$A$42,0))=0),0,($O392/INDEX('Parametri Modello'!$C$39:$C$42,MATCH($B392,'Parametri Modello'!$A$39:$A$42,0)))*(INDEX('Parametri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3</v>
      </c>
      <c r="I392" s="26" t="n">
        <f aca="false">IFERROR(INDEX('Input Statistiche 2025_26'!$F$3:$F$665,MATCH($A392,'Input Statistiche 2025_26'!$A$3:$A$665,0)),"")</f>
        <v>21</v>
      </c>
      <c r="J392" s="26" t="n">
        <f aca="false">IFERROR(IF($I392="","",MAX(0,38-$I392)),"")</f>
        <v>17</v>
      </c>
      <c r="K392" s="26" t="n">
        <f aca="false">IFERROR(INDEX('Input Statistiche 2025_26'!$I$3:$I$665,MATCH($A392,'Input Statistiche 2025_26'!$A$3:$A$665,0)),"")</f>
        <v>1</v>
      </c>
      <c r="L392" s="26" t="n">
        <f aca="false">IFERROR(INDEX('Input Statistiche 2025_26'!$O$3:$O$665,MATCH($A392,'Input Statistiche 2025_26'!$A$3:$A$665,0)),"")</f>
        <v>0</v>
      </c>
      <c r="M392" s="28"/>
      <c r="N392" s="27" t="n">
        <f aca="false">IFERROR(INDEX('Input Giocatori 2026_27'!$E$3:$E$493,MATCH($A392,'Input Giocatori 2026_27'!$A$3:$A$493,0)),"")</f>
        <v>2</v>
      </c>
      <c r="O392" s="27" t="n">
        <f aca="false">IFERROR(INDEX('Input Giocatori 2026_27'!$G$3:$G$493,MATCH($A392,'Input Giocatori 2026_27'!$A$3:$A$493,0)),"")</f>
        <v>5</v>
      </c>
      <c r="P392" s="26" t="str">
        <f aca="false">IFERROR(IF($O392="","",IF((1-(COUNTIFS($B$2:$B$492,$B392,$O$2:$O$492,"&gt;"&amp;$O392)+1-1)/COUNTIF($B$2:$B$492,$B392))&gt;=0.85,"Top",IF((1-(COUNTIFS($B$2:$B$492,$B392,$O$2:$O$492,"&gt;"&amp;$O392)+1-1)/COUNTIF($B$2:$B$492,$B392))&gt;=0.6,"Buono",IF((1-(COUNTIFS($B$2:$B$492,$B392,$O$2:$O$492,"&gt;"&amp;$O392)+1-1)/COUNTIF($B$2:$B$492,$B392))&gt;=0.3,"Nella Media","Scommessa/Riserva")))),"")</f>
        <v>Scommessa/Riserva</v>
      </c>
      <c r="Q392" s="29" t="n">
        <f aca="false">IF($D392="",COUNTIF($D$2:$D392,""),"")</f>
        <v>391</v>
      </c>
      <c r="R392" s="29" t="str">
        <f aca="false">IF($D392='Info Lega'!$B$28,COUNTIFS($D$2:$D392,'Info Lega'!$B$28),"")</f>
        <v/>
      </c>
      <c r="S392" s="30" t="n">
        <f aca="false">IFERROR(INDEX('Input Statistiche 2025_26'!$G$3:$G$665,MATCH($A392,'Input Statistiche 2025_26'!$A$3:$A$665,0)),"")</f>
        <v>5.79</v>
      </c>
      <c r="T392" s="30" t="n">
        <f aca="false">IFERROR(INDEX('Input Statistiche 2025_26'!$H$3:$H$665,MATCH($A392,'Input Statistiche 2025_26'!$A$3:$A$665,0)),"")</f>
        <v>5.81</v>
      </c>
      <c r="U392" s="26" t="str">
        <f aca="false">IF(OR('La Mia Rosa'!$O$12="",$D392&lt;&gt;""),"",IF($F392&lt;='La Mia Rosa'!$O$12*'Parametri Modello'!$B$24,"OK",IF($F392&lt;='La Mia Rosa'!$O$12*'Parametri Modello'!$B$25,"Attenzione","Rischio Alto")))</f>
        <v>OK</v>
      </c>
      <c r="V392" s="26" t="n">
        <f aca="false">IFERROR(COUNTIFS($B$2:$B$492,$B392,$O$2:$O$492,"&gt;"&amp;$O392)+1,"")</f>
        <v>146</v>
      </c>
      <c r="W392" s="21" t="n">
        <f aca="false">'Info Lega'!$B$4-SUMIFS($M$2:$M$492,$D$2:$D$492,'Info Lega'!$B$28)</f>
        <v>1000</v>
      </c>
      <c r="X392" s="21" t="n">
        <f aca="false">('Info Lega'!$B$5-COUNTIFS($D$2:$D$492,'Info Lega'!$B$28,$B$2:$B$492,"P"))+('Info Lega'!$B$6-COUNTIFS($D$2:$D$492,'Info Lega'!$B$28,$B$2:$B$492,"D"))+('Info Lega'!$B$7-COUNTIFS($D$2:$D$492,'Info Lega'!$B$28,$B$2:$B$492,"C"))+('Info Lega'!$B$8-COUNTIFS($D$2:$D$492,'Info Lega'!$B$28,$B$2:$B$492,"A"))</f>
        <v>25</v>
      </c>
      <c r="Y392" s="21" t="n">
        <f aca="false">X392*'Parametri Modello'!$B$30</f>
        <v>25</v>
      </c>
      <c r="Z392" s="21" t="n">
        <f aca="false">MAX(0,W392-Y392)</f>
        <v>975</v>
      </c>
      <c r="AA392" s="21" t="n">
        <f aca="false">MIN(F392,Z392)</f>
        <v>3</v>
      </c>
      <c r="AB392" s="21"/>
      <c r="AC392" s="21" t="str">
        <f aca="false">IF(AB392="","",IF(AB392&gt;AA392,"PASS",IF(AB392&lt;=AA392*0.85,"BID","ATTENZIONE")))</f>
        <v/>
      </c>
      <c r="AD392" s="31" t="n">
        <f aca="false">IF(I392="","",ROUND(100*(1-EXP(-I392/30)),0))</f>
        <v>50</v>
      </c>
      <c r="AE392" s="7" t="str">
        <f aca="false">IFERROR(INDEX('Stato Asta'!$G$9:$G$12,MATCH($B392,'Stato Asta'!$A$9:$A$12,0)),"")</f>
        <v>🟡 Attesa rischiosa</v>
      </c>
    </row>
    <row r="393" customFormat="false" ht="14.25" hidden="false" customHeight="true" outlineLevel="0" collapsed="false">
      <c r="A393" s="21" t="n">
        <v>6219</v>
      </c>
      <c r="B393" s="21" t="s">
        <v>45</v>
      </c>
      <c r="C393" s="21" t="s">
        <v>517</v>
      </c>
      <c r="E393" s="26" t="str">
        <f aca="false">IF(COUNTIF('Info Strategia'!$D$2:$D$51,$C393)&gt;0,"SI","NO")</f>
        <v>NO</v>
      </c>
      <c r="F393" s="27" t="n">
        <f aca="false">IFERROR(ROUND(($G393+($H393-$G393)*'Info Strategia'!$B$6)*(1+IF($E393="SI",'Parametri Modello'!$B$7*'Info Strategia'!$B$6,0)),0),"")</f>
        <v>3</v>
      </c>
      <c r="G393" s="27" t="n">
        <f aca="false">IFERROR(ROUND((IF(OR(INDEX('Parametri Modello'!$C$39:$C$42,MATCH($B393,'Parametri Modello'!$A$39:$A$42,0))="",INDEX('Parametri Modello'!$C$39:$C$42,MATCH($B393,'Parametri Modello'!$A$39:$A$42,0))=0),0,($O393/INDEX('Parametri Modello'!$C$39:$C$42,MATCH($B393,'Parametri Modello'!$A$39:$A$42,0)))*(INDEX('Parametri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2</v>
      </c>
      <c r="H393" s="27" t="n">
        <f aca="false">IFERROR(ROUND((IF(OR(INDEX('Parametri Modello'!$C$39:$C$42,MATCH($B393,'Parametri Modello'!$A$39:$A$42,0))="",INDEX('Parametri Modello'!$C$39:$C$42,MATCH($B393,'Parametri Modello'!$A$39:$A$42,0))=0),0,($O393/INDEX('Parametri Modello'!$C$39:$C$42,MATCH($B393,'Parametri Modello'!$A$39:$A$42,0)))*(INDEX('Parametri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3</v>
      </c>
      <c r="I393" s="26" t="n">
        <f aca="false">IFERROR(INDEX('Input Statistiche 2025_26'!$F$3:$F$665,MATCH($A393,'Input Statistiche 2025_26'!$A$3:$A$665,0)),"")</f>
        <v>2</v>
      </c>
      <c r="J393" s="26" t="n">
        <f aca="false">IFERROR(IF($I393="","",MAX(0,38-$I393)),"")</f>
        <v>36</v>
      </c>
      <c r="K393" s="26" t="n">
        <f aca="false">IFERROR(INDEX('Input Statistiche 2025_26'!$I$3:$I$665,MATCH($A393,'Input Statistiche 2025_26'!$A$3:$A$665,0)),"")</f>
        <v>0</v>
      </c>
      <c r="L393" s="26" t="n">
        <f aca="false">IFERROR(INDEX('Input Statistiche 2025_26'!$O$3:$O$665,MATCH($A393,'Input Statistiche 2025_26'!$A$3:$A$665,0)),"")</f>
        <v>0</v>
      </c>
      <c r="M393" s="28"/>
      <c r="N393" s="27" t="n">
        <f aca="false">IFERROR(INDEX('Input Giocatori 2026_27'!$E$3:$E$493,MATCH($A393,'Input Giocatori 2026_27'!$A$3:$A$493,0)),"")</f>
        <v>2</v>
      </c>
      <c r="O393" s="27" t="n">
        <f aca="false">IFERROR(INDEX('Input Giocatori 2026_27'!$G$3:$G$493,MATCH($A393,'Input Giocatori 2026_27'!$A$3:$A$493,0)),"")</f>
        <v>5</v>
      </c>
      <c r="P393" s="26" t="str">
        <f aca="false">IFERROR(IF($O393="","",IF((1-(COUNTIFS($B$2:$B$492,$B393,$O$2:$O$492,"&gt;"&amp;$O393)+1-1)/COUNTIF($B$2:$B$492,$B393))&gt;=0.85,"Top",IF((1-(COUNTIFS($B$2:$B$492,$B393,$O$2:$O$492,"&gt;"&amp;$O393)+1-1)/COUNTIF($B$2:$B$492,$B393))&gt;=0.6,"Buono",IF((1-(COUNTIFS($B$2:$B$492,$B393,$O$2:$O$492,"&gt;"&amp;$O393)+1-1)/COUNTIF($B$2:$B$492,$B393))&gt;=0.3,"Nella Media","Scommessa/Riserva")))),"")</f>
        <v>Scommessa/Riserva</v>
      </c>
      <c r="Q393" s="29" t="n">
        <f aca="false">IF($D393="",COUNTIF($D$2:$D393,""),"")</f>
        <v>392</v>
      </c>
      <c r="R393" s="29" t="str">
        <f aca="false">IF($D393='Info Lega'!$B$28,COUNTIFS($D$2:$D393,'Info Lega'!$B$28),"")</f>
        <v/>
      </c>
      <c r="S393" s="30" t="n">
        <f aca="false">IFERROR(INDEX('Input Statistiche 2025_26'!$G$3:$G$665,MATCH($A393,'Input Statistiche 2025_26'!$A$3:$A$665,0)),"")</f>
        <v>5.75</v>
      </c>
      <c r="T393" s="30" t="n">
        <f aca="false">IFERROR(INDEX('Input Statistiche 2025_26'!$H$3:$H$665,MATCH($A393,'Input Statistiche 2025_26'!$A$3:$A$665,0)),"")</f>
        <v>5.75</v>
      </c>
      <c r="U393" s="26" t="str">
        <f aca="false">IF(OR('La Mia Rosa'!$O$12="",$D393&lt;&gt;""),"",IF($F393&lt;='La Mia Rosa'!$O$12*'Parametri Modello'!$B$24,"OK",IF($F393&lt;='La Mia Rosa'!$O$12*'Parametri Modello'!$B$25,"Attenzione","Rischio Alto")))</f>
        <v>OK</v>
      </c>
      <c r="V393" s="26" t="n">
        <f aca="false">IFERROR(COUNTIFS($B$2:$B$492,$B393,$O$2:$O$492,"&gt;"&amp;$O393)+1,"")</f>
        <v>146</v>
      </c>
      <c r="W393" s="21" t="n">
        <f aca="false">'Info Lega'!$B$4-SUMIFS($M$2:$M$492,$D$2:$D$492,'Info Lega'!$B$28)</f>
        <v>1000</v>
      </c>
      <c r="X393" s="21" t="n">
        <f aca="false">('Info Lega'!$B$5-COUNTIFS($D$2:$D$492,'Info Lega'!$B$28,$B$2:$B$492,"P"))+('Info Lega'!$B$6-COUNTIFS($D$2:$D$492,'Info Lega'!$B$28,$B$2:$B$492,"D"))+('Info Lega'!$B$7-COUNTIFS($D$2:$D$492,'Info Lega'!$B$28,$B$2:$B$492,"C"))+('Info Lega'!$B$8-COUNTIFS($D$2:$D$492,'Info Lega'!$B$28,$B$2:$B$492,"A"))</f>
        <v>25</v>
      </c>
      <c r="Y393" s="21" t="n">
        <f aca="false">X393*'Parametri Modello'!$B$30</f>
        <v>25</v>
      </c>
      <c r="Z393" s="21" t="n">
        <f aca="false">MAX(0,W393-Y393)</f>
        <v>975</v>
      </c>
      <c r="AA393" s="21" t="n">
        <f aca="false">MIN(F393,Z393)</f>
        <v>3</v>
      </c>
      <c r="AB393" s="21"/>
      <c r="AC393" s="21" t="str">
        <f aca="false">IF(AB393="","",IF(AB393&gt;AA393,"PASS",IF(AB393&lt;=AA393*0.85,"BID","ATTENZIONE")))</f>
        <v/>
      </c>
      <c r="AD393" s="31" t="n">
        <f aca="false">IF(I393="","",ROUND(100*(1-EXP(-I393/30)),0))</f>
        <v>6</v>
      </c>
      <c r="AE393" s="7" t="str">
        <f aca="false">IFERROR(INDEX('Stato Asta'!$G$9:$G$12,MATCH($B393,'Stato Asta'!$A$9:$A$12,0)),"")</f>
        <v>🟡 Attesa rischiosa</v>
      </c>
    </row>
    <row r="394" customFormat="false" ht="14.25" hidden="false" customHeight="true" outlineLevel="0" collapsed="false">
      <c r="A394" s="21" t="n">
        <v>6246</v>
      </c>
      <c r="B394" s="21" t="s">
        <v>45</v>
      </c>
      <c r="C394" s="21" t="s">
        <v>518</v>
      </c>
      <c r="E394" s="26" t="str">
        <f aca="false">IF(COUNTIF('Info Strategia'!$D$2:$D$51,$C394)&gt;0,"SI","NO")</f>
        <v>NO</v>
      </c>
      <c r="F394" s="27" t="n">
        <f aca="false">IFERROR(ROUND(($G394+($H394-$G394)*'Info Strategia'!$B$6)*(1+IF($E394="SI",'Parametri Modello'!$B$7*'Info Strategia'!$B$6,0)),0),"")</f>
        <v>3</v>
      </c>
      <c r="G394" s="27" t="n">
        <f aca="false">IFERROR(ROUND((IF(OR(INDEX('Parametri Modello'!$C$39:$C$42,MATCH($B394,'Parametri Modello'!$A$39:$A$42,0))="",INDEX('Parametri Modello'!$C$39:$C$42,MATCH($B394,'Parametri Modello'!$A$39:$A$42,0))=0),0,($O394/INDEX('Parametri Modello'!$C$39:$C$42,MATCH($B394,'Parametri Modello'!$A$39:$A$42,0)))*(INDEX('Parametri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2</v>
      </c>
      <c r="H394" s="27" t="n">
        <f aca="false">IFERROR(ROUND((IF(OR(INDEX('Parametri Modello'!$C$39:$C$42,MATCH($B394,'Parametri Modello'!$A$39:$A$42,0))="",INDEX('Parametri Modello'!$C$39:$C$42,MATCH($B394,'Parametri Modello'!$A$39:$A$42,0))=0),0,($O394/INDEX('Parametri Modello'!$C$39:$C$42,MATCH($B394,'Parametri Modello'!$A$39:$A$42,0)))*(INDEX('Parametri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3</v>
      </c>
      <c r="I394" s="26" t="n">
        <f aca="false">IFERROR(INDEX('Input Statistiche 2025_26'!$F$3:$F$665,MATCH($A394,'Input Statistiche 2025_26'!$A$3:$A$665,0)),"")</f>
        <v>21</v>
      </c>
      <c r="J394" s="26" t="n">
        <f aca="false">IFERROR(IF($I394="","",MAX(0,38-$I394)),"")</f>
        <v>17</v>
      </c>
      <c r="K394" s="26" t="n">
        <f aca="false">IFERROR(INDEX('Input Statistiche 2025_26'!$I$3:$I$665,MATCH($A394,'Input Statistiche 2025_26'!$A$3:$A$665,0)),"")</f>
        <v>0</v>
      </c>
      <c r="L394" s="26" t="n">
        <f aca="false">IFERROR(INDEX('Input Statistiche 2025_26'!$O$3:$O$665,MATCH($A394,'Input Statistiche 2025_26'!$A$3:$A$665,0)),"")</f>
        <v>1</v>
      </c>
      <c r="M394" s="28"/>
      <c r="N394" s="27" t="n">
        <f aca="false">IFERROR(INDEX('Input Giocatori 2026_27'!$E$3:$E$493,MATCH($A394,'Input Giocatori 2026_27'!$A$3:$A$493,0)),"")</f>
        <v>2</v>
      </c>
      <c r="O394" s="27" t="n">
        <f aca="false">IFERROR(INDEX('Input Giocatori 2026_27'!$G$3:$G$493,MATCH($A394,'Input Giocatori 2026_27'!$A$3:$A$493,0)),"")</f>
        <v>5</v>
      </c>
      <c r="P394" s="26" t="str">
        <f aca="false">IFERROR(IF($O394="","",IF((1-(COUNTIFS($B$2:$B$492,$B394,$O$2:$O$492,"&gt;"&amp;$O394)+1-1)/COUNTIF($B$2:$B$492,$B394))&gt;=0.85,"Top",IF((1-(COUNTIFS($B$2:$B$492,$B394,$O$2:$O$492,"&gt;"&amp;$O394)+1-1)/COUNTIF($B$2:$B$492,$B394))&gt;=0.6,"Buono",IF((1-(COUNTIFS($B$2:$B$492,$B394,$O$2:$O$492,"&gt;"&amp;$O394)+1-1)/COUNTIF($B$2:$B$492,$B394))&gt;=0.3,"Nella Media","Scommessa/Riserva")))),"")</f>
        <v>Scommessa/Riserva</v>
      </c>
      <c r="Q394" s="29" t="n">
        <f aca="false">IF($D394="",COUNTIF($D$2:$D394,""),"")</f>
        <v>393</v>
      </c>
      <c r="R394" s="29" t="str">
        <f aca="false">IF($D394='Info Lega'!$B$28,COUNTIFS($D$2:$D394,'Info Lega'!$B$28),"")</f>
        <v/>
      </c>
      <c r="S394" s="30" t="n">
        <f aca="false">IFERROR(INDEX('Input Statistiche 2025_26'!$G$3:$G$665,MATCH($A394,'Input Statistiche 2025_26'!$A$3:$A$665,0)),"")</f>
        <v>5.93</v>
      </c>
      <c r="T394" s="30" t="n">
        <f aca="false">IFERROR(INDEX('Input Statistiche 2025_26'!$H$3:$H$665,MATCH($A394,'Input Statistiche 2025_26'!$A$3:$A$665,0)),"")</f>
        <v>5.9</v>
      </c>
      <c r="U394" s="26" t="str">
        <f aca="false">IF(OR('La Mia Rosa'!$O$12="",$D394&lt;&gt;""),"",IF($F394&lt;='La Mia Rosa'!$O$12*'Parametri Modello'!$B$24,"OK",IF($F394&lt;='La Mia Rosa'!$O$12*'Parametri Modello'!$B$25,"Attenzione","Rischio Alto")))</f>
        <v>OK</v>
      </c>
      <c r="V394" s="26" t="n">
        <f aca="false">IFERROR(COUNTIFS($B$2:$B$492,$B394,$O$2:$O$492,"&gt;"&amp;$O394)+1,"")</f>
        <v>146</v>
      </c>
      <c r="W394" s="21" t="n">
        <f aca="false">'Info Lega'!$B$4-SUMIFS($M$2:$M$492,$D$2:$D$492,'Info Lega'!$B$28)</f>
        <v>1000</v>
      </c>
      <c r="X394" s="21" t="n">
        <f aca="false">('Info Lega'!$B$5-COUNTIFS($D$2:$D$492,'Info Lega'!$B$28,$B$2:$B$492,"P"))+('Info Lega'!$B$6-COUNTIFS($D$2:$D$492,'Info Lega'!$B$28,$B$2:$B$492,"D"))+('Info Lega'!$B$7-COUNTIFS($D$2:$D$492,'Info Lega'!$B$28,$B$2:$B$492,"C"))+('Info Lega'!$B$8-COUNTIFS($D$2:$D$492,'Info Lega'!$B$28,$B$2:$B$492,"A"))</f>
        <v>25</v>
      </c>
      <c r="Y394" s="21" t="n">
        <f aca="false">X394*'Parametri Modello'!$B$30</f>
        <v>25</v>
      </c>
      <c r="Z394" s="21" t="n">
        <f aca="false">MAX(0,W394-Y394)</f>
        <v>975</v>
      </c>
      <c r="AA394" s="21" t="n">
        <f aca="false">MIN(F394,Z394)</f>
        <v>3</v>
      </c>
      <c r="AB394" s="21"/>
      <c r="AC394" s="21" t="str">
        <f aca="false">IF(AB394="","",IF(AB394&gt;AA394,"PASS",IF(AB394&lt;=AA394*0.85,"BID","ATTENZIONE")))</f>
        <v/>
      </c>
      <c r="AD394" s="31" t="n">
        <f aca="false">IF(I394="","",ROUND(100*(1-EXP(-I394/30)),0))</f>
        <v>50</v>
      </c>
      <c r="AE394" s="7" t="str">
        <f aca="false">IFERROR(INDEX('Stato Asta'!$G$9:$G$12,MATCH($B394,'Stato Asta'!$A$9:$A$12,0)),"")</f>
        <v>🟡 Attesa rischiosa</v>
      </c>
    </row>
    <row r="395" customFormat="false" ht="14.25" hidden="false" customHeight="true" outlineLevel="0" collapsed="false">
      <c r="A395" s="21" t="n">
        <v>6191</v>
      </c>
      <c r="B395" s="21" t="s">
        <v>45</v>
      </c>
      <c r="C395" s="21" t="s">
        <v>525</v>
      </c>
      <c r="E395" s="26" t="str">
        <f aca="false">IF(COUNTIF('Info Strategia'!$D$2:$D$51,$C395)&gt;0,"SI","NO")</f>
        <v>NO</v>
      </c>
      <c r="F395" s="27" t="n">
        <f aca="false">IFERROR(ROUND(($G395+($H395-$G395)*'Info Strategia'!$B$6)*(1+IF($E395="SI",'Parametri Modello'!$B$7*'Info Strategia'!$B$6,0)),0),"")</f>
        <v>3</v>
      </c>
      <c r="G395" s="27" t="n">
        <f aca="false">IFERROR(ROUND((IF(OR(INDEX('Parametri Modello'!$C$39:$C$42,MATCH($B395,'Parametri Modello'!$A$39:$A$42,0))="",INDEX('Parametri Modello'!$C$39:$C$42,MATCH($B395,'Parametri Modello'!$A$39:$A$42,0))=0),0,($O395/INDEX('Parametri Modello'!$C$39:$C$42,MATCH($B395,'Parametri Modello'!$A$39:$A$42,0)))*(INDEX('Parametri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2</v>
      </c>
      <c r="H395" s="27" t="n">
        <f aca="false">IFERROR(ROUND((IF(OR(INDEX('Parametri Modello'!$C$39:$C$42,MATCH($B395,'Parametri Modello'!$A$39:$A$42,0))="",INDEX('Parametri Modello'!$C$39:$C$42,MATCH($B395,'Parametri Modello'!$A$39:$A$42,0))=0),0,($O395/INDEX('Parametri Modello'!$C$39:$C$42,MATCH($B395,'Parametri Modello'!$A$39:$A$42,0)))*(INDEX('Parametri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3</v>
      </c>
      <c r="I395" s="26" t="n">
        <f aca="false">IFERROR(INDEX('Input Statistiche 2025_26'!$F$3:$F$665,MATCH($A395,'Input Statistiche 2025_26'!$A$3:$A$665,0)),"")</f>
        <v>11</v>
      </c>
      <c r="J395" s="26" t="n">
        <f aca="false">IFERROR(IF($I395="","",MAX(0,38-$I395)),"")</f>
        <v>27</v>
      </c>
      <c r="K395" s="26" t="n">
        <f aca="false">IFERROR(INDEX('Input Statistiche 2025_26'!$I$3:$I$665,MATCH($A395,'Input Statistiche 2025_26'!$A$3:$A$665,0)),"")</f>
        <v>0</v>
      </c>
      <c r="L395" s="26" t="n">
        <f aca="false">IFERROR(INDEX('Input Statistiche 2025_26'!$O$3:$O$665,MATCH($A395,'Input Statistiche 2025_26'!$A$3:$A$665,0)),"")</f>
        <v>2</v>
      </c>
      <c r="M395" s="28"/>
      <c r="N395" s="27" t="n">
        <f aca="false">IFERROR(INDEX('Input Giocatori 2026_27'!$E$3:$E$493,MATCH($A395,'Input Giocatori 2026_27'!$A$3:$A$493,0)),"")</f>
        <v>1</v>
      </c>
      <c r="O395" s="27" t="n">
        <f aca="false">IFERROR(INDEX('Input Giocatori 2026_27'!$G$3:$G$493,MATCH($A395,'Input Giocatori 2026_27'!$A$3:$A$493,0)),"")</f>
        <v>5</v>
      </c>
      <c r="P395" s="26" t="str">
        <f aca="false">IFERROR(IF($O395="","",IF((1-(COUNTIFS($B$2:$B$492,$B395,$O$2:$O$492,"&gt;"&amp;$O395)+1-1)/COUNTIF($B$2:$B$492,$B395))&gt;=0.85,"Top",IF((1-(COUNTIFS($B$2:$B$492,$B395,$O$2:$O$492,"&gt;"&amp;$O395)+1-1)/COUNTIF($B$2:$B$492,$B395))&gt;=0.6,"Buono",IF((1-(COUNTIFS($B$2:$B$492,$B395,$O$2:$O$492,"&gt;"&amp;$O395)+1-1)/COUNTIF($B$2:$B$492,$B395))&gt;=0.3,"Nella Media","Scommessa/Riserva")))),"")</f>
        <v>Scommessa/Riserva</v>
      </c>
      <c r="Q395" s="29" t="n">
        <f aca="false">IF($D395="",COUNTIF($D$2:$D395,""),"")</f>
        <v>394</v>
      </c>
      <c r="R395" s="29" t="str">
        <f aca="false">IF($D395='Info Lega'!$B$28,COUNTIFS($D$2:$D395,'Info Lega'!$B$28),"")</f>
        <v/>
      </c>
      <c r="S395" s="30" t="n">
        <f aca="false">IFERROR(INDEX('Input Statistiche 2025_26'!$G$3:$G$665,MATCH($A395,'Input Statistiche 2025_26'!$A$3:$A$665,0)),"")</f>
        <v>5.77</v>
      </c>
      <c r="T395" s="30" t="n">
        <f aca="false">IFERROR(INDEX('Input Statistiche 2025_26'!$H$3:$H$665,MATCH($A395,'Input Statistiche 2025_26'!$A$3:$A$665,0)),"")</f>
        <v>5.82</v>
      </c>
      <c r="U395" s="26" t="str">
        <f aca="false">IF(OR('La Mia Rosa'!$O$12="",$D395&lt;&gt;""),"",IF($F395&lt;='La Mia Rosa'!$O$12*'Parametri Modello'!$B$24,"OK",IF($F395&lt;='La Mia Rosa'!$O$12*'Parametri Modello'!$B$25,"Attenzione","Rischio Alto")))</f>
        <v>OK</v>
      </c>
      <c r="V395" s="26" t="n">
        <f aca="false">IFERROR(COUNTIFS($B$2:$B$492,$B395,$O$2:$O$492,"&gt;"&amp;$O395)+1,"")</f>
        <v>146</v>
      </c>
      <c r="W395" s="21" t="n">
        <f aca="false">'Info Lega'!$B$4-SUMIFS($M$2:$M$492,$D$2:$D$492,'Info Lega'!$B$28)</f>
        <v>1000</v>
      </c>
      <c r="X395" s="21" t="n">
        <f aca="false">('Info Lega'!$B$5-COUNTIFS($D$2:$D$492,'Info Lega'!$B$28,$B$2:$B$492,"P"))+('Info Lega'!$B$6-COUNTIFS($D$2:$D$492,'Info Lega'!$B$28,$B$2:$B$492,"D"))+('Info Lega'!$B$7-COUNTIFS($D$2:$D$492,'Info Lega'!$B$28,$B$2:$B$492,"C"))+('Info Lega'!$B$8-COUNTIFS($D$2:$D$492,'Info Lega'!$B$28,$B$2:$B$492,"A"))</f>
        <v>25</v>
      </c>
      <c r="Y395" s="21" t="n">
        <f aca="false">X395*'Parametri Modello'!$B$30</f>
        <v>25</v>
      </c>
      <c r="Z395" s="21" t="n">
        <f aca="false">MAX(0,W395-Y395)</f>
        <v>975</v>
      </c>
      <c r="AA395" s="21" t="n">
        <f aca="false">MIN(F395,Z395)</f>
        <v>3</v>
      </c>
      <c r="AB395" s="21"/>
      <c r="AC395" s="21" t="str">
        <f aca="false">IF(AB395="","",IF(AB395&gt;AA395,"PASS",IF(AB395&lt;=AA395*0.85,"BID","ATTENZIONE")))</f>
        <v/>
      </c>
      <c r="AD395" s="31" t="n">
        <f aca="false">IF(I395="","",ROUND(100*(1-EXP(-I395/30)),0))</f>
        <v>31</v>
      </c>
      <c r="AE395" s="7" t="str">
        <f aca="false">IFERROR(INDEX('Stato Asta'!$G$9:$G$12,MATCH($B395,'Stato Asta'!$A$9:$A$12,0)),"")</f>
        <v>🟡 Attesa rischiosa</v>
      </c>
    </row>
    <row r="396" customFormat="false" ht="14.25" hidden="false" customHeight="true" outlineLevel="0" collapsed="false">
      <c r="A396" s="21" t="n">
        <v>7345</v>
      </c>
      <c r="B396" s="21" t="s">
        <v>45</v>
      </c>
      <c r="C396" s="21" t="s">
        <v>526</v>
      </c>
      <c r="E396" s="26" t="str">
        <f aca="false">IF(COUNTIF('Info Strategia'!$D$2:$D$51,$C396)&gt;0,"SI","NO")</f>
        <v>NO</v>
      </c>
      <c r="F396" s="27" t="n">
        <f aca="false">IFERROR(ROUND(($G396+($H396-$G396)*'Info Strategia'!$B$6)*(1+IF($E396="SI",'Parametri Modello'!$B$7*'Info Strategia'!$B$6,0)),0),"")</f>
        <v>3</v>
      </c>
      <c r="G396" s="27" t="n">
        <f aca="false">IFERROR(ROUND((IF(OR(INDEX('Parametri Modello'!$C$39:$C$42,MATCH($B396,'Parametri Modello'!$A$39:$A$42,0))="",INDEX('Parametri Modello'!$C$39:$C$42,MATCH($B396,'Parametri Modello'!$A$39:$A$42,0))=0),0,($O396/INDEX('Parametri Modello'!$C$39:$C$42,MATCH($B396,'Parametri Modello'!$A$39:$A$42,0)))*(INDEX('Parametri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2</v>
      </c>
      <c r="H396" s="27" t="n">
        <f aca="false">IFERROR(ROUND((IF(OR(INDEX('Parametri Modello'!$C$39:$C$42,MATCH($B396,'Parametri Modello'!$A$39:$A$42,0))="",INDEX('Parametri Modello'!$C$39:$C$42,MATCH($B396,'Parametri Modello'!$A$39:$A$42,0))=0),0,($O396/INDEX('Parametri Modello'!$C$39:$C$42,MATCH($B396,'Parametri Modello'!$A$39:$A$42,0)))*(INDEX('Parametri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3</v>
      </c>
      <c r="I396" s="26" t="n">
        <f aca="false">IFERROR(INDEX('Input Statistiche 2025_26'!$F$3:$F$665,MATCH($A396,'Input Statistiche 2025_26'!$A$3:$A$665,0)),"")</f>
        <v>0</v>
      </c>
      <c r="J396" s="26" t="n">
        <f aca="false">IFERROR(IF($I396="","",MAX(0,38-$I396)),"")</f>
        <v>38</v>
      </c>
      <c r="K396" s="26" t="n">
        <f aca="false">IFERROR(INDEX('Input Statistiche 2025_26'!$I$3:$I$665,MATCH($A396,'Input Statistiche 2025_26'!$A$3:$A$665,0)),"")</f>
        <v>0</v>
      </c>
      <c r="L396" s="26" t="n">
        <f aca="false">IFERROR(INDEX('Input Statistiche 2025_26'!$O$3:$O$665,MATCH($A396,'Input Statistiche 2025_26'!$A$3:$A$665,0)),"")</f>
        <v>0</v>
      </c>
      <c r="M396" s="28"/>
      <c r="N396" s="27" t="n">
        <f aca="false">IFERROR(INDEX('Input Giocatori 2026_27'!$E$3:$E$493,MATCH($A396,'Input Giocatori 2026_27'!$A$3:$A$493,0)),"")</f>
        <v>1</v>
      </c>
      <c r="O396" s="27" t="n">
        <f aca="false">IFERROR(INDEX('Input Giocatori 2026_27'!$G$3:$G$493,MATCH($A396,'Input Giocatori 2026_27'!$A$3:$A$493,0)),"")</f>
        <v>5</v>
      </c>
      <c r="P396" s="26" t="str">
        <f aca="false">IFERROR(IF($O396="","",IF((1-(COUNTIFS($B$2:$B$492,$B396,$O$2:$O$492,"&gt;"&amp;$O396)+1-1)/COUNTIF($B$2:$B$492,$B396))&gt;=0.85,"Top",IF((1-(COUNTIFS($B$2:$B$492,$B396,$O$2:$O$492,"&gt;"&amp;$O396)+1-1)/COUNTIF($B$2:$B$492,$B396))&gt;=0.6,"Buono",IF((1-(COUNTIFS($B$2:$B$492,$B396,$O$2:$O$492,"&gt;"&amp;$O396)+1-1)/COUNTIF($B$2:$B$492,$B396))&gt;=0.3,"Nella Media","Scommessa/Riserva")))),"")</f>
        <v>Scommessa/Riserva</v>
      </c>
      <c r="Q396" s="29" t="n">
        <f aca="false">IF($D396="",COUNTIF($D$2:$D396,""),"")</f>
        <v>395</v>
      </c>
      <c r="R396" s="29" t="str">
        <f aca="false">IF($D396='Info Lega'!$B$28,COUNTIFS($D$2:$D396,'Info Lega'!$B$28),"")</f>
        <v/>
      </c>
      <c r="S396" s="30" t="n">
        <f aca="false">IFERROR(INDEX('Input Statistiche 2025_26'!$G$3:$G$665,MATCH($A396,'Input Statistiche 2025_26'!$A$3:$A$665,0)),"")</f>
        <v>0</v>
      </c>
      <c r="T396" s="30" t="n">
        <f aca="false">IFERROR(INDEX('Input Statistiche 2025_26'!$H$3:$H$665,MATCH($A396,'Input Statistiche 2025_26'!$A$3:$A$665,0)),"")</f>
        <v>0</v>
      </c>
      <c r="U396" s="26" t="str">
        <f aca="false">IF(OR('La Mia Rosa'!$O$12="",$D396&lt;&gt;""),"",IF($F396&lt;='La Mia Rosa'!$O$12*'Parametri Modello'!$B$24,"OK",IF($F396&lt;='La Mia Rosa'!$O$12*'Parametri Modello'!$B$25,"Attenzione","Rischio Alto")))</f>
        <v>OK</v>
      </c>
      <c r="V396" s="26" t="n">
        <f aca="false">IFERROR(COUNTIFS($B$2:$B$492,$B396,$O$2:$O$492,"&gt;"&amp;$O396)+1,"")</f>
        <v>146</v>
      </c>
      <c r="W396" s="21" t="n">
        <f aca="false">'Info Lega'!$B$4-SUMIFS($M$2:$M$492,$D$2:$D$492,'Info Lega'!$B$28)</f>
        <v>1000</v>
      </c>
      <c r="X396" s="21" t="n">
        <f aca="false">('Info Lega'!$B$5-COUNTIFS($D$2:$D$492,'Info Lega'!$B$28,$B$2:$B$492,"P"))+('Info Lega'!$B$6-COUNTIFS($D$2:$D$492,'Info Lega'!$B$28,$B$2:$B$492,"D"))+('Info Lega'!$B$7-COUNTIFS($D$2:$D$492,'Info Lega'!$B$28,$B$2:$B$492,"C"))+('Info Lega'!$B$8-COUNTIFS($D$2:$D$492,'Info Lega'!$B$28,$B$2:$B$492,"A"))</f>
        <v>25</v>
      </c>
      <c r="Y396" s="21" t="n">
        <f aca="false">X396*'Parametri Modello'!$B$30</f>
        <v>25</v>
      </c>
      <c r="Z396" s="21" t="n">
        <f aca="false">MAX(0,W396-Y396)</f>
        <v>975</v>
      </c>
      <c r="AA396" s="21" t="n">
        <f aca="false">MIN(F396,Z396)</f>
        <v>3</v>
      </c>
      <c r="AB396" s="21"/>
      <c r="AC396" s="21" t="str">
        <f aca="false">IF(AB396="","",IF(AB396&gt;AA396,"PASS",IF(AB396&lt;=AA396*0.85,"BID","ATTENZIONE")))</f>
        <v/>
      </c>
      <c r="AD396" s="31" t="n">
        <f aca="false">IF(I396="","",ROUND(100*(1-EXP(-I396/30)),0))</f>
        <v>0</v>
      </c>
      <c r="AE396" s="7" t="str">
        <f aca="false">IFERROR(INDEX('Stato Asta'!$G$9:$G$12,MATCH($B396,'Stato Asta'!$A$9:$A$12,0)),"")</f>
        <v>🟡 Attesa rischiosa</v>
      </c>
    </row>
    <row r="397" customFormat="false" ht="14.25" hidden="false" customHeight="true" outlineLevel="0" collapsed="false">
      <c r="A397" s="21" t="n">
        <v>7128</v>
      </c>
      <c r="B397" s="21" t="s">
        <v>46</v>
      </c>
      <c r="C397" s="21" t="s">
        <v>606</v>
      </c>
      <c r="E397" s="26" t="str">
        <f aca="false">IF(COUNTIF('Info Strategia'!$D$2:$D$51,$C397)&gt;0,"SI","NO")</f>
        <v>NO</v>
      </c>
      <c r="F397" s="27" t="n">
        <f aca="false">IFERROR(ROUND(($G397+($H397-$G397)*'Info Strategia'!$B$6)*(1+IF($E397="SI",'Parametri Modello'!$B$7*'Info Strategia'!$B$6,0)),0),"")</f>
        <v>4</v>
      </c>
      <c r="G397" s="27" t="n">
        <f aca="false">IFERROR(ROUND((IF(OR(INDEX('Parametri Modello'!$C$39:$C$42,MATCH($B397,'Parametri Modello'!$A$39:$A$42,0))="",INDEX('Parametri Modello'!$C$39:$C$42,MATCH($B397,'Parametri Modello'!$A$39:$A$42,0))=0),0,($O397/INDEX('Parametri Modello'!$C$39:$C$42,MATCH($B397,'Parametri Modello'!$A$39:$A$42,0)))*(INDEX('Parametri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3</v>
      </c>
      <c r="H397" s="27" t="n">
        <f aca="false">IFERROR(ROUND((IF(OR(INDEX('Parametri Modello'!$C$39:$C$42,MATCH($B397,'Parametri Modello'!$A$39:$A$42,0))="",INDEX('Parametri Modello'!$C$39:$C$42,MATCH($B397,'Parametri Modello'!$A$39:$A$42,0))=0),0,($O397/INDEX('Parametri Modello'!$C$39:$C$42,MATCH($B397,'Parametri Modello'!$A$39:$A$42,0)))*(INDEX('Parametri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5</v>
      </c>
      <c r="I397" s="26" t="n">
        <f aca="false">IFERROR(INDEX('Input Statistiche 2025_26'!$F$3:$F$665,MATCH($A397,'Input Statistiche 2025_26'!$A$3:$A$665,0)),"")</f>
        <v>14</v>
      </c>
      <c r="J397" s="26" t="n">
        <f aca="false">IFERROR(IF($I397="","",MAX(0,38-$I397)),"")</f>
        <v>24</v>
      </c>
      <c r="K397" s="26" t="n">
        <f aca="false">IFERROR(INDEX('Input Statistiche 2025_26'!$I$3:$I$665,MATCH($A397,'Input Statistiche 2025_26'!$A$3:$A$665,0)),"")</f>
        <v>1</v>
      </c>
      <c r="L397" s="26" t="n">
        <f aca="false">IFERROR(INDEX('Input Statistiche 2025_26'!$O$3:$O$665,MATCH($A397,'Input Statistiche 2025_26'!$A$3:$A$665,0)),"")</f>
        <v>1</v>
      </c>
      <c r="M397" s="28"/>
      <c r="N397" s="27" t="n">
        <f aca="false">IFERROR(INDEX('Input Giocatori 2026_27'!$E$3:$E$493,MATCH($A397,'Input Giocatori 2026_27'!$A$3:$A$493,0)),"")</f>
        <v>3</v>
      </c>
      <c r="O397" s="27" t="n">
        <f aca="false">IFERROR(INDEX('Input Giocatori 2026_27'!$G$3:$G$493,MATCH($A397,'Input Giocatori 2026_27'!$A$3:$A$493,0)),"")</f>
        <v>5</v>
      </c>
      <c r="P397" s="26" t="str">
        <f aca="false">IFERROR(IF($O397="","",IF((1-(COUNTIFS($B$2:$B$492,$B397,$O$2:$O$492,"&gt;"&amp;$O397)+1-1)/COUNTIF($B$2:$B$492,$B397))&gt;=0.85,"Top",IF((1-(COUNTIFS($B$2:$B$492,$B397,$O$2:$O$492,"&gt;"&amp;$O397)+1-1)/COUNTIF($B$2:$B$492,$B397))&gt;=0.6,"Buono",IF((1-(COUNTIFS($B$2:$B$492,$B397,$O$2:$O$492,"&gt;"&amp;$O397)+1-1)/COUNTIF($B$2:$B$492,$B397))&gt;=0.3,"Nella Media","Scommessa/Riserva")))),"")</f>
        <v>Scommessa/Riserva</v>
      </c>
      <c r="Q397" s="29" t="n">
        <f aca="false">IF($D397="",COUNTIF($D$2:$D397,""),"")</f>
        <v>396</v>
      </c>
      <c r="R397" s="29" t="str">
        <f aca="false">IF($D397='Info Lega'!$B$28,COUNTIFS($D$2:$D397,'Info Lega'!$B$28),"")</f>
        <v/>
      </c>
      <c r="S397" s="30" t="n">
        <f aca="false">IFERROR(INDEX('Input Statistiche 2025_26'!$G$3:$G$665,MATCH($A397,'Input Statistiche 2025_26'!$A$3:$A$665,0)),"")</f>
        <v>5.96</v>
      </c>
      <c r="T397" s="30" t="n">
        <f aca="false">IFERROR(INDEX('Input Statistiche 2025_26'!$H$3:$H$665,MATCH($A397,'Input Statistiche 2025_26'!$A$3:$A$665,0)),"")</f>
        <v>6.25</v>
      </c>
      <c r="U397" s="26" t="str">
        <f aca="false">IF(OR('La Mia Rosa'!$O$12="",$D397&lt;&gt;""),"",IF($F397&lt;='La Mia Rosa'!$O$12*'Parametri Modello'!$B$24,"OK",IF($F397&lt;='La Mia Rosa'!$O$12*'Parametri Modello'!$B$25,"Attenzione","Rischio Alto")))</f>
        <v>OK</v>
      </c>
      <c r="V397" s="26" t="n">
        <f aca="false">IFERROR(COUNTIFS($B$2:$B$492,$B397,$O$2:$O$492,"&gt;"&amp;$O397)+1,"")</f>
        <v>75</v>
      </c>
      <c r="W397" s="21" t="n">
        <f aca="false">'Info Lega'!$B$4-SUMIFS($M$2:$M$492,$D$2:$D$492,'Info Lega'!$B$28)</f>
        <v>1000</v>
      </c>
      <c r="X397" s="21" t="n">
        <f aca="false">('Info Lega'!$B$5-COUNTIFS($D$2:$D$492,'Info Lega'!$B$28,$B$2:$B$492,"P"))+('Info Lega'!$B$6-COUNTIFS($D$2:$D$492,'Info Lega'!$B$28,$B$2:$B$492,"D"))+('Info Lega'!$B$7-COUNTIFS($D$2:$D$492,'Info Lega'!$B$28,$B$2:$B$492,"C"))+('Info Lega'!$B$8-COUNTIFS($D$2:$D$492,'Info Lega'!$B$28,$B$2:$B$492,"A"))</f>
        <v>25</v>
      </c>
      <c r="Y397" s="21" t="n">
        <f aca="false">X397*'Parametri Modello'!$B$30</f>
        <v>25</v>
      </c>
      <c r="Z397" s="21" t="n">
        <f aca="false">MAX(0,W397-Y397)</f>
        <v>975</v>
      </c>
      <c r="AA397" s="21" t="n">
        <f aca="false">MIN(F397,Z397)</f>
        <v>4</v>
      </c>
      <c r="AB397" s="21"/>
      <c r="AC397" s="21" t="str">
        <f aca="false">IF(AB397="","",IF(AB397&gt;AA397,"PASS",IF(AB397&lt;=AA397*0.85,"BID","ATTENZIONE")))</f>
        <v/>
      </c>
      <c r="AD397" s="31" t="n">
        <f aca="false">IF(I397="","",ROUND(100*(1-EXP(-I397/30)),0))</f>
        <v>37</v>
      </c>
      <c r="AE397" s="7" t="str">
        <f aca="false">IFERROR(INDEX('Stato Asta'!$G$9:$G$12,MATCH($B397,'Stato Asta'!$A$9:$A$12,0)),"")</f>
        <v>🔴 Non aspettare</v>
      </c>
    </row>
    <row r="398" customFormat="false" ht="14.25" hidden="false" customHeight="true" outlineLevel="0" collapsed="false">
      <c r="A398" s="21" t="n">
        <v>383</v>
      </c>
      <c r="B398" s="21" t="s">
        <v>46</v>
      </c>
      <c r="C398" s="21" t="s">
        <v>613</v>
      </c>
      <c r="E398" s="26" t="str">
        <f aca="false">IF(COUNTIF('Info Strategia'!$D$2:$D$51,$C398)&gt;0,"SI","NO")</f>
        <v>NO</v>
      </c>
      <c r="F398" s="27" t="n">
        <f aca="false">IFERROR(ROUND(($G398+($H398-$G398)*'Info Strategia'!$B$6)*(1+IF($E398="SI",'Parametri Modello'!$B$7*'Info Strategia'!$B$6,0)),0),"")</f>
        <v>4</v>
      </c>
      <c r="G398" s="27" t="n">
        <f aca="false">IFERROR(ROUND((IF(OR(INDEX('Parametri Modello'!$C$39:$C$42,MATCH($B398,'Parametri Modello'!$A$39:$A$42,0))="",INDEX('Parametri Modello'!$C$39:$C$42,MATCH($B398,'Parametri Modello'!$A$39:$A$42,0))=0),0,($O398/INDEX('Parametri Modello'!$C$39:$C$42,MATCH($B398,'Parametri Modello'!$A$39:$A$42,0)))*(INDEX('Parametri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3</v>
      </c>
      <c r="H398" s="27" t="n">
        <f aca="false">IFERROR(ROUND((IF(OR(INDEX('Parametri Modello'!$C$39:$C$42,MATCH($B398,'Parametri Modello'!$A$39:$A$42,0))="",INDEX('Parametri Modello'!$C$39:$C$42,MATCH($B398,'Parametri Modello'!$A$39:$A$42,0))=0),0,($O398/INDEX('Parametri Modello'!$C$39:$C$42,MATCH($B398,'Parametri Modello'!$A$39:$A$42,0)))*(INDEX('Parametri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5</v>
      </c>
      <c r="I398" s="26" t="str">
        <f aca="false">IFERROR(INDEX('Input Statistiche 2025_26'!$F$3:$F$665,MATCH($A398,'Input Statistiche 2025_26'!$A$3:$A$665,0)),"")</f>
        <v/>
      </c>
      <c r="J398" s="26" t="str">
        <f aca="false">IFERROR(IF($I398="","",MAX(0,38-$I398)),"")</f>
        <v/>
      </c>
      <c r="K398" s="26" t="str">
        <f aca="false">IFERROR(INDEX('Input Statistiche 2025_26'!$I$3:$I$665,MATCH($A398,'Input Statistiche 2025_26'!$A$3:$A$665,0)),"")</f>
        <v/>
      </c>
      <c r="L398" s="26" t="str">
        <f aca="false">IFERROR(INDEX('Input Statistiche 2025_26'!$O$3:$O$665,MATCH($A398,'Input Statistiche 2025_26'!$A$3:$A$665,0)),"")</f>
        <v/>
      </c>
      <c r="M398" s="28"/>
      <c r="N398" s="27" t="n">
        <f aca="false">IFERROR(INDEX('Input Giocatori 2026_27'!$E$3:$E$493,MATCH($A398,'Input Giocatori 2026_27'!$A$3:$A$493,0)),"")</f>
        <v>2</v>
      </c>
      <c r="O398" s="27" t="n">
        <f aca="false">IFERROR(INDEX('Input Giocatori 2026_27'!$G$3:$G$493,MATCH($A398,'Input Giocatori 2026_27'!$A$3:$A$493,0)),"")</f>
        <v>5</v>
      </c>
      <c r="P398" s="26" t="str">
        <f aca="false">IFERROR(IF($O398="","",IF((1-(COUNTIFS($B$2:$B$492,$B398,$O$2:$O$492,"&gt;"&amp;$O398)+1-1)/COUNTIF($B$2:$B$492,$B398))&gt;=0.85,"Top",IF((1-(COUNTIFS($B$2:$B$492,$B398,$O$2:$O$492,"&gt;"&amp;$O398)+1-1)/COUNTIF($B$2:$B$492,$B398))&gt;=0.6,"Buono",IF((1-(COUNTIFS($B$2:$B$492,$B398,$O$2:$O$492,"&gt;"&amp;$O398)+1-1)/COUNTIF($B$2:$B$492,$B398))&gt;=0.3,"Nella Media","Scommessa/Riserva")))),"")</f>
        <v>Scommessa/Riserva</v>
      </c>
      <c r="Q398" s="29" t="n">
        <f aca="false">IF($D398="",COUNTIF($D$2:$D398,""),"")</f>
        <v>397</v>
      </c>
      <c r="R398" s="29" t="str">
        <f aca="false">IF($D398='Info Lega'!$B$28,COUNTIFS($D$2:$D398,'Info Lega'!$B$28),"")</f>
        <v/>
      </c>
      <c r="S398" s="30" t="str">
        <f aca="false">IFERROR(INDEX('Input Statistiche 2025_26'!$G$3:$G$665,MATCH($A398,'Input Statistiche 2025_26'!$A$3:$A$665,0)),"")</f>
        <v/>
      </c>
      <c r="T398" s="30" t="str">
        <f aca="false">IFERROR(INDEX('Input Statistiche 2025_26'!$H$3:$H$665,MATCH($A398,'Input Statistiche 2025_26'!$A$3:$A$665,0)),"")</f>
        <v/>
      </c>
      <c r="U398" s="26" t="str">
        <f aca="false">IF(OR('La Mia Rosa'!$O$12="",$D398&lt;&gt;""),"",IF($F398&lt;='La Mia Rosa'!$O$12*'Parametri Modello'!$B$24,"OK",IF($F398&lt;='La Mia Rosa'!$O$12*'Parametri Modello'!$B$25,"Attenzione","Rischio Alto")))</f>
        <v>OK</v>
      </c>
      <c r="V398" s="26" t="n">
        <f aca="false">IFERROR(COUNTIFS($B$2:$B$492,$B398,$O$2:$O$492,"&gt;"&amp;$O398)+1,"")</f>
        <v>75</v>
      </c>
      <c r="W398" s="21" t="n">
        <f aca="false">'Info Lega'!$B$4-SUMIFS($M$2:$M$492,$D$2:$D$492,'Info Lega'!$B$28)</f>
        <v>1000</v>
      </c>
      <c r="X398" s="21" t="n">
        <f aca="false">('Info Lega'!$B$5-COUNTIFS($D$2:$D$492,'Info Lega'!$B$28,$B$2:$B$492,"P"))+('Info Lega'!$B$6-COUNTIFS($D$2:$D$492,'Info Lega'!$B$28,$B$2:$B$492,"D"))+('Info Lega'!$B$7-COUNTIFS($D$2:$D$492,'Info Lega'!$B$28,$B$2:$B$492,"C"))+('Info Lega'!$B$8-COUNTIFS($D$2:$D$492,'Info Lega'!$B$28,$B$2:$B$492,"A"))</f>
        <v>25</v>
      </c>
      <c r="Y398" s="21" t="n">
        <f aca="false">X398*'Parametri Modello'!$B$30</f>
        <v>25</v>
      </c>
      <c r="Z398" s="21" t="n">
        <f aca="false">MAX(0,W398-Y398)</f>
        <v>975</v>
      </c>
      <c r="AA398" s="21" t="n">
        <f aca="false">MIN(F398,Z398)</f>
        <v>4</v>
      </c>
      <c r="AB398" s="21"/>
      <c r="AC398" s="21" t="str">
        <f aca="false">IF(AB398="","",IF(AB398&gt;AA398,"PASS",IF(AB398&lt;=AA398*0.85,"BID","ATTENZIONE")))</f>
        <v/>
      </c>
      <c r="AD398" s="31" t="str">
        <f aca="false">IF(I398="","",ROUND(100*(1-EXP(-I398/30)),0))</f>
        <v/>
      </c>
      <c r="AE398" s="7" t="str">
        <f aca="false">IFERROR(INDEX('Stato Asta'!$G$9:$G$12,MATCH($B398,'Stato Asta'!$A$9:$A$12,0)),"")</f>
        <v>🔴 Non aspettare</v>
      </c>
    </row>
    <row r="399" customFormat="false" ht="14.25" hidden="false" customHeight="true" outlineLevel="0" collapsed="false">
      <c r="A399" s="21" t="n">
        <v>6883</v>
      </c>
      <c r="B399" s="21" t="s">
        <v>44</v>
      </c>
      <c r="C399" s="21" t="s">
        <v>331</v>
      </c>
      <c r="E399" s="26" t="str">
        <f aca="false">IF(COUNTIF('Info Strategia'!$D$2:$D$51,$C399)&gt;0,"SI","NO")</f>
        <v>NO</v>
      </c>
      <c r="F399" s="27" t="n">
        <f aca="false">IFERROR(ROUND(($G399+($H399-$G399)*'Info Strategia'!$B$6)*(1+IF($E399="SI",'Parametri Modello'!$B$7*'Info Strategia'!$B$6,0)),0),"")</f>
        <v>2</v>
      </c>
      <c r="G399" s="27" t="n">
        <f aca="false">IFERROR(ROUND((IF(OR(INDEX('Parametri Modello'!$C$39:$C$42,MATCH($B399,'Parametri Modello'!$A$39:$A$42,0))="",INDEX('Parametri Modello'!$C$39:$C$42,MATCH($B399,'Parametri Modello'!$A$39:$A$42,0))=0),0,($O399/INDEX('Parametri Modello'!$C$39:$C$42,MATCH($B399,'Parametri Modello'!$A$39:$A$42,0)))*(INDEX('Parametri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1</v>
      </c>
      <c r="H399" s="27" t="n">
        <f aca="false">IFERROR(ROUND((IF(OR(INDEX('Parametri Modello'!$C$39:$C$42,MATCH($B399,'Parametri Modello'!$A$39:$A$42,0))="",INDEX('Parametri Modello'!$C$39:$C$42,MATCH($B399,'Parametri Modello'!$A$39:$A$42,0))=0),0,($O399/INDEX('Parametri Modello'!$C$39:$C$42,MATCH($B399,'Parametri Modello'!$A$39:$A$42,0)))*(INDEX('Parametri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2</v>
      </c>
      <c r="I399" s="26" t="n">
        <f aca="false">IFERROR(INDEX('Input Statistiche 2025_26'!$F$3:$F$665,MATCH($A399,'Input Statistiche 2025_26'!$A$3:$A$665,0)),"")</f>
        <v>5</v>
      </c>
      <c r="J399" s="26" t="n">
        <f aca="false">IFERROR(IF($I399="","",MAX(0,38-$I399)),"")</f>
        <v>33</v>
      </c>
      <c r="K399" s="26" t="n">
        <f aca="false">IFERROR(INDEX('Input Statistiche 2025_26'!$I$3:$I$665,MATCH($A399,'Input Statistiche 2025_26'!$A$3:$A$665,0)),"")</f>
        <v>0</v>
      </c>
      <c r="L399" s="26" t="n">
        <f aca="false">IFERROR(INDEX('Input Statistiche 2025_26'!$O$3:$O$665,MATCH($A399,'Input Statistiche 2025_26'!$A$3:$A$665,0)),"")</f>
        <v>0</v>
      </c>
      <c r="M399" s="28"/>
      <c r="N399" s="27" t="n">
        <f aca="false">IFERROR(INDEX('Input Giocatori 2026_27'!$E$3:$E$493,MATCH($A399,'Input Giocatori 2026_27'!$A$3:$A$493,0)),"")</f>
        <v>2</v>
      </c>
      <c r="O399" s="27" t="n">
        <f aca="false">IFERROR(INDEX('Input Giocatori 2026_27'!$G$3:$G$493,MATCH($A399,'Input Giocatori 2026_27'!$A$3:$A$493,0)),"")</f>
        <v>4</v>
      </c>
      <c r="P399" s="26" t="str">
        <f aca="false">IFERROR(IF($O399="","",IF((1-(COUNTIFS($B$2:$B$492,$B399,$O$2:$O$492,"&gt;"&amp;$O399)+1-1)/COUNTIF($B$2:$B$492,$B399))&gt;=0.85,"Top",IF((1-(COUNTIFS($B$2:$B$492,$B399,$O$2:$O$492,"&gt;"&amp;$O399)+1-1)/COUNTIF($B$2:$B$492,$B399))&gt;=0.6,"Buono",IF((1-(COUNTIFS($B$2:$B$492,$B399,$O$2:$O$492,"&gt;"&amp;$O399)+1-1)/COUNTIF($B$2:$B$492,$B399))&gt;=0.3,"Nella Media","Scommessa/Riserva")))),"")</f>
        <v>Scommessa/Riserva</v>
      </c>
      <c r="Q399" s="29" t="n">
        <f aca="false">IF($D399="",COUNTIF($D$2:$D399,""),"")</f>
        <v>398</v>
      </c>
      <c r="R399" s="29" t="str">
        <f aca="false">IF($D399='Info Lega'!$B$28,COUNTIFS($D$2:$D399,'Info Lega'!$B$28),"")</f>
        <v/>
      </c>
      <c r="S399" s="30" t="n">
        <f aca="false">IFERROR(INDEX('Input Statistiche 2025_26'!$G$3:$G$665,MATCH($A399,'Input Statistiche 2025_26'!$A$3:$A$665,0)),"")</f>
        <v>5.8</v>
      </c>
      <c r="T399" s="30" t="n">
        <f aca="false">IFERROR(INDEX('Input Statistiche 2025_26'!$H$3:$H$665,MATCH($A399,'Input Statistiche 2025_26'!$A$3:$A$665,0)),"")</f>
        <v>5.7</v>
      </c>
      <c r="U399" s="26" t="str">
        <f aca="false">IF(OR('La Mia Rosa'!$O$12="",$D399&lt;&gt;""),"",IF($F399&lt;='La Mia Rosa'!$O$12*'Parametri Modello'!$B$24,"OK",IF($F399&lt;='La Mia Rosa'!$O$12*'Parametri Modello'!$B$25,"Attenzione","Rischio Alto")))</f>
        <v>OK</v>
      </c>
      <c r="V399" s="26" t="n">
        <f aca="false">IFERROR(COUNTIFS($B$2:$B$492,$B399,$O$2:$O$492,"&gt;"&amp;$O399)+1,"")</f>
        <v>145</v>
      </c>
      <c r="W399" s="21" t="n">
        <f aca="false">'Info Lega'!$B$4-SUMIFS($M$2:$M$492,$D$2:$D$492,'Info Lega'!$B$28)</f>
        <v>1000</v>
      </c>
      <c r="X399" s="21" t="n">
        <f aca="false">('Info Lega'!$B$5-COUNTIFS($D$2:$D$492,'Info Lega'!$B$28,$B$2:$B$492,"P"))+('Info Lega'!$B$6-COUNTIFS($D$2:$D$492,'Info Lega'!$B$28,$B$2:$B$492,"D"))+('Info Lega'!$B$7-COUNTIFS($D$2:$D$492,'Info Lega'!$B$28,$B$2:$B$492,"C"))+('Info Lega'!$B$8-COUNTIFS($D$2:$D$492,'Info Lega'!$B$28,$B$2:$B$492,"A"))</f>
        <v>25</v>
      </c>
      <c r="Y399" s="21" t="n">
        <f aca="false">X399*'Parametri Modello'!$B$30</f>
        <v>25</v>
      </c>
      <c r="Z399" s="21" t="n">
        <f aca="false">MAX(0,W399-Y399)</f>
        <v>975</v>
      </c>
      <c r="AA399" s="21" t="n">
        <f aca="false">MIN(F399,Z399)</f>
        <v>2</v>
      </c>
      <c r="AB399" s="21"/>
      <c r="AC399" s="21" t="str">
        <f aca="false">IF(AB399="","",IF(AB399&gt;AA399,"PASS",IF(AB399&lt;=AA399*0.85,"BID","ATTENZIONE")))</f>
        <v/>
      </c>
      <c r="AD399" s="31" t="n">
        <f aca="false">IF(I399="","",ROUND(100*(1-EXP(-I399/30)),0))</f>
        <v>15</v>
      </c>
      <c r="AE399" s="7" t="str">
        <f aca="false">IFERROR(INDEX('Stato Asta'!$G$9:$G$12,MATCH($B399,'Stato Asta'!$A$9:$A$12,0)),"")</f>
        <v>🟡 Attesa rischiosa</v>
      </c>
    </row>
    <row r="400" customFormat="false" ht="14.25" hidden="false" customHeight="true" outlineLevel="0" collapsed="false">
      <c r="A400" s="21" t="n">
        <v>7525</v>
      </c>
      <c r="B400" s="21" t="s">
        <v>44</v>
      </c>
      <c r="C400" s="21" t="s">
        <v>332</v>
      </c>
      <c r="E400" s="26" t="str">
        <f aca="false">IF(COUNTIF('Info Strategia'!$D$2:$D$51,$C400)&gt;0,"SI","NO")</f>
        <v>NO</v>
      </c>
      <c r="F400" s="27" t="n">
        <f aca="false">IFERROR(ROUND(($G400+($H400-$G400)*'Info Strategia'!$B$6)*(1+IF($E400="SI",'Parametri Modello'!$B$7*'Info Strategia'!$B$6,0)),0),"")</f>
        <v>2</v>
      </c>
      <c r="G400" s="27" t="n">
        <f aca="false">IFERROR(ROUND((IF(OR(INDEX('Parametri Modello'!$C$39:$C$42,MATCH($B400,'Parametri Modello'!$A$39:$A$42,0))="",INDEX('Parametri Modello'!$C$39:$C$42,MATCH($B400,'Parametri Modello'!$A$39:$A$42,0))=0),0,($O400/INDEX('Parametri Modello'!$C$39:$C$42,MATCH($B400,'Parametri Modello'!$A$39:$A$42,0)))*(INDEX('Parametri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1</v>
      </c>
      <c r="H400" s="27" t="n">
        <f aca="false">IFERROR(ROUND((IF(OR(INDEX('Parametri Modello'!$C$39:$C$42,MATCH($B400,'Parametri Modello'!$A$39:$A$42,0))="",INDEX('Parametri Modello'!$C$39:$C$42,MATCH($B400,'Parametri Modello'!$A$39:$A$42,0))=0),0,($O400/INDEX('Parametri Modello'!$C$39:$C$42,MATCH($B400,'Parametri Modello'!$A$39:$A$42,0)))*(INDEX('Parametri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2</v>
      </c>
      <c r="I400" s="26" t="str">
        <f aca="false">IFERROR(INDEX('Input Statistiche 2025_26'!$F$3:$F$665,MATCH($A400,'Input Statistiche 2025_26'!$A$3:$A$665,0)),"")</f>
        <v/>
      </c>
      <c r="J400" s="26" t="str">
        <f aca="false">IFERROR(IF($I400="","",MAX(0,38-$I400)),"")</f>
        <v/>
      </c>
      <c r="K400" s="26" t="str">
        <f aca="false">IFERROR(INDEX('Input Statistiche 2025_26'!$I$3:$I$665,MATCH($A400,'Input Statistiche 2025_26'!$A$3:$A$665,0)),"")</f>
        <v/>
      </c>
      <c r="L400" s="26" t="str">
        <f aca="false">IFERROR(INDEX('Input Statistiche 2025_26'!$O$3:$O$665,MATCH($A400,'Input Statistiche 2025_26'!$A$3:$A$665,0)),"")</f>
        <v/>
      </c>
      <c r="M400" s="28"/>
      <c r="N400" s="27" t="n">
        <f aca="false">IFERROR(INDEX('Input Giocatori 2026_27'!$E$3:$E$493,MATCH($A400,'Input Giocatori 2026_27'!$A$3:$A$493,0)),"")</f>
        <v>2</v>
      </c>
      <c r="O400" s="27" t="n">
        <f aca="false">IFERROR(INDEX('Input Giocatori 2026_27'!$G$3:$G$493,MATCH($A400,'Input Giocatori 2026_27'!$A$3:$A$493,0)),"")</f>
        <v>4</v>
      </c>
      <c r="P400" s="26" t="str">
        <f aca="false">IFERROR(IF($O400="","",IF((1-(COUNTIFS($B$2:$B$492,$B400,$O$2:$O$492,"&gt;"&amp;$O400)+1-1)/COUNTIF($B$2:$B$492,$B400))&gt;=0.85,"Top",IF((1-(COUNTIFS($B$2:$B$492,$B400,$O$2:$O$492,"&gt;"&amp;$O400)+1-1)/COUNTIF($B$2:$B$492,$B400))&gt;=0.6,"Buono",IF((1-(COUNTIFS($B$2:$B$492,$B400,$O$2:$O$492,"&gt;"&amp;$O400)+1-1)/COUNTIF($B$2:$B$492,$B400))&gt;=0.3,"Nella Media","Scommessa/Riserva")))),"")</f>
        <v>Scommessa/Riserva</v>
      </c>
      <c r="Q400" s="29" t="n">
        <f aca="false">IF($D400="",COUNTIF($D$2:$D400,""),"")</f>
        <v>399</v>
      </c>
      <c r="R400" s="29" t="str">
        <f aca="false">IF($D400='Info Lega'!$B$28,COUNTIFS($D$2:$D400,'Info Lega'!$B$28),"")</f>
        <v/>
      </c>
      <c r="S400" s="30" t="str">
        <f aca="false">IFERROR(INDEX('Input Statistiche 2025_26'!$G$3:$G$665,MATCH($A400,'Input Statistiche 2025_26'!$A$3:$A$665,0)),"")</f>
        <v/>
      </c>
      <c r="T400" s="30" t="str">
        <f aca="false">IFERROR(INDEX('Input Statistiche 2025_26'!$H$3:$H$665,MATCH($A400,'Input Statistiche 2025_26'!$A$3:$A$665,0)),"")</f>
        <v/>
      </c>
      <c r="U400" s="26" t="str">
        <f aca="false">IF(OR('La Mia Rosa'!$O$12="",$D400&lt;&gt;""),"",IF($F400&lt;='La Mia Rosa'!$O$12*'Parametri Modello'!$B$24,"OK",IF($F400&lt;='La Mia Rosa'!$O$12*'Parametri Modello'!$B$25,"Attenzione","Rischio Alto")))</f>
        <v>OK</v>
      </c>
      <c r="V400" s="26" t="n">
        <f aca="false">IFERROR(COUNTIFS($B$2:$B$492,$B400,$O$2:$O$492,"&gt;"&amp;$O400)+1,"")</f>
        <v>145</v>
      </c>
      <c r="W400" s="21" t="n">
        <f aca="false">'Info Lega'!$B$4-SUMIFS($M$2:$M$492,$D$2:$D$492,'Info Lega'!$B$28)</f>
        <v>1000</v>
      </c>
      <c r="X400" s="21" t="n">
        <f aca="false">('Info Lega'!$B$5-COUNTIFS($D$2:$D$492,'Info Lega'!$B$28,$B$2:$B$492,"P"))+('Info Lega'!$B$6-COUNTIFS($D$2:$D$492,'Info Lega'!$B$28,$B$2:$B$492,"D"))+('Info Lega'!$B$7-COUNTIFS($D$2:$D$492,'Info Lega'!$B$28,$B$2:$B$492,"C"))+('Info Lega'!$B$8-COUNTIFS($D$2:$D$492,'Info Lega'!$B$28,$B$2:$B$492,"A"))</f>
        <v>25</v>
      </c>
      <c r="Y400" s="21" t="n">
        <f aca="false">X400*'Parametri Modello'!$B$30</f>
        <v>25</v>
      </c>
      <c r="Z400" s="21" t="n">
        <f aca="false">MAX(0,W400-Y400)</f>
        <v>975</v>
      </c>
      <c r="AA400" s="21" t="n">
        <f aca="false">MIN(F400,Z400)</f>
        <v>2</v>
      </c>
      <c r="AB400" s="21"/>
      <c r="AC400" s="21" t="str">
        <f aca="false">IF(AB400="","",IF(AB400&gt;AA400,"PASS",IF(AB400&lt;=AA400*0.85,"BID","ATTENZIONE")))</f>
        <v/>
      </c>
      <c r="AD400" s="31" t="str">
        <f aca="false">IF(I400="","",ROUND(100*(1-EXP(-I400/30)),0))</f>
        <v/>
      </c>
      <c r="AE400" s="7" t="str">
        <f aca="false">IFERROR(INDEX('Stato Asta'!$G$9:$G$12,MATCH($B400,'Stato Asta'!$A$9:$A$12,0)),"")</f>
        <v>🟡 Attesa rischiosa</v>
      </c>
    </row>
    <row r="401" customFormat="false" ht="14.25" hidden="false" customHeight="true" outlineLevel="0" collapsed="false">
      <c r="A401" s="21" t="n">
        <v>5994</v>
      </c>
      <c r="B401" s="21" t="s">
        <v>44</v>
      </c>
      <c r="C401" s="21" t="s">
        <v>336</v>
      </c>
      <c r="E401" s="26" t="str">
        <f aca="false">IF(COUNTIF('Info Strategia'!$D$2:$D$51,$C401)&gt;0,"SI","NO")</f>
        <v>NO</v>
      </c>
      <c r="F401" s="27" t="n">
        <f aca="false">IFERROR(ROUND(($G401+($H401-$G401)*'Info Strategia'!$B$6)*(1+IF($E401="SI",'Parametri Modello'!$B$7*'Info Strategia'!$B$6,0)),0),"")</f>
        <v>2</v>
      </c>
      <c r="G401" s="27" t="n">
        <f aca="false">IFERROR(ROUND((IF(OR(INDEX('Parametri Modello'!$C$39:$C$42,MATCH($B401,'Parametri Modello'!$A$39:$A$42,0))="",INDEX('Parametri Modello'!$C$39:$C$42,MATCH($B401,'Parametri Modello'!$A$39:$A$42,0))=0),0,($O401/INDEX('Parametri Modello'!$C$39:$C$42,MATCH($B401,'Parametri Modello'!$A$39:$A$42,0)))*(INDEX('Parametri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1</v>
      </c>
      <c r="H401" s="27" t="n">
        <f aca="false">IFERROR(ROUND((IF(OR(INDEX('Parametri Modello'!$C$39:$C$42,MATCH($B401,'Parametri Modello'!$A$39:$A$42,0))="",INDEX('Parametri Modello'!$C$39:$C$42,MATCH($B401,'Parametri Modello'!$A$39:$A$42,0))=0),0,($O401/INDEX('Parametri Modello'!$C$39:$C$42,MATCH($B401,'Parametri Modello'!$A$39:$A$42,0)))*(INDEX('Parametri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2</v>
      </c>
      <c r="I401" s="26" t="n">
        <f aca="false">IFERROR(INDEX('Input Statistiche 2025_26'!$F$3:$F$665,MATCH($A401,'Input Statistiche 2025_26'!$A$3:$A$665,0)),"")</f>
        <v>16</v>
      </c>
      <c r="J401" s="26" t="n">
        <f aca="false">IFERROR(IF($I401="","",MAX(0,38-$I401)),"")</f>
        <v>22</v>
      </c>
      <c r="K401" s="26" t="n">
        <f aca="false">IFERROR(INDEX('Input Statistiche 2025_26'!$I$3:$I$665,MATCH($A401,'Input Statistiche 2025_26'!$A$3:$A$665,0)),"")</f>
        <v>0</v>
      </c>
      <c r="L401" s="26" t="n">
        <f aca="false">IFERROR(INDEX('Input Statistiche 2025_26'!$O$3:$O$665,MATCH($A401,'Input Statistiche 2025_26'!$A$3:$A$665,0)),"")</f>
        <v>1</v>
      </c>
      <c r="M401" s="28"/>
      <c r="N401" s="27" t="n">
        <f aca="false">IFERROR(INDEX('Input Giocatori 2026_27'!$E$3:$E$493,MATCH($A401,'Input Giocatori 2026_27'!$A$3:$A$493,0)),"")</f>
        <v>2</v>
      </c>
      <c r="O401" s="27" t="n">
        <f aca="false">IFERROR(INDEX('Input Giocatori 2026_27'!$G$3:$G$493,MATCH($A401,'Input Giocatori 2026_27'!$A$3:$A$493,0)),"")</f>
        <v>4</v>
      </c>
      <c r="P401" s="26" t="str">
        <f aca="false">IFERROR(IF($O401="","",IF((1-(COUNTIFS($B$2:$B$492,$B401,$O$2:$O$492,"&gt;"&amp;$O401)+1-1)/COUNTIF($B$2:$B$492,$B401))&gt;=0.85,"Top",IF((1-(COUNTIFS($B$2:$B$492,$B401,$O$2:$O$492,"&gt;"&amp;$O401)+1-1)/COUNTIF($B$2:$B$492,$B401))&gt;=0.6,"Buono",IF((1-(COUNTIFS($B$2:$B$492,$B401,$O$2:$O$492,"&gt;"&amp;$O401)+1-1)/COUNTIF($B$2:$B$492,$B401))&gt;=0.3,"Nella Media","Scommessa/Riserva")))),"")</f>
        <v>Scommessa/Riserva</v>
      </c>
      <c r="Q401" s="29" t="n">
        <f aca="false">IF($D401="",COUNTIF($D$2:$D401,""),"")</f>
        <v>400</v>
      </c>
      <c r="R401" s="29" t="str">
        <f aca="false">IF($D401='Info Lega'!$B$28,COUNTIFS($D$2:$D401,'Info Lega'!$B$28),"")</f>
        <v/>
      </c>
      <c r="S401" s="30" t="n">
        <f aca="false">IFERROR(INDEX('Input Statistiche 2025_26'!$G$3:$G$665,MATCH($A401,'Input Statistiche 2025_26'!$A$3:$A$665,0)),"")</f>
        <v>5.75</v>
      </c>
      <c r="T401" s="30" t="n">
        <f aca="false">IFERROR(INDEX('Input Statistiche 2025_26'!$H$3:$H$665,MATCH($A401,'Input Statistiche 2025_26'!$A$3:$A$665,0)),"")</f>
        <v>5.72</v>
      </c>
      <c r="U401" s="26" t="str">
        <f aca="false">IF(OR('La Mia Rosa'!$O$12="",$D401&lt;&gt;""),"",IF($F401&lt;='La Mia Rosa'!$O$12*'Parametri Modello'!$B$24,"OK",IF($F401&lt;='La Mia Rosa'!$O$12*'Parametri Modello'!$B$25,"Attenzione","Rischio Alto")))</f>
        <v>OK</v>
      </c>
      <c r="V401" s="26" t="n">
        <f aca="false">IFERROR(COUNTIFS($B$2:$B$492,$B401,$O$2:$O$492,"&gt;"&amp;$O401)+1,"")</f>
        <v>145</v>
      </c>
      <c r="W401" s="21" t="n">
        <f aca="false">'Info Lega'!$B$4-SUMIFS($M$2:$M$492,$D$2:$D$492,'Info Lega'!$B$28)</f>
        <v>1000</v>
      </c>
      <c r="X401" s="21" t="n">
        <f aca="false">('Info Lega'!$B$5-COUNTIFS($D$2:$D$492,'Info Lega'!$B$28,$B$2:$B$492,"P"))+('Info Lega'!$B$6-COUNTIFS($D$2:$D$492,'Info Lega'!$B$28,$B$2:$B$492,"D"))+('Info Lega'!$B$7-COUNTIFS($D$2:$D$492,'Info Lega'!$B$28,$B$2:$B$492,"C"))+('Info Lega'!$B$8-COUNTIFS($D$2:$D$492,'Info Lega'!$B$28,$B$2:$B$492,"A"))</f>
        <v>25</v>
      </c>
      <c r="Y401" s="21" t="n">
        <f aca="false">X401*'Parametri Modello'!$B$30</f>
        <v>25</v>
      </c>
      <c r="Z401" s="21" t="n">
        <f aca="false">MAX(0,W401-Y401)</f>
        <v>975</v>
      </c>
      <c r="AA401" s="21" t="n">
        <f aca="false">MIN(F401,Z401)</f>
        <v>2</v>
      </c>
      <c r="AB401" s="21"/>
      <c r="AC401" s="21" t="str">
        <f aca="false">IF(AB401="","",IF(AB401&gt;AA401,"PASS",IF(AB401&lt;=AA401*0.85,"BID","ATTENZIONE")))</f>
        <v/>
      </c>
      <c r="AD401" s="31" t="n">
        <f aca="false">IF(I401="","",ROUND(100*(1-EXP(-I401/30)),0))</f>
        <v>41</v>
      </c>
      <c r="AE401" s="7" t="str">
        <f aca="false">IFERROR(INDEX('Stato Asta'!$G$9:$G$12,MATCH($B401,'Stato Asta'!$A$9:$A$12,0)),"")</f>
        <v>🟡 Attesa rischiosa</v>
      </c>
    </row>
    <row r="402" customFormat="false" ht="14.25" hidden="false" customHeight="true" outlineLevel="0" collapsed="false">
      <c r="A402" s="21" t="n">
        <v>7478</v>
      </c>
      <c r="B402" s="21" t="s">
        <v>44</v>
      </c>
      <c r="C402" s="21" t="s">
        <v>337</v>
      </c>
      <c r="E402" s="26" t="str">
        <f aca="false">IF(COUNTIF('Info Strategia'!$D$2:$D$51,$C402)&gt;0,"SI","NO")</f>
        <v>NO</v>
      </c>
      <c r="F402" s="27" t="n">
        <f aca="false">IFERROR(ROUND(($G402+($H402-$G402)*'Info Strategia'!$B$6)*(1+IF($E402="SI",'Parametri Modello'!$B$7*'Info Strategia'!$B$6,0)),0),"")</f>
        <v>2</v>
      </c>
      <c r="G402" s="27" t="n">
        <f aca="false">IFERROR(ROUND((IF(OR(INDEX('Parametri Modello'!$C$39:$C$42,MATCH($B402,'Parametri Modello'!$A$39:$A$42,0))="",INDEX('Parametri Modello'!$C$39:$C$42,MATCH($B402,'Parametri Modello'!$A$39:$A$42,0))=0),0,($O402/INDEX('Parametri Modello'!$C$39:$C$42,MATCH($B402,'Parametri Modello'!$A$39:$A$42,0)))*(INDEX('Parametri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1</v>
      </c>
      <c r="H402" s="27" t="n">
        <f aca="false">IFERROR(ROUND((IF(OR(INDEX('Parametri Modello'!$C$39:$C$42,MATCH($B402,'Parametri Modello'!$A$39:$A$42,0))="",INDEX('Parametri Modello'!$C$39:$C$42,MATCH($B402,'Parametri Modello'!$A$39:$A$42,0))=0),0,($O402/INDEX('Parametri Modello'!$C$39:$C$42,MATCH($B402,'Parametri Modello'!$A$39:$A$42,0)))*(INDEX('Parametri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2</v>
      </c>
      <c r="I402" s="26" t="str">
        <f aca="false">IFERROR(INDEX('Input Statistiche 2025_26'!$F$3:$F$665,MATCH($A402,'Input Statistiche 2025_26'!$A$3:$A$665,0)),"")</f>
        <v/>
      </c>
      <c r="J402" s="26" t="str">
        <f aca="false">IFERROR(IF($I402="","",MAX(0,38-$I402)),"")</f>
        <v/>
      </c>
      <c r="K402" s="26" t="str">
        <f aca="false">IFERROR(INDEX('Input Statistiche 2025_26'!$I$3:$I$665,MATCH($A402,'Input Statistiche 2025_26'!$A$3:$A$665,0)),"")</f>
        <v/>
      </c>
      <c r="L402" s="26" t="str">
        <f aca="false">IFERROR(INDEX('Input Statistiche 2025_26'!$O$3:$O$665,MATCH($A402,'Input Statistiche 2025_26'!$A$3:$A$665,0)),"")</f>
        <v/>
      </c>
      <c r="M402" s="28"/>
      <c r="N402" s="27" t="n">
        <f aca="false">IFERROR(INDEX('Input Giocatori 2026_27'!$E$3:$E$493,MATCH($A402,'Input Giocatori 2026_27'!$A$3:$A$493,0)),"")</f>
        <v>2</v>
      </c>
      <c r="O402" s="27" t="n">
        <f aca="false">IFERROR(INDEX('Input Giocatori 2026_27'!$G$3:$G$493,MATCH($A402,'Input Giocatori 2026_27'!$A$3:$A$493,0)),"")</f>
        <v>4</v>
      </c>
      <c r="P402" s="26" t="str">
        <f aca="false">IFERROR(IF($O402="","",IF((1-(COUNTIFS($B$2:$B$492,$B402,$O$2:$O$492,"&gt;"&amp;$O402)+1-1)/COUNTIF($B$2:$B$492,$B402))&gt;=0.85,"Top",IF((1-(COUNTIFS($B$2:$B$492,$B402,$O$2:$O$492,"&gt;"&amp;$O402)+1-1)/COUNTIF($B$2:$B$492,$B402))&gt;=0.6,"Buono",IF((1-(COUNTIFS($B$2:$B$492,$B402,$O$2:$O$492,"&gt;"&amp;$O402)+1-1)/COUNTIF($B$2:$B$492,$B402))&gt;=0.3,"Nella Media","Scommessa/Riserva")))),"")</f>
        <v>Scommessa/Riserva</v>
      </c>
      <c r="Q402" s="29" t="n">
        <f aca="false">IF($D402="",COUNTIF($D$2:$D402,""),"")</f>
        <v>401</v>
      </c>
      <c r="R402" s="29" t="str">
        <f aca="false">IF($D402='Info Lega'!$B$28,COUNTIFS($D$2:$D402,'Info Lega'!$B$28),"")</f>
        <v/>
      </c>
      <c r="S402" s="30" t="str">
        <f aca="false">IFERROR(INDEX('Input Statistiche 2025_26'!$G$3:$G$665,MATCH($A402,'Input Statistiche 2025_26'!$A$3:$A$665,0)),"")</f>
        <v/>
      </c>
      <c r="T402" s="30" t="str">
        <f aca="false">IFERROR(INDEX('Input Statistiche 2025_26'!$H$3:$H$665,MATCH($A402,'Input Statistiche 2025_26'!$A$3:$A$665,0)),"")</f>
        <v/>
      </c>
      <c r="U402" s="26" t="str">
        <f aca="false">IF(OR('La Mia Rosa'!$O$12="",$D402&lt;&gt;""),"",IF($F402&lt;='La Mia Rosa'!$O$12*'Parametri Modello'!$B$24,"OK",IF($F402&lt;='La Mia Rosa'!$O$12*'Parametri Modello'!$B$25,"Attenzione","Rischio Alto")))</f>
        <v>OK</v>
      </c>
      <c r="V402" s="26" t="n">
        <f aca="false">IFERROR(COUNTIFS($B$2:$B$492,$B402,$O$2:$O$492,"&gt;"&amp;$O402)+1,"")</f>
        <v>145</v>
      </c>
      <c r="W402" s="21" t="n">
        <f aca="false">'Info Lega'!$B$4-SUMIFS($M$2:$M$492,$D$2:$D$492,'Info Lega'!$B$28)</f>
        <v>1000</v>
      </c>
      <c r="X402" s="21" t="n">
        <f aca="false">('Info Lega'!$B$5-COUNTIFS($D$2:$D$492,'Info Lega'!$B$28,$B$2:$B$492,"P"))+('Info Lega'!$B$6-COUNTIFS($D$2:$D$492,'Info Lega'!$B$28,$B$2:$B$492,"D"))+('Info Lega'!$B$7-COUNTIFS($D$2:$D$492,'Info Lega'!$B$28,$B$2:$B$492,"C"))+('Info Lega'!$B$8-COUNTIFS($D$2:$D$492,'Info Lega'!$B$28,$B$2:$B$492,"A"))</f>
        <v>25</v>
      </c>
      <c r="Y402" s="21" t="n">
        <f aca="false">X402*'Parametri Modello'!$B$30</f>
        <v>25</v>
      </c>
      <c r="Z402" s="21" t="n">
        <f aca="false">MAX(0,W402-Y402)</f>
        <v>975</v>
      </c>
      <c r="AA402" s="21" t="n">
        <f aca="false">MIN(F402,Z402)</f>
        <v>2</v>
      </c>
      <c r="AB402" s="21"/>
      <c r="AC402" s="21" t="str">
        <f aca="false">IF(AB402="","",IF(AB402&gt;AA402,"PASS",IF(AB402&lt;=AA402*0.85,"BID","ATTENZIONE")))</f>
        <v/>
      </c>
      <c r="AD402" s="31" t="str">
        <f aca="false">IF(I402="","",ROUND(100*(1-EXP(-I402/30)),0))</f>
        <v/>
      </c>
      <c r="AE402" s="7" t="str">
        <f aca="false">IFERROR(INDEX('Stato Asta'!$G$9:$G$12,MATCH($B402,'Stato Asta'!$A$9:$A$12,0)),"")</f>
        <v>🟡 Attesa rischiosa</v>
      </c>
    </row>
    <row r="403" customFormat="false" ht="14.25" hidden="false" customHeight="true" outlineLevel="0" collapsed="false">
      <c r="A403" s="21" t="n">
        <v>6681</v>
      </c>
      <c r="B403" s="21" t="s">
        <v>44</v>
      </c>
      <c r="C403" s="21" t="s">
        <v>338</v>
      </c>
      <c r="E403" s="26" t="str">
        <f aca="false">IF(COUNTIF('Info Strategia'!$D$2:$D$51,$C403)&gt;0,"SI","NO")</f>
        <v>NO</v>
      </c>
      <c r="F403" s="27" t="n">
        <f aca="false">IFERROR(ROUND(($G403+($H403-$G403)*'Info Strategia'!$B$6)*(1+IF($E403="SI",'Parametri Modello'!$B$7*'Info Strategia'!$B$6,0)),0),"")</f>
        <v>2</v>
      </c>
      <c r="G403" s="27" t="n">
        <f aca="false">IFERROR(ROUND((IF(OR(INDEX('Parametri Modello'!$C$39:$C$42,MATCH($B403,'Parametri Modello'!$A$39:$A$42,0))="",INDEX('Parametri Modello'!$C$39:$C$42,MATCH($B403,'Parametri Modello'!$A$39:$A$42,0))=0),0,($O403/INDEX('Parametri Modello'!$C$39:$C$42,MATCH($B403,'Parametri Modello'!$A$39:$A$42,0)))*(INDEX('Parametri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1</v>
      </c>
      <c r="H403" s="27" t="n">
        <f aca="false">IFERROR(ROUND((IF(OR(INDEX('Parametri Modello'!$C$39:$C$42,MATCH($B403,'Parametri Modello'!$A$39:$A$42,0))="",INDEX('Parametri Modello'!$C$39:$C$42,MATCH($B403,'Parametri Modello'!$A$39:$A$42,0))=0),0,($O403/INDEX('Parametri Modello'!$C$39:$C$42,MATCH($B403,'Parametri Modello'!$A$39:$A$42,0)))*(INDEX('Parametri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2</v>
      </c>
      <c r="I403" s="26" t="str">
        <f aca="false">IFERROR(INDEX('Input Statistiche 2025_26'!$F$3:$F$665,MATCH($A403,'Input Statistiche 2025_26'!$A$3:$A$665,0)),"")</f>
        <v/>
      </c>
      <c r="J403" s="26" t="str">
        <f aca="false">IFERROR(IF($I403="","",MAX(0,38-$I403)),"")</f>
        <v/>
      </c>
      <c r="K403" s="26" t="str">
        <f aca="false">IFERROR(INDEX('Input Statistiche 2025_26'!$I$3:$I$665,MATCH($A403,'Input Statistiche 2025_26'!$A$3:$A$665,0)),"")</f>
        <v/>
      </c>
      <c r="L403" s="26" t="str">
        <f aca="false">IFERROR(INDEX('Input Statistiche 2025_26'!$O$3:$O$665,MATCH($A403,'Input Statistiche 2025_26'!$A$3:$A$665,0)),"")</f>
        <v/>
      </c>
      <c r="M403" s="28"/>
      <c r="N403" s="27" t="n">
        <f aca="false">IFERROR(INDEX('Input Giocatori 2026_27'!$E$3:$E$493,MATCH($A403,'Input Giocatori 2026_27'!$A$3:$A$493,0)),"")</f>
        <v>2</v>
      </c>
      <c r="O403" s="27" t="n">
        <f aca="false">IFERROR(INDEX('Input Giocatori 2026_27'!$G$3:$G$493,MATCH($A403,'Input Giocatori 2026_27'!$A$3:$A$493,0)),"")</f>
        <v>4</v>
      </c>
      <c r="P403" s="26" t="str">
        <f aca="false">IFERROR(IF($O403="","",IF((1-(COUNTIFS($B$2:$B$492,$B403,$O$2:$O$492,"&gt;"&amp;$O403)+1-1)/COUNTIF($B$2:$B$492,$B403))&gt;=0.85,"Top",IF((1-(COUNTIFS($B$2:$B$492,$B403,$O$2:$O$492,"&gt;"&amp;$O403)+1-1)/COUNTIF($B$2:$B$492,$B403))&gt;=0.6,"Buono",IF((1-(COUNTIFS($B$2:$B$492,$B403,$O$2:$O$492,"&gt;"&amp;$O403)+1-1)/COUNTIF($B$2:$B$492,$B403))&gt;=0.3,"Nella Media","Scommessa/Riserva")))),"")</f>
        <v>Scommessa/Riserva</v>
      </c>
      <c r="Q403" s="29" t="n">
        <f aca="false">IF($D403="",COUNTIF($D$2:$D403,""),"")</f>
        <v>402</v>
      </c>
      <c r="R403" s="29" t="str">
        <f aca="false">IF($D403='Info Lega'!$B$28,COUNTIFS($D$2:$D403,'Info Lega'!$B$28),"")</f>
        <v/>
      </c>
      <c r="S403" s="30" t="str">
        <f aca="false">IFERROR(INDEX('Input Statistiche 2025_26'!$G$3:$G$665,MATCH($A403,'Input Statistiche 2025_26'!$A$3:$A$665,0)),"")</f>
        <v/>
      </c>
      <c r="T403" s="30" t="str">
        <f aca="false">IFERROR(INDEX('Input Statistiche 2025_26'!$H$3:$H$665,MATCH($A403,'Input Statistiche 2025_26'!$A$3:$A$665,0)),"")</f>
        <v/>
      </c>
      <c r="U403" s="26" t="str">
        <f aca="false">IF(OR('La Mia Rosa'!$O$12="",$D403&lt;&gt;""),"",IF($F403&lt;='La Mia Rosa'!$O$12*'Parametri Modello'!$B$24,"OK",IF($F403&lt;='La Mia Rosa'!$O$12*'Parametri Modello'!$B$25,"Attenzione","Rischio Alto")))</f>
        <v>OK</v>
      </c>
      <c r="V403" s="26" t="n">
        <f aca="false">IFERROR(COUNTIFS($B$2:$B$492,$B403,$O$2:$O$492,"&gt;"&amp;$O403)+1,"")</f>
        <v>145</v>
      </c>
      <c r="W403" s="21" t="n">
        <f aca="false">'Info Lega'!$B$4-SUMIFS($M$2:$M$492,$D$2:$D$492,'Info Lega'!$B$28)</f>
        <v>1000</v>
      </c>
      <c r="X403" s="21" t="n">
        <f aca="false">('Info Lega'!$B$5-COUNTIFS($D$2:$D$492,'Info Lega'!$B$28,$B$2:$B$492,"P"))+('Info Lega'!$B$6-COUNTIFS($D$2:$D$492,'Info Lega'!$B$28,$B$2:$B$492,"D"))+('Info Lega'!$B$7-COUNTIFS($D$2:$D$492,'Info Lega'!$B$28,$B$2:$B$492,"C"))+('Info Lega'!$B$8-COUNTIFS($D$2:$D$492,'Info Lega'!$B$28,$B$2:$B$492,"A"))</f>
        <v>25</v>
      </c>
      <c r="Y403" s="21" t="n">
        <f aca="false">X403*'Parametri Modello'!$B$30</f>
        <v>25</v>
      </c>
      <c r="Z403" s="21" t="n">
        <f aca="false">MAX(0,W403-Y403)</f>
        <v>975</v>
      </c>
      <c r="AA403" s="21" t="n">
        <f aca="false">MIN(F403,Z403)</f>
        <v>2</v>
      </c>
      <c r="AB403" s="21"/>
      <c r="AC403" s="21" t="str">
        <f aca="false">IF(AB403="","",IF(AB403&gt;AA403,"PASS",IF(AB403&lt;=AA403*0.85,"BID","ATTENZIONE")))</f>
        <v/>
      </c>
      <c r="AD403" s="31" t="str">
        <f aca="false">IF(I403="","",ROUND(100*(1-EXP(-I403/30)),0))</f>
        <v/>
      </c>
      <c r="AE403" s="7" t="str">
        <f aca="false">IFERROR(INDEX('Stato Asta'!$G$9:$G$12,MATCH($B403,'Stato Asta'!$A$9:$A$12,0)),"")</f>
        <v>🟡 Attesa rischiosa</v>
      </c>
    </row>
    <row r="404" customFormat="false" ht="14.25" hidden="false" customHeight="true" outlineLevel="0" collapsed="false">
      <c r="A404" s="21" t="n">
        <v>487</v>
      </c>
      <c r="B404" s="21" t="s">
        <v>44</v>
      </c>
      <c r="C404" s="21" t="s">
        <v>339</v>
      </c>
      <c r="E404" s="26" t="str">
        <f aca="false">IF(COUNTIF('Info Strategia'!$D$2:$D$51,$C404)&gt;0,"SI","NO")</f>
        <v>NO</v>
      </c>
      <c r="F404" s="27" t="n">
        <f aca="false">IFERROR(ROUND(($G404+($H404-$G404)*'Info Strategia'!$B$6)*(1+IF($E404="SI",'Parametri Modello'!$B$7*'Info Strategia'!$B$6,0)),0),"")</f>
        <v>2</v>
      </c>
      <c r="G404" s="27" t="n">
        <f aca="false">IFERROR(ROUND((IF(OR(INDEX('Parametri Modello'!$C$39:$C$42,MATCH($B404,'Parametri Modello'!$A$39:$A$42,0))="",INDEX('Parametri Modello'!$C$39:$C$42,MATCH($B404,'Parametri Modello'!$A$39:$A$42,0))=0),0,($O404/INDEX('Parametri Modello'!$C$39:$C$42,MATCH($B404,'Parametri Modello'!$A$39:$A$42,0)))*(INDEX('Parametri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1</v>
      </c>
      <c r="H404" s="27" t="n">
        <f aca="false">IFERROR(ROUND((IF(OR(INDEX('Parametri Modello'!$C$39:$C$42,MATCH($B404,'Parametri Modello'!$A$39:$A$42,0))="",INDEX('Parametri Modello'!$C$39:$C$42,MATCH($B404,'Parametri Modello'!$A$39:$A$42,0))=0),0,($O404/INDEX('Parametri Modello'!$C$39:$C$42,MATCH($B404,'Parametri Modello'!$A$39:$A$42,0)))*(INDEX('Parametri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2</v>
      </c>
      <c r="I404" s="26" t="n">
        <f aca="false">IFERROR(INDEX('Input Statistiche 2025_26'!$F$3:$F$665,MATCH($A404,'Input Statistiche 2025_26'!$A$3:$A$665,0)),"")</f>
        <v>10</v>
      </c>
      <c r="J404" s="26" t="n">
        <f aca="false">IFERROR(IF($I404="","",MAX(0,38-$I404)),"")</f>
        <v>28</v>
      </c>
      <c r="K404" s="26" t="n">
        <f aca="false">IFERROR(INDEX('Input Statistiche 2025_26'!$I$3:$I$665,MATCH($A404,'Input Statistiche 2025_26'!$A$3:$A$665,0)),"")</f>
        <v>0</v>
      </c>
      <c r="L404" s="26" t="n">
        <f aca="false">IFERROR(INDEX('Input Statistiche 2025_26'!$O$3:$O$665,MATCH($A404,'Input Statistiche 2025_26'!$A$3:$A$665,0)),"")</f>
        <v>0</v>
      </c>
      <c r="M404" s="28"/>
      <c r="N404" s="27" t="n">
        <f aca="false">IFERROR(INDEX('Input Giocatori 2026_27'!$E$3:$E$493,MATCH($A404,'Input Giocatori 2026_27'!$A$3:$A$493,0)),"")</f>
        <v>1</v>
      </c>
      <c r="O404" s="27" t="n">
        <f aca="false">IFERROR(INDEX('Input Giocatori 2026_27'!$G$3:$G$493,MATCH($A404,'Input Giocatori 2026_27'!$A$3:$A$493,0)),"")</f>
        <v>4</v>
      </c>
      <c r="P404" s="26" t="str">
        <f aca="false">IFERROR(IF($O404="","",IF((1-(COUNTIFS($B$2:$B$492,$B404,$O$2:$O$492,"&gt;"&amp;$O404)+1-1)/COUNTIF($B$2:$B$492,$B404))&gt;=0.85,"Top",IF((1-(COUNTIFS($B$2:$B$492,$B404,$O$2:$O$492,"&gt;"&amp;$O404)+1-1)/COUNTIF($B$2:$B$492,$B404))&gt;=0.6,"Buono",IF((1-(COUNTIFS($B$2:$B$492,$B404,$O$2:$O$492,"&gt;"&amp;$O404)+1-1)/COUNTIF($B$2:$B$492,$B404))&gt;=0.3,"Nella Media","Scommessa/Riserva")))),"")</f>
        <v>Scommessa/Riserva</v>
      </c>
      <c r="Q404" s="29" t="n">
        <f aca="false">IF($D404="",COUNTIF($D$2:$D404,""),"")</f>
        <v>403</v>
      </c>
      <c r="R404" s="29" t="str">
        <f aca="false">IF($D404='Info Lega'!$B$28,COUNTIFS($D$2:$D404,'Info Lega'!$B$28),"")</f>
        <v/>
      </c>
      <c r="S404" s="30" t="n">
        <f aca="false">IFERROR(INDEX('Input Statistiche 2025_26'!$G$3:$G$665,MATCH($A404,'Input Statistiche 2025_26'!$A$3:$A$665,0)),"")</f>
        <v>6.05</v>
      </c>
      <c r="T404" s="30" t="n">
        <f aca="false">IFERROR(INDEX('Input Statistiche 2025_26'!$H$3:$H$665,MATCH($A404,'Input Statistiche 2025_26'!$A$3:$A$665,0)),"")</f>
        <v>5.95</v>
      </c>
      <c r="U404" s="26" t="str">
        <f aca="false">IF(OR('La Mia Rosa'!$O$12="",$D404&lt;&gt;""),"",IF($F404&lt;='La Mia Rosa'!$O$12*'Parametri Modello'!$B$24,"OK",IF($F404&lt;='La Mia Rosa'!$O$12*'Parametri Modello'!$B$25,"Attenzione","Rischio Alto")))</f>
        <v>OK</v>
      </c>
      <c r="V404" s="26" t="n">
        <f aca="false">IFERROR(COUNTIFS($B$2:$B$492,$B404,$O$2:$O$492,"&gt;"&amp;$O404)+1,"")</f>
        <v>145</v>
      </c>
      <c r="W404" s="21" t="n">
        <f aca="false">'Info Lega'!$B$4-SUMIFS($M$2:$M$492,$D$2:$D$492,'Info Lega'!$B$28)</f>
        <v>1000</v>
      </c>
      <c r="X404" s="21" t="n">
        <f aca="false">('Info Lega'!$B$5-COUNTIFS($D$2:$D$492,'Info Lega'!$B$28,$B$2:$B$492,"P"))+('Info Lega'!$B$6-COUNTIFS($D$2:$D$492,'Info Lega'!$B$28,$B$2:$B$492,"D"))+('Info Lega'!$B$7-COUNTIFS($D$2:$D$492,'Info Lega'!$B$28,$B$2:$B$492,"C"))+('Info Lega'!$B$8-COUNTIFS($D$2:$D$492,'Info Lega'!$B$28,$B$2:$B$492,"A"))</f>
        <v>25</v>
      </c>
      <c r="Y404" s="21" t="n">
        <f aca="false">X404*'Parametri Modello'!$B$30</f>
        <v>25</v>
      </c>
      <c r="Z404" s="21" t="n">
        <f aca="false">MAX(0,W404-Y404)</f>
        <v>975</v>
      </c>
      <c r="AA404" s="21" t="n">
        <f aca="false">MIN(F404,Z404)</f>
        <v>2</v>
      </c>
      <c r="AB404" s="21"/>
      <c r="AC404" s="21" t="str">
        <f aca="false">IF(AB404="","",IF(AB404&gt;AA404,"PASS",IF(AB404&lt;=AA404*0.85,"BID","ATTENZIONE")))</f>
        <v/>
      </c>
      <c r="AD404" s="31" t="n">
        <f aca="false">IF(I404="","",ROUND(100*(1-EXP(-I404/30)),0))</f>
        <v>28</v>
      </c>
      <c r="AE404" s="7" t="str">
        <f aca="false">IFERROR(INDEX('Stato Asta'!$G$9:$G$12,MATCH($B404,'Stato Asta'!$A$9:$A$12,0)),"")</f>
        <v>🟡 Attesa rischiosa</v>
      </c>
    </row>
    <row r="405" customFormat="false" ht="14.25" hidden="false" customHeight="true" outlineLevel="0" collapsed="false">
      <c r="A405" s="21" t="n">
        <v>6039</v>
      </c>
      <c r="B405" s="21" t="s">
        <v>44</v>
      </c>
      <c r="C405" s="21" t="s">
        <v>350</v>
      </c>
      <c r="E405" s="26" t="str">
        <f aca="false">IF(COUNTIF('Info Strategia'!$D$2:$D$51,$C405)&gt;0,"SI","NO")</f>
        <v>NO</v>
      </c>
      <c r="F405" s="27" t="n">
        <f aca="false">IFERROR(ROUND(($G405+($H405-$G405)*'Info Strategia'!$B$6)*(1+IF($E405="SI",'Parametri Modello'!$B$7*'Info Strategia'!$B$6,0)),0),"")</f>
        <v>2</v>
      </c>
      <c r="G405" s="27" t="n">
        <f aca="false">IFERROR(ROUND((IF(OR(INDEX('Parametri Modello'!$C$39:$C$42,MATCH($B405,'Parametri Modello'!$A$39:$A$42,0))="",INDEX('Parametri Modello'!$C$39:$C$42,MATCH($B405,'Parametri Modello'!$A$39:$A$42,0))=0),0,($O405/INDEX('Parametri Modello'!$C$39:$C$42,MATCH($B405,'Parametri Modello'!$A$39:$A$42,0)))*(INDEX('Parametri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1</v>
      </c>
      <c r="H405" s="27" t="n">
        <f aca="false">IFERROR(ROUND((IF(OR(INDEX('Parametri Modello'!$C$39:$C$42,MATCH($B405,'Parametri Modello'!$A$39:$A$42,0))="",INDEX('Parametri Modello'!$C$39:$C$42,MATCH($B405,'Parametri Modello'!$A$39:$A$42,0))=0),0,($O405/INDEX('Parametri Modello'!$C$39:$C$42,MATCH($B405,'Parametri Modello'!$A$39:$A$42,0)))*(INDEX('Parametri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2</v>
      </c>
      <c r="I405" s="26" t="n">
        <f aca="false">IFERROR(INDEX('Input Statistiche 2025_26'!$F$3:$F$665,MATCH($A405,'Input Statistiche 2025_26'!$A$3:$A$665,0)),"")</f>
        <v>9</v>
      </c>
      <c r="J405" s="26" t="n">
        <f aca="false">IFERROR(IF($I405="","",MAX(0,38-$I405)),"")</f>
        <v>29</v>
      </c>
      <c r="K405" s="26" t="n">
        <f aca="false">IFERROR(INDEX('Input Statistiche 2025_26'!$I$3:$I$665,MATCH($A405,'Input Statistiche 2025_26'!$A$3:$A$665,0)),"")</f>
        <v>2</v>
      </c>
      <c r="L405" s="26" t="n">
        <f aca="false">IFERROR(INDEX('Input Statistiche 2025_26'!$O$3:$O$665,MATCH($A405,'Input Statistiche 2025_26'!$A$3:$A$665,0)),"")</f>
        <v>0</v>
      </c>
      <c r="M405" s="28"/>
      <c r="N405" s="27" t="n">
        <f aca="false">IFERROR(INDEX('Input Giocatori 2026_27'!$E$3:$E$493,MATCH($A405,'Input Giocatori 2026_27'!$A$3:$A$493,0)),"")</f>
        <v>1</v>
      </c>
      <c r="O405" s="27" t="n">
        <f aca="false">IFERROR(INDEX('Input Giocatori 2026_27'!$G$3:$G$493,MATCH($A405,'Input Giocatori 2026_27'!$A$3:$A$493,0)),"")</f>
        <v>4</v>
      </c>
      <c r="P405" s="26" t="str">
        <f aca="false">IFERROR(IF($O405="","",IF((1-(COUNTIFS($B$2:$B$492,$B405,$O$2:$O$492,"&gt;"&amp;$O405)+1-1)/COUNTIF($B$2:$B$492,$B405))&gt;=0.85,"Top",IF((1-(COUNTIFS($B$2:$B$492,$B405,$O$2:$O$492,"&gt;"&amp;$O405)+1-1)/COUNTIF($B$2:$B$492,$B405))&gt;=0.6,"Buono",IF((1-(COUNTIFS($B$2:$B$492,$B405,$O$2:$O$492,"&gt;"&amp;$O405)+1-1)/COUNTIF($B$2:$B$492,$B405))&gt;=0.3,"Nella Media","Scommessa/Riserva")))),"")</f>
        <v>Scommessa/Riserva</v>
      </c>
      <c r="Q405" s="29" t="n">
        <f aca="false">IF($D405="",COUNTIF($D$2:$D405,""),"")</f>
        <v>404</v>
      </c>
      <c r="R405" s="29" t="str">
        <f aca="false">IF($D405='Info Lega'!$B$28,COUNTIFS($D$2:$D405,'Info Lega'!$B$28),"")</f>
        <v/>
      </c>
      <c r="S405" s="30" t="n">
        <f aca="false">IFERROR(INDEX('Input Statistiche 2025_26'!$G$3:$G$665,MATCH($A405,'Input Statistiche 2025_26'!$A$3:$A$665,0)),"")</f>
        <v>5.94</v>
      </c>
      <c r="T405" s="30" t="n">
        <f aca="false">IFERROR(INDEX('Input Statistiche 2025_26'!$H$3:$H$665,MATCH($A405,'Input Statistiche 2025_26'!$A$3:$A$665,0)),"")</f>
        <v>6.56</v>
      </c>
      <c r="U405" s="26" t="str">
        <f aca="false">IF(OR('La Mia Rosa'!$O$12="",$D405&lt;&gt;""),"",IF($F405&lt;='La Mia Rosa'!$O$12*'Parametri Modello'!$B$24,"OK",IF($F405&lt;='La Mia Rosa'!$O$12*'Parametri Modello'!$B$25,"Attenzione","Rischio Alto")))</f>
        <v>OK</v>
      </c>
      <c r="V405" s="26" t="n">
        <f aca="false">IFERROR(COUNTIFS($B$2:$B$492,$B405,$O$2:$O$492,"&gt;"&amp;$O405)+1,"")</f>
        <v>145</v>
      </c>
      <c r="W405" s="21" t="n">
        <f aca="false">'Info Lega'!$B$4-SUMIFS($M$2:$M$492,$D$2:$D$492,'Info Lega'!$B$28)</f>
        <v>1000</v>
      </c>
      <c r="X405" s="21" t="n">
        <f aca="false">('Info Lega'!$B$5-COUNTIFS($D$2:$D$492,'Info Lega'!$B$28,$B$2:$B$492,"P"))+('Info Lega'!$B$6-COUNTIFS($D$2:$D$492,'Info Lega'!$B$28,$B$2:$B$492,"D"))+('Info Lega'!$B$7-COUNTIFS($D$2:$D$492,'Info Lega'!$B$28,$B$2:$B$492,"C"))+('Info Lega'!$B$8-COUNTIFS($D$2:$D$492,'Info Lega'!$B$28,$B$2:$B$492,"A"))</f>
        <v>25</v>
      </c>
      <c r="Y405" s="21" t="n">
        <f aca="false">X405*'Parametri Modello'!$B$30</f>
        <v>25</v>
      </c>
      <c r="Z405" s="21" t="n">
        <f aca="false">MAX(0,W405-Y405)</f>
        <v>975</v>
      </c>
      <c r="AA405" s="21" t="n">
        <f aca="false">MIN(F405,Z405)</f>
        <v>2</v>
      </c>
      <c r="AB405" s="21"/>
      <c r="AC405" s="21" t="str">
        <f aca="false">IF(AB405="","",IF(AB405&gt;AA405,"PASS",IF(AB405&lt;=AA405*0.85,"BID","ATTENZIONE")))</f>
        <v/>
      </c>
      <c r="AD405" s="31" t="n">
        <f aca="false">IF(I405="","",ROUND(100*(1-EXP(-I405/30)),0))</f>
        <v>26</v>
      </c>
      <c r="AE405" s="7" t="str">
        <f aca="false">IFERROR(INDEX('Stato Asta'!$G$9:$G$12,MATCH($B405,'Stato Asta'!$A$9:$A$12,0)),"")</f>
        <v>🟡 Attesa rischiosa</v>
      </c>
    </row>
    <row r="406" customFormat="false" ht="14.25" hidden="false" customHeight="true" outlineLevel="0" collapsed="false">
      <c r="A406" s="21" t="n">
        <v>327</v>
      </c>
      <c r="B406" s="21" t="s">
        <v>44</v>
      </c>
      <c r="C406" s="21" t="s">
        <v>351</v>
      </c>
      <c r="E406" s="26" t="str">
        <f aca="false">IF(COUNTIF('Info Strategia'!$D$2:$D$51,$C406)&gt;0,"SI","NO")</f>
        <v>NO</v>
      </c>
      <c r="F406" s="27" t="n">
        <f aca="false">IFERROR(ROUND(($G406+($H406-$G406)*'Info Strategia'!$B$6)*(1+IF($E406="SI",'Parametri Modello'!$B$7*'Info Strategia'!$B$6,0)),0),"")</f>
        <v>2</v>
      </c>
      <c r="G406" s="27" t="n">
        <f aca="false">IFERROR(ROUND((IF(OR(INDEX('Parametri Modello'!$C$39:$C$42,MATCH($B406,'Parametri Modello'!$A$39:$A$42,0))="",INDEX('Parametri Modello'!$C$39:$C$42,MATCH($B406,'Parametri Modello'!$A$39:$A$42,0))=0),0,($O406/INDEX('Parametri Modello'!$C$39:$C$42,MATCH($B406,'Parametri Modello'!$A$39:$A$42,0)))*(INDEX('Parametri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1</v>
      </c>
      <c r="H406" s="27" t="n">
        <f aca="false">IFERROR(ROUND((IF(OR(INDEX('Parametri Modello'!$C$39:$C$42,MATCH($B406,'Parametri Modello'!$A$39:$A$42,0))="",INDEX('Parametri Modello'!$C$39:$C$42,MATCH($B406,'Parametri Modello'!$A$39:$A$42,0))=0),0,($O406/INDEX('Parametri Modello'!$C$39:$C$42,MATCH($B406,'Parametri Modello'!$A$39:$A$42,0)))*(INDEX('Parametri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2</v>
      </c>
      <c r="I406" s="26" t="n">
        <f aca="false">IFERROR(INDEX('Input Statistiche 2025_26'!$F$3:$F$665,MATCH($A406,'Input Statistiche 2025_26'!$A$3:$A$665,0)),"")</f>
        <v>10</v>
      </c>
      <c r="J406" s="26" t="n">
        <f aca="false">IFERROR(IF($I406="","",MAX(0,38-$I406)),"")</f>
        <v>28</v>
      </c>
      <c r="K406" s="26" t="n">
        <f aca="false">IFERROR(INDEX('Input Statistiche 2025_26'!$I$3:$I$665,MATCH($A406,'Input Statistiche 2025_26'!$A$3:$A$665,0)),"")</f>
        <v>0</v>
      </c>
      <c r="L406" s="26" t="n">
        <f aca="false">IFERROR(INDEX('Input Statistiche 2025_26'!$O$3:$O$665,MATCH($A406,'Input Statistiche 2025_26'!$A$3:$A$665,0)),"")</f>
        <v>0</v>
      </c>
      <c r="M406" s="28"/>
      <c r="N406" s="27" t="n">
        <f aca="false">IFERROR(INDEX('Input Giocatori 2026_27'!$E$3:$E$493,MATCH($A406,'Input Giocatori 2026_27'!$A$3:$A$493,0)),"")</f>
        <v>1</v>
      </c>
      <c r="O406" s="27" t="n">
        <f aca="false">IFERROR(INDEX('Input Giocatori 2026_27'!$G$3:$G$493,MATCH($A406,'Input Giocatori 2026_27'!$A$3:$A$493,0)),"")</f>
        <v>4</v>
      </c>
      <c r="P406" s="26" t="str">
        <f aca="false">IFERROR(IF($O406="","",IF((1-(COUNTIFS($B$2:$B$492,$B406,$O$2:$O$492,"&gt;"&amp;$O406)+1-1)/COUNTIF($B$2:$B$492,$B406))&gt;=0.85,"Top",IF((1-(COUNTIFS($B$2:$B$492,$B406,$O$2:$O$492,"&gt;"&amp;$O406)+1-1)/COUNTIF($B$2:$B$492,$B406))&gt;=0.6,"Buono",IF((1-(COUNTIFS($B$2:$B$492,$B406,$O$2:$O$492,"&gt;"&amp;$O406)+1-1)/COUNTIF($B$2:$B$492,$B406))&gt;=0.3,"Nella Media","Scommessa/Riserva")))),"")</f>
        <v>Scommessa/Riserva</v>
      </c>
      <c r="Q406" s="29" t="n">
        <f aca="false">IF($D406="",COUNTIF($D$2:$D406,""),"")</f>
        <v>405</v>
      </c>
      <c r="R406" s="29" t="str">
        <f aca="false">IF($D406='Info Lega'!$B$28,COUNTIFS($D$2:$D406,'Info Lega'!$B$28),"")</f>
        <v/>
      </c>
      <c r="S406" s="30" t="n">
        <f aca="false">IFERROR(INDEX('Input Statistiche 2025_26'!$G$3:$G$665,MATCH($A406,'Input Statistiche 2025_26'!$A$3:$A$665,0)),"")</f>
        <v>5.85</v>
      </c>
      <c r="T406" s="30" t="n">
        <f aca="false">IFERROR(INDEX('Input Statistiche 2025_26'!$H$3:$H$665,MATCH($A406,'Input Statistiche 2025_26'!$A$3:$A$665,0)),"")</f>
        <v>5.75</v>
      </c>
      <c r="U406" s="26" t="str">
        <f aca="false">IF(OR('La Mia Rosa'!$O$12="",$D406&lt;&gt;""),"",IF($F406&lt;='La Mia Rosa'!$O$12*'Parametri Modello'!$B$24,"OK",IF($F406&lt;='La Mia Rosa'!$O$12*'Parametri Modello'!$B$25,"Attenzione","Rischio Alto")))</f>
        <v>OK</v>
      </c>
      <c r="V406" s="26" t="n">
        <f aca="false">IFERROR(COUNTIFS($B$2:$B$492,$B406,$O$2:$O$492,"&gt;"&amp;$O406)+1,"")</f>
        <v>145</v>
      </c>
      <c r="W406" s="21" t="n">
        <f aca="false">'Info Lega'!$B$4-SUMIFS($M$2:$M$492,$D$2:$D$492,'Info Lega'!$B$28)</f>
        <v>1000</v>
      </c>
      <c r="X406" s="21" t="n">
        <f aca="false">('Info Lega'!$B$5-COUNTIFS($D$2:$D$492,'Info Lega'!$B$28,$B$2:$B$492,"P"))+('Info Lega'!$B$6-COUNTIFS($D$2:$D$492,'Info Lega'!$B$28,$B$2:$B$492,"D"))+('Info Lega'!$B$7-COUNTIFS($D$2:$D$492,'Info Lega'!$B$28,$B$2:$B$492,"C"))+('Info Lega'!$B$8-COUNTIFS($D$2:$D$492,'Info Lega'!$B$28,$B$2:$B$492,"A"))</f>
        <v>25</v>
      </c>
      <c r="Y406" s="21" t="n">
        <f aca="false">X406*'Parametri Modello'!$B$30</f>
        <v>25</v>
      </c>
      <c r="Z406" s="21" t="n">
        <f aca="false">MAX(0,W406-Y406)</f>
        <v>975</v>
      </c>
      <c r="AA406" s="21" t="n">
        <f aca="false">MIN(F406,Z406)</f>
        <v>2</v>
      </c>
      <c r="AB406" s="21"/>
      <c r="AC406" s="21" t="str">
        <f aca="false">IF(AB406="","",IF(AB406&gt;AA406,"PASS",IF(AB406&lt;=AA406*0.85,"BID","ATTENZIONE")))</f>
        <v/>
      </c>
      <c r="AD406" s="31" t="n">
        <f aca="false">IF(I406="","",ROUND(100*(1-EXP(-I406/30)),0))</f>
        <v>28</v>
      </c>
      <c r="AE406" s="7" t="str">
        <f aca="false">IFERROR(INDEX('Stato Asta'!$G$9:$G$12,MATCH($B406,'Stato Asta'!$A$9:$A$12,0)),"")</f>
        <v>🟡 Attesa rischiosa</v>
      </c>
    </row>
    <row r="407" customFormat="false" ht="14.25" hidden="false" customHeight="true" outlineLevel="0" collapsed="false">
      <c r="A407" s="21" t="n">
        <v>7182</v>
      </c>
      <c r="B407" s="21" t="s">
        <v>44</v>
      </c>
      <c r="C407" s="21" t="s">
        <v>353</v>
      </c>
      <c r="E407" s="26" t="str">
        <f aca="false">IF(COUNTIF('Info Strategia'!$D$2:$D$51,$C407)&gt;0,"SI","NO")</f>
        <v>NO</v>
      </c>
      <c r="F407" s="27" t="n">
        <f aca="false">IFERROR(ROUND(($G407+($H407-$G407)*'Info Strategia'!$B$6)*(1+IF($E407="SI",'Parametri Modello'!$B$7*'Info Strategia'!$B$6,0)),0),"")</f>
        <v>2</v>
      </c>
      <c r="G407" s="27" t="n">
        <f aca="false">IFERROR(ROUND((IF(OR(INDEX('Parametri Modello'!$C$39:$C$42,MATCH($B407,'Parametri Modello'!$A$39:$A$42,0))="",INDEX('Parametri Modello'!$C$39:$C$42,MATCH($B407,'Parametri Modello'!$A$39:$A$42,0))=0),0,($O407/INDEX('Parametri Modello'!$C$39:$C$42,MATCH($B407,'Parametri Modello'!$A$39:$A$42,0)))*(INDEX('Parametri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1</v>
      </c>
      <c r="H407" s="27" t="n">
        <f aca="false">IFERROR(ROUND((IF(OR(INDEX('Parametri Modello'!$C$39:$C$42,MATCH($B407,'Parametri Modello'!$A$39:$A$42,0))="",INDEX('Parametri Modello'!$C$39:$C$42,MATCH($B407,'Parametri Modello'!$A$39:$A$42,0))=0),0,($O407/INDEX('Parametri Modello'!$C$39:$C$42,MATCH($B407,'Parametri Modello'!$A$39:$A$42,0)))*(INDEX('Parametri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2</v>
      </c>
      <c r="I407" s="26" t="n">
        <f aca="false">IFERROR(INDEX('Input Statistiche 2025_26'!$F$3:$F$665,MATCH($A407,'Input Statistiche 2025_26'!$A$3:$A$665,0)),"")</f>
        <v>9</v>
      </c>
      <c r="J407" s="26" t="n">
        <f aca="false">IFERROR(IF($I407="","",MAX(0,38-$I407)),"")</f>
        <v>29</v>
      </c>
      <c r="K407" s="26" t="n">
        <f aca="false">IFERROR(INDEX('Input Statistiche 2025_26'!$I$3:$I$665,MATCH($A407,'Input Statistiche 2025_26'!$A$3:$A$665,0)),"")</f>
        <v>0</v>
      </c>
      <c r="L407" s="26" t="n">
        <f aca="false">IFERROR(INDEX('Input Statistiche 2025_26'!$O$3:$O$665,MATCH($A407,'Input Statistiche 2025_26'!$A$3:$A$665,0)),"")</f>
        <v>0</v>
      </c>
      <c r="M407" s="28"/>
      <c r="N407" s="27" t="n">
        <f aca="false">IFERROR(INDEX('Input Giocatori 2026_27'!$E$3:$E$493,MATCH($A407,'Input Giocatori 2026_27'!$A$3:$A$493,0)),"")</f>
        <v>1</v>
      </c>
      <c r="O407" s="27" t="n">
        <f aca="false">IFERROR(INDEX('Input Giocatori 2026_27'!$G$3:$G$493,MATCH($A407,'Input Giocatori 2026_27'!$A$3:$A$493,0)),"")</f>
        <v>4</v>
      </c>
      <c r="P407" s="26" t="str">
        <f aca="false">IFERROR(IF($O407="","",IF((1-(COUNTIFS($B$2:$B$492,$B407,$O$2:$O$492,"&gt;"&amp;$O407)+1-1)/COUNTIF($B$2:$B$492,$B407))&gt;=0.85,"Top",IF((1-(COUNTIFS($B$2:$B$492,$B407,$O$2:$O$492,"&gt;"&amp;$O407)+1-1)/COUNTIF($B$2:$B$492,$B407))&gt;=0.6,"Buono",IF((1-(COUNTIFS($B$2:$B$492,$B407,$O$2:$O$492,"&gt;"&amp;$O407)+1-1)/COUNTIF($B$2:$B$492,$B407))&gt;=0.3,"Nella Media","Scommessa/Riserva")))),"")</f>
        <v>Scommessa/Riserva</v>
      </c>
      <c r="Q407" s="29" t="n">
        <f aca="false">IF($D407="",COUNTIF($D$2:$D407,""),"")</f>
        <v>406</v>
      </c>
      <c r="R407" s="29" t="str">
        <f aca="false">IF($D407='Info Lega'!$B$28,COUNTIFS($D$2:$D407,'Info Lega'!$B$28),"")</f>
        <v/>
      </c>
      <c r="S407" s="30" t="n">
        <f aca="false">IFERROR(INDEX('Input Statistiche 2025_26'!$G$3:$G$665,MATCH($A407,'Input Statistiche 2025_26'!$A$3:$A$665,0)),"")</f>
        <v>5.5</v>
      </c>
      <c r="T407" s="30" t="n">
        <f aca="false">IFERROR(INDEX('Input Statistiche 2025_26'!$H$3:$H$665,MATCH($A407,'Input Statistiche 2025_26'!$A$3:$A$665,0)),"")</f>
        <v>5.5</v>
      </c>
      <c r="U407" s="26" t="str">
        <f aca="false">IF(OR('La Mia Rosa'!$O$12="",$D407&lt;&gt;""),"",IF($F407&lt;='La Mia Rosa'!$O$12*'Parametri Modello'!$B$24,"OK",IF($F407&lt;='La Mia Rosa'!$O$12*'Parametri Modello'!$B$25,"Attenzione","Rischio Alto")))</f>
        <v>OK</v>
      </c>
      <c r="V407" s="26" t="n">
        <f aca="false">IFERROR(COUNTIFS($B$2:$B$492,$B407,$O$2:$O$492,"&gt;"&amp;$O407)+1,"")</f>
        <v>145</v>
      </c>
      <c r="W407" s="21" t="n">
        <f aca="false">'Info Lega'!$B$4-SUMIFS($M$2:$M$492,$D$2:$D$492,'Info Lega'!$B$28)</f>
        <v>1000</v>
      </c>
      <c r="X407" s="21" t="n">
        <f aca="false">('Info Lega'!$B$5-COUNTIFS($D$2:$D$492,'Info Lega'!$B$28,$B$2:$B$492,"P"))+('Info Lega'!$B$6-COUNTIFS($D$2:$D$492,'Info Lega'!$B$28,$B$2:$B$492,"D"))+('Info Lega'!$B$7-COUNTIFS($D$2:$D$492,'Info Lega'!$B$28,$B$2:$B$492,"C"))+('Info Lega'!$B$8-COUNTIFS($D$2:$D$492,'Info Lega'!$B$28,$B$2:$B$492,"A"))</f>
        <v>25</v>
      </c>
      <c r="Y407" s="21" t="n">
        <f aca="false">X407*'Parametri Modello'!$B$30</f>
        <v>25</v>
      </c>
      <c r="Z407" s="21" t="n">
        <f aca="false">MAX(0,W407-Y407)</f>
        <v>975</v>
      </c>
      <c r="AA407" s="21" t="n">
        <f aca="false">MIN(F407,Z407)</f>
        <v>2</v>
      </c>
      <c r="AB407" s="21"/>
      <c r="AC407" s="21" t="str">
        <f aca="false">IF(AB407="","",IF(AB407&gt;AA407,"PASS",IF(AB407&lt;=AA407*0.85,"BID","ATTENZIONE")))</f>
        <v/>
      </c>
      <c r="AD407" s="31" t="n">
        <f aca="false">IF(I407="","",ROUND(100*(1-EXP(-I407/30)),0))</f>
        <v>26</v>
      </c>
      <c r="AE407" s="7" t="str">
        <f aca="false">IFERROR(INDEX('Stato Asta'!$G$9:$G$12,MATCH($B407,'Stato Asta'!$A$9:$A$12,0)),"")</f>
        <v>🟡 Attesa rischiosa</v>
      </c>
    </row>
    <row r="408" customFormat="false" ht="14.25" hidden="false" customHeight="true" outlineLevel="0" collapsed="false">
      <c r="A408" s="21" t="n">
        <v>7476</v>
      </c>
      <c r="B408" s="21" t="s">
        <v>44</v>
      </c>
      <c r="C408" s="21" t="s">
        <v>355</v>
      </c>
      <c r="E408" s="26" t="str">
        <f aca="false">IF(COUNTIF('Info Strategia'!$D$2:$D$51,$C408)&gt;0,"SI","NO")</f>
        <v>NO</v>
      </c>
      <c r="F408" s="27" t="n">
        <f aca="false">IFERROR(ROUND(($G408+($H408-$G408)*'Info Strategia'!$B$6)*(1+IF($E408="SI",'Parametri Modello'!$B$7*'Info Strategia'!$B$6,0)),0),"")</f>
        <v>2</v>
      </c>
      <c r="G408" s="27" t="n">
        <f aca="false">IFERROR(ROUND((IF(OR(INDEX('Parametri Modello'!$C$39:$C$42,MATCH($B408,'Parametri Modello'!$A$39:$A$42,0))="",INDEX('Parametri Modello'!$C$39:$C$42,MATCH($B408,'Parametri Modello'!$A$39:$A$42,0))=0),0,($O408/INDEX('Parametri Modello'!$C$39:$C$42,MATCH($B408,'Parametri Modello'!$A$39:$A$42,0)))*(INDEX('Parametri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1</v>
      </c>
      <c r="H408" s="27" t="n">
        <f aca="false">IFERROR(ROUND((IF(OR(INDEX('Parametri Modello'!$C$39:$C$42,MATCH($B408,'Parametri Modello'!$A$39:$A$42,0))="",INDEX('Parametri Modello'!$C$39:$C$42,MATCH($B408,'Parametri Modello'!$A$39:$A$42,0))=0),0,($O408/INDEX('Parametri Modello'!$C$39:$C$42,MATCH($B408,'Parametri Modello'!$A$39:$A$42,0)))*(INDEX('Parametri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2</v>
      </c>
      <c r="I408" s="26" t="str">
        <f aca="false">IFERROR(INDEX('Input Statistiche 2025_26'!$F$3:$F$665,MATCH($A408,'Input Statistiche 2025_26'!$A$3:$A$665,0)),"")</f>
        <v/>
      </c>
      <c r="J408" s="26" t="str">
        <f aca="false">IFERROR(IF($I408="","",MAX(0,38-$I408)),"")</f>
        <v/>
      </c>
      <c r="K408" s="26" t="str">
        <f aca="false">IFERROR(INDEX('Input Statistiche 2025_26'!$I$3:$I$665,MATCH($A408,'Input Statistiche 2025_26'!$A$3:$A$665,0)),"")</f>
        <v/>
      </c>
      <c r="L408" s="26" t="str">
        <f aca="false">IFERROR(INDEX('Input Statistiche 2025_26'!$O$3:$O$665,MATCH($A408,'Input Statistiche 2025_26'!$A$3:$A$665,0)),"")</f>
        <v/>
      </c>
      <c r="M408" s="28"/>
      <c r="N408" s="27" t="n">
        <f aca="false">IFERROR(INDEX('Input Giocatori 2026_27'!$E$3:$E$493,MATCH($A408,'Input Giocatori 2026_27'!$A$3:$A$493,0)),"")</f>
        <v>1</v>
      </c>
      <c r="O408" s="27" t="n">
        <f aca="false">IFERROR(INDEX('Input Giocatori 2026_27'!$G$3:$G$493,MATCH($A408,'Input Giocatori 2026_27'!$A$3:$A$493,0)),"")</f>
        <v>4</v>
      </c>
      <c r="P408" s="26" t="str">
        <f aca="false">IFERROR(IF($O408="","",IF((1-(COUNTIFS($B$2:$B$492,$B408,$O$2:$O$492,"&gt;"&amp;$O408)+1-1)/COUNTIF($B$2:$B$492,$B408))&gt;=0.85,"Top",IF((1-(COUNTIFS($B$2:$B$492,$B408,$O$2:$O$492,"&gt;"&amp;$O408)+1-1)/COUNTIF($B$2:$B$492,$B408))&gt;=0.6,"Buono",IF((1-(COUNTIFS($B$2:$B$492,$B408,$O$2:$O$492,"&gt;"&amp;$O408)+1-1)/COUNTIF($B$2:$B$492,$B408))&gt;=0.3,"Nella Media","Scommessa/Riserva")))),"")</f>
        <v>Scommessa/Riserva</v>
      </c>
      <c r="Q408" s="29" t="n">
        <f aca="false">IF($D408="",COUNTIF($D$2:$D408,""),"")</f>
        <v>407</v>
      </c>
      <c r="R408" s="29" t="str">
        <f aca="false">IF($D408='Info Lega'!$B$28,COUNTIFS($D$2:$D408,'Info Lega'!$B$28),"")</f>
        <v/>
      </c>
      <c r="S408" s="30" t="str">
        <f aca="false">IFERROR(INDEX('Input Statistiche 2025_26'!$G$3:$G$665,MATCH($A408,'Input Statistiche 2025_26'!$A$3:$A$665,0)),"")</f>
        <v/>
      </c>
      <c r="T408" s="30" t="str">
        <f aca="false">IFERROR(INDEX('Input Statistiche 2025_26'!$H$3:$H$665,MATCH($A408,'Input Statistiche 2025_26'!$A$3:$A$665,0)),"")</f>
        <v/>
      </c>
      <c r="U408" s="26" t="str">
        <f aca="false">IF(OR('La Mia Rosa'!$O$12="",$D408&lt;&gt;""),"",IF($F408&lt;='La Mia Rosa'!$O$12*'Parametri Modello'!$B$24,"OK",IF($F408&lt;='La Mia Rosa'!$O$12*'Parametri Modello'!$B$25,"Attenzione","Rischio Alto")))</f>
        <v>OK</v>
      </c>
      <c r="V408" s="26" t="n">
        <f aca="false">IFERROR(COUNTIFS($B$2:$B$492,$B408,$O$2:$O$492,"&gt;"&amp;$O408)+1,"")</f>
        <v>145</v>
      </c>
      <c r="W408" s="21" t="n">
        <f aca="false">'Info Lega'!$B$4-SUMIFS($M$2:$M$492,$D$2:$D$492,'Info Lega'!$B$28)</f>
        <v>1000</v>
      </c>
      <c r="X408" s="21" t="n">
        <f aca="false">('Info Lega'!$B$5-COUNTIFS($D$2:$D$492,'Info Lega'!$B$28,$B$2:$B$492,"P"))+('Info Lega'!$B$6-COUNTIFS($D$2:$D$492,'Info Lega'!$B$28,$B$2:$B$492,"D"))+('Info Lega'!$B$7-COUNTIFS($D$2:$D$492,'Info Lega'!$B$28,$B$2:$B$492,"C"))+('Info Lega'!$B$8-COUNTIFS($D$2:$D$492,'Info Lega'!$B$28,$B$2:$B$492,"A"))</f>
        <v>25</v>
      </c>
      <c r="Y408" s="21" t="n">
        <f aca="false">X408*'Parametri Modello'!$B$30</f>
        <v>25</v>
      </c>
      <c r="Z408" s="21" t="n">
        <f aca="false">MAX(0,W408-Y408)</f>
        <v>975</v>
      </c>
      <c r="AA408" s="21" t="n">
        <f aca="false">MIN(F408,Z408)</f>
        <v>2</v>
      </c>
      <c r="AB408" s="21"/>
      <c r="AC408" s="21" t="str">
        <f aca="false">IF(AB408="","",IF(AB408&gt;AA408,"PASS",IF(AB408&lt;=AA408*0.85,"BID","ATTENZIONE")))</f>
        <v/>
      </c>
      <c r="AD408" s="31" t="str">
        <f aca="false">IF(I408="","",ROUND(100*(1-EXP(-I408/30)),0))</f>
        <v/>
      </c>
      <c r="AE408" s="7" t="str">
        <f aca="false">IFERROR(INDEX('Stato Asta'!$G$9:$G$12,MATCH($B408,'Stato Asta'!$A$9:$A$12,0)),"")</f>
        <v>🟡 Attesa rischiosa</v>
      </c>
    </row>
    <row r="409" customFormat="false" ht="14.25" hidden="false" customHeight="true" outlineLevel="0" collapsed="false">
      <c r="A409" s="21" t="n">
        <v>7202</v>
      </c>
      <c r="B409" s="21" t="s">
        <v>44</v>
      </c>
      <c r="C409" s="21" t="s">
        <v>358</v>
      </c>
      <c r="E409" s="26" t="str">
        <f aca="false">IF(COUNTIF('Info Strategia'!$D$2:$D$51,$C409)&gt;0,"SI","NO")</f>
        <v>NO</v>
      </c>
      <c r="F409" s="27" t="n">
        <f aca="false">IFERROR(ROUND(($G409+($H409-$G409)*'Info Strategia'!$B$6)*(1+IF($E409="SI",'Parametri Modello'!$B$7*'Info Strategia'!$B$6,0)),0),"")</f>
        <v>2</v>
      </c>
      <c r="G409" s="27" t="n">
        <f aca="false">IFERROR(ROUND((IF(OR(INDEX('Parametri Modello'!$C$39:$C$42,MATCH($B409,'Parametri Modello'!$A$39:$A$42,0))="",INDEX('Parametri Modello'!$C$39:$C$42,MATCH($B409,'Parametri Modello'!$A$39:$A$42,0))=0),0,($O409/INDEX('Parametri Modello'!$C$39:$C$42,MATCH($B409,'Parametri Modello'!$A$39:$A$42,0)))*(INDEX('Parametri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1</v>
      </c>
      <c r="H409" s="27" t="n">
        <f aca="false">IFERROR(ROUND((IF(OR(INDEX('Parametri Modello'!$C$39:$C$42,MATCH($B409,'Parametri Modello'!$A$39:$A$42,0))="",INDEX('Parametri Modello'!$C$39:$C$42,MATCH($B409,'Parametri Modello'!$A$39:$A$42,0))=0),0,($O409/INDEX('Parametri Modello'!$C$39:$C$42,MATCH($B409,'Parametri Modello'!$A$39:$A$42,0)))*(INDEX('Parametri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2</v>
      </c>
      <c r="I409" s="26" t="n">
        <f aca="false">IFERROR(INDEX('Input Statistiche 2025_26'!$F$3:$F$665,MATCH($A409,'Input Statistiche 2025_26'!$A$3:$A$665,0)),"")</f>
        <v>11</v>
      </c>
      <c r="J409" s="26" t="n">
        <f aca="false">IFERROR(IF($I409="","",MAX(0,38-$I409)),"")</f>
        <v>27</v>
      </c>
      <c r="K409" s="26" t="n">
        <f aca="false">IFERROR(INDEX('Input Statistiche 2025_26'!$I$3:$I$665,MATCH($A409,'Input Statistiche 2025_26'!$A$3:$A$665,0)),"")</f>
        <v>0</v>
      </c>
      <c r="L409" s="26" t="n">
        <f aca="false">IFERROR(INDEX('Input Statistiche 2025_26'!$O$3:$O$665,MATCH($A409,'Input Statistiche 2025_26'!$A$3:$A$665,0)),"")</f>
        <v>0</v>
      </c>
      <c r="M409" s="28"/>
      <c r="N409" s="27" t="n">
        <f aca="false">IFERROR(INDEX('Input Giocatori 2026_27'!$E$3:$E$493,MATCH($A409,'Input Giocatori 2026_27'!$A$3:$A$493,0)),"")</f>
        <v>1</v>
      </c>
      <c r="O409" s="27" t="n">
        <f aca="false">IFERROR(INDEX('Input Giocatori 2026_27'!$G$3:$G$493,MATCH($A409,'Input Giocatori 2026_27'!$A$3:$A$493,0)),"")</f>
        <v>4</v>
      </c>
      <c r="P409" s="26" t="str">
        <f aca="false">IFERROR(IF($O409="","",IF((1-(COUNTIFS($B$2:$B$492,$B409,$O$2:$O$492,"&gt;"&amp;$O409)+1-1)/COUNTIF($B$2:$B$492,$B409))&gt;=0.85,"Top",IF((1-(COUNTIFS($B$2:$B$492,$B409,$O$2:$O$492,"&gt;"&amp;$O409)+1-1)/COUNTIF($B$2:$B$492,$B409))&gt;=0.6,"Buono",IF((1-(COUNTIFS($B$2:$B$492,$B409,$O$2:$O$492,"&gt;"&amp;$O409)+1-1)/COUNTIF($B$2:$B$492,$B409))&gt;=0.3,"Nella Media","Scommessa/Riserva")))),"")</f>
        <v>Scommessa/Riserva</v>
      </c>
      <c r="Q409" s="29" t="n">
        <f aca="false">IF($D409="",COUNTIF($D$2:$D409,""),"")</f>
        <v>408</v>
      </c>
      <c r="R409" s="29" t="str">
        <f aca="false">IF($D409='Info Lega'!$B$28,COUNTIFS($D$2:$D409,'Info Lega'!$B$28),"")</f>
        <v/>
      </c>
      <c r="S409" s="30" t="n">
        <f aca="false">IFERROR(INDEX('Input Statistiche 2025_26'!$G$3:$G$665,MATCH($A409,'Input Statistiche 2025_26'!$A$3:$A$665,0)),"")</f>
        <v>5.59</v>
      </c>
      <c r="T409" s="30" t="n">
        <f aca="false">IFERROR(INDEX('Input Statistiche 2025_26'!$H$3:$H$665,MATCH($A409,'Input Statistiche 2025_26'!$A$3:$A$665,0)),"")</f>
        <v>5.36</v>
      </c>
      <c r="U409" s="26" t="str">
        <f aca="false">IF(OR('La Mia Rosa'!$O$12="",$D409&lt;&gt;""),"",IF($F409&lt;='La Mia Rosa'!$O$12*'Parametri Modello'!$B$24,"OK",IF($F409&lt;='La Mia Rosa'!$O$12*'Parametri Modello'!$B$25,"Attenzione","Rischio Alto")))</f>
        <v>OK</v>
      </c>
      <c r="V409" s="26" t="n">
        <f aca="false">IFERROR(COUNTIFS($B$2:$B$492,$B409,$O$2:$O$492,"&gt;"&amp;$O409)+1,"")</f>
        <v>145</v>
      </c>
      <c r="W409" s="21" t="n">
        <f aca="false">'Info Lega'!$B$4-SUMIFS($M$2:$M$492,$D$2:$D$492,'Info Lega'!$B$28)</f>
        <v>1000</v>
      </c>
      <c r="X409" s="21" t="n">
        <f aca="false">('Info Lega'!$B$5-COUNTIFS($D$2:$D$492,'Info Lega'!$B$28,$B$2:$B$492,"P"))+('Info Lega'!$B$6-COUNTIFS($D$2:$D$492,'Info Lega'!$B$28,$B$2:$B$492,"D"))+('Info Lega'!$B$7-COUNTIFS($D$2:$D$492,'Info Lega'!$B$28,$B$2:$B$492,"C"))+('Info Lega'!$B$8-COUNTIFS($D$2:$D$492,'Info Lega'!$B$28,$B$2:$B$492,"A"))</f>
        <v>25</v>
      </c>
      <c r="Y409" s="21" t="n">
        <f aca="false">X409*'Parametri Modello'!$B$30</f>
        <v>25</v>
      </c>
      <c r="Z409" s="21" t="n">
        <f aca="false">MAX(0,W409-Y409)</f>
        <v>975</v>
      </c>
      <c r="AA409" s="21" t="n">
        <f aca="false">MIN(F409,Z409)</f>
        <v>2</v>
      </c>
      <c r="AB409" s="21"/>
      <c r="AC409" s="21" t="str">
        <f aca="false">IF(AB409="","",IF(AB409&gt;AA409,"PASS",IF(AB409&lt;=AA409*0.85,"BID","ATTENZIONE")))</f>
        <v/>
      </c>
      <c r="AD409" s="31" t="n">
        <f aca="false">IF(I409="","",ROUND(100*(1-EXP(-I409/30)),0))</f>
        <v>31</v>
      </c>
      <c r="AE409" s="7" t="str">
        <f aca="false">IFERROR(INDEX('Stato Asta'!$G$9:$G$12,MATCH($B409,'Stato Asta'!$A$9:$A$12,0)),"")</f>
        <v>🟡 Attesa rischiosa</v>
      </c>
    </row>
    <row r="410" customFormat="false" ht="14.25" hidden="false" customHeight="true" outlineLevel="0" collapsed="false">
      <c r="A410" s="21" t="n">
        <v>6225</v>
      </c>
      <c r="B410" s="21" t="s">
        <v>45</v>
      </c>
      <c r="C410" s="21" t="s">
        <v>508</v>
      </c>
      <c r="E410" s="26" t="str">
        <f aca="false">IF(COUNTIF('Info Strategia'!$D$2:$D$51,$C410)&gt;0,"SI","NO")</f>
        <v>NO</v>
      </c>
      <c r="F410" s="27" t="n">
        <f aca="false">IFERROR(ROUND(($G410+($H410-$G410)*'Info Strategia'!$B$6)*(1+IF($E410="SI",'Parametri Modello'!$B$7*'Info Strategia'!$B$6,0)),0),"")</f>
        <v>2</v>
      </c>
      <c r="G410" s="27" t="n">
        <f aca="false">IFERROR(ROUND((IF(OR(INDEX('Parametri Modello'!$C$39:$C$42,MATCH($B410,'Parametri Modello'!$A$39:$A$42,0))="",INDEX('Parametri Modello'!$C$39:$C$42,MATCH($B410,'Parametri Modello'!$A$39:$A$42,0))=0),0,($O410/INDEX('Parametri Modello'!$C$39:$C$42,MATCH($B410,'Parametri Modello'!$A$39:$A$42,0)))*(INDEX('Parametri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1</v>
      </c>
      <c r="H410" s="27" t="n">
        <f aca="false">IFERROR(ROUND((IF(OR(INDEX('Parametri Modello'!$C$39:$C$42,MATCH($B410,'Parametri Modello'!$A$39:$A$42,0))="",INDEX('Parametri Modello'!$C$39:$C$42,MATCH($B410,'Parametri Modello'!$A$39:$A$42,0))=0),0,($O410/INDEX('Parametri Modello'!$C$39:$C$42,MATCH($B410,'Parametri Modello'!$A$39:$A$42,0)))*(INDEX('Parametri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2</v>
      </c>
      <c r="I410" s="26" t="n">
        <f aca="false">IFERROR(INDEX('Input Statistiche 2025_26'!$F$3:$F$665,MATCH($A410,'Input Statistiche 2025_26'!$A$3:$A$665,0)),"")</f>
        <v>0</v>
      </c>
      <c r="J410" s="26" t="n">
        <f aca="false">IFERROR(IF($I410="","",MAX(0,38-$I410)),"")</f>
        <v>38</v>
      </c>
      <c r="K410" s="26" t="n">
        <f aca="false">IFERROR(INDEX('Input Statistiche 2025_26'!$I$3:$I$665,MATCH($A410,'Input Statistiche 2025_26'!$A$3:$A$665,0)),"")</f>
        <v>0</v>
      </c>
      <c r="L410" s="26" t="n">
        <f aca="false">IFERROR(INDEX('Input Statistiche 2025_26'!$O$3:$O$665,MATCH($A410,'Input Statistiche 2025_26'!$A$3:$A$665,0)),"")</f>
        <v>0</v>
      </c>
      <c r="M410" s="28"/>
      <c r="N410" s="27" t="n">
        <f aca="false">IFERROR(INDEX('Input Giocatori 2026_27'!$E$3:$E$493,MATCH($A410,'Input Giocatori 2026_27'!$A$3:$A$493,0)),"")</f>
        <v>2</v>
      </c>
      <c r="O410" s="27" t="n">
        <f aca="false">IFERROR(INDEX('Input Giocatori 2026_27'!$G$3:$G$493,MATCH($A410,'Input Giocatori 2026_27'!$A$3:$A$493,0)),"")</f>
        <v>4</v>
      </c>
      <c r="P410" s="26" t="str">
        <f aca="false">IFERROR(IF($O410="","",IF((1-(COUNTIFS($B$2:$B$492,$B410,$O$2:$O$492,"&gt;"&amp;$O410)+1-1)/COUNTIF($B$2:$B$492,$B410))&gt;=0.85,"Top",IF((1-(COUNTIFS($B$2:$B$492,$B410,$O$2:$O$492,"&gt;"&amp;$O410)+1-1)/COUNTIF($B$2:$B$492,$B410))&gt;=0.6,"Buono",IF((1-(COUNTIFS($B$2:$B$492,$B410,$O$2:$O$492,"&gt;"&amp;$O410)+1-1)/COUNTIF($B$2:$B$492,$B410))&gt;=0.3,"Nella Media","Scommessa/Riserva")))),"")</f>
        <v>Scommessa/Riserva</v>
      </c>
      <c r="Q410" s="29" t="n">
        <f aca="false">IF($D410="",COUNTIF($D$2:$D410,""),"")</f>
        <v>409</v>
      </c>
      <c r="R410" s="29" t="str">
        <f aca="false">IF($D410='Info Lega'!$B$28,COUNTIFS($D$2:$D410,'Info Lega'!$B$28),"")</f>
        <v/>
      </c>
      <c r="S410" s="30" t="n">
        <f aca="false">IFERROR(INDEX('Input Statistiche 2025_26'!$G$3:$G$665,MATCH($A410,'Input Statistiche 2025_26'!$A$3:$A$665,0)),"")</f>
        <v>0</v>
      </c>
      <c r="T410" s="30" t="n">
        <f aca="false">IFERROR(INDEX('Input Statistiche 2025_26'!$H$3:$H$665,MATCH($A410,'Input Statistiche 2025_26'!$A$3:$A$665,0)),"")</f>
        <v>0</v>
      </c>
      <c r="U410" s="26" t="str">
        <f aca="false">IF(OR('La Mia Rosa'!$O$12="",$D410&lt;&gt;""),"",IF($F410&lt;='La Mia Rosa'!$O$12*'Parametri Modello'!$B$24,"OK",IF($F410&lt;='La Mia Rosa'!$O$12*'Parametri Modello'!$B$25,"Attenzione","Rischio Alto")))</f>
        <v>OK</v>
      </c>
      <c r="V410" s="26" t="n">
        <f aca="false">IFERROR(COUNTIFS($B$2:$B$492,$B410,$O$2:$O$492,"&gt;"&amp;$O410)+1,"")</f>
        <v>154</v>
      </c>
      <c r="W410" s="21" t="n">
        <f aca="false">'Info Lega'!$B$4-SUMIFS($M$2:$M$492,$D$2:$D$492,'Info Lega'!$B$28)</f>
        <v>1000</v>
      </c>
      <c r="X410" s="21" t="n">
        <f aca="false">('Info Lega'!$B$5-COUNTIFS($D$2:$D$492,'Info Lega'!$B$28,$B$2:$B$492,"P"))+('Info Lega'!$B$6-COUNTIFS($D$2:$D$492,'Info Lega'!$B$28,$B$2:$B$492,"D"))+('Info Lega'!$B$7-COUNTIFS($D$2:$D$492,'Info Lega'!$B$28,$B$2:$B$492,"C"))+('Info Lega'!$B$8-COUNTIFS($D$2:$D$492,'Info Lega'!$B$28,$B$2:$B$492,"A"))</f>
        <v>25</v>
      </c>
      <c r="Y410" s="21" t="n">
        <f aca="false">X410*'Parametri Modello'!$B$30</f>
        <v>25</v>
      </c>
      <c r="Z410" s="21" t="n">
        <f aca="false">MAX(0,W410-Y410)</f>
        <v>975</v>
      </c>
      <c r="AA410" s="21" t="n">
        <f aca="false">MIN(F410,Z410)</f>
        <v>2</v>
      </c>
      <c r="AB410" s="21"/>
      <c r="AC410" s="21" t="str">
        <f aca="false">IF(AB410="","",IF(AB410&gt;AA410,"PASS",IF(AB410&lt;=AA410*0.85,"BID","ATTENZIONE")))</f>
        <v/>
      </c>
      <c r="AD410" s="31" t="n">
        <f aca="false">IF(I410="","",ROUND(100*(1-EXP(-I410/30)),0))</f>
        <v>0</v>
      </c>
      <c r="AE410" s="7" t="str">
        <f aca="false">IFERROR(INDEX('Stato Asta'!$G$9:$G$12,MATCH($B410,'Stato Asta'!$A$9:$A$12,0)),"")</f>
        <v>🟡 Attesa rischiosa</v>
      </c>
    </row>
    <row r="411" customFormat="false" ht="14.25" hidden="false" customHeight="true" outlineLevel="0" collapsed="false">
      <c r="A411" s="21" t="n">
        <v>6917</v>
      </c>
      <c r="B411" s="21" t="s">
        <v>45</v>
      </c>
      <c r="C411" s="21" t="s">
        <v>511</v>
      </c>
      <c r="E411" s="26" t="str">
        <f aca="false">IF(COUNTIF('Info Strategia'!$D$2:$D$51,$C411)&gt;0,"SI","NO")</f>
        <v>NO</v>
      </c>
      <c r="F411" s="27" t="n">
        <f aca="false">IFERROR(ROUND(($G411+($H411-$G411)*'Info Strategia'!$B$6)*(1+IF($E411="SI",'Parametri Modello'!$B$7*'Info Strategia'!$B$6,0)),0),"")</f>
        <v>2</v>
      </c>
      <c r="G411" s="27" t="n">
        <f aca="false">IFERROR(ROUND((IF(OR(INDEX('Parametri Modello'!$C$39:$C$42,MATCH($B411,'Parametri Modello'!$A$39:$A$42,0))="",INDEX('Parametri Modello'!$C$39:$C$42,MATCH($B411,'Parametri Modello'!$A$39:$A$42,0))=0),0,($O411/INDEX('Parametri Modello'!$C$39:$C$42,MATCH($B411,'Parametri Modello'!$A$39:$A$42,0)))*(INDEX('Parametri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1</v>
      </c>
      <c r="H411" s="27" t="n">
        <f aca="false">IFERROR(ROUND((IF(OR(INDEX('Parametri Modello'!$C$39:$C$42,MATCH($B411,'Parametri Modello'!$A$39:$A$42,0))="",INDEX('Parametri Modello'!$C$39:$C$42,MATCH($B411,'Parametri Modello'!$A$39:$A$42,0))=0),0,($O411/INDEX('Parametri Modello'!$C$39:$C$42,MATCH($B411,'Parametri Modello'!$A$39:$A$42,0)))*(INDEX('Parametri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2</v>
      </c>
      <c r="I411" s="26" t="n">
        <f aca="false">IFERROR(INDEX('Input Statistiche 2025_26'!$F$3:$F$665,MATCH($A411,'Input Statistiche 2025_26'!$A$3:$A$665,0)),"")</f>
        <v>21</v>
      </c>
      <c r="J411" s="26" t="n">
        <f aca="false">IFERROR(IF($I411="","",MAX(0,38-$I411)),"")</f>
        <v>17</v>
      </c>
      <c r="K411" s="26" t="n">
        <f aca="false">IFERROR(INDEX('Input Statistiche 2025_26'!$I$3:$I$665,MATCH($A411,'Input Statistiche 2025_26'!$A$3:$A$665,0)),"")</f>
        <v>0</v>
      </c>
      <c r="L411" s="26" t="n">
        <f aca="false">IFERROR(INDEX('Input Statistiche 2025_26'!$O$3:$O$665,MATCH($A411,'Input Statistiche 2025_26'!$A$3:$A$665,0)),"")</f>
        <v>1</v>
      </c>
      <c r="M411" s="28"/>
      <c r="N411" s="27" t="n">
        <f aca="false">IFERROR(INDEX('Input Giocatori 2026_27'!$E$3:$E$493,MATCH($A411,'Input Giocatori 2026_27'!$A$3:$A$493,0)),"")</f>
        <v>2</v>
      </c>
      <c r="O411" s="27" t="n">
        <f aca="false">IFERROR(INDEX('Input Giocatori 2026_27'!$G$3:$G$493,MATCH($A411,'Input Giocatori 2026_27'!$A$3:$A$493,0)),"")</f>
        <v>4</v>
      </c>
      <c r="P411" s="26" t="str">
        <f aca="false">IFERROR(IF($O411="","",IF((1-(COUNTIFS($B$2:$B$492,$B411,$O$2:$O$492,"&gt;"&amp;$O411)+1-1)/COUNTIF($B$2:$B$492,$B411))&gt;=0.85,"Top",IF((1-(COUNTIFS($B$2:$B$492,$B411,$O$2:$O$492,"&gt;"&amp;$O411)+1-1)/COUNTIF($B$2:$B$492,$B411))&gt;=0.6,"Buono",IF((1-(COUNTIFS($B$2:$B$492,$B411,$O$2:$O$492,"&gt;"&amp;$O411)+1-1)/COUNTIF($B$2:$B$492,$B411))&gt;=0.3,"Nella Media","Scommessa/Riserva")))),"")</f>
        <v>Scommessa/Riserva</v>
      </c>
      <c r="Q411" s="29" t="n">
        <f aca="false">IF($D411="",COUNTIF($D$2:$D411,""),"")</f>
        <v>410</v>
      </c>
      <c r="R411" s="29" t="str">
        <f aca="false">IF($D411='Info Lega'!$B$28,COUNTIFS($D$2:$D411,'Info Lega'!$B$28),"")</f>
        <v/>
      </c>
      <c r="S411" s="30" t="n">
        <f aca="false">IFERROR(INDEX('Input Statistiche 2025_26'!$G$3:$G$665,MATCH($A411,'Input Statistiche 2025_26'!$A$3:$A$665,0)),"")</f>
        <v>5.98</v>
      </c>
      <c r="T411" s="30" t="n">
        <f aca="false">IFERROR(INDEX('Input Statistiche 2025_26'!$H$3:$H$665,MATCH($A411,'Input Statistiche 2025_26'!$A$3:$A$665,0)),"")</f>
        <v>5.9</v>
      </c>
      <c r="U411" s="26" t="str">
        <f aca="false">IF(OR('La Mia Rosa'!$O$12="",$D411&lt;&gt;""),"",IF($F411&lt;='La Mia Rosa'!$O$12*'Parametri Modello'!$B$24,"OK",IF($F411&lt;='La Mia Rosa'!$O$12*'Parametri Modello'!$B$25,"Attenzione","Rischio Alto")))</f>
        <v>OK</v>
      </c>
      <c r="V411" s="26" t="n">
        <f aca="false">IFERROR(COUNTIFS($B$2:$B$492,$B411,$O$2:$O$492,"&gt;"&amp;$O411)+1,"")</f>
        <v>154</v>
      </c>
      <c r="W411" s="21" t="n">
        <f aca="false">'Info Lega'!$B$4-SUMIFS($M$2:$M$492,$D$2:$D$492,'Info Lega'!$B$28)</f>
        <v>1000</v>
      </c>
      <c r="X411" s="21" t="n">
        <f aca="false">('Info Lega'!$B$5-COUNTIFS($D$2:$D$492,'Info Lega'!$B$28,$B$2:$B$492,"P"))+('Info Lega'!$B$6-COUNTIFS($D$2:$D$492,'Info Lega'!$B$28,$B$2:$B$492,"D"))+('Info Lega'!$B$7-COUNTIFS($D$2:$D$492,'Info Lega'!$B$28,$B$2:$B$492,"C"))+('Info Lega'!$B$8-COUNTIFS($D$2:$D$492,'Info Lega'!$B$28,$B$2:$B$492,"A"))</f>
        <v>25</v>
      </c>
      <c r="Y411" s="21" t="n">
        <f aca="false">X411*'Parametri Modello'!$B$30</f>
        <v>25</v>
      </c>
      <c r="Z411" s="21" t="n">
        <f aca="false">MAX(0,W411-Y411)</f>
        <v>975</v>
      </c>
      <c r="AA411" s="21" t="n">
        <f aca="false">MIN(F411,Z411)</f>
        <v>2</v>
      </c>
      <c r="AB411" s="21"/>
      <c r="AC411" s="21" t="str">
        <f aca="false">IF(AB411="","",IF(AB411&gt;AA411,"PASS",IF(AB411&lt;=AA411*0.85,"BID","ATTENZIONE")))</f>
        <v/>
      </c>
      <c r="AD411" s="31" t="n">
        <f aca="false">IF(I411="","",ROUND(100*(1-EXP(-I411/30)),0))</f>
        <v>50</v>
      </c>
      <c r="AE411" s="7" t="str">
        <f aca="false">IFERROR(INDEX('Stato Asta'!$G$9:$G$12,MATCH($B411,'Stato Asta'!$A$9:$A$12,0)),"")</f>
        <v>🟡 Attesa rischiosa</v>
      </c>
    </row>
    <row r="412" customFormat="false" ht="14.25" hidden="false" customHeight="true" outlineLevel="0" collapsed="false">
      <c r="A412" s="21" t="n">
        <v>526</v>
      </c>
      <c r="B412" s="21" t="s">
        <v>45</v>
      </c>
      <c r="C412" s="21" t="s">
        <v>520</v>
      </c>
      <c r="E412" s="26" t="str">
        <f aca="false">IF(COUNTIF('Info Strategia'!$D$2:$D$51,$C412)&gt;0,"SI","NO")</f>
        <v>NO</v>
      </c>
      <c r="F412" s="27" t="n">
        <f aca="false">IFERROR(ROUND(($G412+($H412-$G412)*'Info Strategia'!$B$6)*(1+IF($E412="SI",'Parametri Modello'!$B$7*'Info Strategia'!$B$6,0)),0),"")</f>
        <v>2</v>
      </c>
      <c r="G412" s="27" t="n">
        <f aca="false">IFERROR(ROUND((IF(OR(INDEX('Parametri Modello'!$C$39:$C$42,MATCH($B412,'Parametri Modello'!$A$39:$A$42,0))="",INDEX('Parametri Modello'!$C$39:$C$42,MATCH($B412,'Parametri Modello'!$A$39:$A$42,0))=0),0,($O412/INDEX('Parametri Modello'!$C$39:$C$42,MATCH($B412,'Parametri Modello'!$A$39:$A$42,0)))*(INDEX('Parametri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1</v>
      </c>
      <c r="H412" s="27" t="n">
        <f aca="false">IFERROR(ROUND((IF(OR(INDEX('Parametri Modello'!$C$39:$C$42,MATCH($B412,'Parametri Modello'!$A$39:$A$42,0))="",INDEX('Parametri Modello'!$C$39:$C$42,MATCH($B412,'Parametri Modello'!$A$39:$A$42,0))=0),0,($O412/INDEX('Parametri Modello'!$C$39:$C$42,MATCH($B412,'Parametri Modello'!$A$39:$A$42,0)))*(INDEX('Parametri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2</v>
      </c>
      <c r="I412" s="26" t="str">
        <f aca="false">IFERROR(INDEX('Input Statistiche 2025_26'!$F$3:$F$665,MATCH($A412,'Input Statistiche 2025_26'!$A$3:$A$665,0)),"")</f>
        <v/>
      </c>
      <c r="J412" s="26" t="str">
        <f aca="false">IFERROR(IF($I412="","",MAX(0,38-$I412)),"")</f>
        <v/>
      </c>
      <c r="K412" s="26" t="str">
        <f aca="false">IFERROR(INDEX('Input Statistiche 2025_26'!$I$3:$I$665,MATCH($A412,'Input Statistiche 2025_26'!$A$3:$A$665,0)),"")</f>
        <v/>
      </c>
      <c r="L412" s="26" t="str">
        <f aca="false">IFERROR(INDEX('Input Statistiche 2025_26'!$O$3:$O$665,MATCH($A412,'Input Statistiche 2025_26'!$A$3:$A$665,0)),"")</f>
        <v/>
      </c>
      <c r="M412" s="28"/>
      <c r="N412" s="27" t="n">
        <f aca="false">IFERROR(INDEX('Input Giocatori 2026_27'!$E$3:$E$493,MATCH($A412,'Input Giocatori 2026_27'!$A$3:$A$493,0)),"")</f>
        <v>2</v>
      </c>
      <c r="O412" s="27" t="n">
        <f aca="false">IFERROR(INDEX('Input Giocatori 2026_27'!$G$3:$G$493,MATCH($A412,'Input Giocatori 2026_27'!$A$3:$A$493,0)),"")</f>
        <v>4</v>
      </c>
      <c r="P412" s="26" t="str">
        <f aca="false">IFERROR(IF($O412="","",IF((1-(COUNTIFS($B$2:$B$492,$B412,$O$2:$O$492,"&gt;"&amp;$O412)+1-1)/COUNTIF($B$2:$B$492,$B412))&gt;=0.85,"Top",IF((1-(COUNTIFS($B$2:$B$492,$B412,$O$2:$O$492,"&gt;"&amp;$O412)+1-1)/COUNTIF($B$2:$B$492,$B412))&gt;=0.6,"Buono",IF((1-(COUNTIFS($B$2:$B$492,$B412,$O$2:$O$492,"&gt;"&amp;$O412)+1-1)/COUNTIF($B$2:$B$492,$B412))&gt;=0.3,"Nella Media","Scommessa/Riserva")))),"")</f>
        <v>Scommessa/Riserva</v>
      </c>
      <c r="Q412" s="29" t="n">
        <f aca="false">IF($D412="",COUNTIF($D$2:$D412,""),"")</f>
        <v>411</v>
      </c>
      <c r="R412" s="29" t="str">
        <f aca="false">IF($D412='Info Lega'!$B$28,COUNTIFS($D$2:$D412,'Info Lega'!$B$28),"")</f>
        <v/>
      </c>
      <c r="S412" s="30" t="str">
        <f aca="false">IFERROR(INDEX('Input Statistiche 2025_26'!$G$3:$G$665,MATCH($A412,'Input Statistiche 2025_26'!$A$3:$A$665,0)),"")</f>
        <v/>
      </c>
      <c r="T412" s="30" t="str">
        <f aca="false">IFERROR(INDEX('Input Statistiche 2025_26'!$H$3:$H$665,MATCH($A412,'Input Statistiche 2025_26'!$A$3:$A$665,0)),"")</f>
        <v/>
      </c>
      <c r="U412" s="26" t="str">
        <f aca="false">IF(OR('La Mia Rosa'!$O$12="",$D412&lt;&gt;""),"",IF($F412&lt;='La Mia Rosa'!$O$12*'Parametri Modello'!$B$24,"OK",IF($F412&lt;='La Mia Rosa'!$O$12*'Parametri Modello'!$B$25,"Attenzione","Rischio Alto")))</f>
        <v>OK</v>
      </c>
      <c r="V412" s="26" t="n">
        <f aca="false">IFERROR(COUNTIFS($B$2:$B$492,$B412,$O$2:$O$492,"&gt;"&amp;$O412)+1,"")</f>
        <v>154</v>
      </c>
      <c r="W412" s="21" t="n">
        <f aca="false">'Info Lega'!$B$4-SUMIFS($M$2:$M$492,$D$2:$D$492,'Info Lega'!$B$28)</f>
        <v>1000</v>
      </c>
      <c r="X412" s="21" t="n">
        <f aca="false">('Info Lega'!$B$5-COUNTIFS($D$2:$D$492,'Info Lega'!$B$28,$B$2:$B$492,"P"))+('Info Lega'!$B$6-COUNTIFS($D$2:$D$492,'Info Lega'!$B$28,$B$2:$B$492,"D"))+('Info Lega'!$B$7-COUNTIFS($D$2:$D$492,'Info Lega'!$B$28,$B$2:$B$492,"C"))+('Info Lega'!$B$8-COUNTIFS($D$2:$D$492,'Info Lega'!$B$28,$B$2:$B$492,"A"))</f>
        <v>25</v>
      </c>
      <c r="Y412" s="21" t="n">
        <f aca="false">X412*'Parametri Modello'!$B$30</f>
        <v>25</v>
      </c>
      <c r="Z412" s="21" t="n">
        <f aca="false">MAX(0,W412-Y412)</f>
        <v>975</v>
      </c>
      <c r="AA412" s="21" t="n">
        <f aca="false">MIN(F412,Z412)</f>
        <v>2</v>
      </c>
      <c r="AB412" s="21"/>
      <c r="AC412" s="21" t="str">
        <f aca="false">IF(AB412="","",IF(AB412&gt;AA412,"PASS",IF(AB412&lt;=AA412*0.85,"BID","ATTENZIONE")))</f>
        <v/>
      </c>
      <c r="AD412" s="31" t="str">
        <f aca="false">IF(I412="","",ROUND(100*(1-EXP(-I412/30)),0))</f>
        <v/>
      </c>
      <c r="AE412" s="7" t="str">
        <f aca="false">IFERROR(INDEX('Stato Asta'!$G$9:$G$12,MATCH($B412,'Stato Asta'!$A$9:$A$12,0)),"")</f>
        <v>🟡 Attesa rischiosa</v>
      </c>
    </row>
    <row r="413" customFormat="false" ht="14.25" hidden="false" customHeight="true" outlineLevel="0" collapsed="false">
      <c r="A413" s="21" t="n">
        <v>5007</v>
      </c>
      <c r="B413" s="21" t="s">
        <v>45</v>
      </c>
      <c r="C413" s="21" t="s">
        <v>532</v>
      </c>
      <c r="E413" s="26" t="str">
        <f aca="false">IF(COUNTIF('Info Strategia'!$D$2:$D$51,$C413)&gt;0,"SI","NO")</f>
        <v>NO</v>
      </c>
      <c r="F413" s="27" t="n">
        <f aca="false">IFERROR(ROUND(($G413+($H413-$G413)*'Info Strategia'!$B$6)*(1+IF($E413="SI",'Parametri Modello'!$B$7*'Info Strategia'!$B$6,0)),0),"")</f>
        <v>2</v>
      </c>
      <c r="G413" s="27" t="n">
        <f aca="false">IFERROR(ROUND((IF(OR(INDEX('Parametri Modello'!$C$39:$C$42,MATCH($B413,'Parametri Modello'!$A$39:$A$42,0))="",INDEX('Parametri Modello'!$C$39:$C$42,MATCH($B413,'Parametri Modello'!$A$39:$A$42,0))=0),0,($O413/INDEX('Parametri Modello'!$C$39:$C$42,MATCH($B413,'Parametri Modello'!$A$39:$A$42,0)))*(INDEX('Parametri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1</v>
      </c>
      <c r="H413" s="27" t="n">
        <f aca="false">IFERROR(ROUND((IF(OR(INDEX('Parametri Modello'!$C$39:$C$42,MATCH($B413,'Parametri Modello'!$A$39:$A$42,0))="",INDEX('Parametri Modello'!$C$39:$C$42,MATCH($B413,'Parametri Modello'!$A$39:$A$42,0))=0),0,($O413/INDEX('Parametri Modello'!$C$39:$C$42,MATCH($B413,'Parametri Modello'!$A$39:$A$42,0)))*(INDEX('Parametri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2</v>
      </c>
      <c r="I413" s="26" t="n">
        <f aca="false">IFERROR(INDEX('Input Statistiche 2025_26'!$F$3:$F$665,MATCH($A413,'Input Statistiche 2025_26'!$A$3:$A$665,0)),"")</f>
        <v>8</v>
      </c>
      <c r="J413" s="26" t="n">
        <f aca="false">IFERROR(IF($I413="","",MAX(0,38-$I413)),"")</f>
        <v>30</v>
      </c>
      <c r="K413" s="26" t="n">
        <f aca="false">IFERROR(INDEX('Input Statistiche 2025_26'!$I$3:$I$665,MATCH($A413,'Input Statistiche 2025_26'!$A$3:$A$665,0)),"")</f>
        <v>0</v>
      </c>
      <c r="L413" s="26" t="n">
        <f aca="false">IFERROR(INDEX('Input Statistiche 2025_26'!$O$3:$O$665,MATCH($A413,'Input Statistiche 2025_26'!$A$3:$A$665,0)),"")</f>
        <v>0</v>
      </c>
      <c r="M413" s="28"/>
      <c r="N413" s="27" t="n">
        <f aca="false">IFERROR(INDEX('Input Giocatori 2026_27'!$E$3:$E$493,MATCH($A413,'Input Giocatori 2026_27'!$A$3:$A$493,0)),"")</f>
        <v>1</v>
      </c>
      <c r="O413" s="27" t="n">
        <f aca="false">IFERROR(INDEX('Input Giocatori 2026_27'!$G$3:$G$493,MATCH($A413,'Input Giocatori 2026_27'!$A$3:$A$493,0)),"")</f>
        <v>4</v>
      </c>
      <c r="P413" s="26" t="str">
        <f aca="false">IFERROR(IF($O413="","",IF((1-(COUNTIFS($B$2:$B$492,$B413,$O$2:$O$492,"&gt;"&amp;$O413)+1-1)/COUNTIF($B$2:$B$492,$B413))&gt;=0.85,"Top",IF((1-(COUNTIFS($B$2:$B$492,$B413,$O$2:$O$492,"&gt;"&amp;$O413)+1-1)/COUNTIF($B$2:$B$492,$B413))&gt;=0.6,"Buono",IF((1-(COUNTIFS($B$2:$B$492,$B413,$O$2:$O$492,"&gt;"&amp;$O413)+1-1)/COUNTIF($B$2:$B$492,$B413))&gt;=0.3,"Nella Media","Scommessa/Riserva")))),"")</f>
        <v>Scommessa/Riserva</v>
      </c>
      <c r="Q413" s="29" t="n">
        <f aca="false">IF($D413="",COUNTIF($D$2:$D413,""),"")</f>
        <v>412</v>
      </c>
      <c r="R413" s="29" t="str">
        <f aca="false">IF($D413='Info Lega'!$B$28,COUNTIFS($D$2:$D413,'Info Lega'!$B$28),"")</f>
        <v/>
      </c>
      <c r="S413" s="30" t="n">
        <f aca="false">IFERROR(INDEX('Input Statistiche 2025_26'!$G$3:$G$665,MATCH($A413,'Input Statistiche 2025_26'!$A$3:$A$665,0)),"")</f>
        <v>6</v>
      </c>
      <c r="T413" s="30" t="n">
        <f aca="false">IFERROR(INDEX('Input Statistiche 2025_26'!$H$3:$H$665,MATCH($A413,'Input Statistiche 2025_26'!$A$3:$A$665,0)),"")</f>
        <v>5.88</v>
      </c>
      <c r="U413" s="26" t="str">
        <f aca="false">IF(OR('La Mia Rosa'!$O$12="",$D413&lt;&gt;""),"",IF($F413&lt;='La Mia Rosa'!$O$12*'Parametri Modello'!$B$24,"OK",IF($F413&lt;='La Mia Rosa'!$O$12*'Parametri Modello'!$B$25,"Attenzione","Rischio Alto")))</f>
        <v>OK</v>
      </c>
      <c r="V413" s="26" t="n">
        <f aca="false">IFERROR(COUNTIFS($B$2:$B$492,$B413,$O$2:$O$492,"&gt;"&amp;$O413)+1,"")</f>
        <v>154</v>
      </c>
      <c r="W413" s="21" t="n">
        <f aca="false">'Info Lega'!$B$4-SUMIFS($M$2:$M$492,$D$2:$D$492,'Info Lega'!$B$28)</f>
        <v>1000</v>
      </c>
      <c r="X413" s="21" t="n">
        <f aca="false">('Info Lega'!$B$5-COUNTIFS($D$2:$D$492,'Info Lega'!$B$28,$B$2:$B$492,"P"))+('Info Lega'!$B$6-COUNTIFS($D$2:$D$492,'Info Lega'!$B$28,$B$2:$B$492,"D"))+('Info Lega'!$B$7-COUNTIFS($D$2:$D$492,'Info Lega'!$B$28,$B$2:$B$492,"C"))+('Info Lega'!$B$8-COUNTIFS($D$2:$D$492,'Info Lega'!$B$28,$B$2:$B$492,"A"))</f>
        <v>25</v>
      </c>
      <c r="Y413" s="21" t="n">
        <f aca="false">X413*'Parametri Modello'!$B$30</f>
        <v>25</v>
      </c>
      <c r="Z413" s="21" t="n">
        <f aca="false">MAX(0,W413-Y413)</f>
        <v>975</v>
      </c>
      <c r="AA413" s="21" t="n">
        <f aca="false">MIN(F413,Z413)</f>
        <v>2</v>
      </c>
      <c r="AB413" s="21"/>
      <c r="AC413" s="21" t="str">
        <f aca="false">IF(AB413="","",IF(AB413&gt;AA413,"PASS",IF(AB413&lt;=AA413*0.85,"BID","ATTENZIONE")))</f>
        <v/>
      </c>
      <c r="AD413" s="31" t="n">
        <f aca="false">IF(I413="","",ROUND(100*(1-EXP(-I413/30)),0))</f>
        <v>23</v>
      </c>
      <c r="AE413" s="7" t="str">
        <f aca="false">IFERROR(INDEX('Stato Asta'!$G$9:$G$12,MATCH($B413,'Stato Asta'!$A$9:$A$12,0)),"")</f>
        <v>🟡 Attesa rischiosa</v>
      </c>
    </row>
    <row r="414" customFormat="false" ht="14.25" hidden="false" customHeight="true" outlineLevel="0" collapsed="false">
      <c r="A414" s="21" t="n">
        <v>6889</v>
      </c>
      <c r="B414" s="21" t="s">
        <v>45</v>
      </c>
      <c r="C414" s="21" t="s">
        <v>533</v>
      </c>
      <c r="E414" s="26" t="str">
        <f aca="false">IF(COUNTIF('Info Strategia'!$D$2:$D$51,$C414)&gt;0,"SI","NO")</f>
        <v>NO</v>
      </c>
      <c r="F414" s="27" t="n">
        <f aca="false">IFERROR(ROUND(($G414+($H414-$G414)*'Info Strategia'!$B$6)*(1+IF($E414="SI",'Parametri Modello'!$B$7*'Info Strategia'!$B$6,0)),0),"")</f>
        <v>2</v>
      </c>
      <c r="G414" s="27" t="n">
        <f aca="false">IFERROR(ROUND((IF(OR(INDEX('Parametri Modello'!$C$39:$C$42,MATCH($B414,'Parametri Modello'!$A$39:$A$42,0))="",INDEX('Parametri Modello'!$C$39:$C$42,MATCH($B414,'Parametri Modello'!$A$39:$A$42,0))=0),0,($O414/INDEX('Parametri Modello'!$C$39:$C$42,MATCH($B414,'Parametri Modello'!$A$39:$A$42,0)))*(INDEX('Parametri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1</v>
      </c>
      <c r="H414" s="27" t="n">
        <f aca="false">IFERROR(ROUND((IF(OR(INDEX('Parametri Modello'!$C$39:$C$42,MATCH($B414,'Parametri Modello'!$A$39:$A$42,0))="",INDEX('Parametri Modello'!$C$39:$C$42,MATCH($B414,'Parametri Modello'!$A$39:$A$42,0))=0),0,($O414/INDEX('Parametri Modello'!$C$39:$C$42,MATCH($B414,'Parametri Modello'!$A$39:$A$42,0)))*(INDEX('Parametri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2</v>
      </c>
      <c r="I414" s="26" t="n">
        <f aca="false">IFERROR(INDEX('Input Statistiche 2025_26'!$F$3:$F$665,MATCH($A414,'Input Statistiche 2025_26'!$A$3:$A$665,0)),"")</f>
        <v>9</v>
      </c>
      <c r="J414" s="26" t="n">
        <f aca="false">IFERROR(IF($I414="","",MAX(0,38-$I414)),"")</f>
        <v>29</v>
      </c>
      <c r="K414" s="26" t="n">
        <f aca="false">IFERROR(INDEX('Input Statistiche 2025_26'!$I$3:$I$665,MATCH($A414,'Input Statistiche 2025_26'!$A$3:$A$665,0)),"")</f>
        <v>0</v>
      </c>
      <c r="L414" s="26" t="n">
        <f aca="false">IFERROR(INDEX('Input Statistiche 2025_26'!$O$3:$O$665,MATCH($A414,'Input Statistiche 2025_26'!$A$3:$A$665,0)),"")</f>
        <v>0</v>
      </c>
      <c r="M414" s="28"/>
      <c r="N414" s="27" t="n">
        <f aca="false">IFERROR(INDEX('Input Giocatori 2026_27'!$E$3:$E$493,MATCH($A414,'Input Giocatori 2026_27'!$A$3:$A$493,0)),"")</f>
        <v>1</v>
      </c>
      <c r="O414" s="27" t="n">
        <f aca="false">IFERROR(INDEX('Input Giocatori 2026_27'!$G$3:$G$493,MATCH($A414,'Input Giocatori 2026_27'!$A$3:$A$493,0)),"")</f>
        <v>4</v>
      </c>
      <c r="P414" s="26" t="str">
        <f aca="false">IFERROR(IF($O414="","",IF((1-(COUNTIFS($B$2:$B$492,$B414,$O$2:$O$492,"&gt;"&amp;$O414)+1-1)/COUNTIF($B$2:$B$492,$B414))&gt;=0.85,"Top",IF((1-(COUNTIFS($B$2:$B$492,$B414,$O$2:$O$492,"&gt;"&amp;$O414)+1-1)/COUNTIF($B$2:$B$492,$B414))&gt;=0.6,"Buono",IF((1-(COUNTIFS($B$2:$B$492,$B414,$O$2:$O$492,"&gt;"&amp;$O414)+1-1)/COUNTIF($B$2:$B$492,$B414))&gt;=0.3,"Nella Media","Scommessa/Riserva")))),"")</f>
        <v>Scommessa/Riserva</v>
      </c>
      <c r="Q414" s="29" t="n">
        <f aca="false">IF($D414="",COUNTIF($D$2:$D414,""),"")</f>
        <v>413</v>
      </c>
      <c r="R414" s="29" t="str">
        <f aca="false">IF($D414='Info Lega'!$B$28,COUNTIFS($D$2:$D414,'Info Lega'!$B$28),"")</f>
        <v/>
      </c>
      <c r="S414" s="30" t="n">
        <f aca="false">IFERROR(INDEX('Input Statistiche 2025_26'!$G$3:$G$665,MATCH($A414,'Input Statistiche 2025_26'!$A$3:$A$665,0)),"")</f>
        <v>5.78</v>
      </c>
      <c r="T414" s="30" t="n">
        <f aca="false">IFERROR(INDEX('Input Statistiche 2025_26'!$H$3:$H$665,MATCH($A414,'Input Statistiche 2025_26'!$A$3:$A$665,0)),"")</f>
        <v>5.72</v>
      </c>
      <c r="U414" s="26" t="str">
        <f aca="false">IF(OR('La Mia Rosa'!$O$12="",$D414&lt;&gt;""),"",IF($F414&lt;='La Mia Rosa'!$O$12*'Parametri Modello'!$B$24,"OK",IF($F414&lt;='La Mia Rosa'!$O$12*'Parametri Modello'!$B$25,"Attenzione","Rischio Alto")))</f>
        <v>OK</v>
      </c>
      <c r="V414" s="26" t="n">
        <f aca="false">IFERROR(COUNTIFS($B$2:$B$492,$B414,$O$2:$O$492,"&gt;"&amp;$O414)+1,"")</f>
        <v>154</v>
      </c>
      <c r="W414" s="21" t="n">
        <f aca="false">'Info Lega'!$B$4-SUMIFS($M$2:$M$492,$D$2:$D$492,'Info Lega'!$B$28)</f>
        <v>1000</v>
      </c>
      <c r="X414" s="21" t="n">
        <f aca="false">('Info Lega'!$B$5-COUNTIFS($D$2:$D$492,'Info Lega'!$B$28,$B$2:$B$492,"P"))+('Info Lega'!$B$6-COUNTIFS($D$2:$D$492,'Info Lega'!$B$28,$B$2:$B$492,"D"))+('Info Lega'!$B$7-COUNTIFS($D$2:$D$492,'Info Lega'!$B$28,$B$2:$B$492,"C"))+('Info Lega'!$B$8-COUNTIFS($D$2:$D$492,'Info Lega'!$B$28,$B$2:$B$492,"A"))</f>
        <v>25</v>
      </c>
      <c r="Y414" s="21" t="n">
        <f aca="false">X414*'Parametri Modello'!$B$30</f>
        <v>25</v>
      </c>
      <c r="Z414" s="21" t="n">
        <f aca="false">MAX(0,W414-Y414)</f>
        <v>975</v>
      </c>
      <c r="AA414" s="21" t="n">
        <f aca="false">MIN(F414,Z414)</f>
        <v>2</v>
      </c>
      <c r="AB414" s="21"/>
      <c r="AC414" s="21" t="str">
        <f aca="false">IF(AB414="","",IF(AB414&gt;AA414,"PASS",IF(AB414&lt;=AA414*0.85,"BID","ATTENZIONE")))</f>
        <v/>
      </c>
      <c r="AD414" s="31" t="n">
        <f aca="false">IF(I414="","",ROUND(100*(1-EXP(-I414/30)),0))</f>
        <v>26</v>
      </c>
      <c r="AE414" s="7" t="str">
        <f aca="false">IFERROR(INDEX('Stato Asta'!$G$9:$G$12,MATCH($B414,'Stato Asta'!$A$9:$A$12,0)),"")</f>
        <v>🟡 Attesa rischiosa</v>
      </c>
    </row>
    <row r="415" customFormat="false" ht="14.25" hidden="false" customHeight="true" outlineLevel="0" collapsed="false">
      <c r="A415" s="21" t="n">
        <v>6212</v>
      </c>
      <c r="B415" s="21" t="s">
        <v>45</v>
      </c>
      <c r="C415" s="21" t="s">
        <v>535</v>
      </c>
      <c r="E415" s="26" t="str">
        <f aca="false">IF(COUNTIF('Info Strategia'!$D$2:$D$51,$C415)&gt;0,"SI","NO")</f>
        <v>NO</v>
      </c>
      <c r="F415" s="27" t="n">
        <f aca="false">IFERROR(ROUND(($G415+($H415-$G415)*'Info Strategia'!$B$6)*(1+IF($E415="SI",'Parametri Modello'!$B$7*'Info Strategia'!$B$6,0)),0),"")</f>
        <v>2</v>
      </c>
      <c r="G415" s="27" t="n">
        <f aca="false">IFERROR(ROUND((IF(OR(INDEX('Parametri Modello'!$C$39:$C$42,MATCH($B415,'Parametri Modello'!$A$39:$A$42,0))="",INDEX('Parametri Modello'!$C$39:$C$42,MATCH($B415,'Parametri Modello'!$A$39:$A$42,0))=0),0,($O415/INDEX('Parametri Modello'!$C$39:$C$42,MATCH($B415,'Parametri Modello'!$A$39:$A$42,0)))*(INDEX('Parametri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1</v>
      </c>
      <c r="H415" s="27" t="n">
        <f aca="false">IFERROR(ROUND((IF(OR(INDEX('Parametri Modello'!$C$39:$C$42,MATCH($B415,'Parametri Modello'!$A$39:$A$42,0))="",INDEX('Parametri Modello'!$C$39:$C$42,MATCH($B415,'Parametri Modello'!$A$39:$A$42,0))=0),0,($O415/INDEX('Parametri Modello'!$C$39:$C$42,MATCH($B415,'Parametri Modello'!$A$39:$A$42,0)))*(INDEX('Parametri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2</v>
      </c>
      <c r="I415" s="26" t="n">
        <f aca="false">IFERROR(INDEX('Input Statistiche 2025_26'!$F$3:$F$665,MATCH($A415,'Input Statistiche 2025_26'!$A$3:$A$665,0)),"")</f>
        <v>10</v>
      </c>
      <c r="J415" s="26" t="n">
        <f aca="false">IFERROR(IF($I415="","",MAX(0,38-$I415)),"")</f>
        <v>28</v>
      </c>
      <c r="K415" s="26" t="n">
        <f aca="false">IFERROR(INDEX('Input Statistiche 2025_26'!$I$3:$I$665,MATCH($A415,'Input Statistiche 2025_26'!$A$3:$A$665,0)),"")</f>
        <v>0</v>
      </c>
      <c r="L415" s="26" t="n">
        <f aca="false">IFERROR(INDEX('Input Statistiche 2025_26'!$O$3:$O$665,MATCH($A415,'Input Statistiche 2025_26'!$A$3:$A$665,0)),"")</f>
        <v>0</v>
      </c>
      <c r="M415" s="28"/>
      <c r="N415" s="27" t="n">
        <f aca="false">IFERROR(INDEX('Input Giocatori 2026_27'!$E$3:$E$493,MATCH($A415,'Input Giocatori 2026_27'!$A$3:$A$493,0)),"")</f>
        <v>1</v>
      </c>
      <c r="O415" s="27" t="n">
        <f aca="false">IFERROR(INDEX('Input Giocatori 2026_27'!$G$3:$G$493,MATCH($A415,'Input Giocatori 2026_27'!$A$3:$A$493,0)),"")</f>
        <v>4</v>
      </c>
      <c r="P415" s="26" t="str">
        <f aca="false">IFERROR(IF($O415="","",IF((1-(COUNTIFS($B$2:$B$492,$B415,$O$2:$O$492,"&gt;"&amp;$O415)+1-1)/COUNTIF($B$2:$B$492,$B415))&gt;=0.85,"Top",IF((1-(COUNTIFS($B$2:$B$492,$B415,$O$2:$O$492,"&gt;"&amp;$O415)+1-1)/COUNTIF($B$2:$B$492,$B415))&gt;=0.6,"Buono",IF((1-(COUNTIFS($B$2:$B$492,$B415,$O$2:$O$492,"&gt;"&amp;$O415)+1-1)/COUNTIF($B$2:$B$492,$B415))&gt;=0.3,"Nella Media","Scommessa/Riserva")))),"")</f>
        <v>Scommessa/Riserva</v>
      </c>
      <c r="Q415" s="29" t="n">
        <f aca="false">IF($D415="",COUNTIF($D$2:$D415,""),"")</f>
        <v>414</v>
      </c>
      <c r="R415" s="29" t="str">
        <f aca="false">IF($D415='Info Lega'!$B$28,COUNTIFS($D$2:$D415,'Info Lega'!$B$28),"")</f>
        <v/>
      </c>
      <c r="S415" s="30" t="n">
        <f aca="false">IFERROR(INDEX('Input Statistiche 2025_26'!$G$3:$G$665,MATCH($A415,'Input Statistiche 2025_26'!$A$3:$A$665,0)),"")</f>
        <v>5.75</v>
      </c>
      <c r="T415" s="30" t="n">
        <f aca="false">IFERROR(INDEX('Input Statistiche 2025_26'!$H$3:$H$665,MATCH($A415,'Input Statistiche 2025_26'!$A$3:$A$665,0)),"")</f>
        <v>5.7</v>
      </c>
      <c r="U415" s="26" t="str">
        <f aca="false">IF(OR('La Mia Rosa'!$O$12="",$D415&lt;&gt;""),"",IF($F415&lt;='La Mia Rosa'!$O$12*'Parametri Modello'!$B$24,"OK",IF($F415&lt;='La Mia Rosa'!$O$12*'Parametri Modello'!$B$25,"Attenzione","Rischio Alto")))</f>
        <v>OK</v>
      </c>
      <c r="V415" s="26" t="n">
        <f aca="false">IFERROR(COUNTIFS($B$2:$B$492,$B415,$O$2:$O$492,"&gt;"&amp;$O415)+1,"")</f>
        <v>154</v>
      </c>
      <c r="W415" s="21" t="n">
        <f aca="false">'Info Lega'!$B$4-SUMIFS($M$2:$M$492,$D$2:$D$492,'Info Lega'!$B$28)</f>
        <v>1000</v>
      </c>
      <c r="X415" s="21" t="n">
        <f aca="false">('Info Lega'!$B$5-COUNTIFS($D$2:$D$492,'Info Lega'!$B$28,$B$2:$B$492,"P"))+('Info Lega'!$B$6-COUNTIFS($D$2:$D$492,'Info Lega'!$B$28,$B$2:$B$492,"D"))+('Info Lega'!$B$7-COUNTIFS($D$2:$D$492,'Info Lega'!$B$28,$B$2:$B$492,"C"))+('Info Lega'!$B$8-COUNTIFS($D$2:$D$492,'Info Lega'!$B$28,$B$2:$B$492,"A"))</f>
        <v>25</v>
      </c>
      <c r="Y415" s="21" t="n">
        <f aca="false">X415*'Parametri Modello'!$B$30</f>
        <v>25</v>
      </c>
      <c r="Z415" s="21" t="n">
        <f aca="false">MAX(0,W415-Y415)</f>
        <v>975</v>
      </c>
      <c r="AA415" s="21" t="n">
        <f aca="false">MIN(F415,Z415)</f>
        <v>2</v>
      </c>
      <c r="AB415" s="21"/>
      <c r="AC415" s="21" t="str">
        <f aca="false">IF(AB415="","",IF(AB415&gt;AA415,"PASS",IF(AB415&lt;=AA415*0.85,"BID","ATTENZIONE")))</f>
        <v/>
      </c>
      <c r="AD415" s="31" t="n">
        <f aca="false">IF(I415="","",ROUND(100*(1-EXP(-I415/30)),0))</f>
        <v>28</v>
      </c>
      <c r="AE415" s="7" t="str">
        <f aca="false">IFERROR(INDEX('Stato Asta'!$G$9:$G$12,MATCH($B415,'Stato Asta'!$A$9:$A$12,0)),"")</f>
        <v>🟡 Attesa rischiosa</v>
      </c>
    </row>
    <row r="416" customFormat="false" ht="14.25" hidden="false" customHeight="true" outlineLevel="0" collapsed="false">
      <c r="A416" s="21" t="n">
        <v>7249</v>
      </c>
      <c r="B416" s="21" t="s">
        <v>46</v>
      </c>
      <c r="C416" s="21" t="s">
        <v>614</v>
      </c>
      <c r="E416" s="26" t="str">
        <f aca="false">IF(COUNTIF('Info Strategia'!$D$2:$D$51,$C416)&gt;0,"SI","NO")</f>
        <v>NO</v>
      </c>
      <c r="F416" s="27" t="n">
        <f aca="false">IFERROR(ROUND(($G416+($H416-$G416)*'Info Strategia'!$B$6)*(1+IF($E416="SI",'Parametri Modello'!$B$7*'Info Strategia'!$B$6,0)),0),"")</f>
        <v>3</v>
      </c>
      <c r="G416" s="27" t="n">
        <f aca="false">IFERROR(ROUND((IF(OR(INDEX('Parametri Modello'!$C$39:$C$42,MATCH($B416,'Parametri Modello'!$A$39:$A$42,0))="",INDEX('Parametri Modello'!$C$39:$C$42,MATCH($B416,'Parametri Modello'!$A$39:$A$42,0))=0),0,($O416/INDEX('Parametri Modello'!$C$39:$C$42,MATCH($B416,'Parametri Modello'!$A$39:$A$42,0)))*(INDEX('Parametri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2</v>
      </c>
      <c r="H416" s="27" t="n">
        <f aca="false">IFERROR(ROUND((IF(OR(INDEX('Parametri Modello'!$C$39:$C$42,MATCH($B416,'Parametri Modello'!$A$39:$A$42,0))="",INDEX('Parametri Modello'!$C$39:$C$42,MATCH($B416,'Parametri Modello'!$A$39:$A$42,0))=0),0,($O416/INDEX('Parametri Modello'!$C$39:$C$42,MATCH($B416,'Parametri Modello'!$A$39:$A$42,0)))*(INDEX('Parametri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4</v>
      </c>
      <c r="I416" s="26" t="n">
        <f aca="false">IFERROR(INDEX('Input Statistiche 2025_26'!$F$3:$F$665,MATCH($A416,'Input Statistiche 2025_26'!$A$3:$A$665,0)),"")</f>
        <v>21</v>
      </c>
      <c r="J416" s="26" t="n">
        <f aca="false">IFERROR(IF($I416="","",MAX(0,38-$I416)),"")</f>
        <v>17</v>
      </c>
      <c r="K416" s="26" t="n">
        <f aca="false">IFERROR(INDEX('Input Statistiche 2025_26'!$I$3:$I$665,MATCH($A416,'Input Statistiche 2025_26'!$A$3:$A$665,0)),"")</f>
        <v>3</v>
      </c>
      <c r="L416" s="26" t="n">
        <f aca="false">IFERROR(INDEX('Input Statistiche 2025_26'!$O$3:$O$665,MATCH($A416,'Input Statistiche 2025_26'!$A$3:$A$665,0)),"")</f>
        <v>0</v>
      </c>
      <c r="M416" s="28"/>
      <c r="N416" s="27" t="n">
        <f aca="false">IFERROR(INDEX('Input Giocatori 2026_27'!$E$3:$E$493,MATCH($A416,'Input Giocatori 2026_27'!$A$3:$A$493,0)),"")</f>
        <v>2</v>
      </c>
      <c r="O416" s="27" t="n">
        <f aca="false">IFERROR(INDEX('Input Giocatori 2026_27'!$G$3:$G$493,MATCH($A416,'Input Giocatori 2026_27'!$A$3:$A$493,0)),"")</f>
        <v>4</v>
      </c>
      <c r="P416" s="26" t="str">
        <f aca="false">IFERROR(IF($O416="","",IF((1-(COUNTIFS($B$2:$B$492,$B416,$O$2:$O$492,"&gt;"&amp;$O416)+1-1)/COUNTIF($B$2:$B$492,$B416))&gt;=0.85,"Top",IF((1-(COUNTIFS($B$2:$B$492,$B416,$O$2:$O$492,"&gt;"&amp;$O416)+1-1)/COUNTIF($B$2:$B$492,$B416))&gt;=0.6,"Buono",IF((1-(COUNTIFS($B$2:$B$492,$B416,$O$2:$O$492,"&gt;"&amp;$O416)+1-1)/COUNTIF($B$2:$B$492,$B416))&gt;=0.3,"Nella Media","Scommessa/Riserva")))),"")</f>
        <v>Scommessa/Riserva</v>
      </c>
      <c r="Q416" s="29" t="n">
        <f aca="false">IF($D416="",COUNTIF($D$2:$D416,""),"")</f>
        <v>415</v>
      </c>
      <c r="R416" s="29" t="str">
        <f aca="false">IF($D416='Info Lega'!$B$28,COUNTIFS($D$2:$D416,'Info Lega'!$B$28),"")</f>
        <v/>
      </c>
      <c r="S416" s="30" t="n">
        <f aca="false">IFERROR(INDEX('Input Statistiche 2025_26'!$G$3:$G$665,MATCH($A416,'Input Statistiche 2025_26'!$A$3:$A$665,0)),"")</f>
        <v>5.88</v>
      </c>
      <c r="T416" s="30" t="n">
        <f aca="false">IFERROR(INDEX('Input Statistiche 2025_26'!$H$3:$H$665,MATCH($A416,'Input Statistiche 2025_26'!$A$3:$A$665,0)),"")</f>
        <v>6.24</v>
      </c>
      <c r="U416" s="26" t="str">
        <f aca="false">IF(OR('La Mia Rosa'!$O$12="",$D416&lt;&gt;""),"",IF($F416&lt;='La Mia Rosa'!$O$12*'Parametri Modello'!$B$24,"OK",IF($F416&lt;='La Mia Rosa'!$O$12*'Parametri Modello'!$B$25,"Attenzione","Rischio Alto")))</f>
        <v>OK</v>
      </c>
      <c r="V416" s="26" t="n">
        <f aca="false">IFERROR(COUNTIFS($B$2:$B$492,$B416,$O$2:$O$492,"&gt;"&amp;$O416)+1,"")</f>
        <v>77</v>
      </c>
      <c r="W416" s="21" t="n">
        <f aca="false">'Info Lega'!$B$4-SUMIFS($M$2:$M$492,$D$2:$D$492,'Info Lega'!$B$28)</f>
        <v>1000</v>
      </c>
      <c r="X416" s="21" t="n">
        <f aca="false">('Info Lega'!$B$5-COUNTIFS($D$2:$D$492,'Info Lega'!$B$28,$B$2:$B$492,"P"))+('Info Lega'!$B$6-COUNTIFS($D$2:$D$492,'Info Lega'!$B$28,$B$2:$B$492,"D"))+('Info Lega'!$B$7-COUNTIFS($D$2:$D$492,'Info Lega'!$B$28,$B$2:$B$492,"C"))+('Info Lega'!$B$8-COUNTIFS($D$2:$D$492,'Info Lega'!$B$28,$B$2:$B$492,"A"))</f>
        <v>25</v>
      </c>
      <c r="Y416" s="21" t="n">
        <f aca="false">X416*'Parametri Modello'!$B$30</f>
        <v>25</v>
      </c>
      <c r="Z416" s="21" t="n">
        <f aca="false">MAX(0,W416-Y416)</f>
        <v>975</v>
      </c>
      <c r="AA416" s="21" t="n">
        <f aca="false">MIN(F416,Z416)</f>
        <v>3</v>
      </c>
      <c r="AB416" s="21"/>
      <c r="AC416" s="21" t="str">
        <f aca="false">IF(AB416="","",IF(AB416&gt;AA416,"PASS",IF(AB416&lt;=AA416*0.85,"BID","ATTENZIONE")))</f>
        <v/>
      </c>
      <c r="AD416" s="31" t="n">
        <f aca="false">IF(I416="","",ROUND(100*(1-EXP(-I416/30)),0))</f>
        <v>50</v>
      </c>
      <c r="AE416" s="7" t="str">
        <f aca="false">IFERROR(INDEX('Stato Asta'!$G$9:$G$12,MATCH($B416,'Stato Asta'!$A$9:$A$12,0)),"")</f>
        <v>🔴 Non aspettare</v>
      </c>
    </row>
    <row r="417" customFormat="false" ht="14.25" hidden="false" customHeight="true" outlineLevel="0" collapsed="false">
      <c r="A417" s="21" t="n">
        <v>6981</v>
      </c>
      <c r="B417" s="21" t="s">
        <v>46</v>
      </c>
      <c r="C417" s="21" t="s">
        <v>618</v>
      </c>
      <c r="E417" s="26" t="str">
        <f aca="false">IF(COUNTIF('Info Strategia'!$D$2:$D$51,$C417)&gt;0,"SI","NO")</f>
        <v>NO</v>
      </c>
      <c r="F417" s="27" t="n">
        <f aca="false">IFERROR(ROUND(($G417+($H417-$G417)*'Info Strategia'!$B$6)*(1+IF($E417="SI",'Parametri Modello'!$B$7*'Info Strategia'!$B$6,0)),0),"")</f>
        <v>3</v>
      </c>
      <c r="G417" s="27" t="n">
        <f aca="false">IFERROR(ROUND((IF(OR(INDEX('Parametri Modello'!$C$39:$C$42,MATCH($B417,'Parametri Modello'!$A$39:$A$42,0))="",INDEX('Parametri Modello'!$C$39:$C$42,MATCH($B417,'Parametri Modello'!$A$39:$A$42,0))=0),0,($O417/INDEX('Parametri Modello'!$C$39:$C$42,MATCH($B417,'Parametri Modello'!$A$39:$A$42,0)))*(INDEX('Parametri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2</v>
      </c>
      <c r="H417" s="27" t="n">
        <f aca="false">IFERROR(ROUND((IF(OR(INDEX('Parametri Modello'!$C$39:$C$42,MATCH($B417,'Parametri Modello'!$A$39:$A$42,0))="",INDEX('Parametri Modello'!$C$39:$C$42,MATCH($B417,'Parametri Modello'!$A$39:$A$42,0))=0),0,($O417/INDEX('Parametri Modello'!$C$39:$C$42,MATCH($B417,'Parametri Modello'!$A$39:$A$42,0)))*(INDEX('Parametri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4</v>
      </c>
      <c r="I417" s="26" t="n">
        <f aca="false">IFERROR(INDEX('Input Statistiche 2025_26'!$F$3:$F$665,MATCH($A417,'Input Statistiche 2025_26'!$A$3:$A$665,0)),"")</f>
        <v>7</v>
      </c>
      <c r="J417" s="26" t="n">
        <f aca="false">IFERROR(IF($I417="","",MAX(0,38-$I417)),"")</f>
        <v>31</v>
      </c>
      <c r="K417" s="26" t="n">
        <f aca="false">IFERROR(INDEX('Input Statistiche 2025_26'!$I$3:$I$665,MATCH($A417,'Input Statistiche 2025_26'!$A$3:$A$665,0)),"")</f>
        <v>1</v>
      </c>
      <c r="L417" s="26" t="n">
        <f aca="false">IFERROR(INDEX('Input Statistiche 2025_26'!$O$3:$O$665,MATCH($A417,'Input Statistiche 2025_26'!$A$3:$A$665,0)),"")</f>
        <v>0</v>
      </c>
      <c r="M417" s="28"/>
      <c r="N417" s="27" t="n">
        <f aca="false">IFERROR(INDEX('Input Giocatori 2026_27'!$E$3:$E$493,MATCH($A417,'Input Giocatori 2026_27'!$A$3:$A$493,0)),"")</f>
        <v>1</v>
      </c>
      <c r="O417" s="27" t="n">
        <f aca="false">IFERROR(INDEX('Input Giocatori 2026_27'!$G$3:$G$493,MATCH($A417,'Input Giocatori 2026_27'!$A$3:$A$493,0)),"")</f>
        <v>4</v>
      </c>
      <c r="P417" s="26" t="str">
        <f aca="false">IFERROR(IF($O417="","",IF((1-(COUNTIFS($B$2:$B$492,$B417,$O$2:$O$492,"&gt;"&amp;$O417)+1-1)/COUNTIF($B$2:$B$492,$B417))&gt;=0.85,"Top",IF((1-(COUNTIFS($B$2:$B$492,$B417,$O$2:$O$492,"&gt;"&amp;$O417)+1-1)/COUNTIF($B$2:$B$492,$B417))&gt;=0.6,"Buono",IF((1-(COUNTIFS($B$2:$B$492,$B417,$O$2:$O$492,"&gt;"&amp;$O417)+1-1)/COUNTIF($B$2:$B$492,$B417))&gt;=0.3,"Nella Media","Scommessa/Riserva")))),"")</f>
        <v>Scommessa/Riserva</v>
      </c>
      <c r="Q417" s="29" t="n">
        <f aca="false">IF($D417="",COUNTIF($D$2:$D417,""),"")</f>
        <v>416</v>
      </c>
      <c r="R417" s="29" t="str">
        <f aca="false">IF($D417='Info Lega'!$B$28,COUNTIFS($D$2:$D417,'Info Lega'!$B$28),"")</f>
        <v/>
      </c>
      <c r="S417" s="30" t="n">
        <f aca="false">IFERROR(INDEX('Input Statistiche 2025_26'!$G$3:$G$665,MATCH($A417,'Input Statistiche 2025_26'!$A$3:$A$665,0)),"")</f>
        <v>5.93</v>
      </c>
      <c r="T417" s="30" t="n">
        <f aca="false">IFERROR(INDEX('Input Statistiche 2025_26'!$H$3:$H$665,MATCH($A417,'Input Statistiche 2025_26'!$A$3:$A$665,0)),"")</f>
        <v>6.36</v>
      </c>
      <c r="U417" s="26" t="str">
        <f aca="false">IF(OR('La Mia Rosa'!$O$12="",$D417&lt;&gt;""),"",IF($F417&lt;='La Mia Rosa'!$O$12*'Parametri Modello'!$B$24,"OK",IF($F417&lt;='La Mia Rosa'!$O$12*'Parametri Modello'!$B$25,"Attenzione","Rischio Alto")))</f>
        <v>OK</v>
      </c>
      <c r="V417" s="26" t="n">
        <f aca="false">IFERROR(COUNTIFS($B$2:$B$492,$B417,$O$2:$O$492,"&gt;"&amp;$O417)+1,"")</f>
        <v>77</v>
      </c>
      <c r="W417" s="21" t="n">
        <f aca="false">'Info Lega'!$B$4-SUMIFS($M$2:$M$492,$D$2:$D$492,'Info Lega'!$B$28)</f>
        <v>1000</v>
      </c>
      <c r="X417" s="21" t="n">
        <f aca="false">('Info Lega'!$B$5-COUNTIFS($D$2:$D$492,'Info Lega'!$B$28,$B$2:$B$492,"P"))+('Info Lega'!$B$6-COUNTIFS($D$2:$D$492,'Info Lega'!$B$28,$B$2:$B$492,"D"))+('Info Lega'!$B$7-COUNTIFS($D$2:$D$492,'Info Lega'!$B$28,$B$2:$B$492,"C"))+('Info Lega'!$B$8-COUNTIFS($D$2:$D$492,'Info Lega'!$B$28,$B$2:$B$492,"A"))</f>
        <v>25</v>
      </c>
      <c r="Y417" s="21" t="n">
        <f aca="false">X417*'Parametri Modello'!$B$30</f>
        <v>25</v>
      </c>
      <c r="Z417" s="21" t="n">
        <f aca="false">MAX(0,W417-Y417)</f>
        <v>975</v>
      </c>
      <c r="AA417" s="21" t="n">
        <f aca="false">MIN(F417,Z417)</f>
        <v>3</v>
      </c>
      <c r="AB417" s="21"/>
      <c r="AC417" s="21" t="str">
        <f aca="false">IF(AB417="","",IF(AB417&gt;AA417,"PASS",IF(AB417&lt;=AA417*0.85,"BID","ATTENZIONE")))</f>
        <v/>
      </c>
      <c r="AD417" s="31" t="n">
        <f aca="false">IF(I417="","",ROUND(100*(1-EXP(-I417/30)),0))</f>
        <v>21</v>
      </c>
      <c r="AE417" s="7" t="str">
        <f aca="false">IFERROR(INDEX('Stato Asta'!$G$9:$G$12,MATCH($B417,'Stato Asta'!$A$9:$A$12,0)),"")</f>
        <v>🔴 Non aspettare</v>
      </c>
    </row>
    <row r="418" customFormat="false" ht="14.25" hidden="false" customHeight="true" outlineLevel="0" collapsed="false">
      <c r="A418" s="21" t="n">
        <v>4867</v>
      </c>
      <c r="B418" s="21" t="s">
        <v>43</v>
      </c>
      <c r="C418" s="21" t="s">
        <v>182</v>
      </c>
      <c r="E418" s="26" t="str">
        <f aca="false">IF(COUNTIF('Info Strategia'!$D$2:$D$51,$C418)&gt;0,"SI","NO")</f>
        <v>NO</v>
      </c>
      <c r="F418" s="27" t="n">
        <f aca="false">IFERROR(ROUND(($G418+($H418-$G418)*'Info Strategia'!$B$6)*(1+IF($E418="SI",'Parametri Modello'!$B$7*'Info Strategia'!$B$6,0)),0),"")</f>
        <v>4</v>
      </c>
      <c r="G418" s="27" t="n">
        <f aca="false">IFERROR(ROUND((IF(OR(INDEX('Parametri Modello'!$C$39:$C$42,MATCH($B418,'Parametri Modello'!$A$39:$A$42,0))="",INDEX('Parametri Modello'!$C$39:$C$42,MATCH($B418,'Parametri Modello'!$A$39:$A$42,0))=0),0,($O418/INDEX('Parametri Modello'!$C$39:$C$42,MATCH($B418,'Parametri Modello'!$A$39:$A$42,0)))*(INDEX('Parametri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3</v>
      </c>
      <c r="H418" s="27" t="n">
        <f aca="false">IFERROR(ROUND((IF(OR(INDEX('Parametri Modello'!$C$39:$C$42,MATCH($B418,'Parametri Modello'!$A$39:$A$42,0))="",INDEX('Parametri Modello'!$C$39:$C$42,MATCH($B418,'Parametri Modello'!$A$39:$A$42,0))=0),0,($O418/INDEX('Parametri Modello'!$C$39:$C$42,MATCH($B418,'Parametri Modello'!$A$39:$A$42,0)))*(INDEX('Parametri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4</v>
      </c>
      <c r="I418" s="26" t="n">
        <f aca="false">IFERROR(INDEX('Input Statistiche 2025_26'!$F$3:$F$665,MATCH($A418,'Input Statistiche 2025_26'!$A$3:$A$665,0)),"")</f>
        <v>6</v>
      </c>
      <c r="J418" s="26" t="n">
        <f aca="false">IFERROR(IF($I418="","",MAX(0,38-$I418)),"")</f>
        <v>32</v>
      </c>
      <c r="K418" s="26" t="n">
        <f aca="false">IFERROR(INDEX('Input Statistiche 2025_26'!$I$3:$I$665,MATCH($A418,'Input Statistiche 2025_26'!$A$3:$A$665,0)),"")</f>
        <v>0</v>
      </c>
      <c r="L418" s="26" t="n">
        <f aca="false">IFERROR(INDEX('Input Statistiche 2025_26'!$O$3:$O$665,MATCH($A418,'Input Statistiche 2025_26'!$A$3:$A$665,0)),"")</f>
        <v>0</v>
      </c>
      <c r="M418" s="28"/>
      <c r="N418" s="27" t="n">
        <f aca="false">IFERROR(INDEX('Input Giocatori 2026_27'!$E$3:$E$493,MATCH($A418,'Input Giocatori 2026_27'!$A$3:$A$493,0)),"")</f>
        <v>1</v>
      </c>
      <c r="O418" s="27" t="n">
        <f aca="false">IFERROR(INDEX('Input Giocatori 2026_27'!$G$3:$G$493,MATCH($A418,'Input Giocatori 2026_27'!$A$3:$A$493,0)),"")</f>
        <v>3</v>
      </c>
      <c r="P418" s="26" t="str">
        <f aca="false">IFERROR(IF($O418="","",IF((1-(COUNTIFS($B$2:$B$492,$B418,$O$2:$O$492,"&gt;"&amp;$O418)+1-1)/COUNTIF($B$2:$B$492,$B418))&gt;=0.85,"Top",IF((1-(COUNTIFS($B$2:$B$492,$B418,$O$2:$O$492,"&gt;"&amp;$O418)+1-1)/COUNTIF($B$2:$B$492,$B418))&gt;=0.6,"Buono",IF((1-(COUNTIFS($B$2:$B$492,$B418,$O$2:$O$492,"&gt;"&amp;$O418)+1-1)/COUNTIF($B$2:$B$492,$B418))&gt;=0.3,"Nella Media","Scommessa/Riserva")))),"")</f>
        <v>Nella Media</v>
      </c>
      <c r="Q418" s="29" t="n">
        <f aca="false">IF($D418="",COUNTIF($D$2:$D418,""),"")</f>
        <v>417</v>
      </c>
      <c r="R418" s="29" t="str">
        <f aca="false">IF($D418='Info Lega'!$B$28,COUNTIFS($D$2:$D418,'Info Lega'!$B$28),"")</f>
        <v/>
      </c>
      <c r="S418" s="30" t="n">
        <f aca="false">IFERROR(INDEX('Input Statistiche 2025_26'!$G$3:$G$665,MATCH($A418,'Input Statistiche 2025_26'!$A$3:$A$665,0)),"")</f>
        <v>6.17</v>
      </c>
      <c r="T418" s="30" t="n">
        <f aca="false">IFERROR(INDEX('Input Statistiche 2025_26'!$H$3:$H$665,MATCH($A418,'Input Statistiche 2025_26'!$A$3:$A$665,0)),"")</f>
        <v>5</v>
      </c>
      <c r="U418" s="26" t="str">
        <f aca="false">IF(OR('La Mia Rosa'!$O$12="",$D418&lt;&gt;""),"",IF($F418&lt;='La Mia Rosa'!$O$12*'Parametri Modello'!$B$24,"OK",IF($F418&lt;='La Mia Rosa'!$O$12*'Parametri Modello'!$B$25,"Attenzione","Rischio Alto")))</f>
        <v>OK</v>
      </c>
      <c r="V418" s="26" t="n">
        <f aca="false">IFERROR(COUNTIFS($B$2:$B$492,$B418,$O$2:$O$492,"&gt;"&amp;$O418)+1,"")</f>
        <v>25</v>
      </c>
      <c r="W418" s="21" t="n">
        <f aca="false">'Info Lega'!$B$4-SUMIFS($M$2:$M$492,$D$2:$D$492,'Info Lega'!$B$28)</f>
        <v>1000</v>
      </c>
      <c r="X418" s="21" t="n">
        <f aca="false">('Info Lega'!$B$5-COUNTIFS($D$2:$D$492,'Info Lega'!$B$28,$B$2:$B$492,"P"))+('Info Lega'!$B$6-COUNTIFS($D$2:$D$492,'Info Lega'!$B$28,$B$2:$B$492,"D"))+('Info Lega'!$B$7-COUNTIFS($D$2:$D$492,'Info Lega'!$B$28,$B$2:$B$492,"C"))+('Info Lega'!$B$8-COUNTIFS($D$2:$D$492,'Info Lega'!$B$28,$B$2:$B$492,"A"))</f>
        <v>25</v>
      </c>
      <c r="Y418" s="21" t="n">
        <f aca="false">X418*'Parametri Modello'!$B$30</f>
        <v>25</v>
      </c>
      <c r="Z418" s="21" t="n">
        <f aca="false">MAX(0,W418-Y418)</f>
        <v>975</v>
      </c>
      <c r="AA418" s="21" t="n">
        <f aca="false">MIN(F418,Z418)</f>
        <v>4</v>
      </c>
      <c r="AB418" s="21"/>
      <c r="AC418" s="21" t="str">
        <f aca="false">IF(AB418="","",IF(AB418&gt;AA418,"PASS",IF(AB418&lt;=AA418*0.85,"BID","ATTENZIONE")))</f>
        <v/>
      </c>
      <c r="AD418" s="31" t="n">
        <f aca="false">IF(I418="","",ROUND(100*(1-EXP(-I418/30)),0))</f>
        <v>18</v>
      </c>
      <c r="AE418" s="7" t="str">
        <f aca="false">IFERROR(INDEX('Stato Asta'!$G$9:$G$12,MATCH($B418,'Stato Asta'!$A$9:$A$12,0)),"")</f>
        <v>🟡 Attesa rischiosa</v>
      </c>
    </row>
    <row r="419" customFormat="false" ht="14.25" hidden="false" customHeight="true" outlineLevel="0" collapsed="false">
      <c r="A419" s="21" t="n">
        <v>7470</v>
      </c>
      <c r="B419" s="21" t="s">
        <v>44</v>
      </c>
      <c r="C419" s="21" t="s">
        <v>345</v>
      </c>
      <c r="E419" s="26" t="str">
        <f aca="false">IF(COUNTIF('Info Strategia'!$D$2:$D$51,$C419)&gt;0,"SI","NO")</f>
        <v>NO</v>
      </c>
      <c r="F419" s="27" t="n">
        <f aca="false">IFERROR(ROUND(($G419+($H419-$G419)*'Info Strategia'!$B$6)*(1+IF($E419="SI",'Parametri Modello'!$B$7*'Info Strategia'!$B$6,0)),0),"")</f>
        <v>2</v>
      </c>
      <c r="G419" s="27" t="n">
        <f aca="false">IFERROR(ROUND((IF(OR(INDEX('Parametri Modello'!$C$39:$C$42,MATCH($B419,'Parametri Modello'!$A$39:$A$42,0))="",INDEX('Parametri Modello'!$C$39:$C$42,MATCH($B419,'Parametri Modello'!$A$39:$A$42,0))=0),0,($O419/INDEX('Parametri Modello'!$C$39:$C$42,MATCH($B419,'Parametri Modello'!$A$39:$A$42,0)))*(INDEX('Parametri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1</v>
      </c>
      <c r="H419" s="27" t="n">
        <f aca="false">IFERROR(ROUND((IF(OR(INDEX('Parametri Modello'!$C$39:$C$42,MATCH($B419,'Parametri Modello'!$A$39:$A$42,0))="",INDEX('Parametri Modello'!$C$39:$C$42,MATCH($B419,'Parametri Modello'!$A$39:$A$42,0))=0),0,($O419/INDEX('Parametri Modello'!$C$39:$C$42,MATCH($B419,'Parametri Modello'!$A$39:$A$42,0)))*(INDEX('Parametri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2</v>
      </c>
      <c r="I419" s="26" t="str">
        <f aca="false">IFERROR(INDEX('Input Statistiche 2025_26'!$F$3:$F$665,MATCH($A419,'Input Statistiche 2025_26'!$A$3:$A$665,0)),"")</f>
        <v/>
      </c>
      <c r="J419" s="26" t="str">
        <f aca="false">IFERROR(IF($I419="","",MAX(0,38-$I419)),"")</f>
        <v/>
      </c>
      <c r="K419" s="26" t="str">
        <f aca="false">IFERROR(INDEX('Input Statistiche 2025_26'!$I$3:$I$665,MATCH($A419,'Input Statistiche 2025_26'!$A$3:$A$665,0)),"")</f>
        <v/>
      </c>
      <c r="L419" s="26" t="str">
        <f aca="false">IFERROR(INDEX('Input Statistiche 2025_26'!$O$3:$O$665,MATCH($A419,'Input Statistiche 2025_26'!$A$3:$A$665,0)),"")</f>
        <v/>
      </c>
      <c r="M419" s="28"/>
      <c r="N419" s="27" t="n">
        <f aca="false">IFERROR(INDEX('Input Giocatori 2026_27'!$E$3:$E$493,MATCH($A419,'Input Giocatori 2026_27'!$A$3:$A$493,0)),"")</f>
        <v>1</v>
      </c>
      <c r="O419" s="27" t="n">
        <f aca="false">IFERROR(INDEX('Input Giocatori 2026_27'!$G$3:$G$493,MATCH($A419,'Input Giocatori 2026_27'!$A$3:$A$493,0)),"")</f>
        <v>3</v>
      </c>
      <c r="P419" s="26" t="str">
        <f aca="false">IFERROR(IF($O419="","",IF((1-(COUNTIFS($B$2:$B$492,$B419,$O$2:$O$492,"&gt;"&amp;$O419)+1-1)/COUNTIF($B$2:$B$492,$B419))&gt;=0.85,"Top",IF((1-(COUNTIFS($B$2:$B$492,$B419,$O$2:$O$492,"&gt;"&amp;$O419)+1-1)/COUNTIF($B$2:$B$492,$B419))&gt;=0.6,"Buono",IF((1-(COUNTIFS($B$2:$B$492,$B419,$O$2:$O$492,"&gt;"&amp;$O419)+1-1)/COUNTIF($B$2:$B$492,$B419))&gt;=0.3,"Nella Media","Scommessa/Riserva")))),"")</f>
        <v>Scommessa/Riserva</v>
      </c>
      <c r="Q419" s="29" t="n">
        <f aca="false">IF($D419="",COUNTIF($D$2:$D419,""),"")</f>
        <v>418</v>
      </c>
      <c r="R419" s="29" t="str">
        <f aca="false">IF($D419='Info Lega'!$B$28,COUNTIFS($D$2:$D419,'Info Lega'!$B$28),"")</f>
        <v/>
      </c>
      <c r="S419" s="30" t="str">
        <f aca="false">IFERROR(INDEX('Input Statistiche 2025_26'!$G$3:$G$665,MATCH($A419,'Input Statistiche 2025_26'!$A$3:$A$665,0)),"")</f>
        <v/>
      </c>
      <c r="T419" s="30" t="str">
        <f aca="false">IFERROR(INDEX('Input Statistiche 2025_26'!$H$3:$H$665,MATCH($A419,'Input Statistiche 2025_26'!$A$3:$A$665,0)),"")</f>
        <v/>
      </c>
      <c r="U419" s="26" t="str">
        <f aca="false">IF(OR('La Mia Rosa'!$O$12="",$D419&lt;&gt;""),"",IF($F419&lt;='La Mia Rosa'!$O$12*'Parametri Modello'!$B$24,"OK",IF($F419&lt;='La Mia Rosa'!$O$12*'Parametri Modello'!$B$25,"Attenzione","Rischio Alto")))</f>
        <v>OK</v>
      </c>
      <c r="V419" s="26" t="n">
        <f aca="false">IFERROR(COUNTIFS($B$2:$B$492,$B419,$O$2:$O$492,"&gt;"&amp;$O419)+1,"")</f>
        <v>156</v>
      </c>
      <c r="W419" s="21" t="n">
        <f aca="false">'Info Lega'!$B$4-SUMIFS($M$2:$M$492,$D$2:$D$492,'Info Lega'!$B$28)</f>
        <v>1000</v>
      </c>
      <c r="X419" s="21" t="n">
        <f aca="false">('Info Lega'!$B$5-COUNTIFS($D$2:$D$492,'Info Lega'!$B$28,$B$2:$B$492,"P"))+('Info Lega'!$B$6-COUNTIFS($D$2:$D$492,'Info Lega'!$B$28,$B$2:$B$492,"D"))+('Info Lega'!$B$7-COUNTIFS($D$2:$D$492,'Info Lega'!$B$28,$B$2:$B$492,"C"))+('Info Lega'!$B$8-COUNTIFS($D$2:$D$492,'Info Lega'!$B$28,$B$2:$B$492,"A"))</f>
        <v>25</v>
      </c>
      <c r="Y419" s="21" t="n">
        <f aca="false">X419*'Parametri Modello'!$B$30</f>
        <v>25</v>
      </c>
      <c r="Z419" s="21" t="n">
        <f aca="false">MAX(0,W419-Y419)</f>
        <v>975</v>
      </c>
      <c r="AA419" s="21" t="n">
        <f aca="false">MIN(F419,Z419)</f>
        <v>2</v>
      </c>
      <c r="AB419" s="21"/>
      <c r="AC419" s="21" t="str">
        <f aca="false">IF(AB419="","",IF(AB419&gt;AA419,"PASS",IF(AB419&lt;=AA419*0.85,"BID","ATTENZIONE")))</f>
        <v/>
      </c>
      <c r="AD419" s="31" t="str">
        <f aca="false">IF(I419="","",ROUND(100*(1-EXP(-I419/30)),0))</f>
        <v/>
      </c>
      <c r="AE419" s="7" t="str">
        <f aca="false">IFERROR(INDEX('Stato Asta'!$G$9:$G$12,MATCH($B419,'Stato Asta'!$A$9:$A$12,0)),"")</f>
        <v>🟡 Attesa rischiosa</v>
      </c>
    </row>
    <row r="420" customFormat="false" ht="14.25" hidden="false" customHeight="true" outlineLevel="0" collapsed="false">
      <c r="A420" s="21" t="n">
        <v>7471</v>
      </c>
      <c r="B420" s="21" t="s">
        <v>44</v>
      </c>
      <c r="C420" s="21" t="s">
        <v>346</v>
      </c>
      <c r="E420" s="26" t="str">
        <f aca="false">IF(COUNTIF('Info Strategia'!$D$2:$D$51,$C420)&gt;0,"SI","NO")</f>
        <v>NO</v>
      </c>
      <c r="F420" s="27" t="n">
        <f aca="false">IFERROR(ROUND(($G420+($H420-$G420)*'Info Strategia'!$B$6)*(1+IF($E420="SI",'Parametri Modello'!$B$7*'Info Strategia'!$B$6,0)),0),"")</f>
        <v>2</v>
      </c>
      <c r="G420" s="27" t="n">
        <f aca="false">IFERROR(ROUND((IF(OR(INDEX('Parametri Modello'!$C$39:$C$42,MATCH($B420,'Parametri Modello'!$A$39:$A$42,0))="",INDEX('Parametri Modello'!$C$39:$C$42,MATCH($B420,'Parametri Modello'!$A$39:$A$42,0))=0),0,($O420/INDEX('Parametri Modello'!$C$39:$C$42,MATCH($B420,'Parametri Modello'!$A$39:$A$42,0)))*(INDEX('Parametri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1</v>
      </c>
      <c r="H420" s="27" t="n">
        <f aca="false">IFERROR(ROUND((IF(OR(INDEX('Parametri Modello'!$C$39:$C$42,MATCH($B420,'Parametri Modello'!$A$39:$A$42,0))="",INDEX('Parametri Modello'!$C$39:$C$42,MATCH($B420,'Parametri Modello'!$A$39:$A$42,0))=0),0,($O420/INDEX('Parametri Modello'!$C$39:$C$42,MATCH($B420,'Parametri Modello'!$A$39:$A$42,0)))*(INDEX('Parametri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2</v>
      </c>
      <c r="I420" s="26" t="str">
        <f aca="false">IFERROR(INDEX('Input Statistiche 2025_26'!$F$3:$F$665,MATCH($A420,'Input Statistiche 2025_26'!$A$3:$A$665,0)),"")</f>
        <v/>
      </c>
      <c r="J420" s="26" t="str">
        <f aca="false">IFERROR(IF($I420="","",MAX(0,38-$I420)),"")</f>
        <v/>
      </c>
      <c r="K420" s="26" t="str">
        <f aca="false">IFERROR(INDEX('Input Statistiche 2025_26'!$I$3:$I$665,MATCH($A420,'Input Statistiche 2025_26'!$A$3:$A$665,0)),"")</f>
        <v/>
      </c>
      <c r="L420" s="26" t="str">
        <f aca="false">IFERROR(INDEX('Input Statistiche 2025_26'!$O$3:$O$665,MATCH($A420,'Input Statistiche 2025_26'!$A$3:$A$665,0)),"")</f>
        <v/>
      </c>
      <c r="M420" s="28"/>
      <c r="N420" s="27" t="n">
        <f aca="false">IFERROR(INDEX('Input Giocatori 2026_27'!$E$3:$E$493,MATCH($A420,'Input Giocatori 2026_27'!$A$3:$A$493,0)),"")</f>
        <v>1</v>
      </c>
      <c r="O420" s="27" t="n">
        <f aca="false">IFERROR(INDEX('Input Giocatori 2026_27'!$G$3:$G$493,MATCH($A420,'Input Giocatori 2026_27'!$A$3:$A$493,0)),"")</f>
        <v>3</v>
      </c>
      <c r="P420" s="26" t="str">
        <f aca="false">IFERROR(IF($O420="","",IF((1-(COUNTIFS($B$2:$B$492,$B420,$O$2:$O$492,"&gt;"&amp;$O420)+1-1)/COUNTIF($B$2:$B$492,$B420))&gt;=0.85,"Top",IF((1-(COUNTIFS($B$2:$B$492,$B420,$O$2:$O$492,"&gt;"&amp;$O420)+1-1)/COUNTIF($B$2:$B$492,$B420))&gt;=0.6,"Buono",IF((1-(COUNTIFS($B$2:$B$492,$B420,$O$2:$O$492,"&gt;"&amp;$O420)+1-1)/COUNTIF($B$2:$B$492,$B420))&gt;=0.3,"Nella Media","Scommessa/Riserva")))),"")</f>
        <v>Scommessa/Riserva</v>
      </c>
      <c r="Q420" s="29" t="n">
        <f aca="false">IF($D420="",COUNTIF($D$2:$D420,""),"")</f>
        <v>419</v>
      </c>
      <c r="R420" s="29" t="str">
        <f aca="false">IF($D420='Info Lega'!$B$28,COUNTIFS($D$2:$D420,'Info Lega'!$B$28),"")</f>
        <v/>
      </c>
      <c r="S420" s="30" t="str">
        <f aca="false">IFERROR(INDEX('Input Statistiche 2025_26'!$G$3:$G$665,MATCH($A420,'Input Statistiche 2025_26'!$A$3:$A$665,0)),"")</f>
        <v/>
      </c>
      <c r="T420" s="30" t="str">
        <f aca="false">IFERROR(INDEX('Input Statistiche 2025_26'!$H$3:$H$665,MATCH($A420,'Input Statistiche 2025_26'!$A$3:$A$665,0)),"")</f>
        <v/>
      </c>
      <c r="U420" s="26" t="str">
        <f aca="false">IF(OR('La Mia Rosa'!$O$12="",$D420&lt;&gt;""),"",IF($F420&lt;='La Mia Rosa'!$O$12*'Parametri Modello'!$B$24,"OK",IF($F420&lt;='La Mia Rosa'!$O$12*'Parametri Modello'!$B$25,"Attenzione","Rischio Alto")))</f>
        <v>OK</v>
      </c>
      <c r="V420" s="26" t="n">
        <f aca="false">IFERROR(COUNTIFS($B$2:$B$492,$B420,$O$2:$O$492,"&gt;"&amp;$O420)+1,"")</f>
        <v>156</v>
      </c>
      <c r="W420" s="21" t="n">
        <f aca="false">'Info Lega'!$B$4-SUMIFS($M$2:$M$492,$D$2:$D$492,'Info Lega'!$B$28)</f>
        <v>1000</v>
      </c>
      <c r="X420" s="21" t="n">
        <f aca="false">('Info Lega'!$B$5-COUNTIFS($D$2:$D$492,'Info Lega'!$B$28,$B$2:$B$492,"P"))+('Info Lega'!$B$6-COUNTIFS($D$2:$D$492,'Info Lega'!$B$28,$B$2:$B$492,"D"))+('Info Lega'!$B$7-COUNTIFS($D$2:$D$492,'Info Lega'!$B$28,$B$2:$B$492,"C"))+('Info Lega'!$B$8-COUNTIFS($D$2:$D$492,'Info Lega'!$B$28,$B$2:$B$492,"A"))</f>
        <v>25</v>
      </c>
      <c r="Y420" s="21" t="n">
        <f aca="false">X420*'Parametri Modello'!$B$30</f>
        <v>25</v>
      </c>
      <c r="Z420" s="21" t="n">
        <f aca="false">MAX(0,W420-Y420)</f>
        <v>975</v>
      </c>
      <c r="AA420" s="21" t="n">
        <f aca="false">MIN(F420,Z420)</f>
        <v>2</v>
      </c>
      <c r="AB420" s="21"/>
      <c r="AC420" s="21" t="str">
        <f aca="false">IF(AB420="","",IF(AB420&gt;AA420,"PASS",IF(AB420&lt;=AA420*0.85,"BID","ATTENZIONE")))</f>
        <v/>
      </c>
      <c r="AD420" s="31" t="str">
        <f aca="false">IF(I420="","",ROUND(100*(1-EXP(-I420/30)),0))</f>
        <v/>
      </c>
      <c r="AE420" s="7" t="str">
        <f aca="false">IFERROR(INDEX('Stato Asta'!$G$9:$G$12,MATCH($B420,'Stato Asta'!$A$9:$A$12,0)),"")</f>
        <v>🟡 Attesa rischiosa</v>
      </c>
    </row>
    <row r="421" customFormat="false" ht="14.25" hidden="false" customHeight="true" outlineLevel="0" collapsed="false">
      <c r="A421" s="21" t="n">
        <v>294</v>
      </c>
      <c r="B421" s="21" t="s">
        <v>44</v>
      </c>
      <c r="C421" s="21" t="s">
        <v>349</v>
      </c>
      <c r="E421" s="26" t="str">
        <f aca="false">IF(COUNTIF('Info Strategia'!$D$2:$D$51,$C421)&gt;0,"SI","NO")</f>
        <v>NO</v>
      </c>
      <c r="F421" s="27" t="n">
        <f aca="false">IFERROR(ROUND(($G421+($H421-$G421)*'Info Strategia'!$B$6)*(1+IF($E421="SI",'Parametri Modello'!$B$7*'Info Strategia'!$B$6,0)),0),"")</f>
        <v>2</v>
      </c>
      <c r="G421" s="27" t="n">
        <f aca="false">IFERROR(ROUND((IF(OR(INDEX('Parametri Modello'!$C$39:$C$42,MATCH($B421,'Parametri Modello'!$A$39:$A$42,0))="",INDEX('Parametri Modello'!$C$39:$C$42,MATCH($B421,'Parametri Modello'!$A$39:$A$42,0))=0),0,($O421/INDEX('Parametri Modello'!$C$39:$C$42,MATCH($B421,'Parametri Modello'!$A$39:$A$42,0)))*(INDEX('Parametri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1</v>
      </c>
      <c r="H421" s="27" t="n">
        <f aca="false">IFERROR(ROUND((IF(OR(INDEX('Parametri Modello'!$C$39:$C$42,MATCH($B421,'Parametri Modello'!$A$39:$A$42,0))="",INDEX('Parametri Modello'!$C$39:$C$42,MATCH($B421,'Parametri Modello'!$A$39:$A$42,0))=0),0,($O421/INDEX('Parametri Modello'!$C$39:$C$42,MATCH($B421,'Parametri Modello'!$A$39:$A$42,0)))*(INDEX('Parametri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2</v>
      </c>
      <c r="I421" s="26" t="n">
        <f aca="false">IFERROR(INDEX('Input Statistiche 2025_26'!$F$3:$F$665,MATCH($A421,'Input Statistiche 2025_26'!$A$3:$A$665,0)),"")</f>
        <v>8</v>
      </c>
      <c r="J421" s="26" t="n">
        <f aca="false">IFERROR(IF($I421="","",MAX(0,38-$I421)),"")</f>
        <v>30</v>
      </c>
      <c r="K421" s="26" t="n">
        <f aca="false">IFERROR(INDEX('Input Statistiche 2025_26'!$I$3:$I$665,MATCH($A421,'Input Statistiche 2025_26'!$A$3:$A$665,0)),"")</f>
        <v>0</v>
      </c>
      <c r="L421" s="26" t="n">
        <f aca="false">IFERROR(INDEX('Input Statistiche 2025_26'!$O$3:$O$665,MATCH($A421,'Input Statistiche 2025_26'!$A$3:$A$665,0)),"")</f>
        <v>0</v>
      </c>
      <c r="M421" s="28"/>
      <c r="N421" s="27" t="n">
        <f aca="false">IFERROR(INDEX('Input Giocatori 2026_27'!$E$3:$E$493,MATCH($A421,'Input Giocatori 2026_27'!$A$3:$A$493,0)),"")</f>
        <v>1</v>
      </c>
      <c r="O421" s="27" t="n">
        <f aca="false">IFERROR(INDEX('Input Giocatori 2026_27'!$G$3:$G$493,MATCH($A421,'Input Giocatori 2026_27'!$A$3:$A$493,0)),"")</f>
        <v>3</v>
      </c>
      <c r="P421" s="26" t="str">
        <f aca="false">IFERROR(IF($O421="","",IF((1-(COUNTIFS($B$2:$B$492,$B421,$O$2:$O$492,"&gt;"&amp;$O421)+1-1)/COUNTIF($B$2:$B$492,$B421))&gt;=0.85,"Top",IF((1-(COUNTIFS($B$2:$B$492,$B421,$O$2:$O$492,"&gt;"&amp;$O421)+1-1)/COUNTIF($B$2:$B$492,$B421))&gt;=0.6,"Buono",IF((1-(COUNTIFS($B$2:$B$492,$B421,$O$2:$O$492,"&gt;"&amp;$O421)+1-1)/COUNTIF($B$2:$B$492,$B421))&gt;=0.3,"Nella Media","Scommessa/Riserva")))),"")</f>
        <v>Scommessa/Riserva</v>
      </c>
      <c r="Q421" s="29" t="n">
        <f aca="false">IF($D421="",COUNTIF($D$2:$D421,""),"")</f>
        <v>420</v>
      </c>
      <c r="R421" s="29" t="str">
        <f aca="false">IF($D421='Info Lega'!$B$28,COUNTIFS($D$2:$D421,'Info Lega'!$B$28),"")</f>
        <v/>
      </c>
      <c r="S421" s="30" t="n">
        <f aca="false">IFERROR(INDEX('Input Statistiche 2025_26'!$G$3:$G$665,MATCH($A421,'Input Statistiche 2025_26'!$A$3:$A$665,0)),"")</f>
        <v>5.69</v>
      </c>
      <c r="T421" s="30" t="n">
        <f aca="false">IFERROR(INDEX('Input Statistiche 2025_26'!$H$3:$H$665,MATCH($A421,'Input Statistiche 2025_26'!$A$3:$A$665,0)),"")</f>
        <v>5.56</v>
      </c>
      <c r="U421" s="26" t="str">
        <f aca="false">IF(OR('La Mia Rosa'!$O$12="",$D421&lt;&gt;""),"",IF($F421&lt;='La Mia Rosa'!$O$12*'Parametri Modello'!$B$24,"OK",IF($F421&lt;='La Mia Rosa'!$O$12*'Parametri Modello'!$B$25,"Attenzione","Rischio Alto")))</f>
        <v>OK</v>
      </c>
      <c r="V421" s="26" t="n">
        <f aca="false">IFERROR(COUNTIFS($B$2:$B$492,$B421,$O$2:$O$492,"&gt;"&amp;$O421)+1,"")</f>
        <v>156</v>
      </c>
      <c r="W421" s="21" t="n">
        <f aca="false">'Info Lega'!$B$4-SUMIFS($M$2:$M$492,$D$2:$D$492,'Info Lega'!$B$28)</f>
        <v>1000</v>
      </c>
      <c r="X421" s="21" t="n">
        <f aca="false">('Info Lega'!$B$5-COUNTIFS($D$2:$D$492,'Info Lega'!$B$28,$B$2:$B$492,"P"))+('Info Lega'!$B$6-COUNTIFS($D$2:$D$492,'Info Lega'!$B$28,$B$2:$B$492,"D"))+('Info Lega'!$B$7-COUNTIFS($D$2:$D$492,'Info Lega'!$B$28,$B$2:$B$492,"C"))+('Info Lega'!$B$8-COUNTIFS($D$2:$D$492,'Info Lega'!$B$28,$B$2:$B$492,"A"))</f>
        <v>25</v>
      </c>
      <c r="Y421" s="21" t="n">
        <f aca="false">X421*'Parametri Modello'!$B$30</f>
        <v>25</v>
      </c>
      <c r="Z421" s="21" t="n">
        <f aca="false">MAX(0,W421-Y421)</f>
        <v>975</v>
      </c>
      <c r="AA421" s="21" t="n">
        <f aca="false">MIN(F421,Z421)</f>
        <v>2</v>
      </c>
      <c r="AB421" s="21"/>
      <c r="AC421" s="21" t="str">
        <f aca="false">IF(AB421="","",IF(AB421&gt;AA421,"PASS",IF(AB421&lt;=AA421*0.85,"BID","ATTENZIONE")))</f>
        <v/>
      </c>
      <c r="AD421" s="31" t="n">
        <f aca="false">IF(I421="","",ROUND(100*(1-EXP(-I421/30)),0))</f>
        <v>23</v>
      </c>
      <c r="AE421" s="7" t="str">
        <f aca="false">IFERROR(INDEX('Stato Asta'!$G$9:$G$12,MATCH($B421,'Stato Asta'!$A$9:$A$12,0)),"")</f>
        <v>🟡 Attesa rischiosa</v>
      </c>
    </row>
    <row r="422" customFormat="false" ht="14.25" hidden="false" customHeight="true" outlineLevel="0" collapsed="false">
      <c r="A422" s="21" t="n">
        <v>5481</v>
      </c>
      <c r="B422" s="21" t="s">
        <v>44</v>
      </c>
      <c r="C422" s="21" t="s">
        <v>357</v>
      </c>
      <c r="E422" s="26" t="str">
        <f aca="false">IF(COUNTIF('Info Strategia'!$D$2:$D$51,$C422)&gt;0,"SI","NO")</f>
        <v>NO</v>
      </c>
      <c r="F422" s="27" t="n">
        <f aca="false">IFERROR(ROUND(($G422+($H422-$G422)*'Info Strategia'!$B$6)*(1+IF($E422="SI",'Parametri Modello'!$B$7*'Info Strategia'!$B$6,0)),0),"")</f>
        <v>2</v>
      </c>
      <c r="G422" s="27" t="n">
        <f aca="false">IFERROR(ROUND((IF(OR(INDEX('Parametri Modello'!$C$39:$C$42,MATCH($B422,'Parametri Modello'!$A$39:$A$42,0))="",INDEX('Parametri Modello'!$C$39:$C$42,MATCH($B422,'Parametri Modello'!$A$39:$A$42,0))=0),0,($O422/INDEX('Parametri Modello'!$C$39:$C$42,MATCH($B422,'Parametri Modello'!$A$39:$A$42,0)))*(INDEX('Parametri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1</v>
      </c>
      <c r="H422" s="27" t="n">
        <f aca="false">IFERROR(ROUND((IF(OR(INDEX('Parametri Modello'!$C$39:$C$42,MATCH($B422,'Parametri Modello'!$A$39:$A$42,0))="",INDEX('Parametri Modello'!$C$39:$C$42,MATCH($B422,'Parametri Modello'!$A$39:$A$42,0))=0),0,($O422/INDEX('Parametri Modello'!$C$39:$C$42,MATCH($B422,'Parametri Modello'!$A$39:$A$42,0)))*(INDEX('Parametri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2</v>
      </c>
      <c r="I422" s="26" t="n">
        <f aca="false">IFERROR(INDEX('Input Statistiche 2025_26'!$F$3:$F$665,MATCH($A422,'Input Statistiche 2025_26'!$A$3:$A$665,0)),"")</f>
        <v>9</v>
      </c>
      <c r="J422" s="26" t="n">
        <f aca="false">IFERROR(IF($I422="","",MAX(0,38-$I422)),"")</f>
        <v>29</v>
      </c>
      <c r="K422" s="26" t="n">
        <f aca="false">IFERROR(INDEX('Input Statistiche 2025_26'!$I$3:$I$665,MATCH($A422,'Input Statistiche 2025_26'!$A$3:$A$665,0)),"")</f>
        <v>0</v>
      </c>
      <c r="L422" s="26" t="n">
        <f aca="false">IFERROR(INDEX('Input Statistiche 2025_26'!$O$3:$O$665,MATCH($A422,'Input Statistiche 2025_26'!$A$3:$A$665,0)),"")</f>
        <v>1</v>
      </c>
      <c r="M422" s="28"/>
      <c r="N422" s="27" t="n">
        <f aca="false">IFERROR(INDEX('Input Giocatori 2026_27'!$E$3:$E$493,MATCH($A422,'Input Giocatori 2026_27'!$A$3:$A$493,0)),"")</f>
        <v>1</v>
      </c>
      <c r="O422" s="27" t="n">
        <f aca="false">IFERROR(INDEX('Input Giocatori 2026_27'!$G$3:$G$493,MATCH($A422,'Input Giocatori 2026_27'!$A$3:$A$493,0)),"")</f>
        <v>3</v>
      </c>
      <c r="P422" s="26" t="str">
        <f aca="false">IFERROR(IF($O422="","",IF((1-(COUNTIFS($B$2:$B$492,$B422,$O$2:$O$492,"&gt;"&amp;$O422)+1-1)/COUNTIF($B$2:$B$492,$B422))&gt;=0.85,"Top",IF((1-(COUNTIFS($B$2:$B$492,$B422,$O$2:$O$492,"&gt;"&amp;$O422)+1-1)/COUNTIF($B$2:$B$492,$B422))&gt;=0.6,"Buono",IF((1-(COUNTIFS($B$2:$B$492,$B422,$O$2:$O$492,"&gt;"&amp;$O422)+1-1)/COUNTIF($B$2:$B$492,$B422))&gt;=0.3,"Nella Media","Scommessa/Riserva")))),"")</f>
        <v>Scommessa/Riserva</v>
      </c>
      <c r="Q422" s="29" t="n">
        <f aca="false">IF($D422="",COUNTIF($D$2:$D422,""),"")</f>
        <v>421</v>
      </c>
      <c r="R422" s="29" t="str">
        <f aca="false">IF($D422='Info Lega'!$B$28,COUNTIFS($D$2:$D422,'Info Lega'!$B$28),"")</f>
        <v/>
      </c>
      <c r="S422" s="30" t="n">
        <f aca="false">IFERROR(INDEX('Input Statistiche 2025_26'!$G$3:$G$665,MATCH($A422,'Input Statistiche 2025_26'!$A$3:$A$665,0)),"")</f>
        <v>5.94</v>
      </c>
      <c r="T422" s="30" t="n">
        <f aca="false">IFERROR(INDEX('Input Statistiche 2025_26'!$H$3:$H$665,MATCH($A422,'Input Statistiche 2025_26'!$A$3:$A$665,0)),"")</f>
        <v>5.94</v>
      </c>
      <c r="U422" s="26" t="str">
        <f aca="false">IF(OR('La Mia Rosa'!$O$12="",$D422&lt;&gt;""),"",IF($F422&lt;='La Mia Rosa'!$O$12*'Parametri Modello'!$B$24,"OK",IF($F422&lt;='La Mia Rosa'!$O$12*'Parametri Modello'!$B$25,"Attenzione","Rischio Alto")))</f>
        <v>OK</v>
      </c>
      <c r="V422" s="26" t="n">
        <f aca="false">IFERROR(COUNTIFS($B$2:$B$492,$B422,$O$2:$O$492,"&gt;"&amp;$O422)+1,"")</f>
        <v>156</v>
      </c>
      <c r="W422" s="21" t="n">
        <f aca="false">'Info Lega'!$B$4-SUMIFS($M$2:$M$492,$D$2:$D$492,'Info Lega'!$B$28)</f>
        <v>1000</v>
      </c>
      <c r="X422" s="21" t="n">
        <f aca="false">('Info Lega'!$B$5-COUNTIFS($D$2:$D$492,'Info Lega'!$B$28,$B$2:$B$492,"P"))+('Info Lega'!$B$6-COUNTIFS($D$2:$D$492,'Info Lega'!$B$28,$B$2:$B$492,"D"))+('Info Lega'!$B$7-COUNTIFS($D$2:$D$492,'Info Lega'!$B$28,$B$2:$B$492,"C"))+('Info Lega'!$B$8-COUNTIFS($D$2:$D$492,'Info Lega'!$B$28,$B$2:$B$492,"A"))</f>
        <v>25</v>
      </c>
      <c r="Y422" s="21" t="n">
        <f aca="false">X422*'Parametri Modello'!$B$30</f>
        <v>25</v>
      </c>
      <c r="Z422" s="21" t="n">
        <f aca="false">MAX(0,W422-Y422)</f>
        <v>975</v>
      </c>
      <c r="AA422" s="21" t="n">
        <f aca="false">MIN(F422,Z422)</f>
        <v>2</v>
      </c>
      <c r="AB422" s="21"/>
      <c r="AC422" s="21" t="str">
        <f aca="false">IF(AB422="","",IF(AB422&gt;AA422,"PASS",IF(AB422&lt;=AA422*0.85,"BID","ATTENZIONE")))</f>
        <v/>
      </c>
      <c r="AD422" s="31" t="n">
        <f aca="false">IF(I422="","",ROUND(100*(1-EXP(-I422/30)),0))</f>
        <v>26</v>
      </c>
      <c r="AE422" s="7" t="str">
        <f aca="false">IFERROR(INDEX('Stato Asta'!$G$9:$G$12,MATCH($B422,'Stato Asta'!$A$9:$A$12,0)),"")</f>
        <v>🟡 Attesa rischiosa</v>
      </c>
    </row>
    <row r="423" customFormat="false" ht="14.25" hidden="false" customHeight="true" outlineLevel="0" collapsed="false">
      <c r="A423" s="21" t="n">
        <v>6149</v>
      </c>
      <c r="B423" s="21" t="s">
        <v>44</v>
      </c>
      <c r="C423" s="21" t="s">
        <v>359</v>
      </c>
      <c r="E423" s="26" t="str">
        <f aca="false">IF(COUNTIF('Info Strategia'!$D$2:$D$51,$C423)&gt;0,"SI","NO")</f>
        <v>NO</v>
      </c>
      <c r="F423" s="27" t="n">
        <f aca="false">IFERROR(ROUND(($G423+($H423-$G423)*'Info Strategia'!$B$6)*(1+IF($E423="SI",'Parametri Modello'!$B$7*'Info Strategia'!$B$6,0)),0),"")</f>
        <v>2</v>
      </c>
      <c r="G423" s="27" t="n">
        <f aca="false">IFERROR(ROUND((IF(OR(INDEX('Parametri Modello'!$C$39:$C$42,MATCH($B423,'Parametri Modello'!$A$39:$A$42,0))="",INDEX('Parametri Modello'!$C$39:$C$42,MATCH($B423,'Parametri Modello'!$A$39:$A$42,0))=0),0,($O423/INDEX('Parametri Modello'!$C$39:$C$42,MATCH($B423,'Parametri Modello'!$A$39:$A$42,0)))*(INDEX('Parametri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1</v>
      </c>
      <c r="H423" s="27" t="n">
        <f aca="false">IFERROR(ROUND((IF(OR(INDEX('Parametri Modello'!$C$39:$C$42,MATCH($B423,'Parametri Modello'!$A$39:$A$42,0))="",INDEX('Parametri Modello'!$C$39:$C$42,MATCH($B423,'Parametri Modello'!$A$39:$A$42,0))=0),0,($O423/INDEX('Parametri Modello'!$C$39:$C$42,MATCH($B423,'Parametri Modello'!$A$39:$A$42,0)))*(INDEX('Parametri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2</v>
      </c>
      <c r="I423" s="26" t="n">
        <f aca="false">IFERROR(INDEX('Input Statistiche 2025_26'!$F$3:$F$665,MATCH($A423,'Input Statistiche 2025_26'!$A$3:$A$665,0)),"")</f>
        <v>2</v>
      </c>
      <c r="J423" s="26" t="n">
        <f aca="false">IFERROR(IF($I423="","",MAX(0,38-$I423)),"")</f>
        <v>36</v>
      </c>
      <c r="K423" s="26" t="n">
        <f aca="false">IFERROR(INDEX('Input Statistiche 2025_26'!$I$3:$I$665,MATCH($A423,'Input Statistiche 2025_26'!$A$3:$A$665,0)),"")</f>
        <v>0</v>
      </c>
      <c r="L423" s="26" t="n">
        <f aca="false">IFERROR(INDEX('Input Statistiche 2025_26'!$O$3:$O$665,MATCH($A423,'Input Statistiche 2025_26'!$A$3:$A$665,0)),"")</f>
        <v>0</v>
      </c>
      <c r="M423" s="28"/>
      <c r="N423" s="27" t="n">
        <f aca="false">IFERROR(INDEX('Input Giocatori 2026_27'!$E$3:$E$493,MATCH($A423,'Input Giocatori 2026_27'!$A$3:$A$493,0)),"")</f>
        <v>1</v>
      </c>
      <c r="O423" s="27" t="n">
        <f aca="false">IFERROR(INDEX('Input Giocatori 2026_27'!$G$3:$G$493,MATCH($A423,'Input Giocatori 2026_27'!$A$3:$A$493,0)),"")</f>
        <v>3</v>
      </c>
      <c r="P423" s="26" t="str">
        <f aca="false">IFERROR(IF($O423="","",IF((1-(COUNTIFS($B$2:$B$492,$B423,$O$2:$O$492,"&gt;"&amp;$O423)+1-1)/COUNTIF($B$2:$B$492,$B423))&gt;=0.85,"Top",IF((1-(COUNTIFS($B$2:$B$492,$B423,$O$2:$O$492,"&gt;"&amp;$O423)+1-1)/COUNTIF($B$2:$B$492,$B423))&gt;=0.6,"Buono",IF((1-(COUNTIFS($B$2:$B$492,$B423,$O$2:$O$492,"&gt;"&amp;$O423)+1-1)/COUNTIF($B$2:$B$492,$B423))&gt;=0.3,"Nella Media","Scommessa/Riserva")))),"")</f>
        <v>Scommessa/Riserva</v>
      </c>
      <c r="Q423" s="29" t="n">
        <f aca="false">IF($D423="",COUNTIF($D$2:$D423,""),"")</f>
        <v>422</v>
      </c>
      <c r="R423" s="29" t="str">
        <f aca="false">IF($D423='Info Lega'!$B$28,COUNTIFS($D$2:$D423,'Info Lega'!$B$28),"")</f>
        <v/>
      </c>
      <c r="S423" s="30" t="n">
        <f aca="false">IFERROR(INDEX('Input Statistiche 2025_26'!$G$3:$G$665,MATCH($A423,'Input Statistiche 2025_26'!$A$3:$A$665,0)),"")</f>
        <v>6</v>
      </c>
      <c r="T423" s="30" t="n">
        <f aca="false">IFERROR(INDEX('Input Statistiche 2025_26'!$H$3:$H$665,MATCH($A423,'Input Statistiche 2025_26'!$A$3:$A$665,0)),"")</f>
        <v>6</v>
      </c>
      <c r="U423" s="26" t="str">
        <f aca="false">IF(OR('La Mia Rosa'!$O$12="",$D423&lt;&gt;""),"",IF($F423&lt;='La Mia Rosa'!$O$12*'Parametri Modello'!$B$24,"OK",IF($F423&lt;='La Mia Rosa'!$O$12*'Parametri Modello'!$B$25,"Attenzione","Rischio Alto")))</f>
        <v>OK</v>
      </c>
      <c r="V423" s="26" t="n">
        <f aca="false">IFERROR(COUNTIFS($B$2:$B$492,$B423,$O$2:$O$492,"&gt;"&amp;$O423)+1,"")</f>
        <v>156</v>
      </c>
      <c r="W423" s="21" t="n">
        <f aca="false">'Info Lega'!$B$4-SUMIFS($M$2:$M$492,$D$2:$D$492,'Info Lega'!$B$28)</f>
        <v>1000</v>
      </c>
      <c r="X423" s="21" t="n">
        <f aca="false">('Info Lega'!$B$5-COUNTIFS($D$2:$D$492,'Info Lega'!$B$28,$B$2:$B$492,"P"))+('Info Lega'!$B$6-COUNTIFS($D$2:$D$492,'Info Lega'!$B$28,$B$2:$B$492,"D"))+('Info Lega'!$B$7-COUNTIFS($D$2:$D$492,'Info Lega'!$B$28,$B$2:$B$492,"C"))+('Info Lega'!$B$8-COUNTIFS($D$2:$D$492,'Info Lega'!$B$28,$B$2:$B$492,"A"))</f>
        <v>25</v>
      </c>
      <c r="Y423" s="21" t="n">
        <f aca="false">X423*'Parametri Modello'!$B$30</f>
        <v>25</v>
      </c>
      <c r="Z423" s="21" t="n">
        <f aca="false">MAX(0,W423-Y423)</f>
        <v>975</v>
      </c>
      <c r="AA423" s="21" t="n">
        <f aca="false">MIN(F423,Z423)</f>
        <v>2</v>
      </c>
      <c r="AB423" s="21"/>
      <c r="AC423" s="21" t="str">
        <f aca="false">IF(AB423="","",IF(AB423&gt;AA423,"PASS",IF(AB423&lt;=AA423*0.85,"BID","ATTENZIONE")))</f>
        <v/>
      </c>
      <c r="AD423" s="31" t="n">
        <f aca="false">IF(I423="","",ROUND(100*(1-EXP(-I423/30)),0))</f>
        <v>6</v>
      </c>
      <c r="AE423" s="7" t="str">
        <f aca="false">IFERROR(INDEX('Stato Asta'!$G$9:$G$12,MATCH($B423,'Stato Asta'!$A$9:$A$12,0)),"")</f>
        <v>🟡 Attesa rischiosa</v>
      </c>
    </row>
    <row r="424" customFormat="false" ht="14.25" hidden="false" customHeight="true" outlineLevel="0" collapsed="false">
      <c r="A424" s="21" t="n">
        <v>7356</v>
      </c>
      <c r="B424" s="21" t="s">
        <v>44</v>
      </c>
      <c r="C424" s="21" t="s">
        <v>363</v>
      </c>
      <c r="E424" s="26" t="str">
        <f aca="false">IF(COUNTIF('Info Strategia'!$D$2:$D$51,$C424)&gt;0,"SI","NO")</f>
        <v>NO</v>
      </c>
      <c r="F424" s="27" t="n">
        <f aca="false">IFERROR(ROUND(($G424+($H424-$G424)*'Info Strategia'!$B$6)*(1+IF($E424="SI",'Parametri Modello'!$B$7*'Info Strategia'!$B$6,0)),0),"")</f>
        <v>2</v>
      </c>
      <c r="G424" s="27" t="n">
        <f aca="false">IFERROR(ROUND((IF(OR(INDEX('Parametri Modello'!$C$39:$C$42,MATCH($B424,'Parametri Modello'!$A$39:$A$42,0))="",INDEX('Parametri Modello'!$C$39:$C$42,MATCH($B424,'Parametri Modello'!$A$39:$A$42,0))=0),0,($O424/INDEX('Parametri Modello'!$C$39:$C$42,MATCH($B424,'Parametri Modello'!$A$39:$A$42,0)))*(INDEX('Parametri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1</v>
      </c>
      <c r="H424" s="27" t="n">
        <f aca="false">IFERROR(ROUND((IF(OR(INDEX('Parametri Modello'!$C$39:$C$42,MATCH($B424,'Parametri Modello'!$A$39:$A$42,0))="",INDEX('Parametri Modello'!$C$39:$C$42,MATCH($B424,'Parametri Modello'!$A$39:$A$42,0))=0),0,($O424/INDEX('Parametri Modello'!$C$39:$C$42,MATCH($B424,'Parametri Modello'!$A$39:$A$42,0)))*(INDEX('Parametri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2</v>
      </c>
      <c r="I424" s="26" t="n">
        <f aca="false">IFERROR(INDEX('Input Statistiche 2025_26'!$F$3:$F$665,MATCH($A424,'Input Statistiche 2025_26'!$A$3:$A$665,0)),"")</f>
        <v>3</v>
      </c>
      <c r="J424" s="26" t="n">
        <f aca="false">IFERROR(IF($I424="","",MAX(0,38-$I424)),"")</f>
        <v>35</v>
      </c>
      <c r="K424" s="26" t="n">
        <f aca="false">IFERROR(INDEX('Input Statistiche 2025_26'!$I$3:$I$665,MATCH($A424,'Input Statistiche 2025_26'!$A$3:$A$665,0)),"")</f>
        <v>0</v>
      </c>
      <c r="L424" s="26" t="n">
        <f aca="false">IFERROR(INDEX('Input Statistiche 2025_26'!$O$3:$O$665,MATCH($A424,'Input Statistiche 2025_26'!$A$3:$A$665,0)),"")</f>
        <v>0</v>
      </c>
      <c r="M424" s="28"/>
      <c r="N424" s="27" t="n">
        <f aca="false">IFERROR(INDEX('Input Giocatori 2026_27'!$E$3:$E$493,MATCH($A424,'Input Giocatori 2026_27'!$A$3:$A$493,0)),"")</f>
        <v>1</v>
      </c>
      <c r="O424" s="27" t="n">
        <f aca="false">IFERROR(INDEX('Input Giocatori 2026_27'!$G$3:$G$493,MATCH($A424,'Input Giocatori 2026_27'!$A$3:$A$493,0)),"")</f>
        <v>3</v>
      </c>
      <c r="P424" s="26" t="str">
        <f aca="false">IFERROR(IF($O424="","",IF((1-(COUNTIFS($B$2:$B$492,$B424,$O$2:$O$492,"&gt;"&amp;$O424)+1-1)/COUNTIF($B$2:$B$492,$B424))&gt;=0.85,"Top",IF((1-(COUNTIFS($B$2:$B$492,$B424,$O$2:$O$492,"&gt;"&amp;$O424)+1-1)/COUNTIF($B$2:$B$492,$B424))&gt;=0.6,"Buono",IF((1-(COUNTIFS($B$2:$B$492,$B424,$O$2:$O$492,"&gt;"&amp;$O424)+1-1)/COUNTIF($B$2:$B$492,$B424))&gt;=0.3,"Nella Media","Scommessa/Riserva")))),"")</f>
        <v>Scommessa/Riserva</v>
      </c>
      <c r="Q424" s="29" t="n">
        <f aca="false">IF($D424="",COUNTIF($D$2:$D424,""),"")</f>
        <v>423</v>
      </c>
      <c r="R424" s="29" t="str">
        <f aca="false">IF($D424='Info Lega'!$B$28,COUNTIFS($D$2:$D424,'Info Lega'!$B$28),"")</f>
        <v/>
      </c>
      <c r="S424" s="30" t="n">
        <f aca="false">IFERROR(INDEX('Input Statistiche 2025_26'!$G$3:$G$665,MATCH($A424,'Input Statistiche 2025_26'!$A$3:$A$665,0)),"")</f>
        <v>5.83</v>
      </c>
      <c r="T424" s="30" t="n">
        <f aca="false">IFERROR(INDEX('Input Statistiche 2025_26'!$H$3:$H$665,MATCH($A424,'Input Statistiche 2025_26'!$A$3:$A$665,0)),"")</f>
        <v>5.67</v>
      </c>
      <c r="U424" s="26" t="str">
        <f aca="false">IF(OR('La Mia Rosa'!$O$12="",$D424&lt;&gt;""),"",IF($F424&lt;='La Mia Rosa'!$O$12*'Parametri Modello'!$B$24,"OK",IF($F424&lt;='La Mia Rosa'!$O$12*'Parametri Modello'!$B$25,"Attenzione","Rischio Alto")))</f>
        <v>OK</v>
      </c>
      <c r="V424" s="26" t="n">
        <f aca="false">IFERROR(COUNTIFS($B$2:$B$492,$B424,$O$2:$O$492,"&gt;"&amp;$O424)+1,"")</f>
        <v>156</v>
      </c>
      <c r="W424" s="21" t="n">
        <f aca="false">'Info Lega'!$B$4-SUMIFS($M$2:$M$492,$D$2:$D$492,'Info Lega'!$B$28)</f>
        <v>1000</v>
      </c>
      <c r="X424" s="21" t="n">
        <f aca="false">('Info Lega'!$B$5-COUNTIFS($D$2:$D$492,'Info Lega'!$B$28,$B$2:$B$492,"P"))+('Info Lega'!$B$6-COUNTIFS($D$2:$D$492,'Info Lega'!$B$28,$B$2:$B$492,"D"))+('Info Lega'!$B$7-COUNTIFS($D$2:$D$492,'Info Lega'!$B$28,$B$2:$B$492,"C"))+('Info Lega'!$B$8-COUNTIFS($D$2:$D$492,'Info Lega'!$B$28,$B$2:$B$492,"A"))</f>
        <v>25</v>
      </c>
      <c r="Y424" s="21" t="n">
        <f aca="false">X424*'Parametri Modello'!$B$30</f>
        <v>25</v>
      </c>
      <c r="Z424" s="21" t="n">
        <f aca="false">MAX(0,W424-Y424)</f>
        <v>975</v>
      </c>
      <c r="AA424" s="21" t="n">
        <f aca="false">MIN(F424,Z424)</f>
        <v>2</v>
      </c>
      <c r="AB424" s="21"/>
      <c r="AC424" s="21" t="str">
        <f aca="false">IF(AB424="","",IF(AB424&gt;AA424,"PASS",IF(AB424&lt;=AA424*0.85,"BID","ATTENZIONE")))</f>
        <v/>
      </c>
      <c r="AD424" s="31" t="n">
        <f aca="false">IF(I424="","",ROUND(100*(1-EXP(-I424/30)),0))</f>
        <v>10</v>
      </c>
      <c r="AE424" s="7" t="str">
        <f aca="false">IFERROR(INDEX('Stato Asta'!$G$9:$G$12,MATCH($B424,'Stato Asta'!$A$9:$A$12,0)),"")</f>
        <v>🟡 Attesa rischiosa</v>
      </c>
    </row>
    <row r="425" customFormat="false" ht="14.25" hidden="false" customHeight="true" outlineLevel="0" collapsed="false">
      <c r="A425" s="21" t="n">
        <v>6021</v>
      </c>
      <c r="B425" s="21" t="s">
        <v>44</v>
      </c>
      <c r="C425" s="21" t="s">
        <v>364</v>
      </c>
      <c r="E425" s="26" t="str">
        <f aca="false">IF(COUNTIF('Info Strategia'!$D$2:$D$51,$C425)&gt;0,"SI","NO")</f>
        <v>NO</v>
      </c>
      <c r="F425" s="27" t="n">
        <f aca="false">IFERROR(ROUND(($G425+($H425-$G425)*'Info Strategia'!$B$6)*(1+IF($E425="SI",'Parametri Modello'!$B$7*'Info Strategia'!$B$6,0)),0),"")</f>
        <v>2</v>
      </c>
      <c r="G425" s="27" t="n">
        <f aca="false">IFERROR(ROUND((IF(OR(INDEX('Parametri Modello'!$C$39:$C$42,MATCH($B425,'Parametri Modello'!$A$39:$A$42,0))="",INDEX('Parametri Modello'!$C$39:$C$42,MATCH($B425,'Parametri Modello'!$A$39:$A$42,0))=0),0,($O425/INDEX('Parametri Modello'!$C$39:$C$42,MATCH($B425,'Parametri Modello'!$A$39:$A$42,0)))*(INDEX('Parametri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1</v>
      </c>
      <c r="H425" s="27" t="n">
        <f aca="false">IFERROR(ROUND((IF(OR(INDEX('Parametri Modello'!$C$39:$C$42,MATCH($B425,'Parametri Modello'!$A$39:$A$42,0))="",INDEX('Parametri Modello'!$C$39:$C$42,MATCH($B425,'Parametri Modello'!$A$39:$A$42,0))=0),0,($O425/INDEX('Parametri Modello'!$C$39:$C$42,MATCH($B425,'Parametri Modello'!$A$39:$A$42,0)))*(INDEX('Parametri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2</v>
      </c>
      <c r="I425" s="26" t="str">
        <f aca="false">IFERROR(INDEX('Input Statistiche 2025_26'!$F$3:$F$665,MATCH($A425,'Input Statistiche 2025_26'!$A$3:$A$665,0)),"")</f>
        <v/>
      </c>
      <c r="J425" s="26" t="str">
        <f aca="false">IFERROR(IF($I425="","",MAX(0,38-$I425)),"")</f>
        <v/>
      </c>
      <c r="K425" s="26" t="str">
        <f aca="false">IFERROR(INDEX('Input Statistiche 2025_26'!$I$3:$I$665,MATCH($A425,'Input Statistiche 2025_26'!$A$3:$A$665,0)),"")</f>
        <v/>
      </c>
      <c r="L425" s="26" t="str">
        <f aca="false">IFERROR(INDEX('Input Statistiche 2025_26'!$O$3:$O$665,MATCH($A425,'Input Statistiche 2025_26'!$A$3:$A$665,0)),"")</f>
        <v/>
      </c>
      <c r="M425" s="28"/>
      <c r="N425" s="27" t="n">
        <f aca="false">IFERROR(INDEX('Input Giocatori 2026_27'!$E$3:$E$493,MATCH($A425,'Input Giocatori 2026_27'!$A$3:$A$493,0)),"")</f>
        <v>1</v>
      </c>
      <c r="O425" s="27" t="n">
        <f aca="false">IFERROR(INDEX('Input Giocatori 2026_27'!$G$3:$G$493,MATCH($A425,'Input Giocatori 2026_27'!$A$3:$A$493,0)),"")</f>
        <v>3</v>
      </c>
      <c r="P425" s="26" t="str">
        <f aca="false">IFERROR(IF($O425="","",IF((1-(COUNTIFS($B$2:$B$492,$B425,$O$2:$O$492,"&gt;"&amp;$O425)+1-1)/COUNTIF($B$2:$B$492,$B425))&gt;=0.85,"Top",IF((1-(COUNTIFS($B$2:$B$492,$B425,$O$2:$O$492,"&gt;"&amp;$O425)+1-1)/COUNTIF($B$2:$B$492,$B425))&gt;=0.6,"Buono",IF((1-(COUNTIFS($B$2:$B$492,$B425,$O$2:$O$492,"&gt;"&amp;$O425)+1-1)/COUNTIF($B$2:$B$492,$B425))&gt;=0.3,"Nella Media","Scommessa/Riserva")))),"")</f>
        <v>Scommessa/Riserva</v>
      </c>
      <c r="Q425" s="29" t="n">
        <f aca="false">IF($D425="",COUNTIF($D$2:$D425,""),"")</f>
        <v>424</v>
      </c>
      <c r="R425" s="29" t="str">
        <f aca="false">IF($D425='Info Lega'!$B$28,COUNTIFS($D$2:$D425,'Info Lega'!$B$28),"")</f>
        <v/>
      </c>
      <c r="S425" s="30" t="str">
        <f aca="false">IFERROR(INDEX('Input Statistiche 2025_26'!$G$3:$G$665,MATCH($A425,'Input Statistiche 2025_26'!$A$3:$A$665,0)),"")</f>
        <v/>
      </c>
      <c r="T425" s="30" t="str">
        <f aca="false">IFERROR(INDEX('Input Statistiche 2025_26'!$H$3:$H$665,MATCH($A425,'Input Statistiche 2025_26'!$A$3:$A$665,0)),"")</f>
        <v/>
      </c>
      <c r="U425" s="26" t="str">
        <f aca="false">IF(OR('La Mia Rosa'!$O$12="",$D425&lt;&gt;""),"",IF($F425&lt;='La Mia Rosa'!$O$12*'Parametri Modello'!$B$24,"OK",IF($F425&lt;='La Mia Rosa'!$O$12*'Parametri Modello'!$B$25,"Attenzione","Rischio Alto")))</f>
        <v>OK</v>
      </c>
      <c r="V425" s="26" t="n">
        <f aca="false">IFERROR(COUNTIFS($B$2:$B$492,$B425,$O$2:$O$492,"&gt;"&amp;$O425)+1,"")</f>
        <v>156</v>
      </c>
      <c r="W425" s="21" t="n">
        <f aca="false">'Info Lega'!$B$4-SUMIFS($M$2:$M$492,$D$2:$D$492,'Info Lega'!$B$28)</f>
        <v>1000</v>
      </c>
      <c r="X425" s="21" t="n">
        <f aca="false">('Info Lega'!$B$5-COUNTIFS($D$2:$D$492,'Info Lega'!$B$28,$B$2:$B$492,"P"))+('Info Lega'!$B$6-COUNTIFS($D$2:$D$492,'Info Lega'!$B$28,$B$2:$B$492,"D"))+('Info Lega'!$B$7-COUNTIFS($D$2:$D$492,'Info Lega'!$B$28,$B$2:$B$492,"C"))+('Info Lega'!$B$8-COUNTIFS($D$2:$D$492,'Info Lega'!$B$28,$B$2:$B$492,"A"))</f>
        <v>25</v>
      </c>
      <c r="Y425" s="21" t="n">
        <f aca="false">X425*'Parametri Modello'!$B$30</f>
        <v>25</v>
      </c>
      <c r="Z425" s="21" t="n">
        <f aca="false">MAX(0,W425-Y425)</f>
        <v>975</v>
      </c>
      <c r="AA425" s="21" t="n">
        <f aca="false">MIN(F425,Z425)</f>
        <v>2</v>
      </c>
      <c r="AB425" s="21"/>
      <c r="AC425" s="21" t="str">
        <f aca="false">IF(AB425="","",IF(AB425&gt;AA425,"PASS",IF(AB425&lt;=AA425*0.85,"BID","ATTENZIONE")))</f>
        <v/>
      </c>
      <c r="AD425" s="31" t="str">
        <f aca="false">IF(I425="","",ROUND(100*(1-EXP(-I425/30)),0))</f>
        <v/>
      </c>
      <c r="AE425" s="7" t="str">
        <f aca="false">IFERROR(INDEX('Stato Asta'!$G$9:$G$12,MATCH($B425,'Stato Asta'!$A$9:$A$12,0)),"")</f>
        <v>🟡 Attesa rischiosa</v>
      </c>
    </row>
    <row r="426" customFormat="false" ht="14.25" hidden="false" customHeight="true" outlineLevel="0" collapsed="false">
      <c r="A426" s="21" t="n">
        <v>6815</v>
      </c>
      <c r="B426" s="21" t="s">
        <v>45</v>
      </c>
      <c r="C426" s="21" t="s">
        <v>509</v>
      </c>
      <c r="E426" s="26" t="str">
        <f aca="false">IF(COUNTIF('Info Strategia'!$D$2:$D$51,$C426)&gt;0,"SI","NO")</f>
        <v>NO</v>
      </c>
      <c r="F426" s="27" t="n">
        <f aca="false">IFERROR(ROUND(($G426+($H426-$G426)*'Info Strategia'!$B$6)*(1+IF($E426="SI",'Parametri Modello'!$B$7*'Info Strategia'!$B$6,0)),0),"")</f>
        <v>2</v>
      </c>
      <c r="G426" s="27" t="n">
        <f aca="false">IFERROR(ROUND((IF(OR(INDEX('Parametri Modello'!$C$39:$C$42,MATCH($B426,'Parametri Modello'!$A$39:$A$42,0))="",INDEX('Parametri Modello'!$C$39:$C$42,MATCH($B426,'Parametri Modello'!$A$39:$A$42,0))=0),0,($O426/INDEX('Parametri Modello'!$C$39:$C$42,MATCH($B426,'Parametri Modello'!$A$39:$A$42,0)))*(INDEX('Parametri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1</v>
      </c>
      <c r="H426" s="27" t="n">
        <f aca="false">IFERROR(ROUND((IF(OR(INDEX('Parametri Modello'!$C$39:$C$42,MATCH($B426,'Parametri Modello'!$A$39:$A$42,0))="",INDEX('Parametri Modello'!$C$39:$C$42,MATCH($B426,'Parametri Modello'!$A$39:$A$42,0))=0),0,($O426/INDEX('Parametri Modello'!$C$39:$C$42,MATCH($B426,'Parametri Modello'!$A$39:$A$42,0)))*(INDEX('Parametri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2</v>
      </c>
      <c r="I426" s="26" t="n">
        <f aca="false">IFERROR(INDEX('Input Statistiche 2025_26'!$F$3:$F$665,MATCH($A426,'Input Statistiche 2025_26'!$A$3:$A$665,0)),"")</f>
        <v>24</v>
      </c>
      <c r="J426" s="26" t="n">
        <f aca="false">IFERROR(IF($I426="","",MAX(0,38-$I426)),"")</f>
        <v>14</v>
      </c>
      <c r="K426" s="26" t="n">
        <f aca="false">IFERROR(INDEX('Input Statistiche 2025_26'!$I$3:$I$665,MATCH($A426,'Input Statistiche 2025_26'!$A$3:$A$665,0)),"")</f>
        <v>2</v>
      </c>
      <c r="L426" s="26" t="n">
        <f aca="false">IFERROR(INDEX('Input Statistiche 2025_26'!$O$3:$O$665,MATCH($A426,'Input Statistiche 2025_26'!$A$3:$A$665,0)),"")</f>
        <v>1</v>
      </c>
      <c r="M426" s="28"/>
      <c r="N426" s="27" t="n">
        <f aca="false">IFERROR(INDEX('Input Giocatori 2026_27'!$E$3:$E$493,MATCH($A426,'Input Giocatori 2026_27'!$A$3:$A$493,0)),"")</f>
        <v>2</v>
      </c>
      <c r="O426" s="27" t="n">
        <f aca="false">IFERROR(INDEX('Input Giocatori 2026_27'!$G$3:$G$493,MATCH($A426,'Input Giocatori 2026_27'!$A$3:$A$493,0)),"")</f>
        <v>3</v>
      </c>
      <c r="P426" s="26" t="str">
        <f aca="false">IFERROR(IF($O426="","",IF((1-(COUNTIFS($B$2:$B$492,$B426,$O$2:$O$492,"&gt;"&amp;$O426)+1-1)/COUNTIF($B$2:$B$492,$B426))&gt;=0.85,"Top",IF((1-(COUNTIFS($B$2:$B$492,$B426,$O$2:$O$492,"&gt;"&amp;$O426)+1-1)/COUNTIF($B$2:$B$492,$B426))&gt;=0.6,"Buono",IF((1-(COUNTIFS($B$2:$B$492,$B426,$O$2:$O$492,"&gt;"&amp;$O426)+1-1)/COUNTIF($B$2:$B$492,$B426))&gt;=0.3,"Nella Media","Scommessa/Riserva")))),"")</f>
        <v>Scommessa/Riserva</v>
      </c>
      <c r="Q426" s="29" t="n">
        <f aca="false">IF($D426="",COUNTIF($D$2:$D426,""),"")</f>
        <v>425</v>
      </c>
      <c r="R426" s="29" t="str">
        <f aca="false">IF($D426='Info Lega'!$B$28,COUNTIFS($D$2:$D426,'Info Lega'!$B$28),"")</f>
        <v/>
      </c>
      <c r="S426" s="30" t="n">
        <f aca="false">IFERROR(INDEX('Input Statistiche 2025_26'!$G$3:$G$665,MATCH($A426,'Input Statistiche 2025_26'!$A$3:$A$665,0)),"")</f>
        <v>5.92</v>
      </c>
      <c r="T426" s="30" t="n">
        <f aca="false">IFERROR(INDEX('Input Statistiche 2025_26'!$H$3:$H$665,MATCH($A426,'Input Statistiche 2025_26'!$A$3:$A$665,0)),"")</f>
        <v>6.15</v>
      </c>
      <c r="U426" s="26" t="str">
        <f aca="false">IF(OR('La Mia Rosa'!$O$12="",$D426&lt;&gt;""),"",IF($F426&lt;='La Mia Rosa'!$O$12*'Parametri Modello'!$B$24,"OK",IF($F426&lt;='La Mia Rosa'!$O$12*'Parametri Modello'!$B$25,"Attenzione","Rischio Alto")))</f>
        <v>OK</v>
      </c>
      <c r="V426" s="26" t="n">
        <f aca="false">IFERROR(COUNTIFS($B$2:$B$492,$B426,$O$2:$O$492,"&gt;"&amp;$O426)+1,"")</f>
        <v>160</v>
      </c>
      <c r="W426" s="21" t="n">
        <f aca="false">'Info Lega'!$B$4-SUMIFS($M$2:$M$492,$D$2:$D$492,'Info Lega'!$B$28)</f>
        <v>1000</v>
      </c>
      <c r="X426" s="21" t="n">
        <f aca="false">('Info Lega'!$B$5-COUNTIFS($D$2:$D$492,'Info Lega'!$B$28,$B$2:$B$492,"P"))+('Info Lega'!$B$6-COUNTIFS($D$2:$D$492,'Info Lega'!$B$28,$B$2:$B$492,"D"))+('Info Lega'!$B$7-COUNTIFS($D$2:$D$492,'Info Lega'!$B$28,$B$2:$B$492,"C"))+('Info Lega'!$B$8-COUNTIFS($D$2:$D$492,'Info Lega'!$B$28,$B$2:$B$492,"A"))</f>
        <v>25</v>
      </c>
      <c r="Y426" s="21" t="n">
        <f aca="false">X426*'Parametri Modello'!$B$30</f>
        <v>25</v>
      </c>
      <c r="Z426" s="21" t="n">
        <f aca="false">MAX(0,W426-Y426)</f>
        <v>975</v>
      </c>
      <c r="AA426" s="21" t="n">
        <f aca="false">MIN(F426,Z426)</f>
        <v>2</v>
      </c>
      <c r="AB426" s="21"/>
      <c r="AC426" s="21" t="str">
        <f aca="false">IF(AB426="","",IF(AB426&gt;AA426,"PASS",IF(AB426&lt;=AA426*0.85,"BID","ATTENZIONE")))</f>
        <v/>
      </c>
      <c r="AD426" s="31" t="n">
        <f aca="false">IF(I426="","",ROUND(100*(1-EXP(-I426/30)),0))</f>
        <v>55</v>
      </c>
      <c r="AE426" s="7" t="str">
        <f aca="false">IFERROR(INDEX('Stato Asta'!$G$9:$G$12,MATCH($B426,'Stato Asta'!$A$9:$A$12,0)),"")</f>
        <v>🟡 Attesa rischiosa</v>
      </c>
    </row>
    <row r="427" customFormat="false" ht="14.25" hidden="false" customHeight="true" outlineLevel="0" collapsed="false">
      <c r="A427" s="21" t="n">
        <v>7456</v>
      </c>
      <c r="B427" s="21" t="s">
        <v>45</v>
      </c>
      <c r="C427" s="21" t="s">
        <v>523</v>
      </c>
      <c r="E427" s="26" t="str">
        <f aca="false">IF(COUNTIF('Info Strategia'!$D$2:$D$51,$C427)&gt;0,"SI","NO")</f>
        <v>NO</v>
      </c>
      <c r="F427" s="27" t="n">
        <f aca="false">IFERROR(ROUND(($G427+($H427-$G427)*'Info Strategia'!$B$6)*(1+IF($E427="SI",'Parametri Modello'!$B$7*'Info Strategia'!$B$6,0)),0),"")</f>
        <v>2</v>
      </c>
      <c r="G427" s="27" t="n">
        <f aca="false">IFERROR(ROUND((IF(OR(INDEX('Parametri Modello'!$C$39:$C$42,MATCH($B427,'Parametri Modello'!$A$39:$A$42,0))="",INDEX('Parametri Modello'!$C$39:$C$42,MATCH($B427,'Parametri Modello'!$A$39:$A$42,0))=0),0,($O427/INDEX('Parametri Modello'!$C$39:$C$42,MATCH($B427,'Parametri Modello'!$A$39:$A$42,0)))*(INDEX('Parametri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1</v>
      </c>
      <c r="H427" s="27" t="n">
        <f aca="false">IFERROR(ROUND((IF(OR(INDEX('Parametri Modello'!$C$39:$C$42,MATCH($B427,'Parametri Modello'!$A$39:$A$42,0))="",INDEX('Parametri Modello'!$C$39:$C$42,MATCH($B427,'Parametri Modello'!$A$39:$A$42,0))=0),0,($O427/INDEX('Parametri Modello'!$C$39:$C$42,MATCH($B427,'Parametri Modello'!$A$39:$A$42,0)))*(INDEX('Parametri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2</v>
      </c>
      <c r="I427" s="26" t="str">
        <f aca="false">IFERROR(INDEX('Input Statistiche 2025_26'!$F$3:$F$665,MATCH($A427,'Input Statistiche 2025_26'!$A$3:$A$665,0)),"")</f>
        <v/>
      </c>
      <c r="J427" s="26" t="str">
        <f aca="false">IFERROR(IF($I427="","",MAX(0,38-$I427)),"")</f>
        <v/>
      </c>
      <c r="K427" s="26" t="str">
        <f aca="false">IFERROR(INDEX('Input Statistiche 2025_26'!$I$3:$I$665,MATCH($A427,'Input Statistiche 2025_26'!$A$3:$A$665,0)),"")</f>
        <v/>
      </c>
      <c r="L427" s="26" t="str">
        <f aca="false">IFERROR(INDEX('Input Statistiche 2025_26'!$O$3:$O$665,MATCH($A427,'Input Statistiche 2025_26'!$A$3:$A$665,0)),"")</f>
        <v/>
      </c>
      <c r="M427" s="28"/>
      <c r="N427" s="27" t="n">
        <f aca="false">IFERROR(INDEX('Input Giocatori 2026_27'!$E$3:$E$493,MATCH($A427,'Input Giocatori 2026_27'!$A$3:$A$493,0)),"")</f>
        <v>1</v>
      </c>
      <c r="O427" s="27" t="n">
        <f aca="false">IFERROR(INDEX('Input Giocatori 2026_27'!$G$3:$G$493,MATCH($A427,'Input Giocatori 2026_27'!$A$3:$A$493,0)),"")</f>
        <v>3</v>
      </c>
      <c r="P427" s="26" t="str">
        <f aca="false">IFERROR(IF($O427="","",IF((1-(COUNTIFS($B$2:$B$492,$B427,$O$2:$O$492,"&gt;"&amp;$O427)+1-1)/COUNTIF($B$2:$B$492,$B427))&gt;=0.85,"Top",IF((1-(COUNTIFS($B$2:$B$492,$B427,$O$2:$O$492,"&gt;"&amp;$O427)+1-1)/COUNTIF($B$2:$B$492,$B427))&gt;=0.6,"Buono",IF((1-(COUNTIFS($B$2:$B$492,$B427,$O$2:$O$492,"&gt;"&amp;$O427)+1-1)/COUNTIF($B$2:$B$492,$B427))&gt;=0.3,"Nella Media","Scommessa/Riserva")))),"")</f>
        <v>Scommessa/Riserva</v>
      </c>
      <c r="Q427" s="29" t="n">
        <f aca="false">IF($D427="",COUNTIF($D$2:$D427,""),"")</f>
        <v>426</v>
      </c>
      <c r="R427" s="29" t="str">
        <f aca="false">IF($D427='Info Lega'!$B$28,COUNTIFS($D$2:$D427,'Info Lega'!$B$28),"")</f>
        <v/>
      </c>
      <c r="S427" s="30" t="str">
        <f aca="false">IFERROR(INDEX('Input Statistiche 2025_26'!$G$3:$G$665,MATCH($A427,'Input Statistiche 2025_26'!$A$3:$A$665,0)),"")</f>
        <v/>
      </c>
      <c r="T427" s="30" t="str">
        <f aca="false">IFERROR(INDEX('Input Statistiche 2025_26'!$H$3:$H$665,MATCH($A427,'Input Statistiche 2025_26'!$A$3:$A$665,0)),"")</f>
        <v/>
      </c>
      <c r="U427" s="26" t="str">
        <f aca="false">IF(OR('La Mia Rosa'!$O$12="",$D427&lt;&gt;""),"",IF($F427&lt;='La Mia Rosa'!$O$12*'Parametri Modello'!$B$24,"OK",IF($F427&lt;='La Mia Rosa'!$O$12*'Parametri Modello'!$B$25,"Attenzione","Rischio Alto")))</f>
        <v>OK</v>
      </c>
      <c r="V427" s="26" t="n">
        <f aca="false">IFERROR(COUNTIFS($B$2:$B$492,$B427,$O$2:$O$492,"&gt;"&amp;$O427)+1,"")</f>
        <v>160</v>
      </c>
      <c r="W427" s="21" t="n">
        <f aca="false">'Info Lega'!$B$4-SUMIFS($M$2:$M$492,$D$2:$D$492,'Info Lega'!$B$28)</f>
        <v>1000</v>
      </c>
      <c r="X427" s="21" t="n">
        <f aca="false">('Info Lega'!$B$5-COUNTIFS($D$2:$D$492,'Info Lega'!$B$28,$B$2:$B$492,"P"))+('Info Lega'!$B$6-COUNTIFS($D$2:$D$492,'Info Lega'!$B$28,$B$2:$B$492,"D"))+('Info Lega'!$B$7-COUNTIFS($D$2:$D$492,'Info Lega'!$B$28,$B$2:$B$492,"C"))+('Info Lega'!$B$8-COUNTIFS($D$2:$D$492,'Info Lega'!$B$28,$B$2:$B$492,"A"))</f>
        <v>25</v>
      </c>
      <c r="Y427" s="21" t="n">
        <f aca="false">X427*'Parametri Modello'!$B$30</f>
        <v>25</v>
      </c>
      <c r="Z427" s="21" t="n">
        <f aca="false">MAX(0,W427-Y427)</f>
        <v>975</v>
      </c>
      <c r="AA427" s="21" t="n">
        <f aca="false">MIN(F427,Z427)</f>
        <v>2</v>
      </c>
      <c r="AB427" s="21"/>
      <c r="AC427" s="21" t="str">
        <f aca="false">IF(AB427="","",IF(AB427&gt;AA427,"PASS",IF(AB427&lt;=AA427*0.85,"BID","ATTENZIONE")))</f>
        <v/>
      </c>
      <c r="AD427" s="31" t="str">
        <f aca="false">IF(I427="","",ROUND(100*(1-EXP(-I427/30)),0))</f>
        <v/>
      </c>
      <c r="AE427" s="7" t="str">
        <f aca="false">IFERROR(INDEX('Stato Asta'!$G$9:$G$12,MATCH($B427,'Stato Asta'!$A$9:$A$12,0)),"")</f>
        <v>🟡 Attesa rischiosa</v>
      </c>
    </row>
    <row r="428" customFormat="false" ht="14.25" hidden="false" customHeight="true" outlineLevel="0" collapsed="false">
      <c r="A428" s="21" t="n">
        <v>5725</v>
      </c>
      <c r="B428" s="21" t="s">
        <v>45</v>
      </c>
      <c r="C428" s="21" t="s">
        <v>524</v>
      </c>
      <c r="E428" s="26" t="str">
        <f aca="false">IF(COUNTIF('Info Strategia'!$D$2:$D$51,$C428)&gt;0,"SI","NO")</f>
        <v>NO</v>
      </c>
      <c r="F428" s="27" t="n">
        <f aca="false">IFERROR(ROUND(($G428+($H428-$G428)*'Info Strategia'!$B$6)*(1+IF($E428="SI",'Parametri Modello'!$B$7*'Info Strategia'!$B$6,0)),0),"")</f>
        <v>2</v>
      </c>
      <c r="G428" s="27" t="n">
        <f aca="false">IFERROR(ROUND((IF(OR(INDEX('Parametri Modello'!$C$39:$C$42,MATCH($B428,'Parametri Modello'!$A$39:$A$42,0))="",INDEX('Parametri Modello'!$C$39:$C$42,MATCH($B428,'Parametri Modello'!$A$39:$A$42,0))=0),0,($O428/INDEX('Parametri Modello'!$C$39:$C$42,MATCH($B428,'Parametri Modello'!$A$39:$A$42,0)))*(INDEX('Parametri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1</v>
      </c>
      <c r="H428" s="27" t="n">
        <f aca="false">IFERROR(ROUND((IF(OR(INDEX('Parametri Modello'!$C$39:$C$42,MATCH($B428,'Parametri Modello'!$A$39:$A$42,0))="",INDEX('Parametri Modello'!$C$39:$C$42,MATCH($B428,'Parametri Modello'!$A$39:$A$42,0))=0),0,($O428/INDEX('Parametri Modello'!$C$39:$C$42,MATCH($B428,'Parametri Modello'!$A$39:$A$42,0)))*(INDEX('Parametri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2</v>
      </c>
      <c r="I428" s="26" t="str">
        <f aca="false">IFERROR(INDEX('Input Statistiche 2025_26'!$F$3:$F$665,MATCH($A428,'Input Statistiche 2025_26'!$A$3:$A$665,0)),"")</f>
        <v/>
      </c>
      <c r="J428" s="26" t="str">
        <f aca="false">IFERROR(IF($I428="","",MAX(0,38-$I428)),"")</f>
        <v/>
      </c>
      <c r="K428" s="26" t="str">
        <f aca="false">IFERROR(INDEX('Input Statistiche 2025_26'!$I$3:$I$665,MATCH($A428,'Input Statistiche 2025_26'!$A$3:$A$665,0)),"")</f>
        <v/>
      </c>
      <c r="L428" s="26" t="str">
        <f aca="false">IFERROR(INDEX('Input Statistiche 2025_26'!$O$3:$O$665,MATCH($A428,'Input Statistiche 2025_26'!$A$3:$A$665,0)),"")</f>
        <v/>
      </c>
      <c r="M428" s="28"/>
      <c r="N428" s="27" t="n">
        <f aca="false">IFERROR(INDEX('Input Giocatori 2026_27'!$E$3:$E$493,MATCH($A428,'Input Giocatori 2026_27'!$A$3:$A$493,0)),"")</f>
        <v>1</v>
      </c>
      <c r="O428" s="27" t="n">
        <f aca="false">IFERROR(INDEX('Input Giocatori 2026_27'!$G$3:$G$493,MATCH($A428,'Input Giocatori 2026_27'!$A$3:$A$493,0)),"")</f>
        <v>3</v>
      </c>
      <c r="P428" s="26" t="str">
        <f aca="false">IFERROR(IF($O428="","",IF((1-(COUNTIFS($B$2:$B$492,$B428,$O$2:$O$492,"&gt;"&amp;$O428)+1-1)/COUNTIF($B$2:$B$492,$B428))&gt;=0.85,"Top",IF((1-(COUNTIFS($B$2:$B$492,$B428,$O$2:$O$492,"&gt;"&amp;$O428)+1-1)/COUNTIF($B$2:$B$492,$B428))&gt;=0.6,"Buono",IF((1-(COUNTIFS($B$2:$B$492,$B428,$O$2:$O$492,"&gt;"&amp;$O428)+1-1)/COUNTIF($B$2:$B$492,$B428))&gt;=0.3,"Nella Media","Scommessa/Riserva")))),"")</f>
        <v>Scommessa/Riserva</v>
      </c>
      <c r="Q428" s="29" t="n">
        <f aca="false">IF($D428="",COUNTIF($D$2:$D428,""),"")</f>
        <v>427</v>
      </c>
      <c r="R428" s="29" t="str">
        <f aca="false">IF($D428='Info Lega'!$B$28,COUNTIFS($D$2:$D428,'Info Lega'!$B$28),"")</f>
        <v/>
      </c>
      <c r="S428" s="30" t="str">
        <f aca="false">IFERROR(INDEX('Input Statistiche 2025_26'!$G$3:$G$665,MATCH($A428,'Input Statistiche 2025_26'!$A$3:$A$665,0)),"")</f>
        <v/>
      </c>
      <c r="T428" s="30" t="str">
        <f aca="false">IFERROR(INDEX('Input Statistiche 2025_26'!$H$3:$H$665,MATCH($A428,'Input Statistiche 2025_26'!$A$3:$A$665,0)),"")</f>
        <v/>
      </c>
      <c r="U428" s="26" t="str">
        <f aca="false">IF(OR('La Mia Rosa'!$O$12="",$D428&lt;&gt;""),"",IF($F428&lt;='La Mia Rosa'!$O$12*'Parametri Modello'!$B$24,"OK",IF($F428&lt;='La Mia Rosa'!$O$12*'Parametri Modello'!$B$25,"Attenzione","Rischio Alto")))</f>
        <v>OK</v>
      </c>
      <c r="V428" s="26" t="n">
        <f aca="false">IFERROR(COUNTIFS($B$2:$B$492,$B428,$O$2:$O$492,"&gt;"&amp;$O428)+1,"")</f>
        <v>160</v>
      </c>
      <c r="W428" s="21" t="n">
        <f aca="false">'Info Lega'!$B$4-SUMIFS($M$2:$M$492,$D$2:$D$492,'Info Lega'!$B$28)</f>
        <v>1000</v>
      </c>
      <c r="X428" s="21" t="n">
        <f aca="false">('Info Lega'!$B$5-COUNTIFS($D$2:$D$492,'Info Lega'!$B$28,$B$2:$B$492,"P"))+('Info Lega'!$B$6-COUNTIFS($D$2:$D$492,'Info Lega'!$B$28,$B$2:$B$492,"D"))+('Info Lega'!$B$7-COUNTIFS($D$2:$D$492,'Info Lega'!$B$28,$B$2:$B$492,"C"))+('Info Lega'!$B$8-COUNTIFS($D$2:$D$492,'Info Lega'!$B$28,$B$2:$B$492,"A"))</f>
        <v>25</v>
      </c>
      <c r="Y428" s="21" t="n">
        <f aca="false">X428*'Parametri Modello'!$B$30</f>
        <v>25</v>
      </c>
      <c r="Z428" s="21" t="n">
        <f aca="false">MAX(0,W428-Y428)</f>
        <v>975</v>
      </c>
      <c r="AA428" s="21" t="n">
        <f aca="false">MIN(F428,Z428)</f>
        <v>2</v>
      </c>
      <c r="AB428" s="21"/>
      <c r="AC428" s="21" t="str">
        <f aca="false">IF(AB428="","",IF(AB428&gt;AA428,"PASS",IF(AB428&lt;=AA428*0.85,"BID","ATTENZIONE")))</f>
        <v/>
      </c>
      <c r="AD428" s="31" t="str">
        <f aca="false">IF(I428="","",ROUND(100*(1-EXP(-I428/30)),0))</f>
        <v/>
      </c>
      <c r="AE428" s="7" t="str">
        <f aca="false">IFERROR(INDEX('Stato Asta'!$G$9:$G$12,MATCH($B428,'Stato Asta'!$A$9:$A$12,0)),"")</f>
        <v>🟡 Attesa rischiosa</v>
      </c>
    </row>
    <row r="429" customFormat="false" ht="14.25" hidden="false" customHeight="true" outlineLevel="0" collapsed="false">
      <c r="A429" s="21" t="n">
        <v>7248</v>
      </c>
      <c r="B429" s="21" t="s">
        <v>45</v>
      </c>
      <c r="C429" s="21" t="s">
        <v>527</v>
      </c>
      <c r="E429" s="26" t="str">
        <f aca="false">IF(COUNTIF('Info Strategia'!$D$2:$D$51,$C429)&gt;0,"SI","NO")</f>
        <v>NO</v>
      </c>
      <c r="F429" s="27" t="n">
        <f aca="false">IFERROR(ROUND(($G429+($H429-$G429)*'Info Strategia'!$B$6)*(1+IF($E429="SI",'Parametri Modello'!$B$7*'Info Strategia'!$B$6,0)),0),"")</f>
        <v>2</v>
      </c>
      <c r="G429" s="27" t="n">
        <f aca="false">IFERROR(ROUND((IF(OR(INDEX('Parametri Modello'!$C$39:$C$42,MATCH($B429,'Parametri Modello'!$A$39:$A$42,0))="",INDEX('Parametri Modello'!$C$39:$C$42,MATCH($B429,'Parametri Modello'!$A$39:$A$42,0))=0),0,($O429/INDEX('Parametri Modello'!$C$39:$C$42,MATCH($B429,'Parametri Modello'!$A$39:$A$42,0)))*(INDEX('Parametri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1</v>
      </c>
      <c r="H429" s="27" t="n">
        <f aca="false">IFERROR(ROUND((IF(OR(INDEX('Parametri Modello'!$C$39:$C$42,MATCH($B429,'Parametri Modello'!$A$39:$A$42,0))="",INDEX('Parametri Modello'!$C$39:$C$42,MATCH($B429,'Parametri Modello'!$A$39:$A$42,0))=0),0,($O429/INDEX('Parametri Modello'!$C$39:$C$42,MATCH($B429,'Parametri Modello'!$A$39:$A$42,0)))*(INDEX('Parametri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2</v>
      </c>
      <c r="I429" s="26" t="n">
        <f aca="false">IFERROR(INDEX('Input Statistiche 2025_26'!$F$3:$F$665,MATCH($A429,'Input Statistiche 2025_26'!$A$3:$A$665,0)),"")</f>
        <v>1</v>
      </c>
      <c r="J429" s="26" t="n">
        <f aca="false">IFERROR(IF($I429="","",MAX(0,38-$I429)),"")</f>
        <v>37</v>
      </c>
      <c r="K429" s="26" t="n">
        <f aca="false">IFERROR(INDEX('Input Statistiche 2025_26'!$I$3:$I$665,MATCH($A429,'Input Statistiche 2025_26'!$A$3:$A$665,0)),"")</f>
        <v>0</v>
      </c>
      <c r="L429" s="26" t="n">
        <f aca="false">IFERROR(INDEX('Input Statistiche 2025_26'!$O$3:$O$665,MATCH($A429,'Input Statistiche 2025_26'!$A$3:$A$665,0)),"")</f>
        <v>0</v>
      </c>
      <c r="M429" s="28"/>
      <c r="N429" s="27" t="n">
        <f aca="false">IFERROR(INDEX('Input Giocatori 2026_27'!$E$3:$E$493,MATCH($A429,'Input Giocatori 2026_27'!$A$3:$A$493,0)),"")</f>
        <v>1</v>
      </c>
      <c r="O429" s="27" t="n">
        <f aca="false">IFERROR(INDEX('Input Giocatori 2026_27'!$G$3:$G$493,MATCH($A429,'Input Giocatori 2026_27'!$A$3:$A$493,0)),"")</f>
        <v>3</v>
      </c>
      <c r="P429" s="26" t="str">
        <f aca="false">IFERROR(IF($O429="","",IF((1-(COUNTIFS($B$2:$B$492,$B429,$O$2:$O$492,"&gt;"&amp;$O429)+1-1)/COUNTIF($B$2:$B$492,$B429))&gt;=0.85,"Top",IF((1-(COUNTIFS($B$2:$B$492,$B429,$O$2:$O$492,"&gt;"&amp;$O429)+1-1)/COUNTIF($B$2:$B$492,$B429))&gt;=0.6,"Buono",IF((1-(COUNTIFS($B$2:$B$492,$B429,$O$2:$O$492,"&gt;"&amp;$O429)+1-1)/COUNTIF($B$2:$B$492,$B429))&gt;=0.3,"Nella Media","Scommessa/Riserva")))),"")</f>
        <v>Scommessa/Riserva</v>
      </c>
      <c r="Q429" s="29" t="n">
        <f aca="false">IF($D429="",COUNTIF($D$2:$D429,""),"")</f>
        <v>428</v>
      </c>
      <c r="R429" s="29" t="str">
        <f aca="false">IF($D429='Info Lega'!$B$28,COUNTIFS($D$2:$D429,'Info Lega'!$B$28),"")</f>
        <v/>
      </c>
      <c r="S429" s="30" t="n">
        <f aca="false">IFERROR(INDEX('Input Statistiche 2025_26'!$G$3:$G$665,MATCH($A429,'Input Statistiche 2025_26'!$A$3:$A$665,0)),"")</f>
        <v>5.5</v>
      </c>
      <c r="T429" s="30" t="n">
        <f aca="false">IFERROR(INDEX('Input Statistiche 2025_26'!$H$3:$H$665,MATCH($A429,'Input Statistiche 2025_26'!$A$3:$A$665,0)),"")</f>
        <v>5.5</v>
      </c>
      <c r="U429" s="26" t="str">
        <f aca="false">IF(OR('La Mia Rosa'!$O$12="",$D429&lt;&gt;""),"",IF($F429&lt;='La Mia Rosa'!$O$12*'Parametri Modello'!$B$24,"OK",IF($F429&lt;='La Mia Rosa'!$O$12*'Parametri Modello'!$B$25,"Attenzione","Rischio Alto")))</f>
        <v>OK</v>
      </c>
      <c r="V429" s="26" t="n">
        <f aca="false">IFERROR(COUNTIFS($B$2:$B$492,$B429,$O$2:$O$492,"&gt;"&amp;$O429)+1,"")</f>
        <v>160</v>
      </c>
      <c r="W429" s="21" t="n">
        <f aca="false">'Info Lega'!$B$4-SUMIFS($M$2:$M$492,$D$2:$D$492,'Info Lega'!$B$28)</f>
        <v>1000</v>
      </c>
      <c r="X429" s="21" t="n">
        <f aca="false">('Info Lega'!$B$5-COUNTIFS($D$2:$D$492,'Info Lega'!$B$28,$B$2:$B$492,"P"))+('Info Lega'!$B$6-COUNTIFS($D$2:$D$492,'Info Lega'!$B$28,$B$2:$B$492,"D"))+('Info Lega'!$B$7-COUNTIFS($D$2:$D$492,'Info Lega'!$B$28,$B$2:$B$492,"C"))+('Info Lega'!$B$8-COUNTIFS($D$2:$D$492,'Info Lega'!$B$28,$B$2:$B$492,"A"))</f>
        <v>25</v>
      </c>
      <c r="Y429" s="21" t="n">
        <f aca="false">X429*'Parametri Modello'!$B$30</f>
        <v>25</v>
      </c>
      <c r="Z429" s="21" t="n">
        <f aca="false">MAX(0,W429-Y429)</f>
        <v>975</v>
      </c>
      <c r="AA429" s="21" t="n">
        <f aca="false">MIN(F429,Z429)</f>
        <v>2</v>
      </c>
      <c r="AB429" s="21"/>
      <c r="AC429" s="21" t="str">
        <f aca="false">IF(AB429="","",IF(AB429&gt;AA429,"PASS",IF(AB429&lt;=AA429*0.85,"BID","ATTENZIONE")))</f>
        <v/>
      </c>
      <c r="AD429" s="31" t="n">
        <f aca="false">IF(I429="","",ROUND(100*(1-EXP(-I429/30)),0))</f>
        <v>3</v>
      </c>
      <c r="AE429" s="7" t="str">
        <f aca="false">IFERROR(INDEX('Stato Asta'!$G$9:$G$12,MATCH($B429,'Stato Asta'!$A$9:$A$12,0)),"")</f>
        <v>🟡 Attesa rischiosa</v>
      </c>
    </row>
    <row r="430" customFormat="false" ht="14.25" hidden="false" customHeight="true" outlineLevel="0" collapsed="false">
      <c r="A430" s="21" t="n">
        <v>7276</v>
      </c>
      <c r="B430" s="21" t="s">
        <v>45</v>
      </c>
      <c r="C430" s="21" t="s">
        <v>530</v>
      </c>
      <c r="E430" s="26" t="str">
        <f aca="false">IF(COUNTIF('Info Strategia'!$D$2:$D$51,$C430)&gt;0,"SI","NO")</f>
        <v>NO</v>
      </c>
      <c r="F430" s="27" t="n">
        <f aca="false">IFERROR(ROUND(($G430+($H430-$G430)*'Info Strategia'!$B$6)*(1+IF($E430="SI",'Parametri Modello'!$B$7*'Info Strategia'!$B$6,0)),0),"")</f>
        <v>2</v>
      </c>
      <c r="G430" s="27" t="n">
        <f aca="false">IFERROR(ROUND((IF(OR(INDEX('Parametri Modello'!$C$39:$C$42,MATCH($B430,'Parametri Modello'!$A$39:$A$42,0))="",INDEX('Parametri Modello'!$C$39:$C$42,MATCH($B430,'Parametri Modello'!$A$39:$A$42,0))=0),0,($O430/INDEX('Parametri Modello'!$C$39:$C$42,MATCH($B430,'Parametri Modello'!$A$39:$A$42,0)))*(INDEX('Parametri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1</v>
      </c>
      <c r="H430" s="27" t="n">
        <f aca="false">IFERROR(ROUND((IF(OR(INDEX('Parametri Modello'!$C$39:$C$42,MATCH($B430,'Parametri Modello'!$A$39:$A$42,0))="",INDEX('Parametri Modello'!$C$39:$C$42,MATCH($B430,'Parametri Modello'!$A$39:$A$42,0))=0),0,($O430/INDEX('Parametri Modello'!$C$39:$C$42,MATCH($B430,'Parametri Modello'!$A$39:$A$42,0)))*(INDEX('Parametri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2</v>
      </c>
      <c r="I430" s="26" t="n">
        <f aca="false">IFERROR(INDEX('Input Statistiche 2025_26'!$F$3:$F$665,MATCH($A430,'Input Statistiche 2025_26'!$A$3:$A$665,0)),"")</f>
        <v>1</v>
      </c>
      <c r="J430" s="26" t="n">
        <f aca="false">IFERROR(IF($I430="","",MAX(0,38-$I430)),"")</f>
        <v>37</v>
      </c>
      <c r="K430" s="26" t="n">
        <f aca="false">IFERROR(INDEX('Input Statistiche 2025_26'!$I$3:$I$665,MATCH($A430,'Input Statistiche 2025_26'!$A$3:$A$665,0)),"")</f>
        <v>0</v>
      </c>
      <c r="L430" s="26" t="n">
        <f aca="false">IFERROR(INDEX('Input Statistiche 2025_26'!$O$3:$O$665,MATCH($A430,'Input Statistiche 2025_26'!$A$3:$A$665,0)),"")</f>
        <v>0</v>
      </c>
      <c r="M430" s="28"/>
      <c r="N430" s="27" t="n">
        <f aca="false">IFERROR(INDEX('Input Giocatori 2026_27'!$E$3:$E$493,MATCH($A430,'Input Giocatori 2026_27'!$A$3:$A$493,0)),"")</f>
        <v>1</v>
      </c>
      <c r="O430" s="27" t="n">
        <f aca="false">IFERROR(INDEX('Input Giocatori 2026_27'!$G$3:$G$493,MATCH($A430,'Input Giocatori 2026_27'!$A$3:$A$493,0)),"")</f>
        <v>3</v>
      </c>
      <c r="P430" s="26" t="str">
        <f aca="false">IFERROR(IF($O430="","",IF((1-(COUNTIFS($B$2:$B$492,$B430,$O$2:$O$492,"&gt;"&amp;$O430)+1-1)/COUNTIF($B$2:$B$492,$B430))&gt;=0.85,"Top",IF((1-(COUNTIFS($B$2:$B$492,$B430,$O$2:$O$492,"&gt;"&amp;$O430)+1-1)/COUNTIF($B$2:$B$492,$B430))&gt;=0.6,"Buono",IF((1-(COUNTIFS($B$2:$B$492,$B430,$O$2:$O$492,"&gt;"&amp;$O430)+1-1)/COUNTIF($B$2:$B$492,$B430))&gt;=0.3,"Nella Media","Scommessa/Riserva")))),"")</f>
        <v>Scommessa/Riserva</v>
      </c>
      <c r="Q430" s="29" t="n">
        <f aca="false">IF($D430="",COUNTIF($D$2:$D430,""),"")</f>
        <v>429</v>
      </c>
      <c r="R430" s="29" t="str">
        <f aca="false">IF($D430='Info Lega'!$B$28,COUNTIFS($D$2:$D430,'Info Lega'!$B$28),"")</f>
        <v/>
      </c>
      <c r="S430" s="30" t="n">
        <f aca="false">IFERROR(INDEX('Input Statistiche 2025_26'!$G$3:$G$665,MATCH($A430,'Input Statistiche 2025_26'!$A$3:$A$665,0)),"")</f>
        <v>6</v>
      </c>
      <c r="T430" s="30" t="n">
        <f aca="false">IFERROR(INDEX('Input Statistiche 2025_26'!$H$3:$H$665,MATCH($A430,'Input Statistiche 2025_26'!$A$3:$A$665,0)),"")</f>
        <v>6</v>
      </c>
      <c r="U430" s="26" t="str">
        <f aca="false">IF(OR('La Mia Rosa'!$O$12="",$D430&lt;&gt;""),"",IF($F430&lt;='La Mia Rosa'!$O$12*'Parametri Modello'!$B$24,"OK",IF($F430&lt;='La Mia Rosa'!$O$12*'Parametri Modello'!$B$25,"Attenzione","Rischio Alto")))</f>
        <v>OK</v>
      </c>
      <c r="V430" s="26" t="n">
        <f aca="false">IFERROR(COUNTIFS($B$2:$B$492,$B430,$O$2:$O$492,"&gt;"&amp;$O430)+1,"")</f>
        <v>160</v>
      </c>
      <c r="W430" s="21" t="n">
        <f aca="false">'Info Lega'!$B$4-SUMIFS($M$2:$M$492,$D$2:$D$492,'Info Lega'!$B$28)</f>
        <v>1000</v>
      </c>
      <c r="X430" s="21" t="n">
        <f aca="false">('Info Lega'!$B$5-COUNTIFS($D$2:$D$492,'Info Lega'!$B$28,$B$2:$B$492,"P"))+('Info Lega'!$B$6-COUNTIFS($D$2:$D$492,'Info Lega'!$B$28,$B$2:$B$492,"D"))+('Info Lega'!$B$7-COUNTIFS($D$2:$D$492,'Info Lega'!$B$28,$B$2:$B$492,"C"))+('Info Lega'!$B$8-COUNTIFS($D$2:$D$492,'Info Lega'!$B$28,$B$2:$B$492,"A"))</f>
        <v>25</v>
      </c>
      <c r="Y430" s="21" t="n">
        <f aca="false">X430*'Parametri Modello'!$B$30</f>
        <v>25</v>
      </c>
      <c r="Z430" s="21" t="n">
        <f aca="false">MAX(0,W430-Y430)</f>
        <v>975</v>
      </c>
      <c r="AA430" s="21" t="n">
        <f aca="false">MIN(F430,Z430)</f>
        <v>2</v>
      </c>
      <c r="AB430" s="21"/>
      <c r="AC430" s="21" t="str">
        <f aca="false">IF(AB430="","",IF(AB430&gt;AA430,"PASS",IF(AB430&lt;=AA430*0.85,"BID","ATTENZIONE")))</f>
        <v/>
      </c>
      <c r="AD430" s="31" t="n">
        <f aca="false">IF(I430="","",ROUND(100*(1-EXP(-I430/30)),0))</f>
        <v>3</v>
      </c>
      <c r="AE430" s="7" t="str">
        <f aca="false">IFERROR(INDEX('Stato Asta'!$G$9:$G$12,MATCH($B430,'Stato Asta'!$A$9:$A$12,0)),"")</f>
        <v>🟡 Attesa rischiosa</v>
      </c>
    </row>
    <row r="431" customFormat="false" ht="14.25" hidden="false" customHeight="true" outlineLevel="0" collapsed="false">
      <c r="A431" s="21" t="n">
        <v>7392</v>
      </c>
      <c r="B431" s="21" t="s">
        <v>45</v>
      </c>
      <c r="C431" s="21" t="s">
        <v>534</v>
      </c>
      <c r="E431" s="26" t="str">
        <f aca="false">IF(COUNTIF('Info Strategia'!$D$2:$D$51,$C431)&gt;0,"SI","NO")</f>
        <v>NO</v>
      </c>
      <c r="F431" s="27" t="n">
        <f aca="false">IFERROR(ROUND(($G431+($H431-$G431)*'Info Strategia'!$B$6)*(1+IF($E431="SI",'Parametri Modello'!$B$7*'Info Strategia'!$B$6,0)),0),"")</f>
        <v>2</v>
      </c>
      <c r="G431" s="27" t="n">
        <f aca="false">IFERROR(ROUND((IF(OR(INDEX('Parametri Modello'!$C$39:$C$42,MATCH($B431,'Parametri Modello'!$A$39:$A$42,0))="",INDEX('Parametri Modello'!$C$39:$C$42,MATCH($B431,'Parametri Modello'!$A$39:$A$42,0))=0),0,($O431/INDEX('Parametri Modello'!$C$39:$C$42,MATCH($B431,'Parametri Modello'!$A$39:$A$42,0)))*(INDEX('Parametri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1</v>
      </c>
      <c r="H431" s="27" t="n">
        <f aca="false">IFERROR(ROUND((IF(OR(INDEX('Parametri Modello'!$C$39:$C$42,MATCH($B431,'Parametri Modello'!$A$39:$A$42,0))="",INDEX('Parametri Modello'!$C$39:$C$42,MATCH($B431,'Parametri Modello'!$A$39:$A$42,0))=0),0,($O431/INDEX('Parametri Modello'!$C$39:$C$42,MATCH($B431,'Parametri Modello'!$A$39:$A$42,0)))*(INDEX('Parametri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2</v>
      </c>
      <c r="I431" s="26" t="str">
        <f aca="false">IFERROR(INDEX('Input Statistiche 2025_26'!$F$3:$F$665,MATCH($A431,'Input Statistiche 2025_26'!$A$3:$A$665,0)),"")</f>
        <v/>
      </c>
      <c r="J431" s="26" t="str">
        <f aca="false">IFERROR(IF($I431="","",MAX(0,38-$I431)),"")</f>
        <v/>
      </c>
      <c r="K431" s="26" t="str">
        <f aca="false">IFERROR(INDEX('Input Statistiche 2025_26'!$I$3:$I$665,MATCH($A431,'Input Statistiche 2025_26'!$A$3:$A$665,0)),"")</f>
        <v/>
      </c>
      <c r="L431" s="26" t="str">
        <f aca="false">IFERROR(INDEX('Input Statistiche 2025_26'!$O$3:$O$665,MATCH($A431,'Input Statistiche 2025_26'!$A$3:$A$665,0)),"")</f>
        <v/>
      </c>
      <c r="M431" s="28"/>
      <c r="N431" s="27" t="n">
        <f aca="false">IFERROR(INDEX('Input Giocatori 2026_27'!$E$3:$E$493,MATCH($A431,'Input Giocatori 2026_27'!$A$3:$A$493,0)),"")</f>
        <v>1</v>
      </c>
      <c r="O431" s="27" t="n">
        <f aca="false">IFERROR(INDEX('Input Giocatori 2026_27'!$G$3:$G$493,MATCH($A431,'Input Giocatori 2026_27'!$A$3:$A$493,0)),"")</f>
        <v>3</v>
      </c>
      <c r="P431" s="26" t="str">
        <f aca="false">IFERROR(IF($O431="","",IF((1-(COUNTIFS($B$2:$B$492,$B431,$O$2:$O$492,"&gt;"&amp;$O431)+1-1)/COUNTIF($B$2:$B$492,$B431))&gt;=0.85,"Top",IF((1-(COUNTIFS($B$2:$B$492,$B431,$O$2:$O$492,"&gt;"&amp;$O431)+1-1)/COUNTIF($B$2:$B$492,$B431))&gt;=0.6,"Buono",IF((1-(COUNTIFS($B$2:$B$492,$B431,$O$2:$O$492,"&gt;"&amp;$O431)+1-1)/COUNTIF($B$2:$B$492,$B431))&gt;=0.3,"Nella Media","Scommessa/Riserva")))),"")</f>
        <v>Scommessa/Riserva</v>
      </c>
      <c r="Q431" s="29" t="n">
        <f aca="false">IF($D431="",COUNTIF($D$2:$D431,""),"")</f>
        <v>430</v>
      </c>
      <c r="R431" s="29" t="str">
        <f aca="false">IF($D431='Info Lega'!$B$28,COUNTIFS($D$2:$D431,'Info Lega'!$B$28),"")</f>
        <v/>
      </c>
      <c r="S431" s="30" t="str">
        <f aca="false">IFERROR(INDEX('Input Statistiche 2025_26'!$G$3:$G$665,MATCH($A431,'Input Statistiche 2025_26'!$A$3:$A$665,0)),"")</f>
        <v/>
      </c>
      <c r="T431" s="30" t="str">
        <f aca="false">IFERROR(INDEX('Input Statistiche 2025_26'!$H$3:$H$665,MATCH($A431,'Input Statistiche 2025_26'!$A$3:$A$665,0)),"")</f>
        <v/>
      </c>
      <c r="U431" s="26" t="str">
        <f aca="false">IF(OR('La Mia Rosa'!$O$12="",$D431&lt;&gt;""),"",IF($F431&lt;='La Mia Rosa'!$O$12*'Parametri Modello'!$B$24,"OK",IF($F431&lt;='La Mia Rosa'!$O$12*'Parametri Modello'!$B$25,"Attenzione","Rischio Alto")))</f>
        <v>OK</v>
      </c>
      <c r="V431" s="26" t="n">
        <f aca="false">IFERROR(COUNTIFS($B$2:$B$492,$B431,$O$2:$O$492,"&gt;"&amp;$O431)+1,"")</f>
        <v>160</v>
      </c>
      <c r="W431" s="21" t="n">
        <f aca="false">'Info Lega'!$B$4-SUMIFS($M$2:$M$492,$D$2:$D$492,'Info Lega'!$B$28)</f>
        <v>1000</v>
      </c>
      <c r="X431" s="21" t="n">
        <f aca="false">('Info Lega'!$B$5-COUNTIFS($D$2:$D$492,'Info Lega'!$B$28,$B$2:$B$492,"P"))+('Info Lega'!$B$6-COUNTIFS($D$2:$D$492,'Info Lega'!$B$28,$B$2:$B$492,"D"))+('Info Lega'!$B$7-COUNTIFS($D$2:$D$492,'Info Lega'!$B$28,$B$2:$B$492,"C"))+('Info Lega'!$B$8-COUNTIFS($D$2:$D$492,'Info Lega'!$B$28,$B$2:$B$492,"A"))</f>
        <v>25</v>
      </c>
      <c r="Y431" s="21" t="n">
        <f aca="false">X431*'Parametri Modello'!$B$30</f>
        <v>25</v>
      </c>
      <c r="Z431" s="21" t="n">
        <f aca="false">MAX(0,W431-Y431)</f>
        <v>975</v>
      </c>
      <c r="AA431" s="21" t="n">
        <f aca="false">MIN(F431,Z431)</f>
        <v>2</v>
      </c>
      <c r="AB431" s="21"/>
      <c r="AC431" s="21" t="str">
        <f aca="false">IF(AB431="","",IF(AB431&gt;AA431,"PASS",IF(AB431&lt;=AA431*0.85,"BID","ATTENZIONE")))</f>
        <v/>
      </c>
      <c r="AD431" s="31" t="str">
        <f aca="false">IF(I431="","",ROUND(100*(1-EXP(-I431/30)),0))</f>
        <v/>
      </c>
      <c r="AE431" s="7" t="str">
        <f aca="false">IFERROR(INDEX('Stato Asta'!$G$9:$G$12,MATCH($B431,'Stato Asta'!$A$9:$A$12,0)),"")</f>
        <v>🟡 Attesa rischiosa</v>
      </c>
    </row>
    <row r="432" customFormat="false" ht="14.25" hidden="false" customHeight="true" outlineLevel="0" collapsed="false">
      <c r="A432" s="21" t="n">
        <v>5485</v>
      </c>
      <c r="B432" s="21" t="s">
        <v>45</v>
      </c>
      <c r="C432" s="21" t="s">
        <v>536</v>
      </c>
      <c r="E432" s="26" t="str">
        <f aca="false">IF(COUNTIF('Info Strategia'!$D$2:$D$51,$C432)&gt;0,"SI","NO")</f>
        <v>NO</v>
      </c>
      <c r="F432" s="27" t="n">
        <f aca="false">IFERROR(ROUND(($G432+($H432-$G432)*'Info Strategia'!$B$6)*(1+IF($E432="SI",'Parametri Modello'!$B$7*'Info Strategia'!$B$6,0)),0),"")</f>
        <v>2</v>
      </c>
      <c r="G432" s="27" t="n">
        <f aca="false">IFERROR(ROUND((IF(OR(INDEX('Parametri Modello'!$C$39:$C$42,MATCH($B432,'Parametri Modello'!$A$39:$A$42,0))="",INDEX('Parametri Modello'!$C$39:$C$42,MATCH($B432,'Parametri Modello'!$A$39:$A$42,0))=0),0,($O432/INDEX('Parametri Modello'!$C$39:$C$42,MATCH($B432,'Parametri Modello'!$A$39:$A$42,0)))*(INDEX('Parametri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1</v>
      </c>
      <c r="H432" s="27" t="n">
        <f aca="false">IFERROR(ROUND((IF(OR(INDEX('Parametri Modello'!$C$39:$C$42,MATCH($B432,'Parametri Modello'!$A$39:$A$42,0))="",INDEX('Parametri Modello'!$C$39:$C$42,MATCH($B432,'Parametri Modello'!$A$39:$A$42,0))=0),0,($O432/INDEX('Parametri Modello'!$C$39:$C$42,MATCH($B432,'Parametri Modello'!$A$39:$A$42,0)))*(INDEX('Parametri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2</v>
      </c>
      <c r="I432" s="26" t="str">
        <f aca="false">IFERROR(INDEX('Input Statistiche 2025_26'!$F$3:$F$665,MATCH($A432,'Input Statistiche 2025_26'!$A$3:$A$665,0)),"")</f>
        <v/>
      </c>
      <c r="J432" s="26" t="str">
        <f aca="false">IFERROR(IF($I432="","",MAX(0,38-$I432)),"")</f>
        <v/>
      </c>
      <c r="K432" s="26" t="str">
        <f aca="false">IFERROR(INDEX('Input Statistiche 2025_26'!$I$3:$I$665,MATCH($A432,'Input Statistiche 2025_26'!$A$3:$A$665,0)),"")</f>
        <v/>
      </c>
      <c r="L432" s="26" t="str">
        <f aca="false">IFERROR(INDEX('Input Statistiche 2025_26'!$O$3:$O$665,MATCH($A432,'Input Statistiche 2025_26'!$A$3:$A$665,0)),"")</f>
        <v/>
      </c>
      <c r="M432" s="28"/>
      <c r="N432" s="27" t="n">
        <f aca="false">IFERROR(INDEX('Input Giocatori 2026_27'!$E$3:$E$493,MATCH($A432,'Input Giocatori 2026_27'!$A$3:$A$493,0)),"")</f>
        <v>1</v>
      </c>
      <c r="O432" s="27" t="n">
        <f aca="false">IFERROR(INDEX('Input Giocatori 2026_27'!$G$3:$G$493,MATCH($A432,'Input Giocatori 2026_27'!$A$3:$A$493,0)),"")</f>
        <v>3</v>
      </c>
      <c r="P432" s="26" t="str">
        <f aca="false">IFERROR(IF($O432="","",IF((1-(COUNTIFS($B$2:$B$492,$B432,$O$2:$O$492,"&gt;"&amp;$O432)+1-1)/COUNTIF($B$2:$B$492,$B432))&gt;=0.85,"Top",IF((1-(COUNTIFS($B$2:$B$492,$B432,$O$2:$O$492,"&gt;"&amp;$O432)+1-1)/COUNTIF($B$2:$B$492,$B432))&gt;=0.6,"Buono",IF((1-(COUNTIFS($B$2:$B$492,$B432,$O$2:$O$492,"&gt;"&amp;$O432)+1-1)/COUNTIF($B$2:$B$492,$B432))&gt;=0.3,"Nella Media","Scommessa/Riserva")))),"")</f>
        <v>Scommessa/Riserva</v>
      </c>
      <c r="Q432" s="29" t="n">
        <f aca="false">IF($D432="",COUNTIF($D$2:$D432,""),"")</f>
        <v>431</v>
      </c>
      <c r="R432" s="29" t="str">
        <f aca="false">IF($D432='Info Lega'!$B$28,COUNTIFS($D$2:$D432,'Info Lega'!$B$28),"")</f>
        <v/>
      </c>
      <c r="S432" s="30" t="str">
        <f aca="false">IFERROR(INDEX('Input Statistiche 2025_26'!$G$3:$G$665,MATCH($A432,'Input Statistiche 2025_26'!$A$3:$A$665,0)),"")</f>
        <v/>
      </c>
      <c r="T432" s="30" t="str">
        <f aca="false">IFERROR(INDEX('Input Statistiche 2025_26'!$H$3:$H$665,MATCH($A432,'Input Statistiche 2025_26'!$A$3:$A$665,0)),"")</f>
        <v/>
      </c>
      <c r="U432" s="26" t="str">
        <f aca="false">IF(OR('La Mia Rosa'!$O$12="",$D432&lt;&gt;""),"",IF($F432&lt;='La Mia Rosa'!$O$12*'Parametri Modello'!$B$24,"OK",IF($F432&lt;='La Mia Rosa'!$O$12*'Parametri Modello'!$B$25,"Attenzione","Rischio Alto")))</f>
        <v>OK</v>
      </c>
      <c r="V432" s="26" t="n">
        <f aca="false">IFERROR(COUNTIFS($B$2:$B$492,$B432,$O$2:$O$492,"&gt;"&amp;$O432)+1,"")</f>
        <v>160</v>
      </c>
      <c r="W432" s="21" t="n">
        <f aca="false">'Info Lega'!$B$4-SUMIFS($M$2:$M$492,$D$2:$D$492,'Info Lega'!$B$28)</f>
        <v>1000</v>
      </c>
      <c r="X432" s="21" t="n">
        <f aca="false">('Info Lega'!$B$5-COUNTIFS($D$2:$D$492,'Info Lega'!$B$28,$B$2:$B$492,"P"))+('Info Lega'!$B$6-COUNTIFS($D$2:$D$492,'Info Lega'!$B$28,$B$2:$B$492,"D"))+('Info Lega'!$B$7-COUNTIFS($D$2:$D$492,'Info Lega'!$B$28,$B$2:$B$492,"C"))+('Info Lega'!$B$8-COUNTIFS($D$2:$D$492,'Info Lega'!$B$28,$B$2:$B$492,"A"))</f>
        <v>25</v>
      </c>
      <c r="Y432" s="21" t="n">
        <f aca="false">X432*'Parametri Modello'!$B$30</f>
        <v>25</v>
      </c>
      <c r="Z432" s="21" t="n">
        <f aca="false">MAX(0,W432-Y432)</f>
        <v>975</v>
      </c>
      <c r="AA432" s="21" t="n">
        <f aca="false">MIN(F432,Z432)</f>
        <v>2</v>
      </c>
      <c r="AB432" s="21"/>
      <c r="AC432" s="21" t="str">
        <f aca="false">IF(AB432="","",IF(AB432&gt;AA432,"PASS",IF(AB432&lt;=AA432*0.85,"BID","ATTENZIONE")))</f>
        <v/>
      </c>
      <c r="AD432" s="31" t="str">
        <f aca="false">IF(I432="","",ROUND(100*(1-EXP(-I432/30)),0))</f>
        <v/>
      </c>
      <c r="AE432" s="7" t="str">
        <f aca="false">IFERROR(INDEX('Stato Asta'!$G$9:$G$12,MATCH($B432,'Stato Asta'!$A$9:$A$12,0)),"")</f>
        <v>🟡 Attesa rischiosa</v>
      </c>
    </row>
    <row r="433" customFormat="false" ht="14.25" hidden="false" customHeight="true" outlineLevel="0" collapsed="false">
      <c r="A433" s="21" t="n">
        <v>7161</v>
      </c>
      <c r="B433" s="21" t="s">
        <v>46</v>
      </c>
      <c r="C433" s="21" t="s">
        <v>620</v>
      </c>
      <c r="E433" s="26" t="str">
        <f aca="false">IF(COUNTIF('Info Strategia'!$D$2:$D$51,$C433)&gt;0,"SI","NO")</f>
        <v>NO</v>
      </c>
      <c r="F433" s="27" t="n">
        <f aca="false">IFERROR(ROUND(($G433+($H433-$G433)*'Info Strategia'!$B$6)*(1+IF($E433="SI",'Parametri Modello'!$B$7*'Info Strategia'!$B$6,0)),0),"")</f>
        <v>3</v>
      </c>
      <c r="G433" s="27" t="n">
        <f aca="false">IFERROR(ROUND((IF(OR(INDEX('Parametri Modello'!$C$39:$C$42,MATCH($B433,'Parametri Modello'!$A$39:$A$42,0))="",INDEX('Parametri Modello'!$C$39:$C$42,MATCH($B433,'Parametri Modello'!$A$39:$A$42,0))=0),0,($O433/INDEX('Parametri Modello'!$C$39:$C$42,MATCH($B433,'Parametri Modello'!$A$39:$A$42,0)))*(INDEX('Parametri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2</v>
      </c>
      <c r="H433" s="27" t="n">
        <f aca="false">IFERROR(ROUND((IF(OR(INDEX('Parametri Modello'!$C$39:$C$42,MATCH($B433,'Parametri Modello'!$A$39:$A$42,0))="",INDEX('Parametri Modello'!$C$39:$C$42,MATCH($B433,'Parametri Modello'!$A$39:$A$42,0))=0),0,($O433/INDEX('Parametri Modello'!$C$39:$C$42,MATCH($B433,'Parametri Modello'!$A$39:$A$42,0)))*(INDEX('Parametri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3</v>
      </c>
      <c r="I433" s="26" t="n">
        <f aca="false">IFERROR(INDEX('Input Statistiche 2025_26'!$F$3:$F$665,MATCH($A433,'Input Statistiche 2025_26'!$A$3:$A$665,0)),"")</f>
        <v>12</v>
      </c>
      <c r="J433" s="26" t="n">
        <f aca="false">IFERROR(IF($I433="","",MAX(0,38-$I433)),"")</f>
        <v>26</v>
      </c>
      <c r="K433" s="26" t="n">
        <f aca="false">IFERROR(INDEX('Input Statistiche 2025_26'!$I$3:$I$665,MATCH($A433,'Input Statistiche 2025_26'!$A$3:$A$665,0)),"")</f>
        <v>0</v>
      </c>
      <c r="L433" s="26" t="n">
        <f aca="false">IFERROR(INDEX('Input Statistiche 2025_26'!$O$3:$O$665,MATCH($A433,'Input Statistiche 2025_26'!$A$3:$A$665,0)),"")</f>
        <v>1</v>
      </c>
      <c r="M433" s="28"/>
      <c r="N433" s="27" t="n">
        <f aca="false">IFERROR(INDEX('Input Giocatori 2026_27'!$E$3:$E$493,MATCH($A433,'Input Giocatori 2026_27'!$A$3:$A$493,0)),"")</f>
        <v>1</v>
      </c>
      <c r="O433" s="27" t="n">
        <f aca="false">IFERROR(INDEX('Input Giocatori 2026_27'!$G$3:$G$493,MATCH($A433,'Input Giocatori 2026_27'!$A$3:$A$493,0)),"")</f>
        <v>3</v>
      </c>
      <c r="P433" s="26" t="str">
        <f aca="false">IFERROR(IF($O433="","",IF((1-(COUNTIFS($B$2:$B$492,$B433,$O$2:$O$492,"&gt;"&amp;$O433)+1-1)/COUNTIF($B$2:$B$492,$B433))&gt;=0.85,"Top",IF((1-(COUNTIFS($B$2:$B$492,$B433,$O$2:$O$492,"&gt;"&amp;$O433)+1-1)/COUNTIF($B$2:$B$492,$B433))&gt;=0.6,"Buono",IF((1-(COUNTIFS($B$2:$B$492,$B433,$O$2:$O$492,"&gt;"&amp;$O433)+1-1)/COUNTIF($B$2:$B$492,$B433))&gt;=0.3,"Nella Media","Scommessa/Riserva")))),"")</f>
        <v>Scommessa/Riserva</v>
      </c>
      <c r="Q433" s="29" t="n">
        <f aca="false">IF($D433="",COUNTIF($D$2:$D433,""),"")</f>
        <v>432</v>
      </c>
      <c r="R433" s="29" t="str">
        <f aca="false">IF($D433='Info Lega'!$B$28,COUNTIFS($D$2:$D433,'Info Lega'!$B$28),"")</f>
        <v/>
      </c>
      <c r="S433" s="30" t="n">
        <f aca="false">IFERROR(INDEX('Input Statistiche 2025_26'!$G$3:$G$665,MATCH($A433,'Input Statistiche 2025_26'!$A$3:$A$665,0)),"")</f>
        <v>5.75</v>
      </c>
      <c r="T433" s="30" t="n">
        <f aca="false">IFERROR(INDEX('Input Statistiche 2025_26'!$H$3:$H$665,MATCH($A433,'Input Statistiche 2025_26'!$A$3:$A$665,0)),"")</f>
        <v>5.83</v>
      </c>
      <c r="U433" s="26" t="str">
        <f aca="false">IF(OR('La Mia Rosa'!$O$12="",$D433&lt;&gt;""),"",IF($F433&lt;='La Mia Rosa'!$O$12*'Parametri Modello'!$B$24,"OK",IF($F433&lt;='La Mia Rosa'!$O$12*'Parametri Modello'!$B$25,"Attenzione","Rischio Alto")))</f>
        <v>OK</v>
      </c>
      <c r="V433" s="26" t="n">
        <f aca="false">IFERROR(COUNTIFS($B$2:$B$492,$B433,$O$2:$O$492,"&gt;"&amp;$O433)+1,"")</f>
        <v>79</v>
      </c>
      <c r="W433" s="21" t="n">
        <f aca="false">'Info Lega'!$B$4-SUMIFS($M$2:$M$492,$D$2:$D$492,'Info Lega'!$B$28)</f>
        <v>1000</v>
      </c>
      <c r="X433" s="21" t="n">
        <f aca="false">('Info Lega'!$B$5-COUNTIFS($D$2:$D$492,'Info Lega'!$B$28,$B$2:$B$492,"P"))+('Info Lega'!$B$6-COUNTIFS($D$2:$D$492,'Info Lega'!$B$28,$B$2:$B$492,"D"))+('Info Lega'!$B$7-COUNTIFS($D$2:$D$492,'Info Lega'!$B$28,$B$2:$B$492,"C"))+('Info Lega'!$B$8-COUNTIFS($D$2:$D$492,'Info Lega'!$B$28,$B$2:$B$492,"A"))</f>
        <v>25</v>
      </c>
      <c r="Y433" s="21" t="n">
        <f aca="false">X433*'Parametri Modello'!$B$30</f>
        <v>25</v>
      </c>
      <c r="Z433" s="21" t="n">
        <f aca="false">MAX(0,W433-Y433)</f>
        <v>975</v>
      </c>
      <c r="AA433" s="21" t="n">
        <f aca="false">MIN(F433,Z433)</f>
        <v>3</v>
      </c>
      <c r="AB433" s="21"/>
      <c r="AC433" s="21" t="str">
        <f aca="false">IF(AB433="","",IF(AB433&gt;AA433,"PASS",IF(AB433&lt;=AA433*0.85,"BID","ATTENZIONE")))</f>
        <v/>
      </c>
      <c r="AD433" s="31" t="n">
        <f aca="false">IF(I433="","",ROUND(100*(1-EXP(-I433/30)),0))</f>
        <v>33</v>
      </c>
      <c r="AE433" s="7" t="str">
        <f aca="false">IFERROR(INDEX('Stato Asta'!$G$9:$G$12,MATCH($B433,'Stato Asta'!$A$9:$A$12,0)),"")</f>
        <v>🔴 Non aspettare</v>
      </c>
    </row>
    <row r="434" customFormat="false" ht="14.25" hidden="false" customHeight="true" outlineLevel="0" collapsed="false">
      <c r="A434" s="21" t="n">
        <v>6245</v>
      </c>
      <c r="B434" s="21" t="s">
        <v>44</v>
      </c>
      <c r="C434" s="21" t="s">
        <v>347</v>
      </c>
      <c r="E434" s="26" t="str">
        <f aca="false">IF(COUNTIF('Info Strategia'!$D$2:$D$51,$C434)&gt;0,"SI","NO")</f>
        <v>NO</v>
      </c>
      <c r="F434" s="27" t="n">
        <f aca="false">IFERROR(ROUND(($G434+($H434-$G434)*'Info Strategia'!$B$6)*(1+IF($E434="SI",'Parametri Modello'!$B$7*'Info Strategia'!$B$6,0)),0),"")</f>
        <v>1</v>
      </c>
      <c r="G434" s="27" t="n">
        <f aca="false">IFERROR(ROUND((IF(OR(INDEX('Parametri Modello'!$C$39:$C$42,MATCH($B434,'Parametri Modello'!$A$39:$A$42,0))="",INDEX('Parametri Modello'!$C$39:$C$42,MATCH($B434,'Parametri Modello'!$A$39:$A$42,0))=0),0,($O434/INDEX('Parametri Modello'!$C$39:$C$42,MATCH($B434,'Parametri Modello'!$A$39:$A$42,0)))*(INDEX('Parametri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H434" s="27" t="n">
        <f aca="false">IFERROR(ROUND((IF(OR(INDEX('Parametri Modello'!$C$39:$C$42,MATCH($B434,'Parametri Modello'!$A$39:$A$42,0))="",INDEX('Parametri Modello'!$C$39:$C$42,MATCH($B434,'Parametri Modello'!$A$39:$A$42,0))=0),0,($O434/INDEX('Parametri Modello'!$C$39:$C$42,MATCH($B434,'Parametri Modello'!$A$39:$A$42,0)))*(INDEX('Parametri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I434" s="26" t="n">
        <f aca="false">IFERROR(INDEX('Input Statistiche 2025_26'!$F$3:$F$665,MATCH($A434,'Input Statistiche 2025_26'!$A$3:$A$665,0)),"")</f>
        <v>0</v>
      </c>
      <c r="J434" s="26" t="n">
        <f aca="false">IFERROR(IF($I434="","",MAX(0,38-$I434)),"")</f>
        <v>38</v>
      </c>
      <c r="K434" s="26" t="n">
        <f aca="false">IFERROR(INDEX('Input Statistiche 2025_26'!$I$3:$I$665,MATCH($A434,'Input Statistiche 2025_26'!$A$3:$A$665,0)),"")</f>
        <v>0</v>
      </c>
      <c r="L434" s="26" t="n">
        <f aca="false">IFERROR(INDEX('Input Statistiche 2025_26'!$O$3:$O$665,MATCH($A434,'Input Statistiche 2025_26'!$A$3:$A$665,0)),"")</f>
        <v>0</v>
      </c>
      <c r="M434" s="28"/>
      <c r="N434" s="27" t="n">
        <f aca="false">IFERROR(INDEX('Input Giocatori 2026_27'!$E$3:$E$493,MATCH($A434,'Input Giocatori 2026_27'!$A$3:$A$493,0)),"")</f>
        <v>1</v>
      </c>
      <c r="O434" s="27" t="n">
        <f aca="false">IFERROR(INDEX('Input Giocatori 2026_27'!$G$3:$G$493,MATCH($A434,'Input Giocatori 2026_27'!$A$3:$A$493,0)),"")</f>
        <v>2</v>
      </c>
      <c r="P434" s="26" t="str">
        <f aca="false">IFERROR(IF($O434="","",IF((1-(COUNTIFS($B$2:$B$492,$B434,$O$2:$O$492,"&gt;"&amp;$O434)+1-1)/COUNTIF($B$2:$B$492,$B434))&gt;=0.85,"Top",IF((1-(COUNTIFS($B$2:$B$492,$B434,$O$2:$O$492,"&gt;"&amp;$O434)+1-1)/COUNTIF($B$2:$B$492,$B434))&gt;=0.6,"Buono",IF((1-(COUNTIFS($B$2:$B$492,$B434,$O$2:$O$492,"&gt;"&amp;$O434)+1-1)/COUNTIF($B$2:$B$492,$B434))&gt;=0.3,"Nella Media","Scommessa/Riserva")))),"")</f>
        <v>Scommessa/Riserva</v>
      </c>
      <c r="Q434" s="29" t="n">
        <f aca="false">IF($D434="",COUNTIF($D$2:$D434,""),"")</f>
        <v>433</v>
      </c>
      <c r="R434" s="29" t="str">
        <f aca="false">IF($D434='Info Lega'!$B$28,COUNTIFS($D$2:$D434,'Info Lega'!$B$28),"")</f>
        <v/>
      </c>
      <c r="S434" s="30" t="n">
        <f aca="false">IFERROR(INDEX('Input Statistiche 2025_26'!$G$3:$G$665,MATCH($A434,'Input Statistiche 2025_26'!$A$3:$A$665,0)),"")</f>
        <v>0</v>
      </c>
      <c r="T434" s="30" t="n">
        <f aca="false">IFERROR(INDEX('Input Statistiche 2025_26'!$H$3:$H$665,MATCH($A434,'Input Statistiche 2025_26'!$A$3:$A$665,0)),"")</f>
        <v>0</v>
      </c>
      <c r="U434" s="26" t="str">
        <f aca="false">IF(OR('La Mia Rosa'!$O$12="",$D434&lt;&gt;""),"",IF($F434&lt;='La Mia Rosa'!$O$12*'Parametri Modello'!$B$24,"OK",IF($F434&lt;='La Mia Rosa'!$O$12*'Parametri Modello'!$B$25,"Attenzione","Rischio Alto")))</f>
        <v>OK</v>
      </c>
      <c r="V434" s="26" t="n">
        <f aca="false">IFERROR(COUNTIFS($B$2:$B$492,$B434,$O$2:$O$492,"&gt;"&amp;$O434)+1,"")</f>
        <v>163</v>
      </c>
      <c r="W434" s="21" t="n">
        <f aca="false">'Info Lega'!$B$4-SUMIFS($M$2:$M$492,$D$2:$D$492,'Info Lega'!$B$28)</f>
        <v>1000</v>
      </c>
      <c r="X434" s="21" t="n">
        <f aca="false">('Info Lega'!$B$5-COUNTIFS($D$2:$D$492,'Info Lega'!$B$28,$B$2:$B$492,"P"))+('Info Lega'!$B$6-COUNTIFS($D$2:$D$492,'Info Lega'!$B$28,$B$2:$B$492,"D"))+('Info Lega'!$B$7-COUNTIFS($D$2:$D$492,'Info Lega'!$B$28,$B$2:$B$492,"C"))+('Info Lega'!$B$8-COUNTIFS($D$2:$D$492,'Info Lega'!$B$28,$B$2:$B$492,"A"))</f>
        <v>25</v>
      </c>
      <c r="Y434" s="21" t="n">
        <f aca="false">X434*'Parametri Modello'!$B$30</f>
        <v>25</v>
      </c>
      <c r="Z434" s="21" t="n">
        <f aca="false">MAX(0,W434-Y434)</f>
        <v>975</v>
      </c>
      <c r="AA434" s="21" t="n">
        <f aca="false">MIN(F434,Z434)</f>
        <v>1</v>
      </c>
      <c r="AB434" s="21"/>
      <c r="AC434" s="21" t="str">
        <f aca="false">IF(AB434="","",IF(AB434&gt;AA434,"PASS",IF(AB434&lt;=AA434*0.85,"BID","ATTENZIONE")))</f>
        <v/>
      </c>
      <c r="AD434" s="31" t="n">
        <f aca="false">IF(I434="","",ROUND(100*(1-EXP(-I434/30)),0))</f>
        <v>0</v>
      </c>
      <c r="AE434" s="7" t="str">
        <f aca="false">IFERROR(INDEX('Stato Asta'!$G$9:$G$12,MATCH($B434,'Stato Asta'!$A$9:$A$12,0)),"")</f>
        <v>🟡 Attesa rischiosa</v>
      </c>
    </row>
    <row r="435" customFormat="false" ht="14.25" hidden="false" customHeight="true" outlineLevel="0" collapsed="false">
      <c r="A435" s="21" t="n">
        <v>6244</v>
      </c>
      <c r="B435" s="21" t="s">
        <v>44</v>
      </c>
      <c r="C435" s="21" t="s">
        <v>348</v>
      </c>
      <c r="E435" s="26" t="str">
        <f aca="false">IF(COUNTIF('Info Strategia'!$D$2:$D$51,$C435)&gt;0,"SI","NO")</f>
        <v>NO</v>
      </c>
      <c r="F435" s="27" t="n">
        <f aca="false">IFERROR(ROUND(($G435+($H435-$G435)*'Info Strategia'!$B$6)*(1+IF($E435="SI",'Parametri Modello'!$B$7*'Info Strategia'!$B$6,0)),0),"")</f>
        <v>1</v>
      </c>
      <c r="G435" s="27" t="n">
        <f aca="false">IFERROR(ROUND((IF(OR(INDEX('Parametri Modello'!$C$39:$C$42,MATCH($B435,'Parametri Modello'!$A$39:$A$42,0))="",INDEX('Parametri Modello'!$C$39:$C$42,MATCH($B435,'Parametri Modello'!$A$39:$A$42,0))=0),0,($O435/INDEX('Parametri Modello'!$C$39:$C$42,MATCH($B435,'Parametri Modello'!$A$39:$A$42,0)))*(INDEX('Parametri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H435" s="27" t="n">
        <f aca="false">IFERROR(ROUND((IF(OR(INDEX('Parametri Modello'!$C$39:$C$42,MATCH($B435,'Parametri Modello'!$A$39:$A$42,0))="",INDEX('Parametri Modello'!$C$39:$C$42,MATCH($B435,'Parametri Modello'!$A$39:$A$42,0))=0),0,($O435/INDEX('Parametri Modello'!$C$39:$C$42,MATCH($B435,'Parametri Modello'!$A$39:$A$42,0)))*(INDEX('Parametri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I435" s="26" t="str">
        <f aca="false">IFERROR(INDEX('Input Statistiche 2025_26'!$F$3:$F$665,MATCH($A435,'Input Statistiche 2025_26'!$A$3:$A$665,0)),"")</f>
        <v/>
      </c>
      <c r="J435" s="26" t="str">
        <f aca="false">IFERROR(IF($I435="","",MAX(0,38-$I435)),"")</f>
        <v/>
      </c>
      <c r="K435" s="26" t="str">
        <f aca="false">IFERROR(INDEX('Input Statistiche 2025_26'!$I$3:$I$665,MATCH($A435,'Input Statistiche 2025_26'!$A$3:$A$665,0)),"")</f>
        <v/>
      </c>
      <c r="L435" s="26" t="str">
        <f aca="false">IFERROR(INDEX('Input Statistiche 2025_26'!$O$3:$O$665,MATCH($A435,'Input Statistiche 2025_26'!$A$3:$A$665,0)),"")</f>
        <v/>
      </c>
      <c r="M435" s="28"/>
      <c r="N435" s="27" t="n">
        <f aca="false">IFERROR(INDEX('Input Giocatori 2026_27'!$E$3:$E$493,MATCH($A435,'Input Giocatori 2026_27'!$A$3:$A$493,0)),"")</f>
        <v>1</v>
      </c>
      <c r="O435" s="27" t="n">
        <f aca="false">IFERROR(INDEX('Input Giocatori 2026_27'!$G$3:$G$493,MATCH($A435,'Input Giocatori 2026_27'!$A$3:$A$493,0)),"")</f>
        <v>2</v>
      </c>
      <c r="P435" s="26" t="str">
        <f aca="false">IFERROR(IF($O435="","",IF((1-(COUNTIFS($B$2:$B$492,$B435,$O$2:$O$492,"&gt;"&amp;$O435)+1-1)/COUNTIF($B$2:$B$492,$B435))&gt;=0.85,"Top",IF((1-(COUNTIFS($B$2:$B$492,$B435,$O$2:$O$492,"&gt;"&amp;$O435)+1-1)/COUNTIF($B$2:$B$492,$B435))&gt;=0.6,"Buono",IF((1-(COUNTIFS($B$2:$B$492,$B435,$O$2:$O$492,"&gt;"&amp;$O435)+1-1)/COUNTIF($B$2:$B$492,$B435))&gt;=0.3,"Nella Media","Scommessa/Riserva")))),"")</f>
        <v>Scommessa/Riserva</v>
      </c>
      <c r="Q435" s="29" t="n">
        <f aca="false">IF($D435="",COUNTIF($D$2:$D435,""),"")</f>
        <v>434</v>
      </c>
      <c r="R435" s="29" t="str">
        <f aca="false">IF($D435='Info Lega'!$B$28,COUNTIFS($D$2:$D435,'Info Lega'!$B$28),"")</f>
        <v/>
      </c>
      <c r="S435" s="30" t="str">
        <f aca="false">IFERROR(INDEX('Input Statistiche 2025_26'!$G$3:$G$665,MATCH($A435,'Input Statistiche 2025_26'!$A$3:$A$665,0)),"")</f>
        <v/>
      </c>
      <c r="T435" s="30" t="str">
        <f aca="false">IFERROR(INDEX('Input Statistiche 2025_26'!$H$3:$H$665,MATCH($A435,'Input Statistiche 2025_26'!$A$3:$A$665,0)),"")</f>
        <v/>
      </c>
      <c r="U435" s="26" t="str">
        <f aca="false">IF(OR('La Mia Rosa'!$O$12="",$D435&lt;&gt;""),"",IF($F435&lt;='La Mia Rosa'!$O$12*'Parametri Modello'!$B$24,"OK",IF($F435&lt;='La Mia Rosa'!$O$12*'Parametri Modello'!$B$25,"Attenzione","Rischio Alto")))</f>
        <v>OK</v>
      </c>
      <c r="V435" s="26" t="n">
        <f aca="false">IFERROR(COUNTIFS($B$2:$B$492,$B435,$O$2:$O$492,"&gt;"&amp;$O435)+1,"")</f>
        <v>163</v>
      </c>
      <c r="W435" s="21" t="n">
        <f aca="false">'Info Lega'!$B$4-SUMIFS($M$2:$M$492,$D$2:$D$492,'Info Lega'!$B$28)</f>
        <v>1000</v>
      </c>
      <c r="X435" s="21" t="n">
        <f aca="false">('Info Lega'!$B$5-COUNTIFS($D$2:$D$492,'Info Lega'!$B$28,$B$2:$B$492,"P"))+('Info Lega'!$B$6-COUNTIFS($D$2:$D$492,'Info Lega'!$B$28,$B$2:$B$492,"D"))+('Info Lega'!$B$7-COUNTIFS($D$2:$D$492,'Info Lega'!$B$28,$B$2:$B$492,"C"))+('Info Lega'!$B$8-COUNTIFS($D$2:$D$492,'Info Lega'!$B$28,$B$2:$B$492,"A"))</f>
        <v>25</v>
      </c>
      <c r="Y435" s="21" t="n">
        <f aca="false">X435*'Parametri Modello'!$B$30</f>
        <v>25</v>
      </c>
      <c r="Z435" s="21" t="n">
        <f aca="false">MAX(0,W435-Y435)</f>
        <v>975</v>
      </c>
      <c r="AA435" s="21" t="n">
        <f aca="false">MIN(F435,Z435)</f>
        <v>1</v>
      </c>
      <c r="AB435" s="21"/>
      <c r="AC435" s="21" t="str">
        <f aca="false">IF(AB435="","",IF(AB435&gt;AA435,"PASS",IF(AB435&lt;=AA435*0.85,"BID","ATTENZIONE")))</f>
        <v/>
      </c>
      <c r="AD435" s="31" t="str">
        <f aca="false">IF(I435="","",ROUND(100*(1-EXP(-I435/30)),0))</f>
        <v/>
      </c>
      <c r="AE435" s="7" t="str">
        <f aca="false">IFERROR(INDEX('Stato Asta'!$G$9:$G$12,MATCH($B435,'Stato Asta'!$A$9:$A$12,0)),"")</f>
        <v>🟡 Attesa rischiosa</v>
      </c>
    </row>
    <row r="436" customFormat="false" ht="14.25" hidden="false" customHeight="true" outlineLevel="0" collapsed="false">
      <c r="A436" s="21" t="n">
        <v>5399</v>
      </c>
      <c r="B436" s="21" t="s">
        <v>44</v>
      </c>
      <c r="C436" s="21" t="s">
        <v>354</v>
      </c>
      <c r="E436" s="26" t="str">
        <f aca="false">IF(COUNTIF('Info Strategia'!$D$2:$D$51,$C436)&gt;0,"SI","NO")</f>
        <v>NO</v>
      </c>
      <c r="F436" s="27" t="n">
        <f aca="false">IFERROR(ROUND(($G436+($H436-$G436)*'Info Strategia'!$B$6)*(1+IF($E436="SI",'Parametri Modello'!$B$7*'Info Strategia'!$B$6,0)),0),"")</f>
        <v>1</v>
      </c>
      <c r="G436" s="27" t="n">
        <f aca="false">IFERROR(ROUND((IF(OR(INDEX('Parametri Modello'!$C$39:$C$42,MATCH($B436,'Parametri Modello'!$A$39:$A$42,0))="",INDEX('Parametri Modello'!$C$39:$C$42,MATCH($B436,'Parametri Modello'!$A$39:$A$42,0))=0),0,($O436/INDEX('Parametri Modello'!$C$39:$C$42,MATCH($B436,'Parametri Modello'!$A$39:$A$42,0)))*(INDEX('Parametri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H436" s="27" t="n">
        <f aca="false">IFERROR(ROUND((IF(OR(INDEX('Parametri Modello'!$C$39:$C$42,MATCH($B436,'Parametri Modello'!$A$39:$A$42,0))="",INDEX('Parametri Modello'!$C$39:$C$42,MATCH($B436,'Parametri Modello'!$A$39:$A$42,0))=0),0,($O436/INDEX('Parametri Modello'!$C$39:$C$42,MATCH($B436,'Parametri Modello'!$A$39:$A$42,0)))*(INDEX('Parametri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I436" s="26" t="str">
        <f aca="false">IFERROR(INDEX('Input Statistiche 2025_26'!$F$3:$F$665,MATCH($A436,'Input Statistiche 2025_26'!$A$3:$A$665,0)),"")</f>
        <v/>
      </c>
      <c r="J436" s="26" t="str">
        <f aca="false">IFERROR(IF($I436="","",MAX(0,38-$I436)),"")</f>
        <v/>
      </c>
      <c r="K436" s="26" t="str">
        <f aca="false">IFERROR(INDEX('Input Statistiche 2025_26'!$I$3:$I$665,MATCH($A436,'Input Statistiche 2025_26'!$A$3:$A$665,0)),"")</f>
        <v/>
      </c>
      <c r="L436" s="26" t="str">
        <f aca="false">IFERROR(INDEX('Input Statistiche 2025_26'!$O$3:$O$665,MATCH($A436,'Input Statistiche 2025_26'!$A$3:$A$665,0)),"")</f>
        <v/>
      </c>
      <c r="M436" s="28"/>
      <c r="N436" s="27" t="n">
        <f aca="false">IFERROR(INDEX('Input Giocatori 2026_27'!$E$3:$E$493,MATCH($A436,'Input Giocatori 2026_27'!$A$3:$A$493,0)),"")</f>
        <v>1</v>
      </c>
      <c r="O436" s="27" t="n">
        <f aca="false">IFERROR(INDEX('Input Giocatori 2026_27'!$G$3:$G$493,MATCH($A436,'Input Giocatori 2026_27'!$A$3:$A$493,0)),"")</f>
        <v>2</v>
      </c>
      <c r="P436" s="26" t="str">
        <f aca="false">IFERROR(IF($O436="","",IF((1-(COUNTIFS($B$2:$B$492,$B436,$O$2:$O$492,"&gt;"&amp;$O436)+1-1)/COUNTIF($B$2:$B$492,$B436))&gt;=0.85,"Top",IF((1-(COUNTIFS($B$2:$B$492,$B436,$O$2:$O$492,"&gt;"&amp;$O436)+1-1)/COUNTIF($B$2:$B$492,$B436))&gt;=0.6,"Buono",IF((1-(COUNTIFS($B$2:$B$492,$B436,$O$2:$O$492,"&gt;"&amp;$O436)+1-1)/COUNTIF($B$2:$B$492,$B436))&gt;=0.3,"Nella Media","Scommessa/Riserva")))),"")</f>
        <v>Scommessa/Riserva</v>
      </c>
      <c r="Q436" s="29" t="n">
        <f aca="false">IF($D436="",COUNTIF($D$2:$D436,""),"")</f>
        <v>435</v>
      </c>
      <c r="R436" s="29" t="str">
        <f aca="false">IF($D436='Info Lega'!$B$28,COUNTIFS($D$2:$D436,'Info Lega'!$B$28),"")</f>
        <v/>
      </c>
      <c r="S436" s="30" t="str">
        <f aca="false">IFERROR(INDEX('Input Statistiche 2025_26'!$G$3:$G$665,MATCH($A436,'Input Statistiche 2025_26'!$A$3:$A$665,0)),"")</f>
        <v/>
      </c>
      <c r="T436" s="30" t="str">
        <f aca="false">IFERROR(INDEX('Input Statistiche 2025_26'!$H$3:$H$665,MATCH($A436,'Input Statistiche 2025_26'!$A$3:$A$665,0)),"")</f>
        <v/>
      </c>
      <c r="U436" s="26" t="str">
        <f aca="false">IF(OR('La Mia Rosa'!$O$12="",$D436&lt;&gt;""),"",IF($F436&lt;='La Mia Rosa'!$O$12*'Parametri Modello'!$B$24,"OK",IF($F436&lt;='La Mia Rosa'!$O$12*'Parametri Modello'!$B$25,"Attenzione","Rischio Alto")))</f>
        <v>OK</v>
      </c>
      <c r="V436" s="26" t="n">
        <f aca="false">IFERROR(COUNTIFS($B$2:$B$492,$B436,$O$2:$O$492,"&gt;"&amp;$O436)+1,"")</f>
        <v>163</v>
      </c>
      <c r="W436" s="21" t="n">
        <f aca="false">'Info Lega'!$B$4-SUMIFS($M$2:$M$492,$D$2:$D$492,'Info Lega'!$B$28)</f>
        <v>1000</v>
      </c>
      <c r="X436" s="21" t="n">
        <f aca="false">('Info Lega'!$B$5-COUNTIFS($D$2:$D$492,'Info Lega'!$B$28,$B$2:$B$492,"P"))+('Info Lega'!$B$6-COUNTIFS($D$2:$D$492,'Info Lega'!$B$28,$B$2:$B$492,"D"))+('Info Lega'!$B$7-COUNTIFS($D$2:$D$492,'Info Lega'!$B$28,$B$2:$B$492,"C"))+('Info Lega'!$B$8-COUNTIFS($D$2:$D$492,'Info Lega'!$B$28,$B$2:$B$492,"A"))</f>
        <v>25</v>
      </c>
      <c r="Y436" s="21" t="n">
        <f aca="false">X436*'Parametri Modello'!$B$30</f>
        <v>25</v>
      </c>
      <c r="Z436" s="21" t="n">
        <f aca="false">MAX(0,W436-Y436)</f>
        <v>975</v>
      </c>
      <c r="AA436" s="21" t="n">
        <f aca="false">MIN(F436,Z436)</f>
        <v>1</v>
      </c>
      <c r="AB436" s="21"/>
      <c r="AC436" s="21" t="str">
        <f aca="false">IF(AB436="","",IF(AB436&gt;AA436,"PASS",IF(AB436&lt;=AA436*0.85,"BID","ATTENZIONE")))</f>
        <v/>
      </c>
      <c r="AD436" s="31" t="str">
        <f aca="false">IF(I436="","",ROUND(100*(1-EXP(-I436/30)),0))</f>
        <v/>
      </c>
      <c r="AE436" s="7" t="str">
        <f aca="false">IFERROR(INDEX('Stato Asta'!$G$9:$G$12,MATCH($B436,'Stato Asta'!$A$9:$A$12,0)),"")</f>
        <v>🟡 Attesa rischiosa</v>
      </c>
    </row>
    <row r="437" customFormat="false" ht="14.25" hidden="false" customHeight="true" outlineLevel="0" collapsed="false">
      <c r="A437" s="21" t="n">
        <v>7260</v>
      </c>
      <c r="B437" s="21" t="s">
        <v>44</v>
      </c>
      <c r="C437" s="21" t="s">
        <v>360</v>
      </c>
      <c r="E437" s="26" t="str">
        <f aca="false">IF(COUNTIF('Info Strategia'!$D$2:$D$51,$C437)&gt;0,"SI","NO")</f>
        <v>NO</v>
      </c>
      <c r="F437" s="27" t="n">
        <f aca="false">IFERROR(ROUND(($G437+($H437-$G437)*'Info Strategia'!$B$6)*(1+IF($E437="SI",'Parametri Modello'!$B$7*'Info Strategia'!$B$6,0)),0),"")</f>
        <v>1</v>
      </c>
      <c r="G437" s="27" t="n">
        <f aca="false">IFERROR(ROUND((IF(OR(INDEX('Parametri Modello'!$C$39:$C$42,MATCH($B437,'Parametri Modello'!$A$39:$A$42,0))="",INDEX('Parametri Modello'!$C$39:$C$42,MATCH($B437,'Parametri Modello'!$A$39:$A$42,0))=0),0,($O437/INDEX('Parametri Modello'!$C$39:$C$42,MATCH($B437,'Parametri Modello'!$A$39:$A$42,0)))*(INDEX('Parametri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H437" s="27" t="n">
        <f aca="false">IFERROR(ROUND((IF(OR(INDEX('Parametri Modello'!$C$39:$C$42,MATCH($B437,'Parametri Modello'!$A$39:$A$42,0))="",INDEX('Parametri Modello'!$C$39:$C$42,MATCH($B437,'Parametri Modello'!$A$39:$A$42,0))=0),0,($O437/INDEX('Parametri Modello'!$C$39:$C$42,MATCH($B437,'Parametri Modello'!$A$39:$A$42,0)))*(INDEX('Parametri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I437" s="26" t="n">
        <f aca="false">IFERROR(INDEX('Input Statistiche 2025_26'!$F$3:$F$665,MATCH($A437,'Input Statistiche 2025_26'!$A$3:$A$665,0)),"")</f>
        <v>9</v>
      </c>
      <c r="J437" s="26" t="n">
        <f aca="false">IFERROR(IF($I437="","",MAX(0,38-$I437)),"")</f>
        <v>29</v>
      </c>
      <c r="K437" s="26" t="n">
        <f aca="false">IFERROR(INDEX('Input Statistiche 2025_26'!$I$3:$I$665,MATCH($A437,'Input Statistiche 2025_26'!$A$3:$A$665,0)),"")</f>
        <v>0</v>
      </c>
      <c r="L437" s="26" t="n">
        <f aca="false">IFERROR(INDEX('Input Statistiche 2025_26'!$O$3:$O$665,MATCH($A437,'Input Statistiche 2025_26'!$A$3:$A$665,0)),"")</f>
        <v>0</v>
      </c>
      <c r="M437" s="28"/>
      <c r="N437" s="27" t="n">
        <f aca="false">IFERROR(INDEX('Input Giocatori 2026_27'!$E$3:$E$493,MATCH($A437,'Input Giocatori 2026_27'!$A$3:$A$493,0)),"")</f>
        <v>1</v>
      </c>
      <c r="O437" s="27" t="n">
        <f aca="false">IFERROR(INDEX('Input Giocatori 2026_27'!$G$3:$G$493,MATCH($A437,'Input Giocatori 2026_27'!$A$3:$A$493,0)),"")</f>
        <v>2</v>
      </c>
      <c r="P437" s="26" t="str">
        <f aca="false">IFERROR(IF($O437="","",IF((1-(COUNTIFS($B$2:$B$492,$B437,$O$2:$O$492,"&gt;"&amp;$O437)+1-1)/COUNTIF($B$2:$B$492,$B437))&gt;=0.85,"Top",IF((1-(COUNTIFS($B$2:$B$492,$B437,$O$2:$O$492,"&gt;"&amp;$O437)+1-1)/COUNTIF($B$2:$B$492,$B437))&gt;=0.6,"Buono",IF((1-(COUNTIFS($B$2:$B$492,$B437,$O$2:$O$492,"&gt;"&amp;$O437)+1-1)/COUNTIF($B$2:$B$492,$B437))&gt;=0.3,"Nella Media","Scommessa/Riserva")))),"")</f>
        <v>Scommessa/Riserva</v>
      </c>
      <c r="Q437" s="29" t="n">
        <f aca="false">IF($D437="",COUNTIF($D$2:$D437,""),"")</f>
        <v>436</v>
      </c>
      <c r="R437" s="29" t="str">
        <f aca="false">IF($D437='Info Lega'!$B$28,COUNTIFS($D$2:$D437,'Info Lega'!$B$28),"")</f>
        <v/>
      </c>
      <c r="S437" s="30" t="n">
        <f aca="false">IFERROR(INDEX('Input Statistiche 2025_26'!$G$3:$G$665,MATCH($A437,'Input Statistiche 2025_26'!$A$3:$A$665,0)),"")</f>
        <v>5.94</v>
      </c>
      <c r="T437" s="30" t="n">
        <f aca="false">IFERROR(INDEX('Input Statistiche 2025_26'!$H$3:$H$665,MATCH($A437,'Input Statistiche 2025_26'!$A$3:$A$665,0)),"")</f>
        <v>5.78</v>
      </c>
      <c r="U437" s="26" t="str">
        <f aca="false">IF(OR('La Mia Rosa'!$O$12="",$D437&lt;&gt;""),"",IF($F437&lt;='La Mia Rosa'!$O$12*'Parametri Modello'!$B$24,"OK",IF($F437&lt;='La Mia Rosa'!$O$12*'Parametri Modello'!$B$25,"Attenzione","Rischio Alto")))</f>
        <v>OK</v>
      </c>
      <c r="V437" s="26" t="n">
        <f aca="false">IFERROR(COUNTIFS($B$2:$B$492,$B437,$O$2:$O$492,"&gt;"&amp;$O437)+1,"")</f>
        <v>163</v>
      </c>
      <c r="W437" s="21" t="n">
        <f aca="false">'Info Lega'!$B$4-SUMIFS($M$2:$M$492,$D$2:$D$492,'Info Lega'!$B$28)</f>
        <v>1000</v>
      </c>
      <c r="X437" s="21" t="n">
        <f aca="false">('Info Lega'!$B$5-COUNTIFS($D$2:$D$492,'Info Lega'!$B$28,$B$2:$B$492,"P"))+('Info Lega'!$B$6-COUNTIFS($D$2:$D$492,'Info Lega'!$B$28,$B$2:$B$492,"D"))+('Info Lega'!$B$7-COUNTIFS($D$2:$D$492,'Info Lega'!$B$28,$B$2:$B$492,"C"))+('Info Lega'!$B$8-COUNTIFS($D$2:$D$492,'Info Lega'!$B$28,$B$2:$B$492,"A"))</f>
        <v>25</v>
      </c>
      <c r="Y437" s="21" t="n">
        <f aca="false">X437*'Parametri Modello'!$B$30</f>
        <v>25</v>
      </c>
      <c r="Z437" s="21" t="n">
        <f aca="false">MAX(0,W437-Y437)</f>
        <v>975</v>
      </c>
      <c r="AA437" s="21" t="n">
        <f aca="false">MIN(F437,Z437)</f>
        <v>1</v>
      </c>
      <c r="AB437" s="21"/>
      <c r="AC437" s="21" t="str">
        <f aca="false">IF(AB437="","",IF(AB437&gt;AA437,"PASS",IF(AB437&lt;=AA437*0.85,"BID","ATTENZIONE")))</f>
        <v/>
      </c>
      <c r="AD437" s="31" t="n">
        <f aca="false">IF(I437="","",ROUND(100*(1-EXP(-I437/30)),0))</f>
        <v>26</v>
      </c>
      <c r="AE437" s="7" t="str">
        <f aca="false">IFERROR(INDEX('Stato Asta'!$G$9:$G$12,MATCH($B437,'Stato Asta'!$A$9:$A$12,0)),"")</f>
        <v>🟡 Attesa rischiosa</v>
      </c>
    </row>
    <row r="438" customFormat="false" ht="14.25" hidden="false" customHeight="true" outlineLevel="0" collapsed="false">
      <c r="A438" s="21" t="n">
        <v>6189</v>
      </c>
      <c r="B438" s="21" t="s">
        <v>44</v>
      </c>
      <c r="C438" s="21" t="s">
        <v>361</v>
      </c>
      <c r="E438" s="26" t="str">
        <f aca="false">IF(COUNTIF('Info Strategia'!$D$2:$D$51,$C438)&gt;0,"SI","NO")</f>
        <v>NO</v>
      </c>
      <c r="F438" s="27" t="n">
        <f aca="false">IFERROR(ROUND(($G438+($H438-$G438)*'Info Strategia'!$B$6)*(1+IF($E438="SI",'Parametri Modello'!$B$7*'Info Strategia'!$B$6,0)),0),"")</f>
        <v>1</v>
      </c>
      <c r="G438" s="27" t="n">
        <f aca="false">IFERROR(ROUND((IF(OR(INDEX('Parametri Modello'!$C$39:$C$42,MATCH($B438,'Parametri Modello'!$A$39:$A$42,0))="",INDEX('Parametri Modello'!$C$39:$C$42,MATCH($B438,'Parametri Modello'!$A$39:$A$42,0))=0),0,($O438/INDEX('Parametri Modello'!$C$39:$C$42,MATCH($B438,'Parametri Modello'!$A$39:$A$42,0)))*(INDEX('Parametri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H438" s="27" t="n">
        <f aca="false">IFERROR(ROUND((IF(OR(INDEX('Parametri Modello'!$C$39:$C$42,MATCH($B438,'Parametri Modello'!$A$39:$A$42,0))="",INDEX('Parametri Modello'!$C$39:$C$42,MATCH($B438,'Parametri Modello'!$A$39:$A$42,0))=0),0,($O438/INDEX('Parametri Modello'!$C$39:$C$42,MATCH($B438,'Parametri Modello'!$A$39:$A$42,0)))*(INDEX('Parametri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I438" s="26" t="n">
        <f aca="false">IFERROR(INDEX('Input Statistiche 2025_26'!$F$3:$F$665,MATCH($A438,'Input Statistiche 2025_26'!$A$3:$A$665,0)),"")</f>
        <v>0</v>
      </c>
      <c r="J438" s="26" t="n">
        <f aca="false">IFERROR(IF($I438="","",MAX(0,38-$I438)),"")</f>
        <v>38</v>
      </c>
      <c r="K438" s="26" t="n">
        <f aca="false">IFERROR(INDEX('Input Statistiche 2025_26'!$I$3:$I$665,MATCH($A438,'Input Statistiche 2025_26'!$A$3:$A$665,0)),"")</f>
        <v>0</v>
      </c>
      <c r="L438" s="26" t="n">
        <f aca="false">IFERROR(INDEX('Input Statistiche 2025_26'!$O$3:$O$665,MATCH($A438,'Input Statistiche 2025_26'!$A$3:$A$665,0)),"")</f>
        <v>0</v>
      </c>
      <c r="M438" s="28"/>
      <c r="N438" s="27" t="n">
        <f aca="false">IFERROR(INDEX('Input Giocatori 2026_27'!$E$3:$E$493,MATCH($A438,'Input Giocatori 2026_27'!$A$3:$A$493,0)),"")</f>
        <v>1</v>
      </c>
      <c r="O438" s="27" t="n">
        <f aca="false">IFERROR(INDEX('Input Giocatori 2026_27'!$G$3:$G$493,MATCH($A438,'Input Giocatori 2026_27'!$A$3:$A$493,0)),"")</f>
        <v>2</v>
      </c>
      <c r="P438" s="26" t="str">
        <f aca="false">IFERROR(IF($O438="","",IF((1-(COUNTIFS($B$2:$B$492,$B438,$O$2:$O$492,"&gt;"&amp;$O438)+1-1)/COUNTIF($B$2:$B$492,$B438))&gt;=0.85,"Top",IF((1-(COUNTIFS($B$2:$B$492,$B438,$O$2:$O$492,"&gt;"&amp;$O438)+1-1)/COUNTIF($B$2:$B$492,$B438))&gt;=0.6,"Buono",IF((1-(COUNTIFS($B$2:$B$492,$B438,$O$2:$O$492,"&gt;"&amp;$O438)+1-1)/COUNTIF($B$2:$B$492,$B438))&gt;=0.3,"Nella Media","Scommessa/Riserva")))),"")</f>
        <v>Scommessa/Riserva</v>
      </c>
      <c r="Q438" s="29" t="n">
        <f aca="false">IF($D438="",COUNTIF($D$2:$D438,""),"")</f>
        <v>437</v>
      </c>
      <c r="R438" s="29" t="str">
        <f aca="false">IF($D438='Info Lega'!$B$28,COUNTIFS($D$2:$D438,'Info Lega'!$B$28),"")</f>
        <v/>
      </c>
      <c r="S438" s="30" t="n">
        <f aca="false">IFERROR(INDEX('Input Statistiche 2025_26'!$G$3:$G$665,MATCH($A438,'Input Statistiche 2025_26'!$A$3:$A$665,0)),"")</f>
        <v>0</v>
      </c>
      <c r="T438" s="30" t="n">
        <f aca="false">IFERROR(INDEX('Input Statistiche 2025_26'!$H$3:$H$665,MATCH($A438,'Input Statistiche 2025_26'!$A$3:$A$665,0)),"")</f>
        <v>0</v>
      </c>
      <c r="U438" s="26" t="str">
        <f aca="false">IF(OR('La Mia Rosa'!$O$12="",$D438&lt;&gt;""),"",IF($F438&lt;='La Mia Rosa'!$O$12*'Parametri Modello'!$B$24,"OK",IF($F438&lt;='La Mia Rosa'!$O$12*'Parametri Modello'!$B$25,"Attenzione","Rischio Alto")))</f>
        <v>OK</v>
      </c>
      <c r="V438" s="26" t="n">
        <f aca="false">IFERROR(COUNTIFS($B$2:$B$492,$B438,$O$2:$O$492,"&gt;"&amp;$O438)+1,"")</f>
        <v>163</v>
      </c>
      <c r="W438" s="21" t="n">
        <f aca="false">'Info Lega'!$B$4-SUMIFS($M$2:$M$492,$D$2:$D$492,'Info Lega'!$B$28)</f>
        <v>1000</v>
      </c>
      <c r="X438" s="21" t="n">
        <f aca="false">('Info Lega'!$B$5-COUNTIFS($D$2:$D$492,'Info Lega'!$B$28,$B$2:$B$492,"P"))+('Info Lega'!$B$6-COUNTIFS($D$2:$D$492,'Info Lega'!$B$28,$B$2:$B$492,"D"))+('Info Lega'!$B$7-COUNTIFS($D$2:$D$492,'Info Lega'!$B$28,$B$2:$B$492,"C"))+('Info Lega'!$B$8-COUNTIFS($D$2:$D$492,'Info Lega'!$B$28,$B$2:$B$492,"A"))</f>
        <v>25</v>
      </c>
      <c r="Y438" s="21" t="n">
        <f aca="false">X438*'Parametri Modello'!$B$30</f>
        <v>25</v>
      </c>
      <c r="Z438" s="21" t="n">
        <f aca="false">MAX(0,W438-Y438)</f>
        <v>975</v>
      </c>
      <c r="AA438" s="21" t="n">
        <f aca="false">MIN(F438,Z438)</f>
        <v>1</v>
      </c>
      <c r="AB438" s="21"/>
      <c r="AC438" s="21" t="str">
        <f aca="false">IF(AB438="","",IF(AB438&gt;AA438,"PASS",IF(AB438&lt;=AA438*0.85,"BID","ATTENZIONE")))</f>
        <v/>
      </c>
      <c r="AD438" s="31" t="n">
        <f aca="false">IF(I438="","",ROUND(100*(1-EXP(-I438/30)),0))</f>
        <v>0</v>
      </c>
      <c r="AE438" s="7" t="str">
        <f aca="false">IFERROR(INDEX('Stato Asta'!$G$9:$G$12,MATCH($B438,'Stato Asta'!$A$9:$A$12,0)),"")</f>
        <v>🟡 Attesa rischiosa</v>
      </c>
    </row>
    <row r="439" customFormat="false" ht="14.25" hidden="false" customHeight="true" outlineLevel="0" collapsed="false">
      <c r="A439" s="21" t="n">
        <v>6410</v>
      </c>
      <c r="B439" s="21" t="s">
        <v>45</v>
      </c>
      <c r="C439" s="21" t="s">
        <v>528</v>
      </c>
      <c r="E439" s="26" t="str">
        <f aca="false">IF(COUNTIF('Info Strategia'!$D$2:$D$51,$C439)&gt;0,"SI","NO")</f>
        <v>NO</v>
      </c>
      <c r="F439" s="27" t="n">
        <f aca="false">IFERROR(ROUND(($G439+($H439-$G439)*'Info Strategia'!$B$6)*(1+IF($E439="SI",'Parametri Modello'!$B$7*'Info Strategia'!$B$6,0)),0),"")</f>
        <v>1</v>
      </c>
      <c r="G439" s="27" t="n">
        <f aca="false">IFERROR(ROUND((IF(OR(INDEX('Parametri Modello'!$C$39:$C$42,MATCH($B439,'Parametri Modello'!$A$39:$A$42,0))="",INDEX('Parametri Modello'!$C$39:$C$42,MATCH($B439,'Parametri Modello'!$A$39:$A$42,0))=0),0,($O439/INDEX('Parametri Modello'!$C$39:$C$42,MATCH($B439,'Parametri Modello'!$A$39:$A$42,0)))*(INDEX('Parametri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H439" s="27" t="n">
        <f aca="false">IFERROR(ROUND((IF(OR(INDEX('Parametri Modello'!$C$39:$C$42,MATCH($B439,'Parametri Modello'!$A$39:$A$42,0))="",INDEX('Parametri Modello'!$C$39:$C$42,MATCH($B439,'Parametri Modello'!$A$39:$A$42,0))=0),0,($O439/INDEX('Parametri Modello'!$C$39:$C$42,MATCH($B439,'Parametri Modello'!$A$39:$A$42,0)))*(INDEX('Parametri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I439" s="26" t="n">
        <f aca="false">IFERROR(INDEX('Input Statistiche 2025_26'!$F$3:$F$665,MATCH($A439,'Input Statistiche 2025_26'!$A$3:$A$665,0)),"")</f>
        <v>11</v>
      </c>
      <c r="J439" s="26" t="n">
        <f aca="false">IFERROR(IF($I439="","",MAX(0,38-$I439)),"")</f>
        <v>27</v>
      </c>
      <c r="K439" s="26" t="n">
        <f aca="false">IFERROR(INDEX('Input Statistiche 2025_26'!$I$3:$I$665,MATCH($A439,'Input Statistiche 2025_26'!$A$3:$A$665,0)),"")</f>
        <v>0</v>
      </c>
      <c r="L439" s="26" t="n">
        <f aca="false">IFERROR(INDEX('Input Statistiche 2025_26'!$O$3:$O$665,MATCH($A439,'Input Statistiche 2025_26'!$A$3:$A$665,0)),"")</f>
        <v>0</v>
      </c>
      <c r="M439" s="28"/>
      <c r="N439" s="27" t="n">
        <f aca="false">IFERROR(INDEX('Input Giocatori 2026_27'!$E$3:$E$493,MATCH($A439,'Input Giocatori 2026_27'!$A$3:$A$493,0)),"")</f>
        <v>1</v>
      </c>
      <c r="O439" s="27" t="n">
        <f aca="false">IFERROR(INDEX('Input Giocatori 2026_27'!$G$3:$G$493,MATCH($A439,'Input Giocatori 2026_27'!$A$3:$A$493,0)),"")</f>
        <v>2</v>
      </c>
      <c r="P439" s="26" t="str">
        <f aca="false">IFERROR(IF($O439="","",IF((1-(COUNTIFS($B$2:$B$492,$B439,$O$2:$O$492,"&gt;"&amp;$O439)+1-1)/COUNTIF($B$2:$B$492,$B439))&gt;=0.85,"Top",IF((1-(COUNTIFS($B$2:$B$492,$B439,$O$2:$O$492,"&gt;"&amp;$O439)+1-1)/COUNTIF($B$2:$B$492,$B439))&gt;=0.6,"Buono",IF((1-(COUNTIFS($B$2:$B$492,$B439,$O$2:$O$492,"&gt;"&amp;$O439)+1-1)/COUNTIF($B$2:$B$492,$B439))&gt;=0.3,"Nella Media","Scommessa/Riserva")))),"")</f>
        <v>Scommessa/Riserva</v>
      </c>
      <c r="Q439" s="29" t="n">
        <f aca="false">IF($D439="",COUNTIF($D$2:$D439,""),"")</f>
        <v>438</v>
      </c>
      <c r="R439" s="29" t="str">
        <f aca="false">IF($D439='Info Lega'!$B$28,COUNTIFS($D$2:$D439,'Info Lega'!$B$28),"")</f>
        <v/>
      </c>
      <c r="S439" s="30" t="n">
        <f aca="false">IFERROR(INDEX('Input Statistiche 2025_26'!$G$3:$G$665,MATCH($A439,'Input Statistiche 2025_26'!$A$3:$A$665,0)),"")</f>
        <v>5.77</v>
      </c>
      <c r="T439" s="30" t="n">
        <f aca="false">IFERROR(INDEX('Input Statistiche 2025_26'!$H$3:$H$665,MATCH($A439,'Input Statistiche 2025_26'!$A$3:$A$665,0)),"")</f>
        <v>5.73</v>
      </c>
      <c r="U439" s="26" t="str">
        <f aca="false">IF(OR('La Mia Rosa'!$O$12="",$D439&lt;&gt;""),"",IF($F439&lt;='La Mia Rosa'!$O$12*'Parametri Modello'!$B$24,"OK",IF($F439&lt;='La Mia Rosa'!$O$12*'Parametri Modello'!$B$25,"Attenzione","Rischio Alto")))</f>
        <v>OK</v>
      </c>
      <c r="V439" s="26" t="n">
        <f aca="false">IFERROR(COUNTIFS($B$2:$B$492,$B439,$O$2:$O$492,"&gt;"&amp;$O439)+1,"")</f>
        <v>167</v>
      </c>
      <c r="W439" s="21" t="n">
        <f aca="false">'Info Lega'!$B$4-SUMIFS($M$2:$M$492,$D$2:$D$492,'Info Lega'!$B$28)</f>
        <v>1000</v>
      </c>
      <c r="X439" s="21" t="n">
        <f aca="false">('Info Lega'!$B$5-COUNTIFS($D$2:$D$492,'Info Lega'!$B$28,$B$2:$B$492,"P"))+('Info Lega'!$B$6-COUNTIFS($D$2:$D$492,'Info Lega'!$B$28,$B$2:$B$492,"D"))+('Info Lega'!$B$7-COUNTIFS($D$2:$D$492,'Info Lega'!$B$28,$B$2:$B$492,"C"))+('Info Lega'!$B$8-COUNTIFS($D$2:$D$492,'Info Lega'!$B$28,$B$2:$B$492,"A"))</f>
        <v>25</v>
      </c>
      <c r="Y439" s="21" t="n">
        <f aca="false">X439*'Parametri Modello'!$B$30</f>
        <v>25</v>
      </c>
      <c r="Z439" s="21" t="n">
        <f aca="false">MAX(0,W439-Y439)</f>
        <v>975</v>
      </c>
      <c r="AA439" s="21" t="n">
        <f aca="false">MIN(F439,Z439)</f>
        <v>1</v>
      </c>
      <c r="AB439" s="21"/>
      <c r="AC439" s="21" t="str">
        <f aca="false">IF(AB439="","",IF(AB439&gt;AA439,"PASS",IF(AB439&lt;=AA439*0.85,"BID","ATTENZIONE")))</f>
        <v/>
      </c>
      <c r="AD439" s="31" t="n">
        <f aca="false">IF(I439="","",ROUND(100*(1-EXP(-I439/30)),0))</f>
        <v>31</v>
      </c>
      <c r="AE439" s="7" t="str">
        <f aca="false">IFERROR(INDEX('Stato Asta'!$G$9:$G$12,MATCH($B439,'Stato Asta'!$A$9:$A$12,0)),"")</f>
        <v>🟡 Attesa rischiosa</v>
      </c>
    </row>
    <row r="440" customFormat="false" ht="14.25" hidden="false" customHeight="true" outlineLevel="0" collapsed="false">
      <c r="A440" s="21" t="n">
        <v>7317</v>
      </c>
      <c r="B440" s="21" t="s">
        <v>46</v>
      </c>
      <c r="C440" s="21" t="s">
        <v>616</v>
      </c>
      <c r="E440" s="26" t="str">
        <f aca="false">IF(COUNTIF('Info Strategia'!$D$2:$D$51,$C440)&gt;0,"SI","NO")</f>
        <v>NO</v>
      </c>
      <c r="F440" s="27" t="n">
        <f aca="false">IFERROR(ROUND(($G440+($H440-$G440)*'Info Strategia'!$B$6)*(1+IF($E440="SI",'Parametri Modello'!$B$7*'Info Strategia'!$B$6,0)),0),"")</f>
        <v>2</v>
      </c>
      <c r="G440" s="27" t="n">
        <f aca="false">IFERROR(ROUND((IF(OR(INDEX('Parametri Modello'!$C$39:$C$42,MATCH($B440,'Parametri Modello'!$A$39:$A$42,0))="",INDEX('Parametri Modello'!$C$39:$C$42,MATCH($B440,'Parametri Modello'!$A$39:$A$42,0))=0),0,($O440/INDEX('Parametri Modello'!$C$39:$C$42,MATCH($B440,'Parametri Modello'!$A$39:$A$42,0)))*(INDEX('Parametri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H440" s="27" t="n">
        <f aca="false">IFERROR(ROUND((IF(OR(INDEX('Parametri Modello'!$C$39:$C$42,MATCH($B440,'Parametri Modello'!$A$39:$A$42,0))="",INDEX('Parametri Modello'!$C$39:$C$42,MATCH($B440,'Parametri Modello'!$A$39:$A$42,0))=0),0,($O440/INDEX('Parametri Modello'!$C$39:$C$42,MATCH($B440,'Parametri Modello'!$A$39:$A$42,0)))*(INDEX('Parametri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2</v>
      </c>
      <c r="I440" s="26" t="n">
        <f aca="false">IFERROR(INDEX('Input Statistiche 2025_26'!$F$3:$F$665,MATCH($A440,'Input Statistiche 2025_26'!$A$3:$A$665,0)),"")</f>
        <v>3</v>
      </c>
      <c r="J440" s="26" t="n">
        <f aca="false">IFERROR(IF($I440="","",MAX(0,38-$I440)),"")</f>
        <v>35</v>
      </c>
      <c r="K440" s="26" t="n">
        <f aca="false">IFERROR(INDEX('Input Statistiche 2025_26'!$I$3:$I$665,MATCH($A440,'Input Statistiche 2025_26'!$A$3:$A$665,0)),"")</f>
        <v>0</v>
      </c>
      <c r="L440" s="26" t="n">
        <f aca="false">IFERROR(INDEX('Input Statistiche 2025_26'!$O$3:$O$665,MATCH($A440,'Input Statistiche 2025_26'!$A$3:$A$665,0)),"")</f>
        <v>0</v>
      </c>
      <c r="M440" s="28"/>
      <c r="N440" s="27" t="n">
        <f aca="false">IFERROR(INDEX('Input Giocatori 2026_27'!$E$3:$E$493,MATCH($A440,'Input Giocatori 2026_27'!$A$3:$A$493,0)),"")</f>
        <v>1</v>
      </c>
      <c r="O440" s="27" t="n">
        <f aca="false">IFERROR(INDEX('Input Giocatori 2026_27'!$G$3:$G$493,MATCH($A440,'Input Giocatori 2026_27'!$A$3:$A$493,0)),"")</f>
        <v>2</v>
      </c>
      <c r="P440" s="26" t="str">
        <f aca="false">IFERROR(IF($O440="","",IF((1-(COUNTIFS($B$2:$B$492,$B440,$O$2:$O$492,"&gt;"&amp;$O440)+1-1)/COUNTIF($B$2:$B$492,$B440))&gt;=0.85,"Top",IF((1-(COUNTIFS($B$2:$B$492,$B440,$O$2:$O$492,"&gt;"&amp;$O440)+1-1)/COUNTIF($B$2:$B$492,$B440))&gt;=0.6,"Buono",IF((1-(COUNTIFS($B$2:$B$492,$B440,$O$2:$O$492,"&gt;"&amp;$O440)+1-1)/COUNTIF($B$2:$B$492,$B440))&gt;=0.3,"Nella Media","Scommessa/Riserva")))),"")</f>
        <v>Scommessa/Riserva</v>
      </c>
      <c r="Q440" s="29" t="n">
        <f aca="false">IF($D440="",COUNTIF($D$2:$D440,""),"")</f>
        <v>439</v>
      </c>
      <c r="R440" s="29" t="str">
        <f aca="false">IF($D440='Info Lega'!$B$28,COUNTIFS($D$2:$D440,'Info Lega'!$B$28),"")</f>
        <v/>
      </c>
      <c r="S440" s="30" t="n">
        <f aca="false">IFERROR(INDEX('Input Statistiche 2025_26'!$G$3:$G$665,MATCH($A440,'Input Statistiche 2025_26'!$A$3:$A$665,0)),"")</f>
        <v>5.67</v>
      </c>
      <c r="T440" s="30" t="n">
        <f aca="false">IFERROR(INDEX('Input Statistiche 2025_26'!$H$3:$H$665,MATCH($A440,'Input Statistiche 2025_26'!$A$3:$A$665,0)),"")</f>
        <v>5.67</v>
      </c>
      <c r="U440" s="26" t="str">
        <f aca="false">IF(OR('La Mia Rosa'!$O$12="",$D440&lt;&gt;""),"",IF($F440&lt;='La Mia Rosa'!$O$12*'Parametri Modello'!$B$24,"OK",IF($F440&lt;='La Mia Rosa'!$O$12*'Parametri Modello'!$B$25,"Attenzione","Rischio Alto")))</f>
        <v>OK</v>
      </c>
      <c r="V440" s="26" t="n">
        <f aca="false">IFERROR(COUNTIFS($B$2:$B$492,$B440,$O$2:$O$492,"&gt;"&amp;$O440)+1,"")</f>
        <v>80</v>
      </c>
      <c r="W440" s="21" t="n">
        <f aca="false">'Info Lega'!$B$4-SUMIFS($M$2:$M$492,$D$2:$D$492,'Info Lega'!$B$28)</f>
        <v>1000</v>
      </c>
      <c r="X440" s="21" t="n">
        <f aca="false">('Info Lega'!$B$5-COUNTIFS($D$2:$D$492,'Info Lega'!$B$28,$B$2:$B$492,"P"))+('Info Lega'!$B$6-COUNTIFS($D$2:$D$492,'Info Lega'!$B$28,$B$2:$B$492,"D"))+('Info Lega'!$B$7-COUNTIFS($D$2:$D$492,'Info Lega'!$B$28,$B$2:$B$492,"C"))+('Info Lega'!$B$8-COUNTIFS($D$2:$D$492,'Info Lega'!$B$28,$B$2:$B$492,"A"))</f>
        <v>25</v>
      </c>
      <c r="Y440" s="21" t="n">
        <f aca="false">X440*'Parametri Modello'!$B$30</f>
        <v>25</v>
      </c>
      <c r="Z440" s="21" t="n">
        <f aca="false">MAX(0,W440-Y440)</f>
        <v>975</v>
      </c>
      <c r="AA440" s="21" t="n">
        <f aca="false">MIN(F440,Z440)</f>
        <v>2</v>
      </c>
      <c r="AB440" s="21"/>
      <c r="AC440" s="21" t="str">
        <f aca="false">IF(AB440="","",IF(AB440&gt;AA440,"PASS",IF(AB440&lt;=AA440*0.85,"BID","ATTENZIONE")))</f>
        <v/>
      </c>
      <c r="AD440" s="31" t="n">
        <f aca="false">IF(I440="","",ROUND(100*(1-EXP(-I440/30)),0))</f>
        <v>10</v>
      </c>
      <c r="AE440" s="7" t="str">
        <f aca="false">IFERROR(INDEX('Stato Asta'!$G$9:$G$12,MATCH($B440,'Stato Asta'!$A$9:$A$12,0)),"")</f>
        <v>🔴 Non aspettare</v>
      </c>
    </row>
    <row r="441" customFormat="false" ht="14.25" hidden="false" customHeight="true" outlineLevel="0" collapsed="false">
      <c r="A441" s="21" t="n">
        <v>2297</v>
      </c>
      <c r="B441" s="21" t="s">
        <v>43</v>
      </c>
      <c r="C441" s="21" t="s">
        <v>155</v>
      </c>
      <c r="E441" s="26" t="str">
        <f aca="false">IF(COUNTIF('Info Strategia'!$D$2:$D$51,$C441)&gt;0,"SI","NO")</f>
        <v>NO</v>
      </c>
      <c r="F441" s="27" t="n">
        <f aca="false">IFERROR(ROUND(($G441+($H441-$G441)*'Info Strategia'!$B$6)*(1+IF($E441="SI",'Parametri Modello'!$B$7*'Info Strategia'!$B$6,0)),0),"")</f>
        <v>1</v>
      </c>
      <c r="G441" s="27" t="n">
        <f aca="false">IFERROR(ROUND((IF(OR(INDEX('Parametri Modello'!$C$39:$C$42,MATCH($B441,'Parametri Modello'!$A$39:$A$42,0))="",INDEX('Parametri Modello'!$C$39:$C$42,MATCH($B441,'Parametri Modello'!$A$39:$A$42,0))=0),0,($O441/INDEX('Parametri Modello'!$C$39:$C$42,MATCH($B441,'Parametri Modello'!$A$39:$A$42,0)))*(INDEX('Parametri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H441" s="27" t="n">
        <f aca="false">IFERROR(ROUND((IF(OR(INDEX('Parametri Modello'!$C$39:$C$42,MATCH($B441,'Parametri Modello'!$A$39:$A$42,0))="",INDEX('Parametri Modello'!$C$39:$C$42,MATCH($B441,'Parametri Modello'!$A$39:$A$42,0))=0),0,($O441/INDEX('Parametri Modello'!$C$39:$C$42,MATCH($B441,'Parametri Modello'!$A$39:$A$42,0)))*(INDEX('Parametri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I441" s="26" t="n">
        <f aca="false">IFERROR(INDEX('Input Statistiche 2025_26'!$F$3:$F$665,MATCH($A441,'Input Statistiche 2025_26'!$A$3:$A$665,0)),"")</f>
        <v>0</v>
      </c>
      <c r="J441" s="26" t="n">
        <f aca="false">IFERROR(IF($I441="","",MAX(0,38-$I441)),"")</f>
        <v>38</v>
      </c>
      <c r="K441" s="26" t="n">
        <f aca="false">IFERROR(INDEX('Input Statistiche 2025_26'!$I$3:$I$665,MATCH($A441,'Input Statistiche 2025_26'!$A$3:$A$665,0)),"")</f>
        <v>0</v>
      </c>
      <c r="L441" s="26" t="n">
        <f aca="false">IFERROR(INDEX('Input Statistiche 2025_26'!$O$3:$O$665,MATCH($A441,'Input Statistiche 2025_26'!$A$3:$A$665,0)),"")</f>
        <v>0</v>
      </c>
      <c r="M441" s="28"/>
      <c r="N441" s="27" t="n">
        <f aca="false">IFERROR(INDEX('Input Giocatori 2026_27'!$E$3:$E$493,MATCH($A441,'Input Giocatori 2026_27'!$A$3:$A$493,0)),"")</f>
        <v>1</v>
      </c>
      <c r="O441" s="27" t="n">
        <f aca="false">IFERROR(INDEX('Input Giocatori 2026_27'!$G$3:$G$493,MATCH($A441,'Input Giocatori 2026_27'!$A$3:$A$493,0)),"")</f>
        <v>1</v>
      </c>
      <c r="P441" s="26" t="str">
        <f aca="false">IFERROR(IF($O441="","",IF((1-(COUNTIFS($B$2:$B$492,$B441,$O$2:$O$492,"&gt;"&amp;$O441)+1-1)/COUNTIF($B$2:$B$492,$B441))&gt;=0.85,"Top",IF((1-(COUNTIFS($B$2:$B$492,$B441,$O$2:$O$492,"&gt;"&amp;$O441)+1-1)/COUNTIF($B$2:$B$492,$B441))&gt;=0.6,"Buono",IF((1-(COUNTIFS($B$2:$B$492,$B441,$O$2:$O$492,"&gt;"&amp;$O441)+1-1)/COUNTIF($B$2:$B$492,$B441))&gt;=0.3,"Nella Media","Scommessa/Riserva")))),"")</f>
        <v>Nella Media</v>
      </c>
      <c r="Q441" s="29" t="n">
        <f aca="false">IF($D441="",COUNTIF($D$2:$D441,""),"")</f>
        <v>440</v>
      </c>
      <c r="R441" s="29" t="str">
        <f aca="false">IF($D441='Info Lega'!$B$28,COUNTIFS($D$2:$D441,'Info Lega'!$B$28),"")</f>
        <v/>
      </c>
      <c r="S441" s="30" t="n">
        <f aca="false">IFERROR(INDEX('Input Statistiche 2025_26'!$G$3:$G$665,MATCH($A441,'Input Statistiche 2025_26'!$A$3:$A$665,0)),"")</f>
        <v>0</v>
      </c>
      <c r="T441" s="30" t="n">
        <f aca="false">IFERROR(INDEX('Input Statistiche 2025_26'!$H$3:$H$665,MATCH($A441,'Input Statistiche 2025_26'!$A$3:$A$665,0)),"")</f>
        <v>0</v>
      </c>
      <c r="U441" s="26" t="str">
        <f aca="false">IF(OR('La Mia Rosa'!$O$12="",$D441&lt;&gt;""),"",IF($F441&lt;='La Mia Rosa'!$O$12*'Parametri Modello'!$B$24,"OK",IF($F441&lt;='La Mia Rosa'!$O$12*'Parametri Modello'!$B$25,"Attenzione","Rischio Alto")))</f>
        <v>OK</v>
      </c>
      <c r="V441" s="26" t="n">
        <f aca="false">IFERROR(COUNTIFS($B$2:$B$492,$B441,$O$2:$O$492,"&gt;"&amp;$O441)+1,"")</f>
        <v>26</v>
      </c>
      <c r="W441" s="21" t="n">
        <f aca="false">'Info Lega'!$B$4-SUMIFS($M$2:$M$492,$D$2:$D$492,'Info Lega'!$B$28)</f>
        <v>1000</v>
      </c>
      <c r="X441" s="21" t="n">
        <f aca="false">('Info Lega'!$B$5-COUNTIFS($D$2:$D$492,'Info Lega'!$B$28,$B$2:$B$492,"P"))+('Info Lega'!$B$6-COUNTIFS($D$2:$D$492,'Info Lega'!$B$28,$B$2:$B$492,"D"))+('Info Lega'!$B$7-COUNTIFS($D$2:$D$492,'Info Lega'!$B$28,$B$2:$B$492,"C"))+('Info Lega'!$B$8-COUNTIFS($D$2:$D$492,'Info Lega'!$B$28,$B$2:$B$492,"A"))</f>
        <v>25</v>
      </c>
      <c r="Y441" s="21" t="n">
        <f aca="false">X441*'Parametri Modello'!$B$30</f>
        <v>25</v>
      </c>
      <c r="Z441" s="21" t="n">
        <f aca="false">MAX(0,W441-Y441)</f>
        <v>975</v>
      </c>
      <c r="AA441" s="21" t="n">
        <f aca="false">MIN(F441,Z441)</f>
        <v>1</v>
      </c>
      <c r="AB441" s="21"/>
      <c r="AC441" s="21" t="str">
        <f aca="false">IF(AB441="","",IF(AB441&gt;AA441,"PASS",IF(AB441&lt;=AA441*0.85,"BID","ATTENZIONE")))</f>
        <v/>
      </c>
      <c r="AD441" s="31" t="n">
        <f aca="false">IF(I441="","",ROUND(100*(1-EXP(-I441/30)),0))</f>
        <v>0</v>
      </c>
      <c r="AE441" s="7" t="str">
        <f aca="false">IFERROR(INDEX('Stato Asta'!$G$9:$G$12,MATCH($B441,'Stato Asta'!$A$9:$A$12,0)),"")</f>
        <v>🟡 Attesa rischiosa</v>
      </c>
    </row>
    <row r="442" customFormat="false" ht="14.25" hidden="false" customHeight="true" outlineLevel="0" collapsed="false">
      <c r="A442" s="21" t="n">
        <v>4</v>
      </c>
      <c r="B442" s="21" t="s">
        <v>43</v>
      </c>
      <c r="C442" s="21" t="s">
        <v>156</v>
      </c>
      <c r="E442" s="26" t="str">
        <f aca="false">IF(COUNTIF('Info Strategia'!$D$2:$D$51,$C442)&gt;0,"SI","NO")</f>
        <v>NO</v>
      </c>
      <c r="F442" s="27" t="n">
        <f aca="false">IFERROR(ROUND(($G442+($H442-$G442)*'Info Strategia'!$B$6)*(1+IF($E442="SI",'Parametri Modello'!$B$7*'Info Strategia'!$B$6,0)),0),"")</f>
        <v>1</v>
      </c>
      <c r="G442" s="27" t="n">
        <f aca="false">IFERROR(ROUND((IF(OR(INDEX('Parametri Modello'!$C$39:$C$42,MATCH($B442,'Parametri Modello'!$A$39:$A$42,0))="",INDEX('Parametri Modello'!$C$39:$C$42,MATCH($B442,'Parametri Modello'!$A$39:$A$42,0))=0),0,($O442/INDEX('Parametri Modello'!$C$39:$C$42,MATCH($B442,'Parametri Modello'!$A$39:$A$42,0)))*(INDEX('Parametri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H442" s="27" t="n">
        <f aca="false">IFERROR(ROUND((IF(OR(INDEX('Parametri Modello'!$C$39:$C$42,MATCH($B442,'Parametri Modello'!$A$39:$A$42,0))="",INDEX('Parametri Modello'!$C$39:$C$42,MATCH($B442,'Parametri Modello'!$A$39:$A$42,0))=0),0,($O442/INDEX('Parametri Modello'!$C$39:$C$42,MATCH($B442,'Parametri Modello'!$A$39:$A$42,0)))*(INDEX('Parametri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I442" s="26" t="n">
        <f aca="false">IFERROR(INDEX('Input Statistiche 2025_26'!$F$3:$F$665,MATCH($A442,'Input Statistiche 2025_26'!$A$3:$A$665,0)),"")</f>
        <v>1</v>
      </c>
      <c r="J442" s="26" t="n">
        <f aca="false">IFERROR(IF($I442="","",MAX(0,38-$I442)),"")</f>
        <v>37</v>
      </c>
      <c r="K442" s="26" t="n">
        <f aca="false">IFERROR(INDEX('Input Statistiche 2025_26'!$I$3:$I$665,MATCH($A442,'Input Statistiche 2025_26'!$A$3:$A$665,0)),"")</f>
        <v>0</v>
      </c>
      <c r="L442" s="26" t="n">
        <f aca="false">IFERROR(INDEX('Input Statistiche 2025_26'!$O$3:$O$665,MATCH($A442,'Input Statistiche 2025_26'!$A$3:$A$665,0)),"")</f>
        <v>0</v>
      </c>
      <c r="M442" s="28"/>
      <c r="N442" s="27" t="n">
        <f aca="false">IFERROR(INDEX('Input Giocatori 2026_27'!$E$3:$E$493,MATCH($A442,'Input Giocatori 2026_27'!$A$3:$A$493,0)),"")</f>
        <v>1</v>
      </c>
      <c r="O442" s="27" t="n">
        <f aca="false">IFERROR(INDEX('Input Giocatori 2026_27'!$G$3:$G$493,MATCH($A442,'Input Giocatori 2026_27'!$A$3:$A$493,0)),"")</f>
        <v>1</v>
      </c>
      <c r="P442" s="26" t="str">
        <f aca="false">IFERROR(IF($O442="","",IF((1-(COUNTIFS($B$2:$B$492,$B442,$O$2:$O$492,"&gt;"&amp;$O442)+1-1)/COUNTIF($B$2:$B$492,$B442))&gt;=0.85,"Top",IF((1-(COUNTIFS($B$2:$B$492,$B442,$O$2:$O$492,"&gt;"&amp;$O442)+1-1)/COUNTIF($B$2:$B$492,$B442))&gt;=0.6,"Buono",IF((1-(COUNTIFS($B$2:$B$492,$B442,$O$2:$O$492,"&gt;"&amp;$O442)+1-1)/COUNTIF($B$2:$B$492,$B442))&gt;=0.3,"Nella Media","Scommessa/Riserva")))),"")</f>
        <v>Nella Media</v>
      </c>
      <c r="Q442" s="29" t="n">
        <f aca="false">IF($D442="",COUNTIF($D$2:$D442,""),"")</f>
        <v>441</v>
      </c>
      <c r="R442" s="29" t="str">
        <f aca="false">IF($D442='Info Lega'!$B$28,COUNTIFS($D$2:$D442,'Info Lega'!$B$28),"")</f>
        <v/>
      </c>
      <c r="S442" s="30" t="n">
        <f aca="false">IFERROR(INDEX('Input Statistiche 2025_26'!$G$3:$G$665,MATCH($A442,'Input Statistiche 2025_26'!$A$3:$A$665,0)),"")</f>
        <v>5.5</v>
      </c>
      <c r="T442" s="30" t="n">
        <f aca="false">IFERROR(INDEX('Input Statistiche 2025_26'!$H$3:$H$665,MATCH($A442,'Input Statistiche 2025_26'!$A$3:$A$665,0)),"")</f>
        <v>4.5</v>
      </c>
      <c r="U442" s="26" t="str">
        <f aca="false">IF(OR('La Mia Rosa'!$O$12="",$D442&lt;&gt;""),"",IF($F442&lt;='La Mia Rosa'!$O$12*'Parametri Modello'!$B$24,"OK",IF($F442&lt;='La Mia Rosa'!$O$12*'Parametri Modello'!$B$25,"Attenzione","Rischio Alto")))</f>
        <v>OK</v>
      </c>
      <c r="V442" s="26" t="n">
        <f aca="false">IFERROR(COUNTIFS($B$2:$B$492,$B442,$O$2:$O$492,"&gt;"&amp;$O442)+1,"")</f>
        <v>26</v>
      </c>
      <c r="W442" s="21" t="n">
        <f aca="false">'Info Lega'!$B$4-SUMIFS($M$2:$M$492,$D$2:$D$492,'Info Lega'!$B$28)</f>
        <v>1000</v>
      </c>
      <c r="X442" s="21" t="n">
        <f aca="false">('Info Lega'!$B$5-COUNTIFS($D$2:$D$492,'Info Lega'!$B$28,$B$2:$B$492,"P"))+('Info Lega'!$B$6-COUNTIFS($D$2:$D$492,'Info Lega'!$B$28,$B$2:$B$492,"D"))+('Info Lega'!$B$7-COUNTIFS($D$2:$D$492,'Info Lega'!$B$28,$B$2:$B$492,"C"))+('Info Lega'!$B$8-COUNTIFS($D$2:$D$492,'Info Lega'!$B$28,$B$2:$B$492,"A"))</f>
        <v>25</v>
      </c>
      <c r="Y442" s="21" t="n">
        <f aca="false">X442*'Parametri Modello'!$B$30</f>
        <v>25</v>
      </c>
      <c r="Z442" s="21" t="n">
        <f aca="false">MAX(0,W442-Y442)</f>
        <v>975</v>
      </c>
      <c r="AA442" s="21" t="n">
        <f aca="false">MIN(F442,Z442)</f>
        <v>1</v>
      </c>
      <c r="AB442" s="21"/>
      <c r="AC442" s="21" t="str">
        <f aca="false">IF(AB442="","",IF(AB442&gt;AA442,"PASS",IF(AB442&lt;=AA442*0.85,"BID","ATTENZIONE")))</f>
        <v/>
      </c>
      <c r="AD442" s="31" t="n">
        <f aca="false">IF(I442="","",ROUND(100*(1-EXP(-I442/30)),0))</f>
        <v>3</v>
      </c>
      <c r="AE442" s="7" t="str">
        <f aca="false">IFERROR(INDEX('Stato Asta'!$G$9:$G$12,MATCH($B442,'Stato Asta'!$A$9:$A$12,0)),"")</f>
        <v>🟡 Attesa rischiosa</v>
      </c>
    </row>
    <row r="443" customFormat="false" ht="14.25" hidden="false" customHeight="true" outlineLevel="0" collapsed="false">
      <c r="A443" s="21" t="n">
        <v>7533</v>
      </c>
      <c r="B443" s="21" t="s">
        <v>43</v>
      </c>
      <c r="C443" s="21" t="s">
        <v>157</v>
      </c>
      <c r="E443" s="26" t="str">
        <f aca="false">IF(COUNTIF('Info Strategia'!$D$2:$D$51,$C443)&gt;0,"SI","NO")</f>
        <v>NO</v>
      </c>
      <c r="F443" s="27" t="n">
        <f aca="false">IFERROR(ROUND(($G443+($H443-$G443)*'Info Strategia'!$B$6)*(1+IF($E443="SI",'Parametri Modello'!$B$7*'Info Strategia'!$B$6,0)),0),"")</f>
        <v>1</v>
      </c>
      <c r="G443" s="27" t="n">
        <f aca="false">IFERROR(ROUND((IF(OR(INDEX('Parametri Modello'!$C$39:$C$42,MATCH($B443,'Parametri Modello'!$A$39:$A$42,0))="",INDEX('Parametri Modello'!$C$39:$C$42,MATCH($B443,'Parametri Modello'!$A$39:$A$42,0))=0),0,($O443/INDEX('Parametri Modello'!$C$39:$C$42,MATCH($B443,'Parametri Modello'!$A$39:$A$42,0)))*(INDEX('Parametri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H443" s="27" t="n">
        <f aca="false">IFERROR(ROUND((IF(OR(INDEX('Parametri Modello'!$C$39:$C$42,MATCH($B443,'Parametri Modello'!$A$39:$A$42,0))="",INDEX('Parametri Modello'!$C$39:$C$42,MATCH($B443,'Parametri Modello'!$A$39:$A$42,0))=0),0,($O443/INDEX('Parametri Modello'!$C$39:$C$42,MATCH($B443,'Parametri Modello'!$A$39:$A$42,0)))*(INDEX('Parametri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I443" s="26" t="str">
        <f aca="false">IFERROR(INDEX('Input Statistiche 2025_26'!$F$3:$F$665,MATCH($A443,'Input Statistiche 2025_26'!$A$3:$A$665,0)),"")</f>
        <v/>
      </c>
      <c r="J443" s="26" t="str">
        <f aca="false">IFERROR(IF($I443="","",MAX(0,38-$I443)),"")</f>
        <v/>
      </c>
      <c r="K443" s="26" t="str">
        <f aca="false">IFERROR(INDEX('Input Statistiche 2025_26'!$I$3:$I$665,MATCH($A443,'Input Statistiche 2025_26'!$A$3:$A$665,0)),"")</f>
        <v/>
      </c>
      <c r="L443" s="26" t="str">
        <f aca="false">IFERROR(INDEX('Input Statistiche 2025_26'!$O$3:$O$665,MATCH($A443,'Input Statistiche 2025_26'!$A$3:$A$665,0)),"")</f>
        <v/>
      </c>
      <c r="M443" s="28"/>
      <c r="N443" s="27" t="n">
        <f aca="false">IFERROR(INDEX('Input Giocatori 2026_27'!$E$3:$E$493,MATCH($A443,'Input Giocatori 2026_27'!$A$3:$A$493,0)),"")</f>
        <v>1</v>
      </c>
      <c r="O443" s="27" t="n">
        <f aca="false">IFERROR(INDEX('Input Giocatori 2026_27'!$G$3:$G$493,MATCH($A443,'Input Giocatori 2026_27'!$A$3:$A$493,0)),"")</f>
        <v>1</v>
      </c>
      <c r="P443" s="26" t="str">
        <f aca="false">IFERROR(IF($O443="","",IF((1-(COUNTIFS($B$2:$B$492,$B443,$O$2:$O$492,"&gt;"&amp;$O443)+1-1)/COUNTIF($B$2:$B$492,$B443))&gt;=0.85,"Top",IF((1-(COUNTIFS($B$2:$B$492,$B443,$O$2:$O$492,"&gt;"&amp;$O443)+1-1)/COUNTIF($B$2:$B$492,$B443))&gt;=0.6,"Buono",IF((1-(COUNTIFS($B$2:$B$492,$B443,$O$2:$O$492,"&gt;"&amp;$O443)+1-1)/COUNTIF($B$2:$B$492,$B443))&gt;=0.3,"Nella Media","Scommessa/Riserva")))),"")</f>
        <v>Nella Media</v>
      </c>
      <c r="Q443" s="29" t="n">
        <f aca="false">IF($D443="",COUNTIF($D$2:$D443,""),"")</f>
        <v>442</v>
      </c>
      <c r="R443" s="29" t="str">
        <f aca="false">IF($D443='Info Lega'!$B$28,COUNTIFS($D$2:$D443,'Info Lega'!$B$28),"")</f>
        <v/>
      </c>
      <c r="S443" s="30" t="str">
        <f aca="false">IFERROR(INDEX('Input Statistiche 2025_26'!$G$3:$G$665,MATCH($A443,'Input Statistiche 2025_26'!$A$3:$A$665,0)),"")</f>
        <v/>
      </c>
      <c r="T443" s="30" t="str">
        <f aca="false">IFERROR(INDEX('Input Statistiche 2025_26'!$H$3:$H$665,MATCH($A443,'Input Statistiche 2025_26'!$A$3:$A$665,0)),"")</f>
        <v/>
      </c>
      <c r="U443" s="26" t="str">
        <f aca="false">IF(OR('La Mia Rosa'!$O$12="",$D443&lt;&gt;""),"",IF($F443&lt;='La Mia Rosa'!$O$12*'Parametri Modello'!$B$24,"OK",IF($F443&lt;='La Mia Rosa'!$O$12*'Parametri Modello'!$B$25,"Attenzione","Rischio Alto")))</f>
        <v>OK</v>
      </c>
      <c r="V443" s="26" t="n">
        <f aca="false">IFERROR(COUNTIFS($B$2:$B$492,$B443,$O$2:$O$492,"&gt;"&amp;$O443)+1,"")</f>
        <v>26</v>
      </c>
      <c r="W443" s="21" t="n">
        <f aca="false">'Info Lega'!$B$4-SUMIFS($M$2:$M$492,$D$2:$D$492,'Info Lega'!$B$28)</f>
        <v>1000</v>
      </c>
      <c r="X443" s="21" t="n">
        <f aca="false">('Info Lega'!$B$5-COUNTIFS($D$2:$D$492,'Info Lega'!$B$28,$B$2:$B$492,"P"))+('Info Lega'!$B$6-COUNTIFS($D$2:$D$492,'Info Lega'!$B$28,$B$2:$B$492,"D"))+('Info Lega'!$B$7-COUNTIFS($D$2:$D$492,'Info Lega'!$B$28,$B$2:$B$492,"C"))+('Info Lega'!$B$8-COUNTIFS($D$2:$D$492,'Info Lega'!$B$28,$B$2:$B$492,"A"))</f>
        <v>25</v>
      </c>
      <c r="Y443" s="21" t="n">
        <f aca="false">X443*'Parametri Modello'!$B$30</f>
        <v>25</v>
      </c>
      <c r="Z443" s="21" t="n">
        <f aca="false">MAX(0,W443-Y443)</f>
        <v>975</v>
      </c>
      <c r="AA443" s="21" t="n">
        <f aca="false">MIN(F443,Z443)</f>
        <v>1</v>
      </c>
      <c r="AB443" s="21"/>
      <c r="AC443" s="21" t="str">
        <f aca="false">IF(AB443="","",IF(AB443&gt;AA443,"PASS",IF(AB443&lt;=AA443*0.85,"BID","ATTENZIONE")))</f>
        <v/>
      </c>
      <c r="AD443" s="31" t="str">
        <f aca="false">IF(I443="","",ROUND(100*(1-EXP(-I443/30)),0))</f>
        <v/>
      </c>
      <c r="AE443" s="7" t="str">
        <f aca="false">IFERROR(INDEX('Stato Asta'!$G$9:$G$12,MATCH($B443,'Stato Asta'!$A$9:$A$12,0)),"")</f>
        <v>🟡 Attesa rischiosa</v>
      </c>
    </row>
    <row r="444" customFormat="false" ht="14.25" hidden="false" customHeight="true" outlineLevel="0" collapsed="false">
      <c r="A444" s="21" t="n">
        <v>7172</v>
      </c>
      <c r="B444" s="21" t="s">
        <v>43</v>
      </c>
      <c r="C444" s="21" t="s">
        <v>158</v>
      </c>
      <c r="E444" s="26" t="str">
        <f aca="false">IF(COUNTIF('Info Strategia'!$D$2:$D$51,$C444)&gt;0,"SI","NO")</f>
        <v>NO</v>
      </c>
      <c r="F444" s="27" t="n">
        <f aca="false">IFERROR(ROUND(($G444+($H444-$G444)*'Info Strategia'!$B$6)*(1+IF($E444="SI",'Parametri Modello'!$B$7*'Info Strategia'!$B$6,0)),0),"")</f>
        <v>1</v>
      </c>
      <c r="G444" s="27" t="n">
        <f aca="false">IFERROR(ROUND((IF(OR(INDEX('Parametri Modello'!$C$39:$C$42,MATCH($B444,'Parametri Modello'!$A$39:$A$42,0))="",INDEX('Parametri Modello'!$C$39:$C$42,MATCH($B444,'Parametri Modello'!$A$39:$A$42,0))=0),0,($O444/INDEX('Parametri Modello'!$C$39:$C$42,MATCH($B444,'Parametri Modello'!$A$39:$A$42,0)))*(INDEX('Parametri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H444" s="27" t="n">
        <f aca="false">IFERROR(ROUND((IF(OR(INDEX('Parametri Modello'!$C$39:$C$42,MATCH($B444,'Parametri Modello'!$A$39:$A$42,0))="",INDEX('Parametri Modello'!$C$39:$C$42,MATCH($B444,'Parametri Modello'!$A$39:$A$42,0))=0),0,($O444/INDEX('Parametri Modello'!$C$39:$C$42,MATCH($B444,'Parametri Modello'!$A$39:$A$42,0)))*(INDEX('Parametri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I444" s="26" t="n">
        <f aca="false">IFERROR(INDEX('Input Statistiche 2025_26'!$F$3:$F$665,MATCH($A444,'Input Statistiche 2025_26'!$A$3:$A$665,0)),"")</f>
        <v>4</v>
      </c>
      <c r="J444" s="26" t="n">
        <f aca="false">IFERROR(IF($I444="","",MAX(0,38-$I444)),"")</f>
        <v>34</v>
      </c>
      <c r="K444" s="26" t="n">
        <f aca="false">IFERROR(INDEX('Input Statistiche 2025_26'!$I$3:$I$665,MATCH($A444,'Input Statistiche 2025_26'!$A$3:$A$665,0)),"")</f>
        <v>0</v>
      </c>
      <c r="L444" s="26" t="n">
        <f aca="false">IFERROR(INDEX('Input Statistiche 2025_26'!$O$3:$O$665,MATCH($A444,'Input Statistiche 2025_26'!$A$3:$A$665,0)),"")</f>
        <v>0</v>
      </c>
      <c r="M444" s="28"/>
      <c r="N444" s="27" t="n">
        <f aca="false">IFERROR(INDEX('Input Giocatori 2026_27'!$E$3:$E$493,MATCH($A444,'Input Giocatori 2026_27'!$A$3:$A$493,0)),"")</f>
        <v>1</v>
      </c>
      <c r="O444" s="27" t="n">
        <f aca="false">IFERROR(INDEX('Input Giocatori 2026_27'!$G$3:$G$493,MATCH($A444,'Input Giocatori 2026_27'!$A$3:$A$493,0)),"")</f>
        <v>1</v>
      </c>
      <c r="P444" s="26" t="str">
        <f aca="false">IFERROR(IF($O444="","",IF((1-(COUNTIFS($B$2:$B$492,$B444,$O$2:$O$492,"&gt;"&amp;$O444)+1-1)/COUNTIF($B$2:$B$492,$B444))&gt;=0.85,"Top",IF((1-(COUNTIFS($B$2:$B$492,$B444,$O$2:$O$492,"&gt;"&amp;$O444)+1-1)/COUNTIF($B$2:$B$492,$B444))&gt;=0.6,"Buono",IF((1-(COUNTIFS($B$2:$B$492,$B444,$O$2:$O$492,"&gt;"&amp;$O444)+1-1)/COUNTIF($B$2:$B$492,$B444))&gt;=0.3,"Nella Media","Scommessa/Riserva")))),"")</f>
        <v>Nella Media</v>
      </c>
      <c r="Q444" s="29" t="n">
        <f aca="false">IF($D444="",COUNTIF($D$2:$D444,""),"")</f>
        <v>443</v>
      </c>
      <c r="R444" s="29" t="str">
        <f aca="false">IF($D444='Info Lega'!$B$28,COUNTIFS($D$2:$D444,'Info Lega'!$B$28),"")</f>
        <v/>
      </c>
      <c r="S444" s="30" t="n">
        <f aca="false">IFERROR(INDEX('Input Statistiche 2025_26'!$G$3:$G$665,MATCH($A444,'Input Statistiche 2025_26'!$A$3:$A$665,0)),"")</f>
        <v>6.12</v>
      </c>
      <c r="T444" s="30" t="n">
        <f aca="false">IFERROR(INDEX('Input Statistiche 2025_26'!$H$3:$H$665,MATCH($A444,'Input Statistiche 2025_26'!$A$3:$A$665,0)),"")</f>
        <v>5.62</v>
      </c>
      <c r="U444" s="26" t="str">
        <f aca="false">IF(OR('La Mia Rosa'!$O$12="",$D444&lt;&gt;""),"",IF($F444&lt;='La Mia Rosa'!$O$12*'Parametri Modello'!$B$24,"OK",IF($F444&lt;='La Mia Rosa'!$O$12*'Parametri Modello'!$B$25,"Attenzione","Rischio Alto")))</f>
        <v>OK</v>
      </c>
      <c r="V444" s="26" t="n">
        <f aca="false">IFERROR(COUNTIFS($B$2:$B$492,$B444,$O$2:$O$492,"&gt;"&amp;$O444)+1,"")</f>
        <v>26</v>
      </c>
      <c r="W444" s="21" t="n">
        <f aca="false">'Info Lega'!$B$4-SUMIFS($M$2:$M$492,$D$2:$D$492,'Info Lega'!$B$28)</f>
        <v>1000</v>
      </c>
      <c r="X444" s="21" t="n">
        <f aca="false">('Info Lega'!$B$5-COUNTIFS($D$2:$D$492,'Info Lega'!$B$28,$B$2:$B$492,"P"))+('Info Lega'!$B$6-COUNTIFS($D$2:$D$492,'Info Lega'!$B$28,$B$2:$B$492,"D"))+('Info Lega'!$B$7-COUNTIFS($D$2:$D$492,'Info Lega'!$B$28,$B$2:$B$492,"C"))+('Info Lega'!$B$8-COUNTIFS($D$2:$D$492,'Info Lega'!$B$28,$B$2:$B$492,"A"))</f>
        <v>25</v>
      </c>
      <c r="Y444" s="21" t="n">
        <f aca="false">X444*'Parametri Modello'!$B$30</f>
        <v>25</v>
      </c>
      <c r="Z444" s="21" t="n">
        <f aca="false">MAX(0,W444-Y444)</f>
        <v>975</v>
      </c>
      <c r="AA444" s="21" t="n">
        <f aca="false">MIN(F444,Z444)</f>
        <v>1</v>
      </c>
      <c r="AB444" s="21"/>
      <c r="AC444" s="21" t="str">
        <f aca="false">IF(AB444="","",IF(AB444&gt;AA444,"PASS",IF(AB444&lt;=AA444*0.85,"BID","ATTENZIONE")))</f>
        <v/>
      </c>
      <c r="AD444" s="31" t="n">
        <f aca="false">IF(I444="","",ROUND(100*(1-EXP(-I444/30)),0))</f>
        <v>12</v>
      </c>
      <c r="AE444" s="7" t="str">
        <f aca="false">IFERROR(INDEX('Stato Asta'!$G$9:$G$12,MATCH($B444,'Stato Asta'!$A$9:$A$12,0)),"")</f>
        <v>🟡 Attesa rischiosa</v>
      </c>
    </row>
    <row r="445" customFormat="false" ht="14.25" hidden="false" customHeight="true" outlineLevel="0" collapsed="false">
      <c r="A445" s="21" t="n">
        <v>4929</v>
      </c>
      <c r="B445" s="21" t="s">
        <v>43</v>
      </c>
      <c r="C445" s="21" t="s">
        <v>159</v>
      </c>
      <c r="E445" s="26" t="str">
        <f aca="false">IF(COUNTIF('Info Strategia'!$D$2:$D$51,$C445)&gt;0,"SI","NO")</f>
        <v>NO</v>
      </c>
      <c r="F445" s="27" t="n">
        <f aca="false">IFERROR(ROUND(($G445+($H445-$G445)*'Info Strategia'!$B$6)*(1+IF($E445="SI",'Parametri Modello'!$B$7*'Info Strategia'!$B$6,0)),0),"")</f>
        <v>1</v>
      </c>
      <c r="G445" s="27" t="n">
        <f aca="false">IFERROR(ROUND((IF(OR(INDEX('Parametri Modello'!$C$39:$C$42,MATCH($B445,'Parametri Modello'!$A$39:$A$42,0))="",INDEX('Parametri Modello'!$C$39:$C$42,MATCH($B445,'Parametri Modello'!$A$39:$A$42,0))=0),0,($O445/INDEX('Parametri Modello'!$C$39:$C$42,MATCH($B445,'Parametri Modello'!$A$39:$A$42,0)))*(INDEX('Parametri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H445" s="27" t="n">
        <f aca="false">IFERROR(ROUND((IF(OR(INDEX('Parametri Modello'!$C$39:$C$42,MATCH($B445,'Parametri Modello'!$A$39:$A$42,0))="",INDEX('Parametri Modello'!$C$39:$C$42,MATCH($B445,'Parametri Modello'!$A$39:$A$42,0))=0),0,($O445/INDEX('Parametri Modello'!$C$39:$C$42,MATCH($B445,'Parametri Modello'!$A$39:$A$42,0)))*(INDEX('Parametri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I445" s="26" t="n">
        <f aca="false">IFERROR(INDEX('Input Statistiche 2025_26'!$F$3:$F$665,MATCH($A445,'Input Statistiche 2025_26'!$A$3:$A$665,0)),"")</f>
        <v>0</v>
      </c>
      <c r="J445" s="26" t="n">
        <f aca="false">IFERROR(IF($I445="","",MAX(0,38-$I445)),"")</f>
        <v>38</v>
      </c>
      <c r="K445" s="26" t="n">
        <f aca="false">IFERROR(INDEX('Input Statistiche 2025_26'!$I$3:$I$665,MATCH($A445,'Input Statistiche 2025_26'!$A$3:$A$665,0)),"")</f>
        <v>0</v>
      </c>
      <c r="L445" s="26" t="n">
        <f aca="false">IFERROR(INDEX('Input Statistiche 2025_26'!$O$3:$O$665,MATCH($A445,'Input Statistiche 2025_26'!$A$3:$A$665,0)),"")</f>
        <v>0</v>
      </c>
      <c r="M445" s="28"/>
      <c r="N445" s="27" t="n">
        <f aca="false">IFERROR(INDEX('Input Giocatori 2026_27'!$E$3:$E$493,MATCH($A445,'Input Giocatori 2026_27'!$A$3:$A$493,0)),"")</f>
        <v>1</v>
      </c>
      <c r="O445" s="27" t="n">
        <f aca="false">IFERROR(INDEX('Input Giocatori 2026_27'!$G$3:$G$493,MATCH($A445,'Input Giocatori 2026_27'!$A$3:$A$493,0)),"")</f>
        <v>1</v>
      </c>
      <c r="P445" s="26" t="str">
        <f aca="false">IFERROR(IF($O445="","",IF((1-(COUNTIFS($B$2:$B$492,$B445,$O$2:$O$492,"&gt;"&amp;$O445)+1-1)/COUNTIF($B$2:$B$492,$B445))&gt;=0.85,"Top",IF((1-(COUNTIFS($B$2:$B$492,$B445,$O$2:$O$492,"&gt;"&amp;$O445)+1-1)/COUNTIF($B$2:$B$492,$B445))&gt;=0.6,"Buono",IF((1-(COUNTIFS($B$2:$B$492,$B445,$O$2:$O$492,"&gt;"&amp;$O445)+1-1)/COUNTIF($B$2:$B$492,$B445))&gt;=0.3,"Nella Media","Scommessa/Riserva")))),"")</f>
        <v>Nella Media</v>
      </c>
      <c r="Q445" s="29" t="n">
        <f aca="false">IF($D445="",COUNTIF($D$2:$D445,""),"")</f>
        <v>444</v>
      </c>
      <c r="R445" s="29" t="str">
        <f aca="false">IF($D445='Info Lega'!$B$28,COUNTIFS($D$2:$D445,'Info Lega'!$B$28),"")</f>
        <v/>
      </c>
      <c r="S445" s="30" t="n">
        <f aca="false">IFERROR(INDEX('Input Statistiche 2025_26'!$G$3:$G$665,MATCH($A445,'Input Statistiche 2025_26'!$A$3:$A$665,0)),"")</f>
        <v>0</v>
      </c>
      <c r="T445" s="30" t="n">
        <f aca="false">IFERROR(INDEX('Input Statistiche 2025_26'!$H$3:$H$665,MATCH($A445,'Input Statistiche 2025_26'!$A$3:$A$665,0)),"")</f>
        <v>0</v>
      </c>
      <c r="U445" s="26" t="str">
        <f aca="false">IF(OR('La Mia Rosa'!$O$12="",$D445&lt;&gt;""),"",IF($F445&lt;='La Mia Rosa'!$O$12*'Parametri Modello'!$B$24,"OK",IF($F445&lt;='La Mia Rosa'!$O$12*'Parametri Modello'!$B$25,"Attenzione","Rischio Alto")))</f>
        <v>OK</v>
      </c>
      <c r="V445" s="26" t="n">
        <f aca="false">IFERROR(COUNTIFS($B$2:$B$492,$B445,$O$2:$O$492,"&gt;"&amp;$O445)+1,"")</f>
        <v>26</v>
      </c>
      <c r="W445" s="21" t="n">
        <f aca="false">'Info Lega'!$B$4-SUMIFS($M$2:$M$492,$D$2:$D$492,'Info Lega'!$B$28)</f>
        <v>1000</v>
      </c>
      <c r="X445" s="21" t="n">
        <f aca="false">('Info Lega'!$B$5-COUNTIFS($D$2:$D$492,'Info Lega'!$B$28,$B$2:$B$492,"P"))+('Info Lega'!$B$6-COUNTIFS($D$2:$D$492,'Info Lega'!$B$28,$B$2:$B$492,"D"))+('Info Lega'!$B$7-COUNTIFS($D$2:$D$492,'Info Lega'!$B$28,$B$2:$B$492,"C"))+('Info Lega'!$B$8-COUNTIFS($D$2:$D$492,'Info Lega'!$B$28,$B$2:$B$492,"A"))</f>
        <v>25</v>
      </c>
      <c r="Y445" s="21" t="n">
        <f aca="false">X445*'Parametri Modello'!$B$30</f>
        <v>25</v>
      </c>
      <c r="Z445" s="21" t="n">
        <f aca="false">MAX(0,W445-Y445)</f>
        <v>975</v>
      </c>
      <c r="AA445" s="21" t="n">
        <f aca="false">MIN(F445,Z445)</f>
        <v>1</v>
      </c>
      <c r="AB445" s="21"/>
      <c r="AC445" s="21" t="str">
        <f aca="false">IF(AB445="","",IF(AB445&gt;AA445,"PASS",IF(AB445&lt;=AA445*0.85,"BID","ATTENZIONE")))</f>
        <v/>
      </c>
      <c r="AD445" s="31" t="n">
        <f aca="false">IF(I445="","",ROUND(100*(1-EXP(-I445/30)),0))</f>
        <v>0</v>
      </c>
      <c r="AE445" s="7" t="str">
        <f aca="false">IFERROR(INDEX('Stato Asta'!$G$9:$G$12,MATCH($B445,'Stato Asta'!$A$9:$A$12,0)),"")</f>
        <v>🟡 Attesa rischiosa</v>
      </c>
    </row>
    <row r="446" customFormat="false" ht="14.25" hidden="false" customHeight="true" outlineLevel="0" collapsed="false">
      <c r="A446" s="21" t="n">
        <v>6650</v>
      </c>
      <c r="B446" s="21" t="s">
        <v>43</v>
      </c>
      <c r="C446" s="21" t="s">
        <v>160</v>
      </c>
      <c r="E446" s="26" t="str">
        <f aca="false">IF(COUNTIF('Info Strategia'!$D$2:$D$51,$C446)&gt;0,"SI","NO")</f>
        <v>NO</v>
      </c>
      <c r="F446" s="27" t="n">
        <f aca="false">IFERROR(ROUND(($G446+($H446-$G446)*'Info Strategia'!$B$6)*(1+IF($E446="SI",'Parametri Modello'!$B$7*'Info Strategia'!$B$6,0)),0),"")</f>
        <v>1</v>
      </c>
      <c r="G446" s="27" t="n">
        <f aca="false">IFERROR(ROUND((IF(OR(INDEX('Parametri Modello'!$C$39:$C$42,MATCH($B446,'Parametri Modello'!$A$39:$A$42,0))="",INDEX('Parametri Modello'!$C$39:$C$42,MATCH($B446,'Parametri Modello'!$A$39:$A$42,0))=0),0,($O446/INDEX('Parametri Modello'!$C$39:$C$42,MATCH($B446,'Parametri Modello'!$A$39:$A$42,0)))*(INDEX('Parametri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H446" s="27" t="n">
        <f aca="false">IFERROR(ROUND((IF(OR(INDEX('Parametri Modello'!$C$39:$C$42,MATCH($B446,'Parametri Modello'!$A$39:$A$42,0))="",INDEX('Parametri Modello'!$C$39:$C$42,MATCH($B446,'Parametri Modello'!$A$39:$A$42,0))=0),0,($O446/INDEX('Parametri Modello'!$C$39:$C$42,MATCH($B446,'Parametri Modello'!$A$39:$A$42,0)))*(INDEX('Parametri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I446" s="26" t="n">
        <f aca="false">IFERROR(INDEX('Input Statistiche 2025_26'!$F$3:$F$665,MATCH($A446,'Input Statistiche 2025_26'!$A$3:$A$665,0)),"")</f>
        <v>0</v>
      </c>
      <c r="J446" s="26" t="n">
        <f aca="false">IFERROR(IF($I446="","",MAX(0,38-$I446)),"")</f>
        <v>38</v>
      </c>
      <c r="K446" s="26" t="n">
        <f aca="false">IFERROR(INDEX('Input Statistiche 2025_26'!$I$3:$I$665,MATCH($A446,'Input Statistiche 2025_26'!$A$3:$A$665,0)),"")</f>
        <v>0</v>
      </c>
      <c r="L446" s="26" t="n">
        <f aca="false">IFERROR(INDEX('Input Statistiche 2025_26'!$O$3:$O$665,MATCH($A446,'Input Statistiche 2025_26'!$A$3:$A$665,0)),"")</f>
        <v>0</v>
      </c>
      <c r="M446" s="28"/>
      <c r="N446" s="27" t="n">
        <f aca="false">IFERROR(INDEX('Input Giocatori 2026_27'!$E$3:$E$493,MATCH($A446,'Input Giocatori 2026_27'!$A$3:$A$493,0)),"")</f>
        <v>1</v>
      </c>
      <c r="O446" s="27" t="n">
        <f aca="false">IFERROR(INDEX('Input Giocatori 2026_27'!$G$3:$G$493,MATCH($A446,'Input Giocatori 2026_27'!$A$3:$A$493,0)),"")</f>
        <v>1</v>
      </c>
      <c r="P446" s="26" t="str">
        <f aca="false">IFERROR(IF($O446="","",IF((1-(COUNTIFS($B$2:$B$492,$B446,$O$2:$O$492,"&gt;"&amp;$O446)+1-1)/COUNTIF($B$2:$B$492,$B446))&gt;=0.85,"Top",IF((1-(COUNTIFS($B$2:$B$492,$B446,$O$2:$O$492,"&gt;"&amp;$O446)+1-1)/COUNTIF($B$2:$B$492,$B446))&gt;=0.6,"Buono",IF((1-(COUNTIFS($B$2:$B$492,$B446,$O$2:$O$492,"&gt;"&amp;$O446)+1-1)/COUNTIF($B$2:$B$492,$B446))&gt;=0.3,"Nella Media","Scommessa/Riserva")))),"")</f>
        <v>Nella Media</v>
      </c>
      <c r="Q446" s="29" t="n">
        <f aca="false">IF($D446="",COUNTIF($D$2:$D446,""),"")</f>
        <v>445</v>
      </c>
      <c r="R446" s="29" t="str">
        <f aca="false">IF($D446='Info Lega'!$B$28,COUNTIFS($D$2:$D446,'Info Lega'!$B$28),"")</f>
        <v/>
      </c>
      <c r="S446" s="30" t="n">
        <f aca="false">IFERROR(INDEX('Input Statistiche 2025_26'!$G$3:$G$665,MATCH($A446,'Input Statistiche 2025_26'!$A$3:$A$665,0)),"")</f>
        <v>0</v>
      </c>
      <c r="T446" s="30" t="n">
        <f aca="false">IFERROR(INDEX('Input Statistiche 2025_26'!$H$3:$H$665,MATCH($A446,'Input Statistiche 2025_26'!$A$3:$A$665,0)),"")</f>
        <v>0</v>
      </c>
      <c r="U446" s="26" t="str">
        <f aca="false">IF(OR('La Mia Rosa'!$O$12="",$D446&lt;&gt;""),"",IF($F446&lt;='La Mia Rosa'!$O$12*'Parametri Modello'!$B$24,"OK",IF($F446&lt;='La Mia Rosa'!$O$12*'Parametri Modello'!$B$25,"Attenzione","Rischio Alto")))</f>
        <v>OK</v>
      </c>
      <c r="V446" s="26" t="n">
        <f aca="false">IFERROR(COUNTIFS($B$2:$B$492,$B446,$O$2:$O$492,"&gt;"&amp;$O446)+1,"")</f>
        <v>26</v>
      </c>
      <c r="W446" s="21" t="n">
        <f aca="false">'Info Lega'!$B$4-SUMIFS($M$2:$M$492,$D$2:$D$492,'Info Lega'!$B$28)</f>
        <v>1000</v>
      </c>
      <c r="X446" s="21" t="n">
        <f aca="false">('Info Lega'!$B$5-COUNTIFS($D$2:$D$492,'Info Lega'!$B$28,$B$2:$B$492,"P"))+('Info Lega'!$B$6-COUNTIFS($D$2:$D$492,'Info Lega'!$B$28,$B$2:$B$492,"D"))+('Info Lega'!$B$7-COUNTIFS($D$2:$D$492,'Info Lega'!$B$28,$B$2:$B$492,"C"))+('Info Lega'!$B$8-COUNTIFS($D$2:$D$492,'Info Lega'!$B$28,$B$2:$B$492,"A"))</f>
        <v>25</v>
      </c>
      <c r="Y446" s="21" t="n">
        <f aca="false">X446*'Parametri Modello'!$B$30</f>
        <v>25</v>
      </c>
      <c r="Z446" s="21" t="n">
        <f aca="false">MAX(0,W446-Y446)</f>
        <v>975</v>
      </c>
      <c r="AA446" s="21" t="n">
        <f aca="false">MIN(F446,Z446)</f>
        <v>1</v>
      </c>
      <c r="AB446" s="21"/>
      <c r="AC446" s="21" t="str">
        <f aca="false">IF(AB446="","",IF(AB446&gt;AA446,"PASS",IF(AB446&lt;=AA446*0.85,"BID","ATTENZIONE")))</f>
        <v/>
      </c>
      <c r="AD446" s="31" t="n">
        <f aca="false">IF(I446="","",ROUND(100*(1-EXP(-I446/30)),0))</f>
        <v>0</v>
      </c>
      <c r="AE446" s="7" t="str">
        <f aca="false">IFERROR(INDEX('Stato Asta'!$G$9:$G$12,MATCH($B446,'Stato Asta'!$A$9:$A$12,0)),"")</f>
        <v>🟡 Attesa rischiosa</v>
      </c>
    </row>
    <row r="447" customFormat="false" ht="14.25" hidden="false" customHeight="true" outlineLevel="0" collapsed="false">
      <c r="A447" s="21" t="n">
        <v>7301</v>
      </c>
      <c r="B447" s="21" t="s">
        <v>43</v>
      </c>
      <c r="C447" s="21" t="s">
        <v>161</v>
      </c>
      <c r="E447" s="26" t="str">
        <f aca="false">IF(COUNTIF('Info Strategia'!$D$2:$D$51,$C447)&gt;0,"SI","NO")</f>
        <v>NO</v>
      </c>
      <c r="F447" s="27" t="n">
        <f aca="false">IFERROR(ROUND(($G447+($H447-$G447)*'Info Strategia'!$B$6)*(1+IF($E447="SI",'Parametri Modello'!$B$7*'Info Strategia'!$B$6,0)),0),"")</f>
        <v>1</v>
      </c>
      <c r="G447" s="27" t="n">
        <f aca="false">IFERROR(ROUND((IF(OR(INDEX('Parametri Modello'!$C$39:$C$42,MATCH($B447,'Parametri Modello'!$A$39:$A$42,0))="",INDEX('Parametri Modello'!$C$39:$C$42,MATCH($B447,'Parametri Modello'!$A$39:$A$42,0))=0),0,($O447/INDEX('Parametri Modello'!$C$39:$C$42,MATCH($B447,'Parametri Modello'!$A$39:$A$42,0)))*(INDEX('Parametri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H447" s="27" t="n">
        <f aca="false">IFERROR(ROUND((IF(OR(INDEX('Parametri Modello'!$C$39:$C$42,MATCH($B447,'Parametri Modello'!$A$39:$A$42,0))="",INDEX('Parametri Modello'!$C$39:$C$42,MATCH($B447,'Parametri Modello'!$A$39:$A$42,0))=0),0,($O447/INDEX('Parametri Modello'!$C$39:$C$42,MATCH($B447,'Parametri Modello'!$A$39:$A$42,0)))*(INDEX('Parametri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I447" s="26" t="n">
        <f aca="false">IFERROR(INDEX('Input Statistiche 2025_26'!$F$3:$F$665,MATCH($A447,'Input Statistiche 2025_26'!$A$3:$A$665,0)),"")</f>
        <v>0</v>
      </c>
      <c r="J447" s="26" t="n">
        <f aca="false">IFERROR(IF($I447="","",MAX(0,38-$I447)),"")</f>
        <v>38</v>
      </c>
      <c r="K447" s="26" t="n">
        <f aca="false">IFERROR(INDEX('Input Statistiche 2025_26'!$I$3:$I$665,MATCH($A447,'Input Statistiche 2025_26'!$A$3:$A$665,0)),"")</f>
        <v>0</v>
      </c>
      <c r="L447" s="26" t="n">
        <f aca="false">IFERROR(INDEX('Input Statistiche 2025_26'!$O$3:$O$665,MATCH($A447,'Input Statistiche 2025_26'!$A$3:$A$665,0)),"")</f>
        <v>0</v>
      </c>
      <c r="M447" s="28"/>
      <c r="N447" s="27" t="n">
        <f aca="false">IFERROR(INDEX('Input Giocatori 2026_27'!$E$3:$E$493,MATCH($A447,'Input Giocatori 2026_27'!$A$3:$A$493,0)),"")</f>
        <v>1</v>
      </c>
      <c r="O447" s="27" t="n">
        <f aca="false">IFERROR(INDEX('Input Giocatori 2026_27'!$G$3:$G$493,MATCH($A447,'Input Giocatori 2026_27'!$A$3:$A$493,0)),"")</f>
        <v>1</v>
      </c>
      <c r="P447" s="26" t="str">
        <f aca="false">IFERROR(IF($O447="","",IF((1-(COUNTIFS($B$2:$B$492,$B447,$O$2:$O$492,"&gt;"&amp;$O447)+1-1)/COUNTIF($B$2:$B$492,$B447))&gt;=0.85,"Top",IF((1-(COUNTIFS($B$2:$B$492,$B447,$O$2:$O$492,"&gt;"&amp;$O447)+1-1)/COUNTIF($B$2:$B$492,$B447))&gt;=0.6,"Buono",IF((1-(COUNTIFS($B$2:$B$492,$B447,$O$2:$O$492,"&gt;"&amp;$O447)+1-1)/COUNTIF($B$2:$B$492,$B447))&gt;=0.3,"Nella Media","Scommessa/Riserva")))),"")</f>
        <v>Nella Media</v>
      </c>
      <c r="Q447" s="29" t="n">
        <f aca="false">IF($D447="",COUNTIF($D$2:$D447,""),"")</f>
        <v>446</v>
      </c>
      <c r="R447" s="29" t="str">
        <f aca="false">IF($D447='Info Lega'!$B$28,COUNTIFS($D$2:$D447,'Info Lega'!$B$28),"")</f>
        <v/>
      </c>
      <c r="S447" s="30" t="n">
        <f aca="false">IFERROR(INDEX('Input Statistiche 2025_26'!$G$3:$G$665,MATCH($A447,'Input Statistiche 2025_26'!$A$3:$A$665,0)),"")</f>
        <v>0</v>
      </c>
      <c r="T447" s="30" t="n">
        <f aca="false">IFERROR(INDEX('Input Statistiche 2025_26'!$H$3:$H$665,MATCH($A447,'Input Statistiche 2025_26'!$A$3:$A$665,0)),"")</f>
        <v>0</v>
      </c>
      <c r="U447" s="26" t="str">
        <f aca="false">IF(OR('La Mia Rosa'!$O$12="",$D447&lt;&gt;""),"",IF($F447&lt;='La Mia Rosa'!$O$12*'Parametri Modello'!$B$24,"OK",IF($F447&lt;='La Mia Rosa'!$O$12*'Parametri Modello'!$B$25,"Attenzione","Rischio Alto")))</f>
        <v>OK</v>
      </c>
      <c r="V447" s="26" t="n">
        <f aca="false">IFERROR(COUNTIFS($B$2:$B$492,$B447,$O$2:$O$492,"&gt;"&amp;$O447)+1,"")</f>
        <v>26</v>
      </c>
      <c r="W447" s="21" t="n">
        <f aca="false">'Info Lega'!$B$4-SUMIFS($M$2:$M$492,$D$2:$D$492,'Info Lega'!$B$28)</f>
        <v>1000</v>
      </c>
      <c r="X447" s="21" t="n">
        <f aca="false">('Info Lega'!$B$5-COUNTIFS($D$2:$D$492,'Info Lega'!$B$28,$B$2:$B$492,"P"))+('Info Lega'!$B$6-COUNTIFS($D$2:$D$492,'Info Lega'!$B$28,$B$2:$B$492,"D"))+('Info Lega'!$B$7-COUNTIFS($D$2:$D$492,'Info Lega'!$B$28,$B$2:$B$492,"C"))+('Info Lega'!$B$8-COUNTIFS($D$2:$D$492,'Info Lega'!$B$28,$B$2:$B$492,"A"))</f>
        <v>25</v>
      </c>
      <c r="Y447" s="21" t="n">
        <f aca="false">X447*'Parametri Modello'!$B$30</f>
        <v>25</v>
      </c>
      <c r="Z447" s="21" t="n">
        <f aca="false">MAX(0,W447-Y447)</f>
        <v>975</v>
      </c>
      <c r="AA447" s="21" t="n">
        <f aca="false">MIN(F447,Z447)</f>
        <v>1</v>
      </c>
      <c r="AB447" s="21"/>
      <c r="AC447" s="21" t="str">
        <f aca="false">IF(AB447="","",IF(AB447&gt;AA447,"PASS",IF(AB447&lt;=AA447*0.85,"BID","ATTENZIONE")))</f>
        <v/>
      </c>
      <c r="AD447" s="31" t="n">
        <f aca="false">IF(I447="","",ROUND(100*(1-EXP(-I447/30)),0))</f>
        <v>0</v>
      </c>
      <c r="AE447" s="7" t="str">
        <f aca="false">IFERROR(INDEX('Stato Asta'!$G$9:$G$12,MATCH($B447,'Stato Asta'!$A$9:$A$12,0)),"")</f>
        <v>🟡 Attesa rischiosa</v>
      </c>
    </row>
    <row r="448" customFormat="false" ht="14.25" hidden="false" customHeight="true" outlineLevel="0" collapsed="false">
      <c r="A448" s="21" t="n">
        <v>2809</v>
      </c>
      <c r="B448" s="21" t="s">
        <v>43</v>
      </c>
      <c r="C448" s="21" t="s">
        <v>162</v>
      </c>
      <c r="E448" s="26" t="str">
        <f aca="false">IF(COUNTIF('Info Strategia'!$D$2:$D$51,$C448)&gt;0,"SI","NO")</f>
        <v>NO</v>
      </c>
      <c r="F448" s="27" t="n">
        <f aca="false">IFERROR(ROUND(($G448+($H448-$G448)*'Info Strategia'!$B$6)*(1+IF($E448="SI",'Parametri Modello'!$B$7*'Info Strategia'!$B$6,0)),0),"")</f>
        <v>1</v>
      </c>
      <c r="G448" s="27" t="n">
        <f aca="false">IFERROR(ROUND((IF(OR(INDEX('Parametri Modello'!$C$39:$C$42,MATCH($B448,'Parametri Modello'!$A$39:$A$42,0))="",INDEX('Parametri Modello'!$C$39:$C$42,MATCH($B448,'Parametri Modello'!$A$39:$A$42,0))=0),0,($O448/INDEX('Parametri Modello'!$C$39:$C$42,MATCH($B448,'Parametri Modello'!$A$39:$A$42,0)))*(INDEX('Parametri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H448" s="27" t="n">
        <f aca="false">IFERROR(ROUND((IF(OR(INDEX('Parametri Modello'!$C$39:$C$42,MATCH($B448,'Parametri Modello'!$A$39:$A$42,0))="",INDEX('Parametri Modello'!$C$39:$C$42,MATCH($B448,'Parametri Modello'!$A$39:$A$42,0))=0),0,($O448/INDEX('Parametri Modello'!$C$39:$C$42,MATCH($B448,'Parametri Modello'!$A$39:$A$42,0)))*(INDEX('Parametri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I448" s="26" t="n">
        <f aca="false">IFERROR(INDEX('Input Statistiche 2025_26'!$F$3:$F$665,MATCH($A448,'Input Statistiche 2025_26'!$A$3:$A$665,0)),"")</f>
        <v>0</v>
      </c>
      <c r="J448" s="26" t="n">
        <f aca="false">IFERROR(IF($I448="","",MAX(0,38-$I448)),"")</f>
        <v>38</v>
      </c>
      <c r="K448" s="26" t="n">
        <f aca="false">IFERROR(INDEX('Input Statistiche 2025_26'!$I$3:$I$665,MATCH($A448,'Input Statistiche 2025_26'!$A$3:$A$665,0)),"")</f>
        <v>0</v>
      </c>
      <c r="L448" s="26" t="n">
        <f aca="false">IFERROR(INDEX('Input Statistiche 2025_26'!$O$3:$O$665,MATCH($A448,'Input Statistiche 2025_26'!$A$3:$A$665,0)),"")</f>
        <v>0</v>
      </c>
      <c r="M448" s="28"/>
      <c r="N448" s="27" t="n">
        <f aca="false">IFERROR(INDEX('Input Giocatori 2026_27'!$E$3:$E$493,MATCH($A448,'Input Giocatori 2026_27'!$A$3:$A$493,0)),"")</f>
        <v>1</v>
      </c>
      <c r="O448" s="27" t="n">
        <f aca="false">IFERROR(INDEX('Input Giocatori 2026_27'!$G$3:$G$493,MATCH($A448,'Input Giocatori 2026_27'!$A$3:$A$493,0)),"")</f>
        <v>1</v>
      </c>
      <c r="P448" s="26" t="str">
        <f aca="false">IFERROR(IF($O448="","",IF((1-(COUNTIFS($B$2:$B$492,$B448,$O$2:$O$492,"&gt;"&amp;$O448)+1-1)/COUNTIF($B$2:$B$492,$B448))&gt;=0.85,"Top",IF((1-(COUNTIFS($B$2:$B$492,$B448,$O$2:$O$492,"&gt;"&amp;$O448)+1-1)/COUNTIF($B$2:$B$492,$B448))&gt;=0.6,"Buono",IF((1-(COUNTIFS($B$2:$B$492,$B448,$O$2:$O$492,"&gt;"&amp;$O448)+1-1)/COUNTIF($B$2:$B$492,$B448))&gt;=0.3,"Nella Media","Scommessa/Riserva")))),"")</f>
        <v>Nella Media</v>
      </c>
      <c r="Q448" s="29" t="n">
        <f aca="false">IF($D448="",COUNTIF($D$2:$D448,""),"")</f>
        <v>447</v>
      </c>
      <c r="R448" s="29" t="str">
        <f aca="false">IF($D448='Info Lega'!$B$28,COUNTIFS($D$2:$D448,'Info Lega'!$B$28),"")</f>
        <v/>
      </c>
      <c r="S448" s="30" t="n">
        <f aca="false">IFERROR(INDEX('Input Statistiche 2025_26'!$G$3:$G$665,MATCH($A448,'Input Statistiche 2025_26'!$A$3:$A$665,0)),"")</f>
        <v>0</v>
      </c>
      <c r="T448" s="30" t="n">
        <f aca="false">IFERROR(INDEX('Input Statistiche 2025_26'!$H$3:$H$665,MATCH($A448,'Input Statistiche 2025_26'!$A$3:$A$665,0)),"")</f>
        <v>0</v>
      </c>
      <c r="U448" s="26" t="str">
        <f aca="false">IF(OR('La Mia Rosa'!$O$12="",$D448&lt;&gt;""),"",IF($F448&lt;='La Mia Rosa'!$O$12*'Parametri Modello'!$B$24,"OK",IF($F448&lt;='La Mia Rosa'!$O$12*'Parametri Modello'!$B$25,"Attenzione","Rischio Alto")))</f>
        <v>OK</v>
      </c>
      <c r="V448" s="26" t="n">
        <f aca="false">IFERROR(COUNTIFS($B$2:$B$492,$B448,$O$2:$O$492,"&gt;"&amp;$O448)+1,"")</f>
        <v>26</v>
      </c>
      <c r="W448" s="21" t="n">
        <f aca="false">'Info Lega'!$B$4-SUMIFS($M$2:$M$492,$D$2:$D$492,'Info Lega'!$B$28)</f>
        <v>1000</v>
      </c>
      <c r="X448" s="21" t="n">
        <f aca="false">('Info Lega'!$B$5-COUNTIFS($D$2:$D$492,'Info Lega'!$B$28,$B$2:$B$492,"P"))+('Info Lega'!$B$6-COUNTIFS($D$2:$D$492,'Info Lega'!$B$28,$B$2:$B$492,"D"))+('Info Lega'!$B$7-COUNTIFS($D$2:$D$492,'Info Lega'!$B$28,$B$2:$B$492,"C"))+('Info Lega'!$B$8-COUNTIFS($D$2:$D$492,'Info Lega'!$B$28,$B$2:$B$492,"A"))</f>
        <v>25</v>
      </c>
      <c r="Y448" s="21" t="n">
        <f aca="false">X448*'Parametri Modello'!$B$30</f>
        <v>25</v>
      </c>
      <c r="Z448" s="21" t="n">
        <f aca="false">MAX(0,W448-Y448)</f>
        <v>975</v>
      </c>
      <c r="AA448" s="21" t="n">
        <f aca="false">MIN(F448,Z448)</f>
        <v>1</v>
      </c>
      <c r="AB448" s="21"/>
      <c r="AC448" s="21" t="str">
        <f aca="false">IF(AB448="","",IF(AB448&gt;AA448,"PASS",IF(AB448&lt;=AA448*0.85,"BID","ATTENZIONE")))</f>
        <v/>
      </c>
      <c r="AD448" s="31" t="n">
        <f aca="false">IF(I448="","",ROUND(100*(1-EXP(-I448/30)),0))</f>
        <v>0</v>
      </c>
      <c r="AE448" s="7" t="str">
        <f aca="false">IFERROR(INDEX('Stato Asta'!$G$9:$G$12,MATCH($B448,'Stato Asta'!$A$9:$A$12,0)),"")</f>
        <v>🟡 Attesa rischiosa</v>
      </c>
    </row>
    <row r="449" customFormat="false" ht="14.25" hidden="false" customHeight="true" outlineLevel="0" collapsed="false">
      <c r="A449" s="21" t="n">
        <v>6403</v>
      </c>
      <c r="B449" s="21" t="s">
        <v>43</v>
      </c>
      <c r="C449" s="21" t="s">
        <v>163</v>
      </c>
      <c r="E449" s="26" t="str">
        <f aca="false">IF(COUNTIF('Info Strategia'!$D$2:$D$51,$C449)&gt;0,"SI","NO")</f>
        <v>NO</v>
      </c>
      <c r="F449" s="27" t="n">
        <f aca="false">IFERROR(ROUND(($G449+($H449-$G449)*'Info Strategia'!$B$6)*(1+IF($E449="SI",'Parametri Modello'!$B$7*'Info Strategia'!$B$6,0)),0),"")</f>
        <v>1</v>
      </c>
      <c r="G449" s="27" t="n">
        <f aca="false">IFERROR(ROUND((IF(OR(INDEX('Parametri Modello'!$C$39:$C$42,MATCH($B449,'Parametri Modello'!$A$39:$A$42,0))="",INDEX('Parametri Modello'!$C$39:$C$42,MATCH($B449,'Parametri Modello'!$A$39:$A$42,0))=0),0,($O449/INDEX('Parametri Modello'!$C$39:$C$42,MATCH($B449,'Parametri Modello'!$A$39:$A$42,0)))*(INDEX('Parametri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H449" s="27" t="n">
        <f aca="false">IFERROR(ROUND((IF(OR(INDEX('Parametri Modello'!$C$39:$C$42,MATCH($B449,'Parametri Modello'!$A$39:$A$42,0))="",INDEX('Parametri Modello'!$C$39:$C$42,MATCH($B449,'Parametri Modello'!$A$39:$A$42,0))=0),0,($O449/INDEX('Parametri Modello'!$C$39:$C$42,MATCH($B449,'Parametri Modello'!$A$39:$A$42,0)))*(INDEX('Parametri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I449" s="26" t="n">
        <f aca="false">IFERROR(INDEX('Input Statistiche 2025_26'!$F$3:$F$665,MATCH($A449,'Input Statistiche 2025_26'!$A$3:$A$665,0)),"")</f>
        <v>1</v>
      </c>
      <c r="J449" s="26" t="n">
        <f aca="false">IFERROR(IF($I449="","",MAX(0,38-$I449)),"")</f>
        <v>37</v>
      </c>
      <c r="K449" s="26" t="n">
        <f aca="false">IFERROR(INDEX('Input Statistiche 2025_26'!$I$3:$I$665,MATCH($A449,'Input Statistiche 2025_26'!$A$3:$A$665,0)),"")</f>
        <v>0</v>
      </c>
      <c r="L449" s="26" t="n">
        <f aca="false">IFERROR(INDEX('Input Statistiche 2025_26'!$O$3:$O$665,MATCH($A449,'Input Statistiche 2025_26'!$A$3:$A$665,0)),"")</f>
        <v>0</v>
      </c>
      <c r="M449" s="28"/>
      <c r="N449" s="27" t="n">
        <f aca="false">IFERROR(INDEX('Input Giocatori 2026_27'!$E$3:$E$493,MATCH($A449,'Input Giocatori 2026_27'!$A$3:$A$493,0)),"")</f>
        <v>1</v>
      </c>
      <c r="O449" s="27" t="n">
        <f aca="false">IFERROR(INDEX('Input Giocatori 2026_27'!$G$3:$G$493,MATCH($A449,'Input Giocatori 2026_27'!$A$3:$A$493,0)),"")</f>
        <v>1</v>
      </c>
      <c r="P449" s="26" t="str">
        <f aca="false">IFERROR(IF($O449="","",IF((1-(COUNTIFS($B$2:$B$492,$B449,$O$2:$O$492,"&gt;"&amp;$O449)+1-1)/COUNTIF($B$2:$B$492,$B449))&gt;=0.85,"Top",IF((1-(COUNTIFS($B$2:$B$492,$B449,$O$2:$O$492,"&gt;"&amp;$O449)+1-1)/COUNTIF($B$2:$B$492,$B449))&gt;=0.6,"Buono",IF((1-(COUNTIFS($B$2:$B$492,$B449,$O$2:$O$492,"&gt;"&amp;$O449)+1-1)/COUNTIF($B$2:$B$492,$B449))&gt;=0.3,"Nella Media","Scommessa/Riserva")))),"")</f>
        <v>Nella Media</v>
      </c>
      <c r="Q449" s="29" t="n">
        <f aca="false">IF($D449="",COUNTIF($D$2:$D449,""),"")</f>
        <v>448</v>
      </c>
      <c r="R449" s="29" t="str">
        <f aca="false">IF($D449='Info Lega'!$B$28,COUNTIFS($D$2:$D449,'Info Lega'!$B$28),"")</f>
        <v/>
      </c>
      <c r="S449" s="30" t="n">
        <f aca="false">IFERROR(INDEX('Input Statistiche 2025_26'!$G$3:$G$665,MATCH($A449,'Input Statistiche 2025_26'!$A$3:$A$665,0)),"")</f>
        <v>7.5</v>
      </c>
      <c r="T449" s="30" t="n">
        <f aca="false">IFERROR(INDEX('Input Statistiche 2025_26'!$H$3:$H$665,MATCH($A449,'Input Statistiche 2025_26'!$A$3:$A$665,0)),"")</f>
        <v>6.5</v>
      </c>
      <c r="U449" s="26" t="str">
        <f aca="false">IF(OR('La Mia Rosa'!$O$12="",$D449&lt;&gt;""),"",IF($F449&lt;='La Mia Rosa'!$O$12*'Parametri Modello'!$B$24,"OK",IF($F449&lt;='La Mia Rosa'!$O$12*'Parametri Modello'!$B$25,"Attenzione","Rischio Alto")))</f>
        <v>OK</v>
      </c>
      <c r="V449" s="26" t="n">
        <f aca="false">IFERROR(COUNTIFS($B$2:$B$492,$B449,$O$2:$O$492,"&gt;"&amp;$O449)+1,"")</f>
        <v>26</v>
      </c>
      <c r="W449" s="21" t="n">
        <f aca="false">'Info Lega'!$B$4-SUMIFS($M$2:$M$492,$D$2:$D$492,'Info Lega'!$B$28)</f>
        <v>1000</v>
      </c>
      <c r="X449" s="21" t="n">
        <f aca="false">('Info Lega'!$B$5-COUNTIFS($D$2:$D$492,'Info Lega'!$B$28,$B$2:$B$492,"P"))+('Info Lega'!$B$6-COUNTIFS($D$2:$D$492,'Info Lega'!$B$28,$B$2:$B$492,"D"))+('Info Lega'!$B$7-COUNTIFS($D$2:$D$492,'Info Lega'!$B$28,$B$2:$B$492,"C"))+('Info Lega'!$B$8-COUNTIFS($D$2:$D$492,'Info Lega'!$B$28,$B$2:$B$492,"A"))</f>
        <v>25</v>
      </c>
      <c r="Y449" s="21" t="n">
        <f aca="false">X449*'Parametri Modello'!$B$30</f>
        <v>25</v>
      </c>
      <c r="Z449" s="21" t="n">
        <f aca="false">MAX(0,W449-Y449)</f>
        <v>975</v>
      </c>
      <c r="AA449" s="21" t="n">
        <f aca="false">MIN(F449,Z449)</f>
        <v>1</v>
      </c>
      <c r="AB449" s="21"/>
      <c r="AC449" s="21" t="str">
        <f aca="false">IF(AB449="","",IF(AB449&gt;AA449,"PASS",IF(AB449&lt;=AA449*0.85,"BID","ATTENZIONE")))</f>
        <v/>
      </c>
      <c r="AD449" s="31" t="n">
        <f aca="false">IF(I449="","",ROUND(100*(1-EXP(-I449/30)),0))</f>
        <v>3</v>
      </c>
      <c r="AE449" s="7" t="str">
        <f aca="false">IFERROR(INDEX('Stato Asta'!$G$9:$G$12,MATCH($B449,'Stato Asta'!$A$9:$A$12,0)),"")</f>
        <v>🟡 Attesa rischiosa</v>
      </c>
    </row>
    <row r="450" customFormat="false" ht="14.25" hidden="false" customHeight="true" outlineLevel="0" collapsed="false">
      <c r="A450" s="21" t="n">
        <v>158</v>
      </c>
      <c r="B450" s="21" t="s">
        <v>43</v>
      </c>
      <c r="C450" s="21" t="s">
        <v>164</v>
      </c>
      <c r="E450" s="26" t="str">
        <f aca="false">IF(COUNTIF('Info Strategia'!$D$2:$D$51,$C450)&gt;0,"SI","NO")</f>
        <v>NO</v>
      </c>
      <c r="F450" s="27" t="n">
        <f aca="false">IFERROR(ROUND(($G450+($H450-$G450)*'Info Strategia'!$B$6)*(1+IF($E450="SI",'Parametri Modello'!$B$7*'Info Strategia'!$B$6,0)),0),"")</f>
        <v>1</v>
      </c>
      <c r="G450" s="27" t="n">
        <f aca="false">IFERROR(ROUND((IF(OR(INDEX('Parametri Modello'!$C$39:$C$42,MATCH($B450,'Parametri Modello'!$A$39:$A$42,0))="",INDEX('Parametri Modello'!$C$39:$C$42,MATCH($B450,'Parametri Modello'!$A$39:$A$42,0))=0),0,($O450/INDEX('Parametri Modello'!$C$39:$C$42,MATCH($B450,'Parametri Modello'!$A$39:$A$42,0)))*(INDEX('Parametri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H450" s="27" t="n">
        <f aca="false">IFERROR(ROUND((IF(OR(INDEX('Parametri Modello'!$C$39:$C$42,MATCH($B450,'Parametri Modello'!$A$39:$A$42,0))="",INDEX('Parametri Modello'!$C$39:$C$42,MATCH($B450,'Parametri Modello'!$A$39:$A$42,0))=0),0,($O450/INDEX('Parametri Modello'!$C$39:$C$42,MATCH($B450,'Parametri Modello'!$A$39:$A$42,0)))*(INDEX('Parametri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I450" s="26" t="n">
        <f aca="false">IFERROR(INDEX('Input Statistiche 2025_26'!$F$3:$F$665,MATCH($A450,'Input Statistiche 2025_26'!$A$3:$A$665,0)),"")</f>
        <v>0</v>
      </c>
      <c r="J450" s="26" t="n">
        <f aca="false">IFERROR(IF($I450="","",MAX(0,38-$I450)),"")</f>
        <v>38</v>
      </c>
      <c r="K450" s="26" t="n">
        <f aca="false">IFERROR(INDEX('Input Statistiche 2025_26'!$I$3:$I$665,MATCH($A450,'Input Statistiche 2025_26'!$A$3:$A$665,0)),"")</f>
        <v>0</v>
      </c>
      <c r="L450" s="26" t="n">
        <f aca="false">IFERROR(INDEX('Input Statistiche 2025_26'!$O$3:$O$665,MATCH($A450,'Input Statistiche 2025_26'!$A$3:$A$665,0)),"")</f>
        <v>0</v>
      </c>
      <c r="M450" s="28"/>
      <c r="N450" s="27" t="n">
        <f aca="false">IFERROR(INDEX('Input Giocatori 2026_27'!$E$3:$E$493,MATCH($A450,'Input Giocatori 2026_27'!$A$3:$A$493,0)),"")</f>
        <v>1</v>
      </c>
      <c r="O450" s="27" t="n">
        <f aca="false">IFERROR(INDEX('Input Giocatori 2026_27'!$G$3:$G$493,MATCH($A450,'Input Giocatori 2026_27'!$A$3:$A$493,0)),"")</f>
        <v>1</v>
      </c>
      <c r="P450" s="26" t="str">
        <f aca="false">IFERROR(IF($O450="","",IF((1-(COUNTIFS($B$2:$B$492,$B450,$O$2:$O$492,"&gt;"&amp;$O450)+1-1)/COUNTIF($B$2:$B$492,$B450))&gt;=0.85,"Top",IF((1-(COUNTIFS($B$2:$B$492,$B450,$O$2:$O$492,"&gt;"&amp;$O450)+1-1)/COUNTIF($B$2:$B$492,$B450))&gt;=0.6,"Buono",IF((1-(COUNTIFS($B$2:$B$492,$B450,$O$2:$O$492,"&gt;"&amp;$O450)+1-1)/COUNTIF($B$2:$B$492,$B450))&gt;=0.3,"Nella Media","Scommessa/Riserva")))),"")</f>
        <v>Nella Media</v>
      </c>
      <c r="Q450" s="29" t="n">
        <f aca="false">IF($D450="",COUNTIF($D$2:$D450,""),"")</f>
        <v>449</v>
      </c>
      <c r="R450" s="29" t="str">
        <f aca="false">IF($D450='Info Lega'!$B$28,COUNTIFS($D$2:$D450,'Info Lega'!$B$28),"")</f>
        <v/>
      </c>
      <c r="S450" s="30" t="n">
        <f aca="false">IFERROR(INDEX('Input Statistiche 2025_26'!$G$3:$G$665,MATCH($A450,'Input Statistiche 2025_26'!$A$3:$A$665,0)),"")</f>
        <v>0</v>
      </c>
      <c r="T450" s="30" t="n">
        <f aca="false">IFERROR(INDEX('Input Statistiche 2025_26'!$H$3:$H$665,MATCH($A450,'Input Statistiche 2025_26'!$A$3:$A$665,0)),"")</f>
        <v>0</v>
      </c>
      <c r="U450" s="26" t="str">
        <f aca="false">IF(OR('La Mia Rosa'!$O$12="",$D450&lt;&gt;""),"",IF($F450&lt;='La Mia Rosa'!$O$12*'Parametri Modello'!$B$24,"OK",IF($F450&lt;='La Mia Rosa'!$O$12*'Parametri Modello'!$B$25,"Attenzione","Rischio Alto")))</f>
        <v>OK</v>
      </c>
      <c r="V450" s="26" t="n">
        <f aca="false">IFERROR(COUNTIFS($B$2:$B$492,$B450,$O$2:$O$492,"&gt;"&amp;$O450)+1,"")</f>
        <v>26</v>
      </c>
      <c r="W450" s="21" t="n">
        <f aca="false">'Info Lega'!$B$4-SUMIFS($M$2:$M$492,$D$2:$D$492,'Info Lega'!$B$28)</f>
        <v>1000</v>
      </c>
      <c r="X450" s="21" t="n">
        <f aca="false">('Info Lega'!$B$5-COUNTIFS($D$2:$D$492,'Info Lega'!$B$28,$B$2:$B$492,"P"))+('Info Lega'!$B$6-COUNTIFS($D$2:$D$492,'Info Lega'!$B$28,$B$2:$B$492,"D"))+('Info Lega'!$B$7-COUNTIFS($D$2:$D$492,'Info Lega'!$B$28,$B$2:$B$492,"C"))+('Info Lega'!$B$8-COUNTIFS($D$2:$D$492,'Info Lega'!$B$28,$B$2:$B$492,"A"))</f>
        <v>25</v>
      </c>
      <c r="Y450" s="21" t="n">
        <f aca="false">X450*'Parametri Modello'!$B$30</f>
        <v>25</v>
      </c>
      <c r="Z450" s="21" t="n">
        <f aca="false">MAX(0,W450-Y450)</f>
        <v>975</v>
      </c>
      <c r="AA450" s="21" t="n">
        <f aca="false">MIN(F450,Z450)</f>
        <v>1</v>
      </c>
      <c r="AB450" s="21"/>
      <c r="AC450" s="21" t="str">
        <f aca="false">IF(AB450="","",IF(AB450&gt;AA450,"PASS",IF(AB450&lt;=AA450*0.85,"BID","ATTENZIONE")))</f>
        <v/>
      </c>
      <c r="AD450" s="31" t="n">
        <f aca="false">IF(I450="","",ROUND(100*(1-EXP(-I450/30)),0))</f>
        <v>0</v>
      </c>
      <c r="AE450" s="7" t="str">
        <f aca="false">IFERROR(INDEX('Stato Asta'!$G$9:$G$12,MATCH($B450,'Stato Asta'!$A$9:$A$12,0)),"")</f>
        <v>🟡 Attesa rischiosa</v>
      </c>
    </row>
    <row r="451" customFormat="false" ht="14.25" hidden="false" customHeight="true" outlineLevel="0" collapsed="false">
      <c r="A451" s="21" t="n">
        <v>7466</v>
      </c>
      <c r="B451" s="21" t="s">
        <v>43</v>
      </c>
      <c r="C451" s="21" t="s">
        <v>165</v>
      </c>
      <c r="E451" s="26" t="str">
        <f aca="false">IF(COUNTIF('Info Strategia'!$D$2:$D$51,$C451)&gt;0,"SI","NO")</f>
        <v>NO</v>
      </c>
      <c r="F451" s="27" t="n">
        <f aca="false">IFERROR(ROUND(($G451+($H451-$G451)*'Info Strategia'!$B$6)*(1+IF($E451="SI",'Parametri Modello'!$B$7*'Info Strategia'!$B$6,0)),0),"")</f>
        <v>1</v>
      </c>
      <c r="G451" s="27" t="n">
        <f aca="false">IFERROR(ROUND((IF(OR(INDEX('Parametri Modello'!$C$39:$C$42,MATCH($B451,'Parametri Modello'!$A$39:$A$42,0))="",INDEX('Parametri Modello'!$C$39:$C$42,MATCH($B451,'Parametri Modello'!$A$39:$A$42,0))=0),0,($O451/INDEX('Parametri Modello'!$C$39:$C$42,MATCH($B451,'Parametri Modello'!$A$39:$A$42,0)))*(INDEX('Parametri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H451" s="27" t="n">
        <f aca="false">IFERROR(ROUND((IF(OR(INDEX('Parametri Modello'!$C$39:$C$42,MATCH($B451,'Parametri Modello'!$A$39:$A$42,0))="",INDEX('Parametri Modello'!$C$39:$C$42,MATCH($B451,'Parametri Modello'!$A$39:$A$42,0))=0),0,($O451/INDEX('Parametri Modello'!$C$39:$C$42,MATCH($B451,'Parametri Modello'!$A$39:$A$42,0)))*(INDEX('Parametri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I451" s="26" t="str">
        <f aca="false">IFERROR(INDEX('Input Statistiche 2025_26'!$F$3:$F$665,MATCH($A451,'Input Statistiche 2025_26'!$A$3:$A$665,0)),"")</f>
        <v/>
      </c>
      <c r="J451" s="26" t="str">
        <f aca="false">IFERROR(IF($I451="","",MAX(0,38-$I451)),"")</f>
        <v/>
      </c>
      <c r="K451" s="26" t="str">
        <f aca="false">IFERROR(INDEX('Input Statistiche 2025_26'!$I$3:$I$665,MATCH($A451,'Input Statistiche 2025_26'!$A$3:$A$665,0)),"")</f>
        <v/>
      </c>
      <c r="L451" s="26" t="str">
        <f aca="false">IFERROR(INDEX('Input Statistiche 2025_26'!$O$3:$O$665,MATCH($A451,'Input Statistiche 2025_26'!$A$3:$A$665,0)),"")</f>
        <v/>
      </c>
      <c r="M451" s="28"/>
      <c r="N451" s="27" t="n">
        <f aca="false">IFERROR(INDEX('Input Giocatori 2026_27'!$E$3:$E$493,MATCH($A451,'Input Giocatori 2026_27'!$A$3:$A$493,0)),"")</f>
        <v>1</v>
      </c>
      <c r="O451" s="27" t="n">
        <f aca="false">IFERROR(INDEX('Input Giocatori 2026_27'!$G$3:$G$493,MATCH($A451,'Input Giocatori 2026_27'!$A$3:$A$493,0)),"")</f>
        <v>1</v>
      </c>
      <c r="P451" s="26" t="str">
        <f aca="false">IFERROR(IF($O451="","",IF((1-(COUNTIFS($B$2:$B$492,$B451,$O$2:$O$492,"&gt;"&amp;$O451)+1-1)/COUNTIF($B$2:$B$492,$B451))&gt;=0.85,"Top",IF((1-(COUNTIFS($B$2:$B$492,$B451,$O$2:$O$492,"&gt;"&amp;$O451)+1-1)/COUNTIF($B$2:$B$492,$B451))&gt;=0.6,"Buono",IF((1-(COUNTIFS($B$2:$B$492,$B451,$O$2:$O$492,"&gt;"&amp;$O451)+1-1)/COUNTIF($B$2:$B$492,$B451))&gt;=0.3,"Nella Media","Scommessa/Riserva")))),"")</f>
        <v>Nella Media</v>
      </c>
      <c r="Q451" s="29" t="n">
        <f aca="false">IF($D451="",COUNTIF($D$2:$D451,""),"")</f>
        <v>450</v>
      </c>
      <c r="R451" s="29" t="str">
        <f aca="false">IF($D451='Info Lega'!$B$28,COUNTIFS($D$2:$D451,'Info Lega'!$B$28),"")</f>
        <v/>
      </c>
      <c r="S451" s="30" t="str">
        <f aca="false">IFERROR(INDEX('Input Statistiche 2025_26'!$G$3:$G$665,MATCH($A451,'Input Statistiche 2025_26'!$A$3:$A$665,0)),"")</f>
        <v/>
      </c>
      <c r="T451" s="30" t="str">
        <f aca="false">IFERROR(INDEX('Input Statistiche 2025_26'!$H$3:$H$665,MATCH($A451,'Input Statistiche 2025_26'!$A$3:$A$665,0)),"")</f>
        <v/>
      </c>
      <c r="U451" s="26" t="str">
        <f aca="false">IF(OR('La Mia Rosa'!$O$12="",$D451&lt;&gt;""),"",IF($F451&lt;='La Mia Rosa'!$O$12*'Parametri Modello'!$B$24,"OK",IF($F451&lt;='La Mia Rosa'!$O$12*'Parametri Modello'!$B$25,"Attenzione","Rischio Alto")))</f>
        <v>OK</v>
      </c>
      <c r="V451" s="26" t="n">
        <f aca="false">IFERROR(COUNTIFS($B$2:$B$492,$B451,$O$2:$O$492,"&gt;"&amp;$O451)+1,"")</f>
        <v>26</v>
      </c>
      <c r="W451" s="21" t="n">
        <f aca="false">'Info Lega'!$B$4-SUMIFS($M$2:$M$492,$D$2:$D$492,'Info Lega'!$B$28)</f>
        <v>1000</v>
      </c>
      <c r="X451" s="21" t="n">
        <f aca="false">('Info Lega'!$B$5-COUNTIFS($D$2:$D$492,'Info Lega'!$B$28,$B$2:$B$492,"P"))+('Info Lega'!$B$6-COUNTIFS($D$2:$D$492,'Info Lega'!$B$28,$B$2:$B$492,"D"))+('Info Lega'!$B$7-COUNTIFS($D$2:$D$492,'Info Lega'!$B$28,$B$2:$B$492,"C"))+('Info Lega'!$B$8-COUNTIFS($D$2:$D$492,'Info Lega'!$B$28,$B$2:$B$492,"A"))</f>
        <v>25</v>
      </c>
      <c r="Y451" s="21" t="n">
        <f aca="false">X451*'Parametri Modello'!$B$30</f>
        <v>25</v>
      </c>
      <c r="Z451" s="21" t="n">
        <f aca="false">MAX(0,W451-Y451)</f>
        <v>975</v>
      </c>
      <c r="AA451" s="21" t="n">
        <f aca="false">MIN(F451,Z451)</f>
        <v>1</v>
      </c>
      <c r="AB451" s="21"/>
      <c r="AC451" s="21" t="str">
        <f aca="false">IF(AB451="","",IF(AB451&gt;AA451,"PASS",IF(AB451&lt;=AA451*0.85,"BID","ATTENZIONE")))</f>
        <v/>
      </c>
      <c r="AD451" s="31" t="str">
        <f aca="false">IF(I451="","",ROUND(100*(1-EXP(-I451/30)),0))</f>
        <v/>
      </c>
      <c r="AE451" s="7" t="str">
        <f aca="false">IFERROR(INDEX('Stato Asta'!$G$9:$G$12,MATCH($B451,'Stato Asta'!$A$9:$A$12,0)),"")</f>
        <v>🟡 Attesa rischiosa</v>
      </c>
    </row>
    <row r="452" customFormat="false" ht="14.25" hidden="false" customHeight="true" outlineLevel="0" collapsed="false">
      <c r="A452" s="21" t="n">
        <v>219</v>
      </c>
      <c r="B452" s="21" t="s">
        <v>43</v>
      </c>
      <c r="C452" s="21" t="s">
        <v>166</v>
      </c>
      <c r="E452" s="26" t="str">
        <f aca="false">IF(COUNTIF('Info Strategia'!$D$2:$D$51,$C452)&gt;0,"SI","NO")</f>
        <v>NO</v>
      </c>
      <c r="F452" s="27" t="n">
        <f aca="false">IFERROR(ROUND(($G452+($H452-$G452)*'Info Strategia'!$B$6)*(1+IF($E452="SI",'Parametri Modello'!$B$7*'Info Strategia'!$B$6,0)),0),"")</f>
        <v>1</v>
      </c>
      <c r="G452" s="27" t="n">
        <f aca="false">IFERROR(ROUND((IF(OR(INDEX('Parametri Modello'!$C$39:$C$42,MATCH($B452,'Parametri Modello'!$A$39:$A$42,0))="",INDEX('Parametri Modello'!$C$39:$C$42,MATCH($B452,'Parametri Modello'!$A$39:$A$42,0))=0),0,($O452/INDEX('Parametri Modello'!$C$39:$C$42,MATCH($B452,'Parametri Modello'!$A$39:$A$42,0)))*(INDEX('Parametri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H452" s="27" t="n">
        <f aca="false">IFERROR(ROUND((IF(OR(INDEX('Parametri Modello'!$C$39:$C$42,MATCH($B452,'Parametri Modello'!$A$39:$A$42,0))="",INDEX('Parametri Modello'!$C$39:$C$42,MATCH($B452,'Parametri Modello'!$A$39:$A$42,0))=0),0,($O452/INDEX('Parametri Modello'!$C$39:$C$42,MATCH($B452,'Parametri Modello'!$A$39:$A$42,0)))*(INDEX('Parametri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I452" s="26" t="n">
        <f aca="false">IFERROR(INDEX('Input Statistiche 2025_26'!$F$3:$F$665,MATCH($A452,'Input Statistiche 2025_26'!$A$3:$A$665,0)),"")</f>
        <v>2</v>
      </c>
      <c r="J452" s="26" t="n">
        <f aca="false">IFERROR(IF($I452="","",MAX(0,38-$I452)),"")</f>
        <v>36</v>
      </c>
      <c r="K452" s="26" t="n">
        <f aca="false">IFERROR(INDEX('Input Statistiche 2025_26'!$I$3:$I$665,MATCH($A452,'Input Statistiche 2025_26'!$A$3:$A$665,0)),"")</f>
        <v>0</v>
      </c>
      <c r="L452" s="26" t="n">
        <f aca="false">IFERROR(INDEX('Input Statistiche 2025_26'!$O$3:$O$665,MATCH($A452,'Input Statistiche 2025_26'!$A$3:$A$665,0)),"")</f>
        <v>0</v>
      </c>
      <c r="M452" s="28"/>
      <c r="N452" s="27" t="n">
        <f aca="false">IFERROR(INDEX('Input Giocatori 2026_27'!$E$3:$E$493,MATCH($A452,'Input Giocatori 2026_27'!$A$3:$A$493,0)),"")</f>
        <v>1</v>
      </c>
      <c r="O452" s="27" t="n">
        <f aca="false">IFERROR(INDEX('Input Giocatori 2026_27'!$G$3:$G$493,MATCH($A452,'Input Giocatori 2026_27'!$A$3:$A$493,0)),"")</f>
        <v>1</v>
      </c>
      <c r="P452" s="26" t="str">
        <f aca="false">IFERROR(IF($O452="","",IF((1-(COUNTIFS($B$2:$B$492,$B452,$O$2:$O$492,"&gt;"&amp;$O452)+1-1)/COUNTIF($B$2:$B$492,$B452))&gt;=0.85,"Top",IF((1-(COUNTIFS($B$2:$B$492,$B452,$O$2:$O$492,"&gt;"&amp;$O452)+1-1)/COUNTIF($B$2:$B$492,$B452))&gt;=0.6,"Buono",IF((1-(COUNTIFS($B$2:$B$492,$B452,$O$2:$O$492,"&gt;"&amp;$O452)+1-1)/COUNTIF($B$2:$B$492,$B452))&gt;=0.3,"Nella Media","Scommessa/Riserva")))),"")</f>
        <v>Nella Media</v>
      </c>
      <c r="Q452" s="29" t="n">
        <f aca="false">IF($D452="",COUNTIF($D$2:$D452,""),"")</f>
        <v>451</v>
      </c>
      <c r="R452" s="29" t="str">
        <f aca="false">IF($D452='Info Lega'!$B$28,COUNTIFS($D$2:$D452,'Info Lega'!$B$28),"")</f>
        <v/>
      </c>
      <c r="S452" s="30" t="n">
        <f aca="false">IFERROR(INDEX('Input Statistiche 2025_26'!$G$3:$G$665,MATCH($A452,'Input Statistiche 2025_26'!$A$3:$A$665,0)),"")</f>
        <v>5.75</v>
      </c>
      <c r="T452" s="30" t="n">
        <f aca="false">IFERROR(INDEX('Input Statistiche 2025_26'!$H$3:$H$665,MATCH($A452,'Input Statistiche 2025_26'!$A$3:$A$665,0)),"")</f>
        <v>3.75</v>
      </c>
      <c r="U452" s="26" t="str">
        <f aca="false">IF(OR('La Mia Rosa'!$O$12="",$D452&lt;&gt;""),"",IF($F452&lt;='La Mia Rosa'!$O$12*'Parametri Modello'!$B$24,"OK",IF($F452&lt;='La Mia Rosa'!$O$12*'Parametri Modello'!$B$25,"Attenzione","Rischio Alto")))</f>
        <v>OK</v>
      </c>
      <c r="V452" s="26" t="n">
        <f aca="false">IFERROR(COUNTIFS($B$2:$B$492,$B452,$O$2:$O$492,"&gt;"&amp;$O452)+1,"")</f>
        <v>26</v>
      </c>
      <c r="W452" s="21" t="n">
        <f aca="false">'Info Lega'!$B$4-SUMIFS($M$2:$M$492,$D$2:$D$492,'Info Lega'!$B$28)</f>
        <v>1000</v>
      </c>
      <c r="X452" s="21" t="n">
        <f aca="false">('Info Lega'!$B$5-COUNTIFS($D$2:$D$492,'Info Lega'!$B$28,$B$2:$B$492,"P"))+('Info Lega'!$B$6-COUNTIFS($D$2:$D$492,'Info Lega'!$B$28,$B$2:$B$492,"D"))+('Info Lega'!$B$7-COUNTIFS($D$2:$D$492,'Info Lega'!$B$28,$B$2:$B$492,"C"))+('Info Lega'!$B$8-COUNTIFS($D$2:$D$492,'Info Lega'!$B$28,$B$2:$B$492,"A"))</f>
        <v>25</v>
      </c>
      <c r="Y452" s="21" t="n">
        <f aca="false">X452*'Parametri Modello'!$B$30</f>
        <v>25</v>
      </c>
      <c r="Z452" s="21" t="n">
        <f aca="false">MAX(0,W452-Y452)</f>
        <v>975</v>
      </c>
      <c r="AA452" s="21" t="n">
        <f aca="false">MIN(F452,Z452)</f>
        <v>1</v>
      </c>
      <c r="AB452" s="21"/>
      <c r="AC452" s="21" t="str">
        <f aca="false">IF(AB452="","",IF(AB452&gt;AA452,"PASS",IF(AB452&lt;=AA452*0.85,"BID","ATTENZIONE")))</f>
        <v/>
      </c>
      <c r="AD452" s="31" t="n">
        <f aca="false">IF(I452="","",ROUND(100*(1-EXP(-I452/30)),0))</f>
        <v>6</v>
      </c>
      <c r="AE452" s="7" t="str">
        <f aca="false">IFERROR(INDEX('Stato Asta'!$G$9:$G$12,MATCH($B452,'Stato Asta'!$A$9:$A$12,0)),"")</f>
        <v>🟡 Attesa rischiosa</v>
      </c>
    </row>
    <row r="453" customFormat="false" ht="14.25" hidden="false" customHeight="true" outlineLevel="0" collapsed="false">
      <c r="A453" s="21" t="n">
        <v>6569</v>
      </c>
      <c r="B453" s="21" t="s">
        <v>43</v>
      </c>
      <c r="C453" s="21" t="s">
        <v>167</v>
      </c>
      <c r="E453" s="26" t="str">
        <f aca="false">IF(COUNTIF('Info Strategia'!$D$2:$D$51,$C453)&gt;0,"SI","NO")</f>
        <v>NO</v>
      </c>
      <c r="F453" s="27" t="n">
        <f aca="false">IFERROR(ROUND(($G453+($H453-$G453)*'Info Strategia'!$B$6)*(1+IF($E453="SI",'Parametri Modello'!$B$7*'Info Strategia'!$B$6,0)),0),"")</f>
        <v>1</v>
      </c>
      <c r="G453" s="27" t="n">
        <f aca="false">IFERROR(ROUND((IF(OR(INDEX('Parametri Modello'!$C$39:$C$42,MATCH($B453,'Parametri Modello'!$A$39:$A$42,0))="",INDEX('Parametri Modello'!$C$39:$C$42,MATCH($B453,'Parametri Modello'!$A$39:$A$42,0))=0),0,($O453/INDEX('Parametri Modello'!$C$39:$C$42,MATCH($B453,'Parametri Modello'!$A$39:$A$42,0)))*(INDEX('Parametri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H453" s="27" t="n">
        <f aca="false">IFERROR(ROUND((IF(OR(INDEX('Parametri Modello'!$C$39:$C$42,MATCH($B453,'Parametri Modello'!$A$39:$A$42,0))="",INDEX('Parametri Modello'!$C$39:$C$42,MATCH($B453,'Parametri Modello'!$A$39:$A$42,0))=0),0,($O453/INDEX('Parametri Modello'!$C$39:$C$42,MATCH($B453,'Parametri Modello'!$A$39:$A$42,0)))*(INDEX('Parametri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I453" s="26" t="str">
        <f aca="false">IFERROR(INDEX('Input Statistiche 2025_26'!$F$3:$F$665,MATCH($A453,'Input Statistiche 2025_26'!$A$3:$A$665,0)),"")</f>
        <v/>
      </c>
      <c r="J453" s="26" t="str">
        <f aca="false">IFERROR(IF($I453="","",MAX(0,38-$I453)),"")</f>
        <v/>
      </c>
      <c r="K453" s="26" t="str">
        <f aca="false">IFERROR(INDEX('Input Statistiche 2025_26'!$I$3:$I$665,MATCH($A453,'Input Statistiche 2025_26'!$A$3:$A$665,0)),"")</f>
        <v/>
      </c>
      <c r="L453" s="26" t="str">
        <f aca="false">IFERROR(INDEX('Input Statistiche 2025_26'!$O$3:$O$665,MATCH($A453,'Input Statistiche 2025_26'!$A$3:$A$665,0)),"")</f>
        <v/>
      </c>
      <c r="M453" s="28"/>
      <c r="N453" s="27" t="n">
        <f aca="false">IFERROR(INDEX('Input Giocatori 2026_27'!$E$3:$E$493,MATCH($A453,'Input Giocatori 2026_27'!$A$3:$A$493,0)),"")</f>
        <v>1</v>
      </c>
      <c r="O453" s="27" t="n">
        <f aca="false">IFERROR(INDEX('Input Giocatori 2026_27'!$G$3:$G$493,MATCH($A453,'Input Giocatori 2026_27'!$A$3:$A$493,0)),"")</f>
        <v>1</v>
      </c>
      <c r="P453" s="26" t="str">
        <f aca="false">IFERROR(IF($O453="","",IF((1-(COUNTIFS($B$2:$B$492,$B453,$O$2:$O$492,"&gt;"&amp;$O453)+1-1)/COUNTIF($B$2:$B$492,$B453))&gt;=0.85,"Top",IF((1-(COUNTIFS($B$2:$B$492,$B453,$O$2:$O$492,"&gt;"&amp;$O453)+1-1)/COUNTIF($B$2:$B$492,$B453))&gt;=0.6,"Buono",IF((1-(COUNTIFS($B$2:$B$492,$B453,$O$2:$O$492,"&gt;"&amp;$O453)+1-1)/COUNTIF($B$2:$B$492,$B453))&gt;=0.3,"Nella Media","Scommessa/Riserva")))),"")</f>
        <v>Nella Media</v>
      </c>
      <c r="Q453" s="29" t="n">
        <f aca="false">IF($D453="",COUNTIF($D$2:$D453,""),"")</f>
        <v>452</v>
      </c>
      <c r="R453" s="29" t="str">
        <f aca="false">IF($D453='Info Lega'!$B$28,COUNTIFS($D$2:$D453,'Info Lega'!$B$28),"")</f>
        <v/>
      </c>
      <c r="S453" s="30" t="str">
        <f aca="false">IFERROR(INDEX('Input Statistiche 2025_26'!$G$3:$G$665,MATCH($A453,'Input Statistiche 2025_26'!$A$3:$A$665,0)),"")</f>
        <v/>
      </c>
      <c r="T453" s="30" t="str">
        <f aca="false">IFERROR(INDEX('Input Statistiche 2025_26'!$H$3:$H$665,MATCH($A453,'Input Statistiche 2025_26'!$A$3:$A$665,0)),"")</f>
        <v/>
      </c>
      <c r="U453" s="26" t="str">
        <f aca="false">IF(OR('La Mia Rosa'!$O$12="",$D453&lt;&gt;""),"",IF($F453&lt;='La Mia Rosa'!$O$12*'Parametri Modello'!$B$24,"OK",IF($F453&lt;='La Mia Rosa'!$O$12*'Parametri Modello'!$B$25,"Attenzione","Rischio Alto")))</f>
        <v>OK</v>
      </c>
      <c r="V453" s="26" t="n">
        <f aca="false">IFERROR(COUNTIFS($B$2:$B$492,$B453,$O$2:$O$492,"&gt;"&amp;$O453)+1,"")</f>
        <v>26</v>
      </c>
      <c r="W453" s="21" t="n">
        <f aca="false">'Info Lega'!$B$4-SUMIFS($M$2:$M$492,$D$2:$D$492,'Info Lega'!$B$28)</f>
        <v>1000</v>
      </c>
      <c r="X453" s="21" t="n">
        <f aca="false">('Info Lega'!$B$5-COUNTIFS($D$2:$D$492,'Info Lega'!$B$28,$B$2:$B$492,"P"))+('Info Lega'!$B$6-COUNTIFS($D$2:$D$492,'Info Lega'!$B$28,$B$2:$B$492,"D"))+('Info Lega'!$B$7-COUNTIFS($D$2:$D$492,'Info Lega'!$B$28,$B$2:$B$492,"C"))+('Info Lega'!$B$8-COUNTIFS($D$2:$D$492,'Info Lega'!$B$28,$B$2:$B$492,"A"))</f>
        <v>25</v>
      </c>
      <c r="Y453" s="21" t="n">
        <f aca="false">X453*'Parametri Modello'!$B$30</f>
        <v>25</v>
      </c>
      <c r="Z453" s="21" t="n">
        <f aca="false">MAX(0,W453-Y453)</f>
        <v>975</v>
      </c>
      <c r="AA453" s="21" t="n">
        <f aca="false">MIN(F453,Z453)</f>
        <v>1</v>
      </c>
      <c r="AB453" s="21"/>
      <c r="AC453" s="21" t="str">
        <f aca="false">IF(AB453="","",IF(AB453&gt;AA453,"PASS",IF(AB453&lt;=AA453*0.85,"BID","ATTENZIONE")))</f>
        <v/>
      </c>
      <c r="AD453" s="31" t="str">
        <f aca="false">IF(I453="","",ROUND(100*(1-EXP(-I453/30)),0))</f>
        <v/>
      </c>
      <c r="AE453" s="7" t="str">
        <f aca="false">IFERROR(INDEX('Stato Asta'!$G$9:$G$12,MATCH($B453,'Stato Asta'!$A$9:$A$12,0)),"")</f>
        <v>🟡 Attesa rischiosa</v>
      </c>
    </row>
    <row r="454" customFormat="false" ht="14.25" hidden="false" customHeight="true" outlineLevel="0" collapsed="false">
      <c r="A454" s="21" t="n">
        <v>1926</v>
      </c>
      <c r="B454" s="21" t="s">
        <v>43</v>
      </c>
      <c r="C454" s="21" t="s">
        <v>168</v>
      </c>
      <c r="E454" s="26" t="str">
        <f aca="false">IF(COUNTIF('Info Strategia'!$D$2:$D$51,$C454)&gt;0,"SI","NO")</f>
        <v>NO</v>
      </c>
      <c r="F454" s="27" t="n">
        <f aca="false">IFERROR(ROUND(($G454+($H454-$G454)*'Info Strategia'!$B$6)*(1+IF($E454="SI",'Parametri Modello'!$B$7*'Info Strategia'!$B$6,0)),0),"")</f>
        <v>1</v>
      </c>
      <c r="G454" s="27" t="n">
        <f aca="false">IFERROR(ROUND((IF(OR(INDEX('Parametri Modello'!$C$39:$C$42,MATCH($B454,'Parametri Modello'!$A$39:$A$42,0))="",INDEX('Parametri Modello'!$C$39:$C$42,MATCH($B454,'Parametri Modello'!$A$39:$A$42,0))=0),0,($O454/INDEX('Parametri Modello'!$C$39:$C$42,MATCH($B454,'Parametri Modello'!$A$39:$A$42,0)))*(INDEX('Parametri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H454" s="27" t="n">
        <f aca="false">IFERROR(ROUND((IF(OR(INDEX('Parametri Modello'!$C$39:$C$42,MATCH($B454,'Parametri Modello'!$A$39:$A$42,0))="",INDEX('Parametri Modello'!$C$39:$C$42,MATCH($B454,'Parametri Modello'!$A$39:$A$42,0))=0),0,($O454/INDEX('Parametri Modello'!$C$39:$C$42,MATCH($B454,'Parametri Modello'!$A$39:$A$42,0)))*(INDEX('Parametri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I454" s="26" t="n">
        <f aca="false">IFERROR(INDEX('Input Statistiche 2025_26'!$F$3:$F$665,MATCH($A454,'Input Statistiche 2025_26'!$A$3:$A$665,0)),"")</f>
        <v>1</v>
      </c>
      <c r="J454" s="26" t="n">
        <f aca="false">IFERROR(IF($I454="","",MAX(0,38-$I454)),"")</f>
        <v>37</v>
      </c>
      <c r="K454" s="26" t="n">
        <f aca="false">IFERROR(INDEX('Input Statistiche 2025_26'!$I$3:$I$665,MATCH($A454,'Input Statistiche 2025_26'!$A$3:$A$665,0)),"")</f>
        <v>0</v>
      </c>
      <c r="L454" s="26" t="n">
        <f aca="false">IFERROR(INDEX('Input Statistiche 2025_26'!$O$3:$O$665,MATCH($A454,'Input Statistiche 2025_26'!$A$3:$A$665,0)),"")</f>
        <v>0</v>
      </c>
      <c r="M454" s="28"/>
      <c r="N454" s="27" t="n">
        <f aca="false">IFERROR(INDEX('Input Giocatori 2026_27'!$E$3:$E$493,MATCH($A454,'Input Giocatori 2026_27'!$A$3:$A$493,0)),"")</f>
        <v>1</v>
      </c>
      <c r="O454" s="27" t="n">
        <f aca="false">IFERROR(INDEX('Input Giocatori 2026_27'!$G$3:$G$493,MATCH($A454,'Input Giocatori 2026_27'!$A$3:$A$493,0)),"")</f>
        <v>1</v>
      </c>
      <c r="P454" s="26" t="str">
        <f aca="false">IFERROR(IF($O454="","",IF((1-(COUNTIFS($B$2:$B$492,$B454,$O$2:$O$492,"&gt;"&amp;$O454)+1-1)/COUNTIF($B$2:$B$492,$B454))&gt;=0.85,"Top",IF((1-(COUNTIFS($B$2:$B$492,$B454,$O$2:$O$492,"&gt;"&amp;$O454)+1-1)/COUNTIF($B$2:$B$492,$B454))&gt;=0.6,"Buono",IF((1-(COUNTIFS($B$2:$B$492,$B454,$O$2:$O$492,"&gt;"&amp;$O454)+1-1)/COUNTIF($B$2:$B$492,$B454))&gt;=0.3,"Nella Media","Scommessa/Riserva")))),"")</f>
        <v>Nella Media</v>
      </c>
      <c r="Q454" s="29" t="n">
        <f aca="false">IF($D454="",COUNTIF($D$2:$D454,""),"")</f>
        <v>453</v>
      </c>
      <c r="R454" s="29" t="str">
        <f aca="false">IF($D454='Info Lega'!$B$28,COUNTIFS($D$2:$D454,'Info Lega'!$B$28),"")</f>
        <v/>
      </c>
      <c r="S454" s="30" t="n">
        <f aca="false">IFERROR(INDEX('Input Statistiche 2025_26'!$G$3:$G$665,MATCH($A454,'Input Statistiche 2025_26'!$A$3:$A$665,0)),"")</f>
        <v>6</v>
      </c>
      <c r="T454" s="30" t="n">
        <f aca="false">IFERROR(INDEX('Input Statistiche 2025_26'!$H$3:$H$665,MATCH($A454,'Input Statistiche 2025_26'!$A$3:$A$665,0)),"")</f>
        <v>5</v>
      </c>
      <c r="U454" s="26" t="str">
        <f aca="false">IF(OR('La Mia Rosa'!$O$12="",$D454&lt;&gt;""),"",IF($F454&lt;='La Mia Rosa'!$O$12*'Parametri Modello'!$B$24,"OK",IF($F454&lt;='La Mia Rosa'!$O$12*'Parametri Modello'!$B$25,"Attenzione","Rischio Alto")))</f>
        <v>OK</v>
      </c>
      <c r="V454" s="26" t="n">
        <f aca="false">IFERROR(COUNTIFS($B$2:$B$492,$B454,$O$2:$O$492,"&gt;"&amp;$O454)+1,"")</f>
        <v>26</v>
      </c>
      <c r="W454" s="21" t="n">
        <f aca="false">'Info Lega'!$B$4-SUMIFS($M$2:$M$492,$D$2:$D$492,'Info Lega'!$B$28)</f>
        <v>1000</v>
      </c>
      <c r="X454" s="21" t="n">
        <f aca="false">('Info Lega'!$B$5-COUNTIFS($D$2:$D$492,'Info Lega'!$B$28,$B$2:$B$492,"P"))+('Info Lega'!$B$6-COUNTIFS($D$2:$D$492,'Info Lega'!$B$28,$B$2:$B$492,"D"))+('Info Lega'!$B$7-COUNTIFS($D$2:$D$492,'Info Lega'!$B$28,$B$2:$B$492,"C"))+('Info Lega'!$B$8-COUNTIFS($D$2:$D$492,'Info Lega'!$B$28,$B$2:$B$492,"A"))</f>
        <v>25</v>
      </c>
      <c r="Y454" s="21" t="n">
        <f aca="false">X454*'Parametri Modello'!$B$30</f>
        <v>25</v>
      </c>
      <c r="Z454" s="21" t="n">
        <f aca="false">MAX(0,W454-Y454)</f>
        <v>975</v>
      </c>
      <c r="AA454" s="21" t="n">
        <f aca="false">MIN(F454,Z454)</f>
        <v>1</v>
      </c>
      <c r="AB454" s="21"/>
      <c r="AC454" s="21" t="str">
        <f aca="false">IF(AB454="","",IF(AB454&gt;AA454,"PASS",IF(AB454&lt;=AA454*0.85,"BID","ATTENZIONE")))</f>
        <v/>
      </c>
      <c r="AD454" s="31" t="n">
        <f aca="false">IF(I454="","",ROUND(100*(1-EXP(-I454/30)),0))</f>
        <v>3</v>
      </c>
      <c r="AE454" s="7" t="str">
        <f aca="false">IFERROR(INDEX('Stato Asta'!$G$9:$G$12,MATCH($B454,'Stato Asta'!$A$9:$A$12,0)),"")</f>
        <v>🟡 Attesa rischiosa</v>
      </c>
    </row>
    <row r="455" customFormat="false" ht="14.25" hidden="false" customHeight="true" outlineLevel="0" collapsed="false">
      <c r="A455" s="21" t="n">
        <v>1930</v>
      </c>
      <c r="B455" s="21" t="s">
        <v>43</v>
      </c>
      <c r="C455" s="21" t="s">
        <v>169</v>
      </c>
      <c r="E455" s="26" t="str">
        <f aca="false">IF(COUNTIF('Info Strategia'!$D$2:$D$51,$C455)&gt;0,"SI","NO")</f>
        <v>NO</v>
      </c>
      <c r="F455" s="27" t="n">
        <f aca="false">IFERROR(ROUND(($G455+($H455-$G455)*'Info Strategia'!$B$6)*(1+IF($E455="SI",'Parametri Modello'!$B$7*'Info Strategia'!$B$6,0)),0),"")</f>
        <v>1</v>
      </c>
      <c r="G455" s="27" t="n">
        <f aca="false">IFERROR(ROUND((IF(OR(INDEX('Parametri Modello'!$C$39:$C$42,MATCH($B455,'Parametri Modello'!$A$39:$A$42,0))="",INDEX('Parametri Modello'!$C$39:$C$42,MATCH($B455,'Parametri Modello'!$A$39:$A$42,0))=0),0,($O455/INDEX('Parametri Modello'!$C$39:$C$42,MATCH($B455,'Parametri Modello'!$A$39:$A$42,0)))*(INDEX('Parametri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H455" s="27" t="n">
        <f aca="false">IFERROR(ROUND((IF(OR(INDEX('Parametri Modello'!$C$39:$C$42,MATCH($B455,'Parametri Modello'!$A$39:$A$42,0))="",INDEX('Parametri Modello'!$C$39:$C$42,MATCH($B455,'Parametri Modello'!$A$39:$A$42,0))=0),0,($O455/INDEX('Parametri Modello'!$C$39:$C$42,MATCH($B455,'Parametri Modello'!$A$39:$A$42,0)))*(INDEX('Parametri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I455" s="26" t="n">
        <f aca="false">IFERROR(INDEX('Input Statistiche 2025_26'!$F$3:$F$665,MATCH($A455,'Input Statistiche 2025_26'!$A$3:$A$665,0)),"")</f>
        <v>0</v>
      </c>
      <c r="J455" s="26" t="n">
        <f aca="false">IFERROR(IF($I455="","",MAX(0,38-$I455)),"")</f>
        <v>38</v>
      </c>
      <c r="K455" s="26" t="n">
        <f aca="false">IFERROR(INDEX('Input Statistiche 2025_26'!$I$3:$I$665,MATCH($A455,'Input Statistiche 2025_26'!$A$3:$A$665,0)),"")</f>
        <v>0</v>
      </c>
      <c r="L455" s="26" t="n">
        <f aca="false">IFERROR(INDEX('Input Statistiche 2025_26'!$O$3:$O$665,MATCH($A455,'Input Statistiche 2025_26'!$A$3:$A$665,0)),"")</f>
        <v>0</v>
      </c>
      <c r="M455" s="28"/>
      <c r="N455" s="27" t="n">
        <f aca="false">IFERROR(INDEX('Input Giocatori 2026_27'!$E$3:$E$493,MATCH($A455,'Input Giocatori 2026_27'!$A$3:$A$493,0)),"")</f>
        <v>1</v>
      </c>
      <c r="O455" s="27" t="n">
        <f aca="false">IFERROR(INDEX('Input Giocatori 2026_27'!$G$3:$G$493,MATCH($A455,'Input Giocatori 2026_27'!$A$3:$A$493,0)),"")</f>
        <v>1</v>
      </c>
      <c r="P455" s="26" t="str">
        <f aca="false">IFERROR(IF($O455="","",IF((1-(COUNTIFS($B$2:$B$492,$B455,$O$2:$O$492,"&gt;"&amp;$O455)+1-1)/COUNTIF($B$2:$B$492,$B455))&gt;=0.85,"Top",IF((1-(COUNTIFS($B$2:$B$492,$B455,$O$2:$O$492,"&gt;"&amp;$O455)+1-1)/COUNTIF($B$2:$B$492,$B455))&gt;=0.6,"Buono",IF((1-(COUNTIFS($B$2:$B$492,$B455,$O$2:$O$492,"&gt;"&amp;$O455)+1-1)/COUNTIF($B$2:$B$492,$B455))&gt;=0.3,"Nella Media","Scommessa/Riserva")))),"")</f>
        <v>Nella Media</v>
      </c>
      <c r="Q455" s="29" t="n">
        <f aca="false">IF($D455="",COUNTIF($D$2:$D455,""),"")</f>
        <v>454</v>
      </c>
      <c r="R455" s="29" t="str">
        <f aca="false">IF($D455='Info Lega'!$B$28,COUNTIFS($D$2:$D455,'Info Lega'!$B$28),"")</f>
        <v/>
      </c>
      <c r="S455" s="30" t="n">
        <f aca="false">IFERROR(INDEX('Input Statistiche 2025_26'!$G$3:$G$665,MATCH($A455,'Input Statistiche 2025_26'!$A$3:$A$665,0)),"")</f>
        <v>0</v>
      </c>
      <c r="T455" s="30" t="n">
        <f aca="false">IFERROR(INDEX('Input Statistiche 2025_26'!$H$3:$H$665,MATCH($A455,'Input Statistiche 2025_26'!$A$3:$A$665,0)),"")</f>
        <v>0</v>
      </c>
      <c r="U455" s="26" t="str">
        <f aca="false">IF(OR('La Mia Rosa'!$O$12="",$D455&lt;&gt;""),"",IF($F455&lt;='La Mia Rosa'!$O$12*'Parametri Modello'!$B$24,"OK",IF($F455&lt;='La Mia Rosa'!$O$12*'Parametri Modello'!$B$25,"Attenzione","Rischio Alto")))</f>
        <v>OK</v>
      </c>
      <c r="V455" s="26" t="n">
        <f aca="false">IFERROR(COUNTIFS($B$2:$B$492,$B455,$O$2:$O$492,"&gt;"&amp;$O455)+1,"")</f>
        <v>26</v>
      </c>
      <c r="W455" s="21" t="n">
        <f aca="false">'Info Lega'!$B$4-SUMIFS($M$2:$M$492,$D$2:$D$492,'Info Lega'!$B$28)</f>
        <v>1000</v>
      </c>
      <c r="X455" s="21" t="n">
        <f aca="false">('Info Lega'!$B$5-COUNTIFS($D$2:$D$492,'Info Lega'!$B$28,$B$2:$B$492,"P"))+('Info Lega'!$B$6-COUNTIFS($D$2:$D$492,'Info Lega'!$B$28,$B$2:$B$492,"D"))+('Info Lega'!$B$7-COUNTIFS($D$2:$D$492,'Info Lega'!$B$28,$B$2:$B$492,"C"))+('Info Lega'!$B$8-COUNTIFS($D$2:$D$492,'Info Lega'!$B$28,$B$2:$B$492,"A"))</f>
        <v>25</v>
      </c>
      <c r="Y455" s="21" t="n">
        <f aca="false">X455*'Parametri Modello'!$B$30</f>
        <v>25</v>
      </c>
      <c r="Z455" s="21" t="n">
        <f aca="false">MAX(0,W455-Y455)</f>
        <v>975</v>
      </c>
      <c r="AA455" s="21" t="n">
        <f aca="false">MIN(F455,Z455)</f>
        <v>1</v>
      </c>
      <c r="AB455" s="21"/>
      <c r="AC455" s="21" t="str">
        <f aca="false">IF(AB455="","",IF(AB455&gt;AA455,"PASS",IF(AB455&lt;=AA455*0.85,"BID","ATTENZIONE")))</f>
        <v/>
      </c>
      <c r="AD455" s="31" t="n">
        <f aca="false">IF(I455="","",ROUND(100*(1-EXP(-I455/30)),0))</f>
        <v>0</v>
      </c>
      <c r="AE455" s="7" t="str">
        <f aca="false">IFERROR(INDEX('Stato Asta'!$G$9:$G$12,MATCH($B455,'Stato Asta'!$A$9:$A$12,0)),"")</f>
        <v>🟡 Attesa rischiosa</v>
      </c>
    </row>
    <row r="456" customFormat="false" ht="14.25" hidden="false" customHeight="true" outlineLevel="0" collapsed="false">
      <c r="A456" s="21" t="n">
        <v>7337</v>
      </c>
      <c r="B456" s="21" t="s">
        <v>43</v>
      </c>
      <c r="C456" s="21" t="s">
        <v>170</v>
      </c>
      <c r="E456" s="26" t="str">
        <f aca="false">IF(COUNTIF('Info Strategia'!$D$2:$D$51,$C456)&gt;0,"SI","NO")</f>
        <v>NO</v>
      </c>
      <c r="F456" s="27" t="n">
        <f aca="false">IFERROR(ROUND(($G456+($H456-$G456)*'Info Strategia'!$B$6)*(1+IF($E456="SI",'Parametri Modello'!$B$7*'Info Strategia'!$B$6,0)),0),"")</f>
        <v>1</v>
      </c>
      <c r="G456" s="27" t="n">
        <f aca="false">IFERROR(ROUND((IF(OR(INDEX('Parametri Modello'!$C$39:$C$42,MATCH($B456,'Parametri Modello'!$A$39:$A$42,0))="",INDEX('Parametri Modello'!$C$39:$C$42,MATCH($B456,'Parametri Modello'!$A$39:$A$42,0))=0),0,($O456/INDEX('Parametri Modello'!$C$39:$C$42,MATCH($B456,'Parametri Modello'!$A$39:$A$42,0)))*(INDEX('Parametri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H456" s="27" t="n">
        <f aca="false">IFERROR(ROUND((IF(OR(INDEX('Parametri Modello'!$C$39:$C$42,MATCH($B456,'Parametri Modello'!$A$39:$A$42,0))="",INDEX('Parametri Modello'!$C$39:$C$42,MATCH($B456,'Parametri Modello'!$A$39:$A$42,0))=0),0,($O456/INDEX('Parametri Modello'!$C$39:$C$42,MATCH($B456,'Parametri Modello'!$A$39:$A$42,0)))*(INDEX('Parametri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I456" s="26" t="n">
        <f aca="false">IFERROR(INDEX('Input Statistiche 2025_26'!$F$3:$F$665,MATCH($A456,'Input Statistiche 2025_26'!$A$3:$A$665,0)),"")</f>
        <v>9</v>
      </c>
      <c r="J456" s="26" t="n">
        <f aca="false">IFERROR(IF($I456="","",MAX(0,38-$I456)),"")</f>
        <v>29</v>
      </c>
      <c r="K456" s="26" t="n">
        <f aca="false">IFERROR(INDEX('Input Statistiche 2025_26'!$I$3:$I$665,MATCH($A456,'Input Statistiche 2025_26'!$A$3:$A$665,0)),"")</f>
        <v>0</v>
      </c>
      <c r="L456" s="26" t="n">
        <f aca="false">IFERROR(INDEX('Input Statistiche 2025_26'!$O$3:$O$665,MATCH($A456,'Input Statistiche 2025_26'!$A$3:$A$665,0)),"")</f>
        <v>0</v>
      </c>
      <c r="M456" s="28"/>
      <c r="N456" s="27" t="n">
        <f aca="false">IFERROR(INDEX('Input Giocatori 2026_27'!$E$3:$E$493,MATCH($A456,'Input Giocatori 2026_27'!$A$3:$A$493,0)),"")</f>
        <v>1</v>
      </c>
      <c r="O456" s="27" t="n">
        <f aca="false">IFERROR(INDEX('Input Giocatori 2026_27'!$G$3:$G$493,MATCH($A456,'Input Giocatori 2026_27'!$A$3:$A$493,0)),"")</f>
        <v>1</v>
      </c>
      <c r="P456" s="26" t="str">
        <f aca="false">IFERROR(IF($O456="","",IF((1-(COUNTIFS($B$2:$B$492,$B456,$O$2:$O$492,"&gt;"&amp;$O456)+1-1)/COUNTIF($B$2:$B$492,$B456))&gt;=0.85,"Top",IF((1-(COUNTIFS($B$2:$B$492,$B456,$O$2:$O$492,"&gt;"&amp;$O456)+1-1)/COUNTIF($B$2:$B$492,$B456))&gt;=0.6,"Buono",IF((1-(COUNTIFS($B$2:$B$492,$B456,$O$2:$O$492,"&gt;"&amp;$O456)+1-1)/COUNTIF($B$2:$B$492,$B456))&gt;=0.3,"Nella Media","Scommessa/Riserva")))),"")</f>
        <v>Nella Media</v>
      </c>
      <c r="Q456" s="29" t="n">
        <f aca="false">IF($D456="",COUNTIF($D$2:$D456,""),"")</f>
        <v>455</v>
      </c>
      <c r="R456" s="29" t="str">
        <f aca="false">IF($D456='Info Lega'!$B$28,COUNTIFS($D$2:$D456,'Info Lega'!$B$28),"")</f>
        <v/>
      </c>
      <c r="S456" s="30" t="n">
        <f aca="false">IFERROR(INDEX('Input Statistiche 2025_26'!$G$3:$G$665,MATCH($A456,'Input Statistiche 2025_26'!$A$3:$A$665,0)),"")</f>
        <v>6</v>
      </c>
      <c r="T456" s="30" t="n">
        <f aca="false">IFERROR(INDEX('Input Statistiche 2025_26'!$H$3:$H$665,MATCH($A456,'Input Statistiche 2025_26'!$A$3:$A$665,0)),"")</f>
        <v>5.17</v>
      </c>
      <c r="U456" s="26" t="str">
        <f aca="false">IF(OR('La Mia Rosa'!$O$12="",$D456&lt;&gt;""),"",IF($F456&lt;='La Mia Rosa'!$O$12*'Parametri Modello'!$B$24,"OK",IF($F456&lt;='La Mia Rosa'!$O$12*'Parametri Modello'!$B$25,"Attenzione","Rischio Alto")))</f>
        <v>OK</v>
      </c>
      <c r="V456" s="26" t="n">
        <f aca="false">IFERROR(COUNTIFS($B$2:$B$492,$B456,$O$2:$O$492,"&gt;"&amp;$O456)+1,"")</f>
        <v>26</v>
      </c>
      <c r="W456" s="21" t="n">
        <f aca="false">'Info Lega'!$B$4-SUMIFS($M$2:$M$492,$D$2:$D$492,'Info Lega'!$B$28)</f>
        <v>1000</v>
      </c>
      <c r="X456" s="21" t="n">
        <f aca="false">('Info Lega'!$B$5-COUNTIFS($D$2:$D$492,'Info Lega'!$B$28,$B$2:$B$492,"P"))+('Info Lega'!$B$6-COUNTIFS($D$2:$D$492,'Info Lega'!$B$28,$B$2:$B$492,"D"))+('Info Lega'!$B$7-COUNTIFS($D$2:$D$492,'Info Lega'!$B$28,$B$2:$B$492,"C"))+('Info Lega'!$B$8-COUNTIFS($D$2:$D$492,'Info Lega'!$B$28,$B$2:$B$492,"A"))</f>
        <v>25</v>
      </c>
      <c r="Y456" s="21" t="n">
        <f aca="false">X456*'Parametri Modello'!$B$30</f>
        <v>25</v>
      </c>
      <c r="Z456" s="21" t="n">
        <f aca="false">MAX(0,W456-Y456)</f>
        <v>975</v>
      </c>
      <c r="AA456" s="21" t="n">
        <f aca="false">MIN(F456,Z456)</f>
        <v>1</v>
      </c>
      <c r="AB456" s="21"/>
      <c r="AC456" s="21" t="str">
        <f aca="false">IF(AB456="","",IF(AB456&gt;AA456,"PASS",IF(AB456&lt;=AA456*0.85,"BID","ATTENZIONE")))</f>
        <v/>
      </c>
      <c r="AD456" s="31" t="n">
        <f aca="false">IF(I456="","",ROUND(100*(1-EXP(-I456/30)),0))</f>
        <v>26</v>
      </c>
      <c r="AE456" s="7" t="str">
        <f aca="false">IFERROR(INDEX('Stato Asta'!$G$9:$G$12,MATCH($B456,'Stato Asta'!$A$9:$A$12,0)),"")</f>
        <v>🟡 Attesa rischiosa</v>
      </c>
    </row>
    <row r="457" customFormat="false" ht="14.25" hidden="false" customHeight="true" outlineLevel="0" collapsed="false">
      <c r="A457" s="21" t="n">
        <v>7534</v>
      </c>
      <c r="B457" s="21" t="s">
        <v>43</v>
      </c>
      <c r="C457" s="21" t="s">
        <v>171</v>
      </c>
      <c r="E457" s="26" t="str">
        <f aca="false">IF(COUNTIF('Info Strategia'!$D$2:$D$51,$C457)&gt;0,"SI","NO")</f>
        <v>NO</v>
      </c>
      <c r="F457" s="27" t="n">
        <f aca="false">IFERROR(ROUND(($G457+($H457-$G457)*'Info Strategia'!$B$6)*(1+IF($E457="SI",'Parametri Modello'!$B$7*'Info Strategia'!$B$6,0)),0),"")</f>
        <v>1</v>
      </c>
      <c r="G457" s="27" t="n">
        <f aca="false">IFERROR(ROUND((IF(OR(INDEX('Parametri Modello'!$C$39:$C$42,MATCH($B457,'Parametri Modello'!$A$39:$A$42,0))="",INDEX('Parametri Modello'!$C$39:$C$42,MATCH($B457,'Parametri Modello'!$A$39:$A$42,0))=0),0,($O457/INDEX('Parametri Modello'!$C$39:$C$42,MATCH($B457,'Parametri Modello'!$A$39:$A$42,0)))*(INDEX('Parametri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H457" s="27" t="n">
        <f aca="false">IFERROR(ROUND((IF(OR(INDEX('Parametri Modello'!$C$39:$C$42,MATCH($B457,'Parametri Modello'!$A$39:$A$42,0))="",INDEX('Parametri Modello'!$C$39:$C$42,MATCH($B457,'Parametri Modello'!$A$39:$A$42,0))=0),0,($O457/INDEX('Parametri Modello'!$C$39:$C$42,MATCH($B457,'Parametri Modello'!$A$39:$A$42,0)))*(INDEX('Parametri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I457" s="26" t="str">
        <f aca="false">IFERROR(INDEX('Input Statistiche 2025_26'!$F$3:$F$665,MATCH($A457,'Input Statistiche 2025_26'!$A$3:$A$665,0)),"")</f>
        <v/>
      </c>
      <c r="J457" s="26" t="str">
        <f aca="false">IFERROR(IF($I457="","",MAX(0,38-$I457)),"")</f>
        <v/>
      </c>
      <c r="K457" s="26" t="str">
        <f aca="false">IFERROR(INDEX('Input Statistiche 2025_26'!$I$3:$I$665,MATCH($A457,'Input Statistiche 2025_26'!$A$3:$A$665,0)),"")</f>
        <v/>
      </c>
      <c r="L457" s="26" t="str">
        <f aca="false">IFERROR(INDEX('Input Statistiche 2025_26'!$O$3:$O$665,MATCH($A457,'Input Statistiche 2025_26'!$A$3:$A$665,0)),"")</f>
        <v/>
      </c>
      <c r="M457" s="28"/>
      <c r="N457" s="27" t="n">
        <f aca="false">IFERROR(INDEX('Input Giocatori 2026_27'!$E$3:$E$493,MATCH($A457,'Input Giocatori 2026_27'!$A$3:$A$493,0)),"")</f>
        <v>1</v>
      </c>
      <c r="O457" s="27" t="n">
        <f aca="false">IFERROR(INDEX('Input Giocatori 2026_27'!$G$3:$G$493,MATCH($A457,'Input Giocatori 2026_27'!$A$3:$A$493,0)),"")</f>
        <v>1</v>
      </c>
      <c r="P457" s="26" t="str">
        <f aca="false">IFERROR(IF($O457="","",IF((1-(COUNTIFS($B$2:$B$492,$B457,$O$2:$O$492,"&gt;"&amp;$O457)+1-1)/COUNTIF($B$2:$B$492,$B457))&gt;=0.85,"Top",IF((1-(COUNTIFS($B$2:$B$492,$B457,$O$2:$O$492,"&gt;"&amp;$O457)+1-1)/COUNTIF($B$2:$B$492,$B457))&gt;=0.6,"Buono",IF((1-(COUNTIFS($B$2:$B$492,$B457,$O$2:$O$492,"&gt;"&amp;$O457)+1-1)/COUNTIF($B$2:$B$492,$B457))&gt;=0.3,"Nella Media","Scommessa/Riserva")))),"")</f>
        <v>Nella Media</v>
      </c>
      <c r="Q457" s="29" t="n">
        <f aca="false">IF($D457="",COUNTIF($D$2:$D457,""),"")</f>
        <v>456</v>
      </c>
      <c r="R457" s="29" t="str">
        <f aca="false">IF($D457='Info Lega'!$B$28,COUNTIFS($D$2:$D457,'Info Lega'!$B$28),"")</f>
        <v/>
      </c>
      <c r="S457" s="30" t="str">
        <f aca="false">IFERROR(INDEX('Input Statistiche 2025_26'!$G$3:$G$665,MATCH($A457,'Input Statistiche 2025_26'!$A$3:$A$665,0)),"")</f>
        <v/>
      </c>
      <c r="T457" s="30" t="str">
        <f aca="false">IFERROR(INDEX('Input Statistiche 2025_26'!$H$3:$H$665,MATCH($A457,'Input Statistiche 2025_26'!$A$3:$A$665,0)),"")</f>
        <v/>
      </c>
      <c r="U457" s="26" t="str">
        <f aca="false">IF(OR('La Mia Rosa'!$O$12="",$D457&lt;&gt;""),"",IF($F457&lt;='La Mia Rosa'!$O$12*'Parametri Modello'!$B$24,"OK",IF($F457&lt;='La Mia Rosa'!$O$12*'Parametri Modello'!$B$25,"Attenzione","Rischio Alto")))</f>
        <v>OK</v>
      </c>
      <c r="V457" s="26" t="n">
        <f aca="false">IFERROR(COUNTIFS($B$2:$B$492,$B457,$O$2:$O$492,"&gt;"&amp;$O457)+1,"")</f>
        <v>26</v>
      </c>
      <c r="W457" s="21" t="n">
        <f aca="false">'Info Lega'!$B$4-SUMIFS($M$2:$M$492,$D$2:$D$492,'Info Lega'!$B$28)</f>
        <v>1000</v>
      </c>
      <c r="X457" s="21" t="n">
        <f aca="false">('Info Lega'!$B$5-COUNTIFS($D$2:$D$492,'Info Lega'!$B$28,$B$2:$B$492,"P"))+('Info Lega'!$B$6-COUNTIFS($D$2:$D$492,'Info Lega'!$B$28,$B$2:$B$492,"D"))+('Info Lega'!$B$7-COUNTIFS($D$2:$D$492,'Info Lega'!$B$28,$B$2:$B$492,"C"))+('Info Lega'!$B$8-COUNTIFS($D$2:$D$492,'Info Lega'!$B$28,$B$2:$B$492,"A"))</f>
        <v>25</v>
      </c>
      <c r="Y457" s="21" t="n">
        <f aca="false">X457*'Parametri Modello'!$B$30</f>
        <v>25</v>
      </c>
      <c r="Z457" s="21" t="n">
        <f aca="false">MAX(0,W457-Y457)</f>
        <v>975</v>
      </c>
      <c r="AA457" s="21" t="n">
        <f aca="false">MIN(F457,Z457)</f>
        <v>1</v>
      </c>
      <c r="AB457" s="21"/>
      <c r="AC457" s="21" t="str">
        <f aca="false">IF(AB457="","",IF(AB457&gt;AA457,"PASS",IF(AB457&lt;=AA457*0.85,"BID","ATTENZIONE")))</f>
        <v/>
      </c>
      <c r="AD457" s="31" t="str">
        <f aca="false">IF(I457="","",ROUND(100*(1-EXP(-I457/30)),0))</f>
        <v/>
      </c>
      <c r="AE457" s="7" t="str">
        <f aca="false">IFERROR(INDEX('Stato Asta'!$G$9:$G$12,MATCH($B457,'Stato Asta'!$A$9:$A$12,0)),"")</f>
        <v>🟡 Attesa rischiosa</v>
      </c>
    </row>
    <row r="458" customFormat="false" ht="14.25" hidden="false" customHeight="true" outlineLevel="0" collapsed="false">
      <c r="A458" s="21" t="n">
        <v>6523</v>
      </c>
      <c r="B458" s="21" t="s">
        <v>43</v>
      </c>
      <c r="C458" s="21" t="s">
        <v>172</v>
      </c>
      <c r="E458" s="26" t="str">
        <f aca="false">IF(COUNTIF('Info Strategia'!$D$2:$D$51,$C458)&gt;0,"SI","NO")</f>
        <v>NO</v>
      </c>
      <c r="F458" s="27" t="n">
        <f aca="false">IFERROR(ROUND(($G458+($H458-$G458)*'Info Strategia'!$B$6)*(1+IF($E458="SI",'Parametri Modello'!$B$7*'Info Strategia'!$B$6,0)),0),"")</f>
        <v>1</v>
      </c>
      <c r="G458" s="27" t="n">
        <f aca="false">IFERROR(ROUND((IF(OR(INDEX('Parametri Modello'!$C$39:$C$42,MATCH($B458,'Parametri Modello'!$A$39:$A$42,0))="",INDEX('Parametri Modello'!$C$39:$C$42,MATCH($B458,'Parametri Modello'!$A$39:$A$42,0))=0),0,($O458/INDEX('Parametri Modello'!$C$39:$C$42,MATCH($B458,'Parametri Modello'!$A$39:$A$42,0)))*(INDEX('Parametri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H458" s="27" t="n">
        <f aca="false">IFERROR(ROUND((IF(OR(INDEX('Parametri Modello'!$C$39:$C$42,MATCH($B458,'Parametri Modello'!$A$39:$A$42,0))="",INDEX('Parametri Modello'!$C$39:$C$42,MATCH($B458,'Parametri Modello'!$A$39:$A$42,0))=0),0,($O458/INDEX('Parametri Modello'!$C$39:$C$42,MATCH($B458,'Parametri Modello'!$A$39:$A$42,0)))*(INDEX('Parametri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I458" s="26" t="n">
        <f aca="false">IFERROR(INDEX('Input Statistiche 2025_26'!$F$3:$F$665,MATCH($A458,'Input Statistiche 2025_26'!$A$3:$A$665,0)),"")</f>
        <v>0</v>
      </c>
      <c r="J458" s="26" t="n">
        <f aca="false">IFERROR(IF($I458="","",MAX(0,38-$I458)),"")</f>
        <v>38</v>
      </c>
      <c r="K458" s="26" t="n">
        <f aca="false">IFERROR(INDEX('Input Statistiche 2025_26'!$I$3:$I$665,MATCH($A458,'Input Statistiche 2025_26'!$A$3:$A$665,0)),"")</f>
        <v>0</v>
      </c>
      <c r="L458" s="26" t="n">
        <f aca="false">IFERROR(INDEX('Input Statistiche 2025_26'!$O$3:$O$665,MATCH($A458,'Input Statistiche 2025_26'!$A$3:$A$665,0)),"")</f>
        <v>0</v>
      </c>
      <c r="M458" s="28"/>
      <c r="N458" s="27" t="n">
        <f aca="false">IFERROR(INDEX('Input Giocatori 2026_27'!$E$3:$E$493,MATCH($A458,'Input Giocatori 2026_27'!$A$3:$A$493,0)),"")</f>
        <v>1</v>
      </c>
      <c r="O458" s="27" t="n">
        <f aca="false">IFERROR(INDEX('Input Giocatori 2026_27'!$G$3:$G$493,MATCH($A458,'Input Giocatori 2026_27'!$A$3:$A$493,0)),"")</f>
        <v>1</v>
      </c>
      <c r="P458" s="26" t="str">
        <f aca="false">IFERROR(IF($O458="","",IF((1-(COUNTIFS($B$2:$B$492,$B458,$O$2:$O$492,"&gt;"&amp;$O458)+1-1)/COUNTIF($B$2:$B$492,$B458))&gt;=0.85,"Top",IF((1-(COUNTIFS($B$2:$B$492,$B458,$O$2:$O$492,"&gt;"&amp;$O458)+1-1)/COUNTIF($B$2:$B$492,$B458))&gt;=0.6,"Buono",IF((1-(COUNTIFS($B$2:$B$492,$B458,$O$2:$O$492,"&gt;"&amp;$O458)+1-1)/COUNTIF($B$2:$B$492,$B458))&gt;=0.3,"Nella Media","Scommessa/Riserva")))),"")</f>
        <v>Nella Media</v>
      </c>
      <c r="Q458" s="29" t="n">
        <f aca="false">IF($D458="",COUNTIF($D$2:$D458,""),"")</f>
        <v>457</v>
      </c>
      <c r="R458" s="29" t="str">
        <f aca="false">IF($D458='Info Lega'!$B$28,COUNTIFS($D$2:$D458,'Info Lega'!$B$28),"")</f>
        <v/>
      </c>
      <c r="S458" s="30" t="n">
        <f aca="false">IFERROR(INDEX('Input Statistiche 2025_26'!$G$3:$G$665,MATCH($A458,'Input Statistiche 2025_26'!$A$3:$A$665,0)),"")</f>
        <v>0</v>
      </c>
      <c r="T458" s="30" t="n">
        <f aca="false">IFERROR(INDEX('Input Statistiche 2025_26'!$H$3:$H$665,MATCH($A458,'Input Statistiche 2025_26'!$A$3:$A$665,0)),"")</f>
        <v>0</v>
      </c>
      <c r="U458" s="26" t="str">
        <f aca="false">IF(OR('La Mia Rosa'!$O$12="",$D458&lt;&gt;""),"",IF($F458&lt;='La Mia Rosa'!$O$12*'Parametri Modello'!$B$24,"OK",IF($F458&lt;='La Mia Rosa'!$O$12*'Parametri Modello'!$B$25,"Attenzione","Rischio Alto")))</f>
        <v>OK</v>
      </c>
      <c r="V458" s="26" t="n">
        <f aca="false">IFERROR(COUNTIFS($B$2:$B$492,$B458,$O$2:$O$492,"&gt;"&amp;$O458)+1,"")</f>
        <v>26</v>
      </c>
      <c r="W458" s="21" t="n">
        <f aca="false">'Info Lega'!$B$4-SUMIFS($M$2:$M$492,$D$2:$D$492,'Info Lega'!$B$28)</f>
        <v>1000</v>
      </c>
      <c r="X458" s="21" t="n">
        <f aca="false">('Info Lega'!$B$5-COUNTIFS($D$2:$D$492,'Info Lega'!$B$28,$B$2:$B$492,"P"))+('Info Lega'!$B$6-COUNTIFS($D$2:$D$492,'Info Lega'!$B$28,$B$2:$B$492,"D"))+('Info Lega'!$B$7-COUNTIFS($D$2:$D$492,'Info Lega'!$B$28,$B$2:$B$492,"C"))+('Info Lega'!$B$8-COUNTIFS($D$2:$D$492,'Info Lega'!$B$28,$B$2:$B$492,"A"))</f>
        <v>25</v>
      </c>
      <c r="Y458" s="21" t="n">
        <f aca="false">X458*'Parametri Modello'!$B$30</f>
        <v>25</v>
      </c>
      <c r="Z458" s="21" t="n">
        <f aca="false">MAX(0,W458-Y458)</f>
        <v>975</v>
      </c>
      <c r="AA458" s="21" t="n">
        <f aca="false">MIN(F458,Z458)</f>
        <v>1</v>
      </c>
      <c r="AB458" s="21"/>
      <c r="AC458" s="21" t="str">
        <f aca="false">IF(AB458="","",IF(AB458&gt;AA458,"PASS",IF(AB458&lt;=AA458*0.85,"BID","ATTENZIONE")))</f>
        <v/>
      </c>
      <c r="AD458" s="31" t="n">
        <f aca="false">IF(I458="","",ROUND(100*(1-EXP(-I458/30)),0))</f>
        <v>0</v>
      </c>
      <c r="AE458" s="7" t="str">
        <f aca="false">IFERROR(INDEX('Stato Asta'!$G$9:$G$12,MATCH($B458,'Stato Asta'!$A$9:$A$12,0)),"")</f>
        <v>🟡 Attesa rischiosa</v>
      </c>
    </row>
    <row r="459" customFormat="false" ht="14.25" hidden="false" customHeight="true" outlineLevel="0" collapsed="false">
      <c r="A459" s="21" t="n">
        <v>2815</v>
      </c>
      <c r="B459" s="21" t="s">
        <v>43</v>
      </c>
      <c r="C459" s="21" t="s">
        <v>173</v>
      </c>
      <c r="E459" s="26" t="str">
        <f aca="false">IF(COUNTIF('Info Strategia'!$D$2:$D$51,$C459)&gt;0,"SI","NO")</f>
        <v>NO</v>
      </c>
      <c r="F459" s="27" t="n">
        <f aca="false">IFERROR(ROUND(($G459+($H459-$G459)*'Info Strategia'!$B$6)*(1+IF($E459="SI",'Parametri Modello'!$B$7*'Info Strategia'!$B$6,0)),0),"")</f>
        <v>1</v>
      </c>
      <c r="G459" s="27" t="n">
        <f aca="false">IFERROR(ROUND((IF(OR(INDEX('Parametri Modello'!$C$39:$C$42,MATCH($B459,'Parametri Modello'!$A$39:$A$42,0))="",INDEX('Parametri Modello'!$C$39:$C$42,MATCH($B459,'Parametri Modello'!$A$39:$A$42,0))=0),0,($O459/INDEX('Parametri Modello'!$C$39:$C$42,MATCH($B459,'Parametri Modello'!$A$39:$A$42,0)))*(INDEX('Parametri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H459" s="27" t="n">
        <f aca="false">IFERROR(ROUND((IF(OR(INDEX('Parametri Modello'!$C$39:$C$42,MATCH($B459,'Parametri Modello'!$A$39:$A$42,0))="",INDEX('Parametri Modello'!$C$39:$C$42,MATCH($B459,'Parametri Modello'!$A$39:$A$42,0))=0),0,($O459/INDEX('Parametri Modello'!$C$39:$C$42,MATCH($B459,'Parametri Modello'!$A$39:$A$42,0)))*(INDEX('Parametri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I459" s="26" t="n">
        <f aca="false">IFERROR(INDEX('Input Statistiche 2025_26'!$F$3:$F$665,MATCH($A459,'Input Statistiche 2025_26'!$A$3:$A$665,0)),"")</f>
        <v>2</v>
      </c>
      <c r="J459" s="26" t="n">
        <f aca="false">IFERROR(IF($I459="","",MAX(0,38-$I459)),"")</f>
        <v>36</v>
      </c>
      <c r="K459" s="26" t="n">
        <f aca="false">IFERROR(INDEX('Input Statistiche 2025_26'!$I$3:$I$665,MATCH($A459,'Input Statistiche 2025_26'!$A$3:$A$665,0)),"")</f>
        <v>0</v>
      </c>
      <c r="L459" s="26" t="n">
        <f aca="false">IFERROR(INDEX('Input Statistiche 2025_26'!$O$3:$O$665,MATCH($A459,'Input Statistiche 2025_26'!$A$3:$A$665,0)),"")</f>
        <v>0</v>
      </c>
      <c r="M459" s="28"/>
      <c r="N459" s="27" t="n">
        <f aca="false">IFERROR(INDEX('Input Giocatori 2026_27'!$E$3:$E$493,MATCH($A459,'Input Giocatori 2026_27'!$A$3:$A$493,0)),"")</f>
        <v>1</v>
      </c>
      <c r="O459" s="27" t="n">
        <f aca="false">IFERROR(INDEX('Input Giocatori 2026_27'!$G$3:$G$493,MATCH($A459,'Input Giocatori 2026_27'!$A$3:$A$493,0)),"")</f>
        <v>1</v>
      </c>
      <c r="P459" s="26" t="str">
        <f aca="false">IFERROR(IF($O459="","",IF((1-(COUNTIFS($B$2:$B$492,$B459,$O$2:$O$492,"&gt;"&amp;$O459)+1-1)/COUNTIF($B$2:$B$492,$B459))&gt;=0.85,"Top",IF((1-(COUNTIFS($B$2:$B$492,$B459,$O$2:$O$492,"&gt;"&amp;$O459)+1-1)/COUNTIF($B$2:$B$492,$B459))&gt;=0.6,"Buono",IF((1-(COUNTIFS($B$2:$B$492,$B459,$O$2:$O$492,"&gt;"&amp;$O459)+1-1)/COUNTIF($B$2:$B$492,$B459))&gt;=0.3,"Nella Media","Scommessa/Riserva")))),"")</f>
        <v>Nella Media</v>
      </c>
      <c r="Q459" s="29" t="n">
        <f aca="false">IF($D459="",COUNTIF($D$2:$D459,""),"")</f>
        <v>458</v>
      </c>
      <c r="R459" s="29" t="str">
        <f aca="false">IF($D459='Info Lega'!$B$28,COUNTIFS($D$2:$D459,'Info Lega'!$B$28),"")</f>
        <v/>
      </c>
      <c r="S459" s="30" t="n">
        <f aca="false">IFERROR(INDEX('Input Statistiche 2025_26'!$G$3:$G$665,MATCH($A459,'Input Statistiche 2025_26'!$A$3:$A$665,0)),"")</f>
        <v>6</v>
      </c>
      <c r="T459" s="30" t="n">
        <f aca="false">IFERROR(INDEX('Input Statistiche 2025_26'!$H$3:$H$665,MATCH($A459,'Input Statistiche 2025_26'!$A$3:$A$665,0)),"")</f>
        <v>6</v>
      </c>
      <c r="U459" s="26" t="str">
        <f aca="false">IF(OR('La Mia Rosa'!$O$12="",$D459&lt;&gt;""),"",IF($F459&lt;='La Mia Rosa'!$O$12*'Parametri Modello'!$B$24,"OK",IF($F459&lt;='La Mia Rosa'!$O$12*'Parametri Modello'!$B$25,"Attenzione","Rischio Alto")))</f>
        <v>OK</v>
      </c>
      <c r="V459" s="26" t="n">
        <f aca="false">IFERROR(COUNTIFS($B$2:$B$492,$B459,$O$2:$O$492,"&gt;"&amp;$O459)+1,"")</f>
        <v>26</v>
      </c>
      <c r="W459" s="21" t="n">
        <f aca="false">'Info Lega'!$B$4-SUMIFS($M$2:$M$492,$D$2:$D$492,'Info Lega'!$B$28)</f>
        <v>1000</v>
      </c>
      <c r="X459" s="21" t="n">
        <f aca="false">('Info Lega'!$B$5-COUNTIFS($D$2:$D$492,'Info Lega'!$B$28,$B$2:$B$492,"P"))+('Info Lega'!$B$6-COUNTIFS($D$2:$D$492,'Info Lega'!$B$28,$B$2:$B$492,"D"))+('Info Lega'!$B$7-COUNTIFS($D$2:$D$492,'Info Lega'!$B$28,$B$2:$B$492,"C"))+('Info Lega'!$B$8-COUNTIFS($D$2:$D$492,'Info Lega'!$B$28,$B$2:$B$492,"A"))</f>
        <v>25</v>
      </c>
      <c r="Y459" s="21" t="n">
        <f aca="false">X459*'Parametri Modello'!$B$30</f>
        <v>25</v>
      </c>
      <c r="Z459" s="21" t="n">
        <f aca="false">MAX(0,W459-Y459)</f>
        <v>975</v>
      </c>
      <c r="AA459" s="21" t="n">
        <f aca="false">MIN(F459,Z459)</f>
        <v>1</v>
      </c>
      <c r="AB459" s="21"/>
      <c r="AC459" s="21" t="str">
        <f aca="false">IF(AB459="","",IF(AB459&gt;AA459,"PASS",IF(AB459&lt;=AA459*0.85,"BID","ATTENZIONE")))</f>
        <v/>
      </c>
      <c r="AD459" s="31" t="n">
        <f aca="false">IF(I459="","",ROUND(100*(1-EXP(-I459/30)),0))</f>
        <v>6</v>
      </c>
      <c r="AE459" s="7" t="str">
        <f aca="false">IFERROR(INDEX('Stato Asta'!$G$9:$G$12,MATCH($B459,'Stato Asta'!$A$9:$A$12,0)),"")</f>
        <v>🟡 Attesa rischiosa</v>
      </c>
    </row>
    <row r="460" customFormat="false" ht="14.25" hidden="false" customHeight="true" outlineLevel="0" collapsed="false">
      <c r="A460" s="21" t="n">
        <v>6813</v>
      </c>
      <c r="B460" s="21" t="s">
        <v>43</v>
      </c>
      <c r="C460" s="21" t="s">
        <v>174</v>
      </c>
      <c r="E460" s="26" t="str">
        <f aca="false">IF(COUNTIF('Info Strategia'!$D$2:$D$51,$C460)&gt;0,"SI","NO")</f>
        <v>NO</v>
      </c>
      <c r="F460" s="27" t="n">
        <f aca="false">IFERROR(ROUND(($G460+($H460-$G460)*'Info Strategia'!$B$6)*(1+IF($E460="SI",'Parametri Modello'!$B$7*'Info Strategia'!$B$6,0)),0),"")</f>
        <v>1</v>
      </c>
      <c r="G460" s="27" t="n">
        <f aca="false">IFERROR(ROUND((IF(OR(INDEX('Parametri Modello'!$C$39:$C$42,MATCH($B460,'Parametri Modello'!$A$39:$A$42,0))="",INDEX('Parametri Modello'!$C$39:$C$42,MATCH($B460,'Parametri Modello'!$A$39:$A$42,0))=0),0,($O460/INDEX('Parametri Modello'!$C$39:$C$42,MATCH($B460,'Parametri Modello'!$A$39:$A$42,0)))*(INDEX('Parametri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H460" s="27" t="n">
        <f aca="false">IFERROR(ROUND((IF(OR(INDEX('Parametri Modello'!$C$39:$C$42,MATCH($B460,'Parametri Modello'!$A$39:$A$42,0))="",INDEX('Parametri Modello'!$C$39:$C$42,MATCH($B460,'Parametri Modello'!$A$39:$A$42,0))=0),0,($O460/INDEX('Parametri Modello'!$C$39:$C$42,MATCH($B460,'Parametri Modello'!$A$39:$A$42,0)))*(INDEX('Parametri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I460" s="26" t="n">
        <f aca="false">IFERROR(INDEX('Input Statistiche 2025_26'!$F$3:$F$665,MATCH($A460,'Input Statistiche 2025_26'!$A$3:$A$665,0)),"")</f>
        <v>0</v>
      </c>
      <c r="J460" s="26" t="n">
        <f aca="false">IFERROR(IF($I460="","",MAX(0,38-$I460)),"")</f>
        <v>38</v>
      </c>
      <c r="K460" s="26" t="n">
        <f aca="false">IFERROR(INDEX('Input Statistiche 2025_26'!$I$3:$I$665,MATCH($A460,'Input Statistiche 2025_26'!$A$3:$A$665,0)),"")</f>
        <v>0</v>
      </c>
      <c r="L460" s="26" t="n">
        <f aca="false">IFERROR(INDEX('Input Statistiche 2025_26'!$O$3:$O$665,MATCH($A460,'Input Statistiche 2025_26'!$A$3:$A$665,0)),"")</f>
        <v>0</v>
      </c>
      <c r="M460" s="28"/>
      <c r="N460" s="27" t="n">
        <f aca="false">IFERROR(INDEX('Input Giocatori 2026_27'!$E$3:$E$493,MATCH($A460,'Input Giocatori 2026_27'!$A$3:$A$493,0)),"")</f>
        <v>1</v>
      </c>
      <c r="O460" s="27" t="n">
        <f aca="false">IFERROR(INDEX('Input Giocatori 2026_27'!$G$3:$G$493,MATCH($A460,'Input Giocatori 2026_27'!$A$3:$A$493,0)),"")</f>
        <v>1</v>
      </c>
      <c r="P460" s="26" t="str">
        <f aca="false">IFERROR(IF($O460="","",IF((1-(COUNTIFS($B$2:$B$492,$B460,$O$2:$O$492,"&gt;"&amp;$O460)+1-1)/COUNTIF($B$2:$B$492,$B460))&gt;=0.85,"Top",IF((1-(COUNTIFS($B$2:$B$492,$B460,$O$2:$O$492,"&gt;"&amp;$O460)+1-1)/COUNTIF($B$2:$B$492,$B460))&gt;=0.6,"Buono",IF((1-(COUNTIFS($B$2:$B$492,$B460,$O$2:$O$492,"&gt;"&amp;$O460)+1-1)/COUNTIF($B$2:$B$492,$B460))&gt;=0.3,"Nella Media","Scommessa/Riserva")))),"")</f>
        <v>Nella Media</v>
      </c>
      <c r="Q460" s="29" t="n">
        <f aca="false">IF($D460="",COUNTIF($D$2:$D460,""),"")</f>
        <v>459</v>
      </c>
      <c r="R460" s="29" t="str">
        <f aca="false">IF($D460='Info Lega'!$B$28,COUNTIFS($D$2:$D460,'Info Lega'!$B$28),"")</f>
        <v/>
      </c>
      <c r="S460" s="30" t="n">
        <f aca="false">IFERROR(INDEX('Input Statistiche 2025_26'!$G$3:$G$665,MATCH($A460,'Input Statistiche 2025_26'!$A$3:$A$665,0)),"")</f>
        <v>0</v>
      </c>
      <c r="T460" s="30" t="n">
        <f aca="false">IFERROR(INDEX('Input Statistiche 2025_26'!$H$3:$H$665,MATCH($A460,'Input Statistiche 2025_26'!$A$3:$A$665,0)),"")</f>
        <v>0</v>
      </c>
      <c r="U460" s="26" t="str">
        <f aca="false">IF(OR('La Mia Rosa'!$O$12="",$D460&lt;&gt;""),"",IF($F460&lt;='La Mia Rosa'!$O$12*'Parametri Modello'!$B$24,"OK",IF($F460&lt;='La Mia Rosa'!$O$12*'Parametri Modello'!$B$25,"Attenzione","Rischio Alto")))</f>
        <v>OK</v>
      </c>
      <c r="V460" s="26" t="n">
        <f aca="false">IFERROR(COUNTIFS($B$2:$B$492,$B460,$O$2:$O$492,"&gt;"&amp;$O460)+1,"")</f>
        <v>26</v>
      </c>
      <c r="W460" s="21" t="n">
        <f aca="false">'Info Lega'!$B$4-SUMIFS($M$2:$M$492,$D$2:$D$492,'Info Lega'!$B$28)</f>
        <v>1000</v>
      </c>
      <c r="X460" s="21" t="n">
        <f aca="false">('Info Lega'!$B$5-COUNTIFS($D$2:$D$492,'Info Lega'!$B$28,$B$2:$B$492,"P"))+('Info Lega'!$B$6-COUNTIFS($D$2:$D$492,'Info Lega'!$B$28,$B$2:$B$492,"D"))+('Info Lega'!$B$7-COUNTIFS($D$2:$D$492,'Info Lega'!$B$28,$B$2:$B$492,"C"))+('Info Lega'!$B$8-COUNTIFS($D$2:$D$492,'Info Lega'!$B$28,$B$2:$B$492,"A"))</f>
        <v>25</v>
      </c>
      <c r="Y460" s="21" t="n">
        <f aca="false">X460*'Parametri Modello'!$B$30</f>
        <v>25</v>
      </c>
      <c r="Z460" s="21" t="n">
        <f aca="false">MAX(0,W460-Y460)</f>
        <v>975</v>
      </c>
      <c r="AA460" s="21" t="n">
        <f aca="false">MIN(F460,Z460)</f>
        <v>1</v>
      </c>
      <c r="AB460" s="21"/>
      <c r="AC460" s="21" t="str">
        <f aca="false">IF(AB460="","",IF(AB460&gt;AA460,"PASS",IF(AB460&lt;=AA460*0.85,"BID","ATTENZIONE")))</f>
        <v/>
      </c>
      <c r="AD460" s="31" t="n">
        <f aca="false">IF(I460="","",ROUND(100*(1-EXP(-I460/30)),0))</f>
        <v>0</v>
      </c>
      <c r="AE460" s="7" t="str">
        <f aca="false">IFERROR(INDEX('Stato Asta'!$G$9:$G$12,MATCH($B460,'Stato Asta'!$A$9:$A$12,0)),"")</f>
        <v>🟡 Attesa rischiosa</v>
      </c>
    </row>
    <row r="461" customFormat="false" ht="14.25" hidden="false" customHeight="true" outlineLevel="0" collapsed="false">
      <c r="A461" s="21" t="n">
        <v>6682</v>
      </c>
      <c r="B461" s="21" t="s">
        <v>43</v>
      </c>
      <c r="C461" s="21" t="s">
        <v>175</v>
      </c>
      <c r="E461" s="26" t="str">
        <f aca="false">IF(COUNTIF('Info Strategia'!$D$2:$D$51,$C461)&gt;0,"SI","NO")</f>
        <v>NO</v>
      </c>
      <c r="F461" s="27" t="n">
        <f aca="false">IFERROR(ROUND(($G461+($H461-$G461)*'Info Strategia'!$B$6)*(1+IF($E461="SI",'Parametri Modello'!$B$7*'Info Strategia'!$B$6,0)),0),"")</f>
        <v>1</v>
      </c>
      <c r="G461" s="27" t="n">
        <f aca="false">IFERROR(ROUND((IF(OR(INDEX('Parametri Modello'!$C$39:$C$42,MATCH($B461,'Parametri Modello'!$A$39:$A$42,0))="",INDEX('Parametri Modello'!$C$39:$C$42,MATCH($B461,'Parametri Modello'!$A$39:$A$42,0))=0),0,($O461/INDEX('Parametri Modello'!$C$39:$C$42,MATCH($B461,'Parametri Modello'!$A$39:$A$42,0)))*(INDEX('Parametri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H461" s="27" t="n">
        <f aca="false">IFERROR(ROUND((IF(OR(INDEX('Parametri Modello'!$C$39:$C$42,MATCH($B461,'Parametri Modello'!$A$39:$A$42,0))="",INDEX('Parametri Modello'!$C$39:$C$42,MATCH($B461,'Parametri Modello'!$A$39:$A$42,0))=0),0,($O461/INDEX('Parametri Modello'!$C$39:$C$42,MATCH($B461,'Parametri Modello'!$A$39:$A$42,0)))*(INDEX('Parametri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I461" s="26" t="str">
        <f aca="false">IFERROR(INDEX('Input Statistiche 2025_26'!$F$3:$F$665,MATCH($A461,'Input Statistiche 2025_26'!$A$3:$A$665,0)),"")</f>
        <v/>
      </c>
      <c r="J461" s="26" t="str">
        <f aca="false">IFERROR(IF($I461="","",MAX(0,38-$I461)),"")</f>
        <v/>
      </c>
      <c r="K461" s="26" t="str">
        <f aca="false">IFERROR(INDEX('Input Statistiche 2025_26'!$I$3:$I$665,MATCH($A461,'Input Statistiche 2025_26'!$A$3:$A$665,0)),"")</f>
        <v/>
      </c>
      <c r="L461" s="26" t="str">
        <f aca="false">IFERROR(INDEX('Input Statistiche 2025_26'!$O$3:$O$665,MATCH($A461,'Input Statistiche 2025_26'!$A$3:$A$665,0)),"")</f>
        <v/>
      </c>
      <c r="M461" s="28"/>
      <c r="N461" s="27" t="n">
        <f aca="false">IFERROR(INDEX('Input Giocatori 2026_27'!$E$3:$E$493,MATCH($A461,'Input Giocatori 2026_27'!$A$3:$A$493,0)),"")</f>
        <v>1</v>
      </c>
      <c r="O461" s="27" t="n">
        <f aca="false">IFERROR(INDEX('Input Giocatori 2026_27'!$G$3:$G$493,MATCH($A461,'Input Giocatori 2026_27'!$A$3:$A$493,0)),"")</f>
        <v>1</v>
      </c>
      <c r="P461" s="26" t="str">
        <f aca="false">IFERROR(IF($O461="","",IF((1-(COUNTIFS($B$2:$B$492,$B461,$O$2:$O$492,"&gt;"&amp;$O461)+1-1)/COUNTIF($B$2:$B$492,$B461))&gt;=0.85,"Top",IF((1-(COUNTIFS($B$2:$B$492,$B461,$O$2:$O$492,"&gt;"&amp;$O461)+1-1)/COUNTIF($B$2:$B$492,$B461))&gt;=0.6,"Buono",IF((1-(COUNTIFS($B$2:$B$492,$B461,$O$2:$O$492,"&gt;"&amp;$O461)+1-1)/COUNTIF($B$2:$B$492,$B461))&gt;=0.3,"Nella Media","Scommessa/Riserva")))),"")</f>
        <v>Nella Media</v>
      </c>
      <c r="Q461" s="29" t="n">
        <f aca="false">IF($D461="",COUNTIF($D$2:$D461,""),"")</f>
        <v>460</v>
      </c>
      <c r="R461" s="29" t="str">
        <f aca="false">IF($D461='Info Lega'!$B$28,COUNTIFS($D$2:$D461,'Info Lega'!$B$28),"")</f>
        <v/>
      </c>
      <c r="S461" s="30" t="str">
        <f aca="false">IFERROR(INDEX('Input Statistiche 2025_26'!$G$3:$G$665,MATCH($A461,'Input Statistiche 2025_26'!$A$3:$A$665,0)),"")</f>
        <v/>
      </c>
      <c r="T461" s="30" t="str">
        <f aca="false">IFERROR(INDEX('Input Statistiche 2025_26'!$H$3:$H$665,MATCH($A461,'Input Statistiche 2025_26'!$A$3:$A$665,0)),"")</f>
        <v/>
      </c>
      <c r="U461" s="26" t="str">
        <f aca="false">IF(OR('La Mia Rosa'!$O$12="",$D461&lt;&gt;""),"",IF($F461&lt;='La Mia Rosa'!$O$12*'Parametri Modello'!$B$24,"OK",IF($F461&lt;='La Mia Rosa'!$O$12*'Parametri Modello'!$B$25,"Attenzione","Rischio Alto")))</f>
        <v>OK</v>
      </c>
      <c r="V461" s="26" t="n">
        <f aca="false">IFERROR(COUNTIFS($B$2:$B$492,$B461,$O$2:$O$492,"&gt;"&amp;$O461)+1,"")</f>
        <v>26</v>
      </c>
      <c r="W461" s="21" t="n">
        <f aca="false">'Info Lega'!$B$4-SUMIFS($M$2:$M$492,$D$2:$D$492,'Info Lega'!$B$28)</f>
        <v>1000</v>
      </c>
      <c r="X461" s="21" t="n">
        <f aca="false">('Info Lega'!$B$5-COUNTIFS($D$2:$D$492,'Info Lega'!$B$28,$B$2:$B$492,"P"))+('Info Lega'!$B$6-COUNTIFS($D$2:$D$492,'Info Lega'!$B$28,$B$2:$B$492,"D"))+('Info Lega'!$B$7-COUNTIFS($D$2:$D$492,'Info Lega'!$B$28,$B$2:$B$492,"C"))+('Info Lega'!$B$8-COUNTIFS($D$2:$D$492,'Info Lega'!$B$28,$B$2:$B$492,"A"))</f>
        <v>25</v>
      </c>
      <c r="Y461" s="21" t="n">
        <f aca="false">X461*'Parametri Modello'!$B$30</f>
        <v>25</v>
      </c>
      <c r="Z461" s="21" t="n">
        <f aca="false">MAX(0,W461-Y461)</f>
        <v>975</v>
      </c>
      <c r="AA461" s="21" t="n">
        <f aca="false">MIN(F461,Z461)</f>
        <v>1</v>
      </c>
      <c r="AB461" s="21"/>
      <c r="AC461" s="21" t="str">
        <f aca="false">IF(AB461="","",IF(AB461&gt;AA461,"PASS",IF(AB461&lt;=AA461*0.85,"BID","ATTENZIONE")))</f>
        <v/>
      </c>
      <c r="AD461" s="31" t="str">
        <f aca="false">IF(I461="","",ROUND(100*(1-EXP(-I461/30)),0))</f>
        <v/>
      </c>
      <c r="AE461" s="7" t="str">
        <f aca="false">IFERROR(INDEX('Stato Asta'!$G$9:$G$12,MATCH($B461,'Stato Asta'!$A$9:$A$12,0)),"")</f>
        <v>🟡 Attesa rischiosa</v>
      </c>
    </row>
    <row r="462" customFormat="false" ht="14.25" hidden="false" customHeight="true" outlineLevel="0" collapsed="false">
      <c r="A462" s="21" t="n">
        <v>7475</v>
      </c>
      <c r="B462" s="21" t="s">
        <v>43</v>
      </c>
      <c r="C462" s="21" t="s">
        <v>176</v>
      </c>
      <c r="E462" s="26" t="str">
        <f aca="false">IF(COUNTIF('Info Strategia'!$D$2:$D$51,$C462)&gt;0,"SI","NO")</f>
        <v>NO</v>
      </c>
      <c r="F462" s="27" t="n">
        <f aca="false">IFERROR(ROUND(($G462+($H462-$G462)*'Info Strategia'!$B$6)*(1+IF($E462="SI",'Parametri Modello'!$B$7*'Info Strategia'!$B$6,0)),0),"")</f>
        <v>1</v>
      </c>
      <c r="G462" s="27" t="n">
        <f aca="false">IFERROR(ROUND((IF(OR(INDEX('Parametri Modello'!$C$39:$C$42,MATCH($B462,'Parametri Modello'!$A$39:$A$42,0))="",INDEX('Parametri Modello'!$C$39:$C$42,MATCH($B462,'Parametri Modello'!$A$39:$A$42,0))=0),0,($O462/INDEX('Parametri Modello'!$C$39:$C$42,MATCH($B462,'Parametri Modello'!$A$39:$A$42,0)))*(INDEX('Parametri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H462" s="27" t="n">
        <f aca="false">IFERROR(ROUND((IF(OR(INDEX('Parametri Modello'!$C$39:$C$42,MATCH($B462,'Parametri Modello'!$A$39:$A$42,0))="",INDEX('Parametri Modello'!$C$39:$C$42,MATCH($B462,'Parametri Modello'!$A$39:$A$42,0))=0),0,($O462/INDEX('Parametri Modello'!$C$39:$C$42,MATCH($B462,'Parametri Modello'!$A$39:$A$42,0)))*(INDEX('Parametri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I462" s="26" t="str">
        <f aca="false">IFERROR(INDEX('Input Statistiche 2025_26'!$F$3:$F$665,MATCH($A462,'Input Statistiche 2025_26'!$A$3:$A$665,0)),"")</f>
        <v/>
      </c>
      <c r="J462" s="26" t="str">
        <f aca="false">IFERROR(IF($I462="","",MAX(0,38-$I462)),"")</f>
        <v/>
      </c>
      <c r="K462" s="26" t="str">
        <f aca="false">IFERROR(INDEX('Input Statistiche 2025_26'!$I$3:$I$665,MATCH($A462,'Input Statistiche 2025_26'!$A$3:$A$665,0)),"")</f>
        <v/>
      </c>
      <c r="L462" s="26" t="str">
        <f aca="false">IFERROR(INDEX('Input Statistiche 2025_26'!$O$3:$O$665,MATCH($A462,'Input Statistiche 2025_26'!$A$3:$A$665,0)),"")</f>
        <v/>
      </c>
      <c r="M462" s="28"/>
      <c r="N462" s="27" t="n">
        <f aca="false">IFERROR(INDEX('Input Giocatori 2026_27'!$E$3:$E$493,MATCH($A462,'Input Giocatori 2026_27'!$A$3:$A$493,0)),"")</f>
        <v>1</v>
      </c>
      <c r="O462" s="27" t="n">
        <f aca="false">IFERROR(INDEX('Input Giocatori 2026_27'!$G$3:$G$493,MATCH($A462,'Input Giocatori 2026_27'!$A$3:$A$493,0)),"")</f>
        <v>1</v>
      </c>
      <c r="P462" s="26" t="str">
        <f aca="false">IFERROR(IF($O462="","",IF((1-(COUNTIFS($B$2:$B$492,$B462,$O$2:$O$492,"&gt;"&amp;$O462)+1-1)/COUNTIF($B$2:$B$492,$B462))&gt;=0.85,"Top",IF((1-(COUNTIFS($B$2:$B$492,$B462,$O$2:$O$492,"&gt;"&amp;$O462)+1-1)/COUNTIF($B$2:$B$492,$B462))&gt;=0.6,"Buono",IF((1-(COUNTIFS($B$2:$B$492,$B462,$O$2:$O$492,"&gt;"&amp;$O462)+1-1)/COUNTIF($B$2:$B$492,$B462))&gt;=0.3,"Nella Media","Scommessa/Riserva")))),"")</f>
        <v>Nella Media</v>
      </c>
      <c r="Q462" s="29" t="n">
        <f aca="false">IF($D462="",COUNTIF($D$2:$D462,""),"")</f>
        <v>461</v>
      </c>
      <c r="R462" s="29" t="str">
        <f aca="false">IF($D462='Info Lega'!$B$28,COUNTIFS($D$2:$D462,'Info Lega'!$B$28),"")</f>
        <v/>
      </c>
      <c r="S462" s="30" t="str">
        <f aca="false">IFERROR(INDEX('Input Statistiche 2025_26'!$G$3:$G$665,MATCH($A462,'Input Statistiche 2025_26'!$A$3:$A$665,0)),"")</f>
        <v/>
      </c>
      <c r="T462" s="30" t="str">
        <f aca="false">IFERROR(INDEX('Input Statistiche 2025_26'!$H$3:$H$665,MATCH($A462,'Input Statistiche 2025_26'!$A$3:$A$665,0)),"")</f>
        <v/>
      </c>
      <c r="U462" s="26" t="str">
        <f aca="false">IF(OR('La Mia Rosa'!$O$12="",$D462&lt;&gt;""),"",IF($F462&lt;='La Mia Rosa'!$O$12*'Parametri Modello'!$B$24,"OK",IF($F462&lt;='La Mia Rosa'!$O$12*'Parametri Modello'!$B$25,"Attenzione","Rischio Alto")))</f>
        <v>OK</v>
      </c>
      <c r="V462" s="26" t="n">
        <f aca="false">IFERROR(COUNTIFS($B$2:$B$492,$B462,$O$2:$O$492,"&gt;"&amp;$O462)+1,"")</f>
        <v>26</v>
      </c>
      <c r="W462" s="21" t="n">
        <f aca="false">'Info Lega'!$B$4-SUMIFS($M$2:$M$492,$D$2:$D$492,'Info Lega'!$B$28)</f>
        <v>1000</v>
      </c>
      <c r="X462" s="21" t="n">
        <f aca="false">('Info Lega'!$B$5-COUNTIFS($D$2:$D$492,'Info Lega'!$B$28,$B$2:$B$492,"P"))+('Info Lega'!$B$6-COUNTIFS($D$2:$D$492,'Info Lega'!$B$28,$B$2:$B$492,"D"))+('Info Lega'!$B$7-COUNTIFS($D$2:$D$492,'Info Lega'!$B$28,$B$2:$B$492,"C"))+('Info Lega'!$B$8-COUNTIFS($D$2:$D$492,'Info Lega'!$B$28,$B$2:$B$492,"A"))</f>
        <v>25</v>
      </c>
      <c r="Y462" s="21" t="n">
        <f aca="false">X462*'Parametri Modello'!$B$30</f>
        <v>25</v>
      </c>
      <c r="Z462" s="21" t="n">
        <f aca="false">MAX(0,W462-Y462)</f>
        <v>975</v>
      </c>
      <c r="AA462" s="21" t="n">
        <f aca="false">MIN(F462,Z462)</f>
        <v>1</v>
      </c>
      <c r="AB462" s="21"/>
      <c r="AC462" s="21" t="str">
        <f aca="false">IF(AB462="","",IF(AB462&gt;AA462,"PASS",IF(AB462&lt;=AA462*0.85,"BID","ATTENZIONE")))</f>
        <v/>
      </c>
      <c r="AD462" s="31" t="str">
        <f aca="false">IF(I462="","",ROUND(100*(1-EXP(-I462/30)),0))</f>
        <v/>
      </c>
      <c r="AE462" s="7" t="str">
        <f aca="false">IFERROR(INDEX('Stato Asta'!$G$9:$G$12,MATCH($B462,'Stato Asta'!$A$9:$A$12,0)),"")</f>
        <v>🟡 Attesa rischiosa</v>
      </c>
    </row>
    <row r="463" customFormat="false" ht="14.25" hidden="false" customHeight="true" outlineLevel="0" collapsed="false">
      <c r="A463" s="21" t="n">
        <v>2845</v>
      </c>
      <c r="B463" s="21" t="s">
        <v>43</v>
      </c>
      <c r="C463" s="21" t="s">
        <v>177</v>
      </c>
      <c r="E463" s="26" t="str">
        <f aca="false">IF(COUNTIF('Info Strategia'!$D$2:$D$51,$C463)&gt;0,"SI","NO")</f>
        <v>NO</v>
      </c>
      <c r="F463" s="27" t="n">
        <f aca="false">IFERROR(ROUND(($G463+($H463-$G463)*'Info Strategia'!$B$6)*(1+IF($E463="SI",'Parametri Modello'!$B$7*'Info Strategia'!$B$6,0)),0),"")</f>
        <v>1</v>
      </c>
      <c r="G463" s="27" t="n">
        <f aca="false">IFERROR(ROUND((IF(OR(INDEX('Parametri Modello'!$C$39:$C$42,MATCH($B463,'Parametri Modello'!$A$39:$A$42,0))="",INDEX('Parametri Modello'!$C$39:$C$42,MATCH($B463,'Parametri Modello'!$A$39:$A$42,0))=0),0,($O463/INDEX('Parametri Modello'!$C$39:$C$42,MATCH($B463,'Parametri Modello'!$A$39:$A$42,0)))*(INDEX('Parametri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H463" s="27" t="n">
        <f aca="false">IFERROR(ROUND((IF(OR(INDEX('Parametri Modello'!$C$39:$C$42,MATCH($B463,'Parametri Modello'!$A$39:$A$42,0))="",INDEX('Parametri Modello'!$C$39:$C$42,MATCH($B463,'Parametri Modello'!$A$39:$A$42,0))=0),0,($O463/INDEX('Parametri Modello'!$C$39:$C$42,MATCH($B463,'Parametri Modello'!$A$39:$A$42,0)))*(INDEX('Parametri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I463" s="26" t="n">
        <f aca="false">IFERROR(INDEX('Input Statistiche 2025_26'!$F$3:$F$665,MATCH($A463,'Input Statistiche 2025_26'!$A$3:$A$665,0)),"")</f>
        <v>0</v>
      </c>
      <c r="J463" s="26" t="n">
        <f aca="false">IFERROR(IF($I463="","",MAX(0,38-$I463)),"")</f>
        <v>38</v>
      </c>
      <c r="K463" s="26" t="n">
        <f aca="false">IFERROR(INDEX('Input Statistiche 2025_26'!$I$3:$I$665,MATCH($A463,'Input Statistiche 2025_26'!$A$3:$A$665,0)),"")</f>
        <v>0</v>
      </c>
      <c r="L463" s="26" t="n">
        <f aca="false">IFERROR(INDEX('Input Statistiche 2025_26'!$O$3:$O$665,MATCH($A463,'Input Statistiche 2025_26'!$A$3:$A$665,0)),"")</f>
        <v>0</v>
      </c>
      <c r="M463" s="28"/>
      <c r="N463" s="27" t="n">
        <f aca="false">IFERROR(INDEX('Input Giocatori 2026_27'!$E$3:$E$493,MATCH($A463,'Input Giocatori 2026_27'!$A$3:$A$493,0)),"")</f>
        <v>1</v>
      </c>
      <c r="O463" s="27" t="n">
        <f aca="false">IFERROR(INDEX('Input Giocatori 2026_27'!$G$3:$G$493,MATCH($A463,'Input Giocatori 2026_27'!$A$3:$A$493,0)),"")</f>
        <v>1</v>
      </c>
      <c r="P463" s="26" t="str">
        <f aca="false">IFERROR(IF($O463="","",IF((1-(COUNTIFS($B$2:$B$492,$B463,$O$2:$O$492,"&gt;"&amp;$O463)+1-1)/COUNTIF($B$2:$B$492,$B463))&gt;=0.85,"Top",IF((1-(COUNTIFS($B$2:$B$492,$B463,$O$2:$O$492,"&gt;"&amp;$O463)+1-1)/COUNTIF($B$2:$B$492,$B463))&gt;=0.6,"Buono",IF((1-(COUNTIFS($B$2:$B$492,$B463,$O$2:$O$492,"&gt;"&amp;$O463)+1-1)/COUNTIF($B$2:$B$492,$B463))&gt;=0.3,"Nella Media","Scommessa/Riserva")))),"")</f>
        <v>Nella Media</v>
      </c>
      <c r="Q463" s="29" t="n">
        <f aca="false">IF($D463="",COUNTIF($D$2:$D463,""),"")</f>
        <v>462</v>
      </c>
      <c r="R463" s="29" t="str">
        <f aca="false">IF($D463='Info Lega'!$B$28,COUNTIFS($D$2:$D463,'Info Lega'!$B$28),"")</f>
        <v/>
      </c>
      <c r="S463" s="30" t="n">
        <f aca="false">IFERROR(INDEX('Input Statistiche 2025_26'!$G$3:$G$665,MATCH($A463,'Input Statistiche 2025_26'!$A$3:$A$665,0)),"")</f>
        <v>0</v>
      </c>
      <c r="T463" s="30" t="n">
        <f aca="false">IFERROR(INDEX('Input Statistiche 2025_26'!$H$3:$H$665,MATCH($A463,'Input Statistiche 2025_26'!$A$3:$A$665,0)),"")</f>
        <v>0</v>
      </c>
      <c r="U463" s="26" t="str">
        <f aca="false">IF(OR('La Mia Rosa'!$O$12="",$D463&lt;&gt;""),"",IF($F463&lt;='La Mia Rosa'!$O$12*'Parametri Modello'!$B$24,"OK",IF($F463&lt;='La Mia Rosa'!$O$12*'Parametri Modello'!$B$25,"Attenzione","Rischio Alto")))</f>
        <v>OK</v>
      </c>
      <c r="V463" s="26" t="n">
        <f aca="false">IFERROR(COUNTIFS($B$2:$B$492,$B463,$O$2:$O$492,"&gt;"&amp;$O463)+1,"")</f>
        <v>26</v>
      </c>
      <c r="W463" s="21" t="n">
        <f aca="false">'Info Lega'!$B$4-SUMIFS($M$2:$M$492,$D$2:$D$492,'Info Lega'!$B$28)</f>
        <v>1000</v>
      </c>
      <c r="X463" s="21" t="n">
        <f aca="false">('Info Lega'!$B$5-COUNTIFS($D$2:$D$492,'Info Lega'!$B$28,$B$2:$B$492,"P"))+('Info Lega'!$B$6-COUNTIFS($D$2:$D$492,'Info Lega'!$B$28,$B$2:$B$492,"D"))+('Info Lega'!$B$7-COUNTIFS($D$2:$D$492,'Info Lega'!$B$28,$B$2:$B$492,"C"))+('Info Lega'!$B$8-COUNTIFS($D$2:$D$492,'Info Lega'!$B$28,$B$2:$B$492,"A"))</f>
        <v>25</v>
      </c>
      <c r="Y463" s="21" t="n">
        <f aca="false">X463*'Parametri Modello'!$B$30</f>
        <v>25</v>
      </c>
      <c r="Z463" s="21" t="n">
        <f aca="false">MAX(0,W463-Y463)</f>
        <v>975</v>
      </c>
      <c r="AA463" s="21" t="n">
        <f aca="false">MIN(F463,Z463)</f>
        <v>1</v>
      </c>
      <c r="AB463" s="21"/>
      <c r="AC463" s="21" t="str">
        <f aca="false">IF(AB463="","",IF(AB463&gt;AA463,"PASS",IF(AB463&lt;=AA463*0.85,"BID","ATTENZIONE")))</f>
        <v/>
      </c>
      <c r="AD463" s="31" t="n">
        <f aca="false">IF(I463="","",ROUND(100*(1-EXP(-I463/30)),0))</f>
        <v>0</v>
      </c>
      <c r="AE463" s="7" t="str">
        <f aca="false">IFERROR(INDEX('Stato Asta'!$G$9:$G$12,MATCH($B463,'Stato Asta'!$A$9:$A$12,0)),"")</f>
        <v>🟡 Attesa rischiosa</v>
      </c>
    </row>
    <row r="464" customFormat="false" ht="14.25" hidden="false" customHeight="true" outlineLevel="0" collapsed="false">
      <c r="A464" s="21" t="n">
        <v>6662</v>
      </c>
      <c r="B464" s="21" t="s">
        <v>43</v>
      </c>
      <c r="C464" s="21" t="s">
        <v>178</v>
      </c>
      <c r="E464" s="26" t="str">
        <f aca="false">IF(COUNTIF('Info Strategia'!$D$2:$D$51,$C464)&gt;0,"SI","NO")</f>
        <v>NO</v>
      </c>
      <c r="F464" s="27" t="n">
        <f aca="false">IFERROR(ROUND(($G464+($H464-$G464)*'Info Strategia'!$B$6)*(1+IF($E464="SI",'Parametri Modello'!$B$7*'Info Strategia'!$B$6,0)),0),"")</f>
        <v>1</v>
      </c>
      <c r="G464" s="27" t="n">
        <f aca="false">IFERROR(ROUND((IF(OR(INDEX('Parametri Modello'!$C$39:$C$42,MATCH($B464,'Parametri Modello'!$A$39:$A$42,0))="",INDEX('Parametri Modello'!$C$39:$C$42,MATCH($B464,'Parametri Modello'!$A$39:$A$42,0))=0),0,($O464/INDEX('Parametri Modello'!$C$39:$C$42,MATCH($B464,'Parametri Modello'!$A$39:$A$42,0)))*(INDEX('Parametri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H464" s="27" t="n">
        <f aca="false">IFERROR(ROUND((IF(OR(INDEX('Parametri Modello'!$C$39:$C$42,MATCH($B464,'Parametri Modello'!$A$39:$A$42,0))="",INDEX('Parametri Modello'!$C$39:$C$42,MATCH($B464,'Parametri Modello'!$A$39:$A$42,0))=0),0,($O464/INDEX('Parametri Modello'!$C$39:$C$42,MATCH($B464,'Parametri Modello'!$A$39:$A$42,0)))*(INDEX('Parametri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I464" s="26" t="n">
        <f aca="false">IFERROR(INDEX('Input Statistiche 2025_26'!$F$3:$F$665,MATCH($A464,'Input Statistiche 2025_26'!$A$3:$A$665,0)),"")</f>
        <v>17</v>
      </c>
      <c r="J464" s="26" t="n">
        <f aca="false">IFERROR(IF($I464="","",MAX(0,38-$I464)),"")</f>
        <v>21</v>
      </c>
      <c r="K464" s="26" t="n">
        <f aca="false">IFERROR(INDEX('Input Statistiche 2025_26'!$I$3:$I$665,MATCH($A464,'Input Statistiche 2025_26'!$A$3:$A$665,0)),"")</f>
        <v>0</v>
      </c>
      <c r="L464" s="26" t="n">
        <f aca="false">IFERROR(INDEX('Input Statistiche 2025_26'!$O$3:$O$665,MATCH($A464,'Input Statistiche 2025_26'!$A$3:$A$665,0)),"")</f>
        <v>0</v>
      </c>
      <c r="M464" s="28"/>
      <c r="N464" s="27" t="n">
        <f aca="false">IFERROR(INDEX('Input Giocatori 2026_27'!$E$3:$E$493,MATCH($A464,'Input Giocatori 2026_27'!$A$3:$A$493,0)),"")</f>
        <v>1</v>
      </c>
      <c r="O464" s="27" t="n">
        <f aca="false">IFERROR(INDEX('Input Giocatori 2026_27'!$G$3:$G$493,MATCH($A464,'Input Giocatori 2026_27'!$A$3:$A$493,0)),"")</f>
        <v>1</v>
      </c>
      <c r="P464" s="26" t="str">
        <f aca="false">IFERROR(IF($O464="","",IF((1-(COUNTIFS($B$2:$B$492,$B464,$O$2:$O$492,"&gt;"&amp;$O464)+1-1)/COUNTIF($B$2:$B$492,$B464))&gt;=0.85,"Top",IF((1-(COUNTIFS($B$2:$B$492,$B464,$O$2:$O$492,"&gt;"&amp;$O464)+1-1)/COUNTIF($B$2:$B$492,$B464))&gt;=0.6,"Buono",IF((1-(COUNTIFS($B$2:$B$492,$B464,$O$2:$O$492,"&gt;"&amp;$O464)+1-1)/COUNTIF($B$2:$B$492,$B464))&gt;=0.3,"Nella Media","Scommessa/Riserva")))),"")</f>
        <v>Nella Media</v>
      </c>
      <c r="Q464" s="29" t="n">
        <f aca="false">IF($D464="",COUNTIF($D$2:$D464,""),"")</f>
        <v>463</v>
      </c>
      <c r="R464" s="29" t="str">
        <f aca="false">IF($D464='Info Lega'!$B$28,COUNTIFS($D$2:$D464,'Info Lega'!$B$28),"")</f>
        <v/>
      </c>
      <c r="S464" s="30" t="n">
        <f aca="false">IFERROR(INDEX('Input Statistiche 2025_26'!$G$3:$G$665,MATCH($A464,'Input Statistiche 2025_26'!$A$3:$A$665,0)),"")</f>
        <v>6.18</v>
      </c>
      <c r="T464" s="30" t="n">
        <f aca="false">IFERROR(INDEX('Input Statistiche 2025_26'!$H$3:$H$665,MATCH($A464,'Input Statistiche 2025_26'!$A$3:$A$665,0)),"")</f>
        <v>5.09</v>
      </c>
      <c r="U464" s="26" t="str">
        <f aca="false">IF(OR('La Mia Rosa'!$O$12="",$D464&lt;&gt;""),"",IF($F464&lt;='La Mia Rosa'!$O$12*'Parametri Modello'!$B$24,"OK",IF($F464&lt;='La Mia Rosa'!$O$12*'Parametri Modello'!$B$25,"Attenzione","Rischio Alto")))</f>
        <v>OK</v>
      </c>
      <c r="V464" s="26" t="n">
        <f aca="false">IFERROR(COUNTIFS($B$2:$B$492,$B464,$O$2:$O$492,"&gt;"&amp;$O464)+1,"")</f>
        <v>26</v>
      </c>
      <c r="W464" s="21" t="n">
        <f aca="false">'Info Lega'!$B$4-SUMIFS($M$2:$M$492,$D$2:$D$492,'Info Lega'!$B$28)</f>
        <v>1000</v>
      </c>
      <c r="X464" s="21" t="n">
        <f aca="false">('Info Lega'!$B$5-COUNTIFS($D$2:$D$492,'Info Lega'!$B$28,$B$2:$B$492,"P"))+('Info Lega'!$B$6-COUNTIFS($D$2:$D$492,'Info Lega'!$B$28,$B$2:$B$492,"D"))+('Info Lega'!$B$7-COUNTIFS($D$2:$D$492,'Info Lega'!$B$28,$B$2:$B$492,"C"))+('Info Lega'!$B$8-COUNTIFS($D$2:$D$492,'Info Lega'!$B$28,$B$2:$B$492,"A"))</f>
        <v>25</v>
      </c>
      <c r="Y464" s="21" t="n">
        <f aca="false">X464*'Parametri Modello'!$B$30</f>
        <v>25</v>
      </c>
      <c r="Z464" s="21" t="n">
        <f aca="false">MAX(0,W464-Y464)</f>
        <v>975</v>
      </c>
      <c r="AA464" s="21" t="n">
        <f aca="false">MIN(F464,Z464)</f>
        <v>1</v>
      </c>
      <c r="AB464" s="21"/>
      <c r="AC464" s="21" t="str">
        <f aca="false">IF(AB464="","",IF(AB464&gt;AA464,"PASS",IF(AB464&lt;=AA464*0.85,"BID","ATTENZIONE")))</f>
        <v/>
      </c>
      <c r="AD464" s="31" t="n">
        <f aca="false">IF(I464="","",ROUND(100*(1-EXP(-I464/30)),0))</f>
        <v>43</v>
      </c>
      <c r="AE464" s="7" t="str">
        <f aca="false">IFERROR(INDEX('Stato Asta'!$G$9:$G$12,MATCH($B464,'Stato Asta'!$A$9:$A$12,0)),"")</f>
        <v>🟡 Attesa rischiosa</v>
      </c>
    </row>
    <row r="465" customFormat="false" ht="14.25" hidden="false" customHeight="true" outlineLevel="0" collapsed="false">
      <c r="A465" s="21" t="n">
        <v>7048</v>
      </c>
      <c r="B465" s="21" t="s">
        <v>43</v>
      </c>
      <c r="C465" s="21" t="s">
        <v>179</v>
      </c>
      <c r="E465" s="26" t="str">
        <f aca="false">IF(COUNTIF('Info Strategia'!$D$2:$D$51,$C465)&gt;0,"SI","NO")</f>
        <v>NO</v>
      </c>
      <c r="F465" s="27" t="n">
        <f aca="false">IFERROR(ROUND(($G465+($H465-$G465)*'Info Strategia'!$B$6)*(1+IF($E465="SI",'Parametri Modello'!$B$7*'Info Strategia'!$B$6,0)),0),"")</f>
        <v>1</v>
      </c>
      <c r="G465" s="27" t="n">
        <f aca="false">IFERROR(ROUND((IF(OR(INDEX('Parametri Modello'!$C$39:$C$42,MATCH($B465,'Parametri Modello'!$A$39:$A$42,0))="",INDEX('Parametri Modello'!$C$39:$C$42,MATCH($B465,'Parametri Modello'!$A$39:$A$42,0))=0),0,($O465/INDEX('Parametri Modello'!$C$39:$C$42,MATCH($B465,'Parametri Modello'!$A$39:$A$42,0)))*(INDEX('Parametri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H465" s="27" t="n">
        <f aca="false">IFERROR(ROUND((IF(OR(INDEX('Parametri Modello'!$C$39:$C$42,MATCH($B465,'Parametri Modello'!$A$39:$A$42,0))="",INDEX('Parametri Modello'!$C$39:$C$42,MATCH($B465,'Parametri Modello'!$A$39:$A$42,0))=0),0,($O465/INDEX('Parametri Modello'!$C$39:$C$42,MATCH($B465,'Parametri Modello'!$A$39:$A$42,0)))*(INDEX('Parametri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I465" s="26" t="str">
        <f aca="false">IFERROR(INDEX('Input Statistiche 2025_26'!$F$3:$F$665,MATCH($A465,'Input Statistiche 2025_26'!$A$3:$A$665,0)),"")</f>
        <v/>
      </c>
      <c r="J465" s="26" t="str">
        <f aca="false">IFERROR(IF($I465="","",MAX(0,38-$I465)),"")</f>
        <v/>
      </c>
      <c r="K465" s="26" t="str">
        <f aca="false">IFERROR(INDEX('Input Statistiche 2025_26'!$I$3:$I$665,MATCH($A465,'Input Statistiche 2025_26'!$A$3:$A$665,0)),"")</f>
        <v/>
      </c>
      <c r="L465" s="26" t="str">
        <f aca="false">IFERROR(INDEX('Input Statistiche 2025_26'!$O$3:$O$665,MATCH($A465,'Input Statistiche 2025_26'!$A$3:$A$665,0)),"")</f>
        <v/>
      </c>
      <c r="M465" s="28"/>
      <c r="N465" s="27" t="n">
        <f aca="false">IFERROR(INDEX('Input Giocatori 2026_27'!$E$3:$E$493,MATCH($A465,'Input Giocatori 2026_27'!$A$3:$A$493,0)),"")</f>
        <v>1</v>
      </c>
      <c r="O465" s="27" t="n">
        <f aca="false">IFERROR(INDEX('Input Giocatori 2026_27'!$G$3:$G$493,MATCH($A465,'Input Giocatori 2026_27'!$A$3:$A$493,0)),"")</f>
        <v>1</v>
      </c>
      <c r="P465" s="26" t="str">
        <f aca="false">IFERROR(IF($O465="","",IF((1-(COUNTIFS($B$2:$B$492,$B465,$O$2:$O$492,"&gt;"&amp;$O465)+1-1)/COUNTIF($B$2:$B$492,$B465))&gt;=0.85,"Top",IF((1-(COUNTIFS($B$2:$B$492,$B465,$O$2:$O$492,"&gt;"&amp;$O465)+1-1)/COUNTIF($B$2:$B$492,$B465))&gt;=0.6,"Buono",IF((1-(COUNTIFS($B$2:$B$492,$B465,$O$2:$O$492,"&gt;"&amp;$O465)+1-1)/COUNTIF($B$2:$B$492,$B465))&gt;=0.3,"Nella Media","Scommessa/Riserva")))),"")</f>
        <v>Nella Media</v>
      </c>
      <c r="Q465" s="29" t="n">
        <f aca="false">IF($D465="",COUNTIF($D$2:$D465,""),"")</f>
        <v>464</v>
      </c>
      <c r="R465" s="29" t="str">
        <f aca="false">IF($D465='Info Lega'!$B$28,COUNTIFS($D$2:$D465,'Info Lega'!$B$28),"")</f>
        <v/>
      </c>
      <c r="S465" s="30" t="str">
        <f aca="false">IFERROR(INDEX('Input Statistiche 2025_26'!$G$3:$G$665,MATCH($A465,'Input Statistiche 2025_26'!$A$3:$A$665,0)),"")</f>
        <v/>
      </c>
      <c r="T465" s="30" t="str">
        <f aca="false">IFERROR(INDEX('Input Statistiche 2025_26'!$H$3:$H$665,MATCH($A465,'Input Statistiche 2025_26'!$A$3:$A$665,0)),"")</f>
        <v/>
      </c>
      <c r="U465" s="26" t="str">
        <f aca="false">IF(OR('La Mia Rosa'!$O$12="",$D465&lt;&gt;""),"",IF($F465&lt;='La Mia Rosa'!$O$12*'Parametri Modello'!$B$24,"OK",IF($F465&lt;='La Mia Rosa'!$O$12*'Parametri Modello'!$B$25,"Attenzione","Rischio Alto")))</f>
        <v>OK</v>
      </c>
      <c r="V465" s="26" t="n">
        <f aca="false">IFERROR(COUNTIFS($B$2:$B$492,$B465,$O$2:$O$492,"&gt;"&amp;$O465)+1,"")</f>
        <v>26</v>
      </c>
      <c r="W465" s="21" t="n">
        <f aca="false">'Info Lega'!$B$4-SUMIFS($M$2:$M$492,$D$2:$D$492,'Info Lega'!$B$28)</f>
        <v>1000</v>
      </c>
      <c r="X465" s="21" t="n">
        <f aca="false">('Info Lega'!$B$5-COUNTIFS($D$2:$D$492,'Info Lega'!$B$28,$B$2:$B$492,"P"))+('Info Lega'!$B$6-COUNTIFS($D$2:$D$492,'Info Lega'!$B$28,$B$2:$B$492,"D"))+('Info Lega'!$B$7-COUNTIFS($D$2:$D$492,'Info Lega'!$B$28,$B$2:$B$492,"C"))+('Info Lega'!$B$8-COUNTIFS($D$2:$D$492,'Info Lega'!$B$28,$B$2:$B$492,"A"))</f>
        <v>25</v>
      </c>
      <c r="Y465" s="21" t="n">
        <f aca="false">X465*'Parametri Modello'!$B$30</f>
        <v>25</v>
      </c>
      <c r="Z465" s="21" t="n">
        <f aca="false">MAX(0,W465-Y465)</f>
        <v>975</v>
      </c>
      <c r="AA465" s="21" t="n">
        <f aca="false">MIN(F465,Z465)</f>
        <v>1</v>
      </c>
      <c r="AB465" s="21"/>
      <c r="AC465" s="21" t="str">
        <f aca="false">IF(AB465="","",IF(AB465&gt;AA465,"PASS",IF(AB465&lt;=AA465*0.85,"BID","ATTENZIONE")))</f>
        <v/>
      </c>
      <c r="AD465" s="31" t="str">
        <f aca="false">IF(I465="","",ROUND(100*(1-EXP(-I465/30)),0))</f>
        <v/>
      </c>
      <c r="AE465" s="7" t="str">
        <f aca="false">IFERROR(INDEX('Stato Asta'!$G$9:$G$12,MATCH($B465,'Stato Asta'!$A$9:$A$12,0)),"")</f>
        <v>🟡 Attesa rischiosa</v>
      </c>
    </row>
    <row r="466" customFormat="false" ht="14.25" hidden="false" customHeight="true" outlineLevel="0" collapsed="false">
      <c r="A466" s="21" t="n">
        <v>610</v>
      </c>
      <c r="B466" s="21" t="s">
        <v>43</v>
      </c>
      <c r="C466" s="21" t="s">
        <v>180</v>
      </c>
      <c r="E466" s="26" t="str">
        <f aca="false">IF(COUNTIF('Info Strategia'!$D$2:$D$51,$C466)&gt;0,"SI","NO")</f>
        <v>NO</v>
      </c>
      <c r="F466" s="27" t="n">
        <f aca="false">IFERROR(ROUND(($G466+($H466-$G466)*'Info Strategia'!$B$6)*(1+IF($E466="SI",'Parametri Modello'!$B$7*'Info Strategia'!$B$6,0)),0),"")</f>
        <v>1</v>
      </c>
      <c r="G466" s="27" t="n">
        <f aca="false">IFERROR(ROUND((IF(OR(INDEX('Parametri Modello'!$C$39:$C$42,MATCH($B466,'Parametri Modello'!$A$39:$A$42,0))="",INDEX('Parametri Modello'!$C$39:$C$42,MATCH($B466,'Parametri Modello'!$A$39:$A$42,0))=0),0,($O466/INDEX('Parametri Modello'!$C$39:$C$42,MATCH($B466,'Parametri Modello'!$A$39:$A$42,0)))*(INDEX('Parametri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H466" s="27" t="n">
        <f aca="false">IFERROR(ROUND((IF(OR(INDEX('Parametri Modello'!$C$39:$C$42,MATCH($B466,'Parametri Modello'!$A$39:$A$42,0))="",INDEX('Parametri Modello'!$C$39:$C$42,MATCH($B466,'Parametri Modello'!$A$39:$A$42,0))=0),0,($O466/INDEX('Parametri Modello'!$C$39:$C$42,MATCH($B466,'Parametri Modello'!$A$39:$A$42,0)))*(INDEX('Parametri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I466" s="26" t="n">
        <f aca="false">IFERROR(INDEX('Input Statistiche 2025_26'!$F$3:$F$665,MATCH($A466,'Input Statistiche 2025_26'!$A$3:$A$665,0)),"")</f>
        <v>0</v>
      </c>
      <c r="J466" s="26" t="n">
        <f aca="false">IFERROR(IF($I466="","",MAX(0,38-$I466)),"")</f>
        <v>38</v>
      </c>
      <c r="K466" s="26" t="n">
        <f aca="false">IFERROR(INDEX('Input Statistiche 2025_26'!$I$3:$I$665,MATCH($A466,'Input Statistiche 2025_26'!$A$3:$A$665,0)),"")</f>
        <v>0</v>
      </c>
      <c r="L466" s="26" t="n">
        <f aca="false">IFERROR(INDEX('Input Statistiche 2025_26'!$O$3:$O$665,MATCH($A466,'Input Statistiche 2025_26'!$A$3:$A$665,0)),"")</f>
        <v>0</v>
      </c>
      <c r="M466" s="28"/>
      <c r="N466" s="27" t="n">
        <f aca="false">IFERROR(INDEX('Input Giocatori 2026_27'!$E$3:$E$493,MATCH($A466,'Input Giocatori 2026_27'!$A$3:$A$493,0)),"")</f>
        <v>1</v>
      </c>
      <c r="O466" s="27" t="n">
        <f aca="false">IFERROR(INDEX('Input Giocatori 2026_27'!$G$3:$G$493,MATCH($A466,'Input Giocatori 2026_27'!$A$3:$A$493,0)),"")</f>
        <v>1</v>
      </c>
      <c r="P466" s="26" t="str">
        <f aca="false">IFERROR(IF($O466="","",IF((1-(COUNTIFS($B$2:$B$492,$B466,$O$2:$O$492,"&gt;"&amp;$O466)+1-1)/COUNTIF($B$2:$B$492,$B466))&gt;=0.85,"Top",IF((1-(COUNTIFS($B$2:$B$492,$B466,$O$2:$O$492,"&gt;"&amp;$O466)+1-1)/COUNTIF($B$2:$B$492,$B466))&gt;=0.6,"Buono",IF((1-(COUNTIFS($B$2:$B$492,$B466,$O$2:$O$492,"&gt;"&amp;$O466)+1-1)/COUNTIF($B$2:$B$492,$B466))&gt;=0.3,"Nella Media","Scommessa/Riserva")))),"")</f>
        <v>Nella Media</v>
      </c>
      <c r="Q466" s="29" t="n">
        <f aca="false">IF($D466="",COUNTIF($D$2:$D466,""),"")</f>
        <v>465</v>
      </c>
      <c r="R466" s="29" t="str">
        <f aca="false">IF($D466='Info Lega'!$B$28,COUNTIFS($D$2:$D466,'Info Lega'!$B$28),"")</f>
        <v/>
      </c>
      <c r="S466" s="30" t="n">
        <f aca="false">IFERROR(INDEX('Input Statistiche 2025_26'!$G$3:$G$665,MATCH($A466,'Input Statistiche 2025_26'!$A$3:$A$665,0)),"")</f>
        <v>0</v>
      </c>
      <c r="T466" s="30" t="n">
        <f aca="false">IFERROR(INDEX('Input Statistiche 2025_26'!$H$3:$H$665,MATCH($A466,'Input Statistiche 2025_26'!$A$3:$A$665,0)),"")</f>
        <v>0</v>
      </c>
      <c r="U466" s="26" t="str">
        <f aca="false">IF(OR('La Mia Rosa'!$O$12="",$D466&lt;&gt;""),"",IF($F466&lt;='La Mia Rosa'!$O$12*'Parametri Modello'!$B$24,"OK",IF($F466&lt;='La Mia Rosa'!$O$12*'Parametri Modello'!$B$25,"Attenzione","Rischio Alto")))</f>
        <v>OK</v>
      </c>
      <c r="V466" s="26" t="n">
        <f aca="false">IFERROR(COUNTIFS($B$2:$B$492,$B466,$O$2:$O$492,"&gt;"&amp;$O466)+1,"")</f>
        <v>26</v>
      </c>
      <c r="W466" s="21" t="n">
        <f aca="false">'Info Lega'!$B$4-SUMIFS($M$2:$M$492,$D$2:$D$492,'Info Lega'!$B$28)</f>
        <v>1000</v>
      </c>
      <c r="X466" s="21" t="n">
        <f aca="false">('Info Lega'!$B$5-COUNTIFS($D$2:$D$492,'Info Lega'!$B$28,$B$2:$B$492,"P"))+('Info Lega'!$B$6-COUNTIFS($D$2:$D$492,'Info Lega'!$B$28,$B$2:$B$492,"D"))+('Info Lega'!$B$7-COUNTIFS($D$2:$D$492,'Info Lega'!$B$28,$B$2:$B$492,"C"))+('Info Lega'!$B$8-COUNTIFS($D$2:$D$492,'Info Lega'!$B$28,$B$2:$B$492,"A"))</f>
        <v>25</v>
      </c>
      <c r="Y466" s="21" t="n">
        <f aca="false">X466*'Parametri Modello'!$B$30</f>
        <v>25</v>
      </c>
      <c r="Z466" s="21" t="n">
        <f aca="false">MAX(0,W466-Y466)</f>
        <v>975</v>
      </c>
      <c r="AA466" s="21" t="n">
        <f aca="false">MIN(F466,Z466)</f>
        <v>1</v>
      </c>
      <c r="AB466" s="21"/>
      <c r="AC466" s="21" t="str">
        <f aca="false">IF(AB466="","",IF(AB466&gt;AA466,"PASS",IF(AB466&lt;=AA466*0.85,"BID","ATTENZIONE")))</f>
        <v/>
      </c>
      <c r="AD466" s="31" t="n">
        <f aca="false">IF(I466="","",ROUND(100*(1-EXP(-I466/30)),0))</f>
        <v>0</v>
      </c>
      <c r="AE466" s="7" t="str">
        <f aca="false">IFERROR(INDEX('Stato Asta'!$G$9:$G$12,MATCH($B466,'Stato Asta'!$A$9:$A$12,0)),"")</f>
        <v>🟡 Attesa rischiosa</v>
      </c>
    </row>
    <row r="467" customFormat="false" ht="14.25" hidden="false" customHeight="true" outlineLevel="0" collapsed="false">
      <c r="A467" s="21" t="n">
        <v>4518</v>
      </c>
      <c r="B467" s="21" t="s">
        <v>43</v>
      </c>
      <c r="C467" s="21" t="s">
        <v>181</v>
      </c>
      <c r="E467" s="26" t="str">
        <f aca="false">IF(COUNTIF('Info Strategia'!$D$2:$D$51,$C467)&gt;0,"SI","NO")</f>
        <v>NO</v>
      </c>
      <c r="F467" s="27" t="n">
        <f aca="false">IFERROR(ROUND(($G467+($H467-$G467)*'Info Strategia'!$B$6)*(1+IF($E467="SI",'Parametri Modello'!$B$7*'Info Strategia'!$B$6,0)),0),"")</f>
        <v>1</v>
      </c>
      <c r="G467" s="27" t="n">
        <f aca="false">IFERROR(ROUND((IF(OR(INDEX('Parametri Modello'!$C$39:$C$42,MATCH($B467,'Parametri Modello'!$A$39:$A$42,0))="",INDEX('Parametri Modello'!$C$39:$C$42,MATCH($B467,'Parametri Modello'!$A$39:$A$42,0))=0),0,($O467/INDEX('Parametri Modello'!$C$39:$C$42,MATCH($B467,'Parametri Modello'!$A$39:$A$42,0)))*(INDEX('Parametri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H467" s="27" t="n">
        <f aca="false">IFERROR(ROUND((IF(OR(INDEX('Parametri Modello'!$C$39:$C$42,MATCH($B467,'Parametri Modello'!$A$39:$A$42,0))="",INDEX('Parametri Modello'!$C$39:$C$42,MATCH($B467,'Parametri Modello'!$A$39:$A$42,0))=0),0,($O467/INDEX('Parametri Modello'!$C$39:$C$42,MATCH($B467,'Parametri Modello'!$A$39:$A$42,0)))*(INDEX('Parametri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I467" s="26" t="n">
        <f aca="false">IFERROR(INDEX('Input Statistiche 2025_26'!$F$3:$F$665,MATCH($A467,'Input Statistiche 2025_26'!$A$3:$A$665,0)),"")</f>
        <v>0</v>
      </c>
      <c r="J467" s="26" t="n">
        <f aca="false">IFERROR(IF($I467="","",MAX(0,38-$I467)),"")</f>
        <v>38</v>
      </c>
      <c r="K467" s="26" t="n">
        <f aca="false">IFERROR(INDEX('Input Statistiche 2025_26'!$I$3:$I$665,MATCH($A467,'Input Statistiche 2025_26'!$A$3:$A$665,0)),"")</f>
        <v>0</v>
      </c>
      <c r="L467" s="26" t="n">
        <f aca="false">IFERROR(INDEX('Input Statistiche 2025_26'!$O$3:$O$665,MATCH($A467,'Input Statistiche 2025_26'!$A$3:$A$665,0)),"")</f>
        <v>0</v>
      </c>
      <c r="M467" s="28"/>
      <c r="N467" s="27" t="n">
        <f aca="false">IFERROR(INDEX('Input Giocatori 2026_27'!$E$3:$E$493,MATCH($A467,'Input Giocatori 2026_27'!$A$3:$A$493,0)),"")</f>
        <v>1</v>
      </c>
      <c r="O467" s="27" t="n">
        <f aca="false">IFERROR(INDEX('Input Giocatori 2026_27'!$G$3:$G$493,MATCH($A467,'Input Giocatori 2026_27'!$A$3:$A$493,0)),"")</f>
        <v>1</v>
      </c>
      <c r="P467" s="26" t="str">
        <f aca="false">IFERROR(IF($O467="","",IF((1-(COUNTIFS($B$2:$B$492,$B467,$O$2:$O$492,"&gt;"&amp;$O467)+1-1)/COUNTIF($B$2:$B$492,$B467))&gt;=0.85,"Top",IF((1-(COUNTIFS($B$2:$B$492,$B467,$O$2:$O$492,"&gt;"&amp;$O467)+1-1)/COUNTIF($B$2:$B$492,$B467))&gt;=0.6,"Buono",IF((1-(COUNTIFS($B$2:$B$492,$B467,$O$2:$O$492,"&gt;"&amp;$O467)+1-1)/COUNTIF($B$2:$B$492,$B467))&gt;=0.3,"Nella Media","Scommessa/Riserva")))),"")</f>
        <v>Nella Media</v>
      </c>
      <c r="Q467" s="29" t="n">
        <f aca="false">IF($D467="",COUNTIF($D$2:$D467,""),"")</f>
        <v>466</v>
      </c>
      <c r="R467" s="29" t="str">
        <f aca="false">IF($D467='Info Lega'!$B$28,COUNTIFS($D$2:$D467,'Info Lega'!$B$28),"")</f>
        <v/>
      </c>
      <c r="S467" s="30" t="n">
        <f aca="false">IFERROR(INDEX('Input Statistiche 2025_26'!$G$3:$G$665,MATCH($A467,'Input Statistiche 2025_26'!$A$3:$A$665,0)),"")</f>
        <v>0</v>
      </c>
      <c r="T467" s="30" t="n">
        <f aca="false">IFERROR(INDEX('Input Statistiche 2025_26'!$H$3:$H$665,MATCH($A467,'Input Statistiche 2025_26'!$A$3:$A$665,0)),"")</f>
        <v>0</v>
      </c>
      <c r="U467" s="26" t="str">
        <f aca="false">IF(OR('La Mia Rosa'!$O$12="",$D467&lt;&gt;""),"",IF($F467&lt;='La Mia Rosa'!$O$12*'Parametri Modello'!$B$24,"OK",IF($F467&lt;='La Mia Rosa'!$O$12*'Parametri Modello'!$B$25,"Attenzione","Rischio Alto")))</f>
        <v>OK</v>
      </c>
      <c r="V467" s="26" t="n">
        <f aca="false">IFERROR(COUNTIFS($B$2:$B$492,$B467,$O$2:$O$492,"&gt;"&amp;$O467)+1,"")</f>
        <v>26</v>
      </c>
      <c r="W467" s="21" t="n">
        <f aca="false">'Info Lega'!$B$4-SUMIFS($M$2:$M$492,$D$2:$D$492,'Info Lega'!$B$28)</f>
        <v>1000</v>
      </c>
      <c r="X467" s="21" t="n">
        <f aca="false">('Info Lega'!$B$5-COUNTIFS($D$2:$D$492,'Info Lega'!$B$28,$B$2:$B$492,"P"))+('Info Lega'!$B$6-COUNTIFS($D$2:$D$492,'Info Lega'!$B$28,$B$2:$B$492,"D"))+('Info Lega'!$B$7-COUNTIFS($D$2:$D$492,'Info Lega'!$B$28,$B$2:$B$492,"C"))+('Info Lega'!$B$8-COUNTIFS($D$2:$D$492,'Info Lega'!$B$28,$B$2:$B$492,"A"))</f>
        <v>25</v>
      </c>
      <c r="Y467" s="21" t="n">
        <f aca="false">X467*'Parametri Modello'!$B$30</f>
        <v>25</v>
      </c>
      <c r="Z467" s="21" t="n">
        <f aca="false">MAX(0,W467-Y467)</f>
        <v>975</v>
      </c>
      <c r="AA467" s="21" t="n">
        <f aca="false">MIN(F467,Z467)</f>
        <v>1</v>
      </c>
      <c r="AB467" s="21"/>
      <c r="AC467" s="21" t="str">
        <f aca="false">IF(AB467="","",IF(AB467&gt;AA467,"PASS",IF(AB467&lt;=AA467*0.85,"BID","ATTENZIONE")))</f>
        <v/>
      </c>
      <c r="AD467" s="31" t="n">
        <f aca="false">IF(I467="","",ROUND(100*(1-EXP(-I467/30)),0))</f>
        <v>0</v>
      </c>
      <c r="AE467" s="7" t="str">
        <f aca="false">IFERROR(INDEX('Stato Asta'!$G$9:$G$12,MATCH($B467,'Stato Asta'!$A$9:$A$12,0)),"")</f>
        <v>🟡 Attesa rischiosa</v>
      </c>
    </row>
    <row r="468" customFormat="false" ht="14.25" hidden="false" customHeight="true" outlineLevel="0" collapsed="false">
      <c r="A468" s="21" t="n">
        <v>7457</v>
      </c>
      <c r="B468" s="21" t="s">
        <v>43</v>
      </c>
      <c r="C468" s="21" t="s">
        <v>183</v>
      </c>
      <c r="E468" s="26" t="str">
        <f aca="false">IF(COUNTIF('Info Strategia'!$D$2:$D$51,$C468)&gt;0,"SI","NO")</f>
        <v>NO</v>
      </c>
      <c r="F468" s="27" t="n">
        <f aca="false">IFERROR(ROUND(($G468+($H468-$G468)*'Info Strategia'!$B$6)*(1+IF($E468="SI",'Parametri Modello'!$B$7*'Info Strategia'!$B$6,0)),0),"")</f>
        <v>1</v>
      </c>
      <c r="G468" s="27" t="n">
        <f aca="false">IFERROR(ROUND((IF(OR(INDEX('Parametri Modello'!$C$39:$C$42,MATCH($B468,'Parametri Modello'!$A$39:$A$42,0))="",INDEX('Parametri Modello'!$C$39:$C$42,MATCH($B468,'Parametri Modello'!$A$39:$A$42,0))=0),0,($O468/INDEX('Parametri Modello'!$C$39:$C$42,MATCH($B468,'Parametri Modello'!$A$39:$A$42,0)))*(INDEX('Parametri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H468" s="27" t="n">
        <f aca="false">IFERROR(ROUND((IF(OR(INDEX('Parametri Modello'!$C$39:$C$42,MATCH($B468,'Parametri Modello'!$A$39:$A$42,0))="",INDEX('Parametri Modello'!$C$39:$C$42,MATCH($B468,'Parametri Modello'!$A$39:$A$42,0))=0),0,($O468/INDEX('Parametri Modello'!$C$39:$C$42,MATCH($B468,'Parametri Modello'!$A$39:$A$42,0)))*(INDEX('Parametri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I468" s="26" t="str">
        <f aca="false">IFERROR(INDEX('Input Statistiche 2025_26'!$F$3:$F$665,MATCH($A468,'Input Statistiche 2025_26'!$A$3:$A$665,0)),"")</f>
        <v/>
      </c>
      <c r="J468" s="26" t="str">
        <f aca="false">IFERROR(IF($I468="","",MAX(0,38-$I468)),"")</f>
        <v/>
      </c>
      <c r="K468" s="26" t="str">
        <f aca="false">IFERROR(INDEX('Input Statistiche 2025_26'!$I$3:$I$665,MATCH($A468,'Input Statistiche 2025_26'!$A$3:$A$665,0)),"")</f>
        <v/>
      </c>
      <c r="L468" s="26" t="str">
        <f aca="false">IFERROR(INDEX('Input Statistiche 2025_26'!$O$3:$O$665,MATCH($A468,'Input Statistiche 2025_26'!$A$3:$A$665,0)),"")</f>
        <v/>
      </c>
      <c r="M468" s="28"/>
      <c r="N468" s="27" t="n">
        <f aca="false">IFERROR(INDEX('Input Giocatori 2026_27'!$E$3:$E$493,MATCH($A468,'Input Giocatori 2026_27'!$A$3:$A$493,0)),"")</f>
        <v>1</v>
      </c>
      <c r="O468" s="27" t="n">
        <f aca="false">IFERROR(INDEX('Input Giocatori 2026_27'!$G$3:$G$493,MATCH($A468,'Input Giocatori 2026_27'!$A$3:$A$493,0)),"")</f>
        <v>1</v>
      </c>
      <c r="P468" s="26" t="str">
        <f aca="false">IFERROR(IF($O468="","",IF((1-(COUNTIFS($B$2:$B$492,$B468,$O$2:$O$492,"&gt;"&amp;$O468)+1-1)/COUNTIF($B$2:$B$492,$B468))&gt;=0.85,"Top",IF((1-(COUNTIFS($B$2:$B$492,$B468,$O$2:$O$492,"&gt;"&amp;$O468)+1-1)/COUNTIF($B$2:$B$492,$B468))&gt;=0.6,"Buono",IF((1-(COUNTIFS($B$2:$B$492,$B468,$O$2:$O$492,"&gt;"&amp;$O468)+1-1)/COUNTIF($B$2:$B$492,$B468))&gt;=0.3,"Nella Media","Scommessa/Riserva")))),"")</f>
        <v>Nella Media</v>
      </c>
      <c r="Q468" s="29" t="n">
        <f aca="false">IF($D468="",COUNTIF($D$2:$D468,""),"")</f>
        <v>467</v>
      </c>
      <c r="R468" s="29" t="str">
        <f aca="false">IF($D468='Info Lega'!$B$28,COUNTIFS($D$2:$D468,'Info Lega'!$B$28),"")</f>
        <v/>
      </c>
      <c r="S468" s="30" t="str">
        <f aca="false">IFERROR(INDEX('Input Statistiche 2025_26'!$G$3:$G$665,MATCH($A468,'Input Statistiche 2025_26'!$A$3:$A$665,0)),"")</f>
        <v/>
      </c>
      <c r="T468" s="30" t="str">
        <f aca="false">IFERROR(INDEX('Input Statistiche 2025_26'!$H$3:$H$665,MATCH($A468,'Input Statistiche 2025_26'!$A$3:$A$665,0)),"")</f>
        <v/>
      </c>
      <c r="U468" s="26" t="str">
        <f aca="false">IF(OR('La Mia Rosa'!$O$12="",$D468&lt;&gt;""),"",IF($F468&lt;='La Mia Rosa'!$O$12*'Parametri Modello'!$B$24,"OK",IF($F468&lt;='La Mia Rosa'!$O$12*'Parametri Modello'!$B$25,"Attenzione","Rischio Alto")))</f>
        <v>OK</v>
      </c>
      <c r="V468" s="26" t="n">
        <f aca="false">IFERROR(COUNTIFS($B$2:$B$492,$B468,$O$2:$O$492,"&gt;"&amp;$O468)+1,"")</f>
        <v>26</v>
      </c>
      <c r="W468" s="21" t="n">
        <f aca="false">'Info Lega'!$B$4-SUMIFS($M$2:$M$492,$D$2:$D$492,'Info Lega'!$B$28)</f>
        <v>1000</v>
      </c>
      <c r="X468" s="21" t="n">
        <f aca="false">('Info Lega'!$B$5-COUNTIFS($D$2:$D$492,'Info Lega'!$B$28,$B$2:$B$492,"P"))+('Info Lega'!$B$6-COUNTIFS($D$2:$D$492,'Info Lega'!$B$28,$B$2:$B$492,"D"))+('Info Lega'!$B$7-COUNTIFS($D$2:$D$492,'Info Lega'!$B$28,$B$2:$B$492,"C"))+('Info Lega'!$B$8-COUNTIFS($D$2:$D$492,'Info Lega'!$B$28,$B$2:$B$492,"A"))</f>
        <v>25</v>
      </c>
      <c r="Y468" s="21" t="n">
        <f aca="false">X468*'Parametri Modello'!$B$30</f>
        <v>25</v>
      </c>
      <c r="Z468" s="21" t="n">
        <f aca="false">MAX(0,W468-Y468)</f>
        <v>975</v>
      </c>
      <c r="AA468" s="21" t="n">
        <f aca="false">MIN(F468,Z468)</f>
        <v>1</v>
      </c>
      <c r="AB468" s="21"/>
      <c r="AC468" s="21" t="str">
        <f aca="false">IF(AB468="","",IF(AB468&gt;AA468,"PASS",IF(AB468&lt;=AA468*0.85,"BID","ATTENZIONE")))</f>
        <v/>
      </c>
      <c r="AD468" s="31" t="str">
        <f aca="false">IF(I468="","",ROUND(100*(1-EXP(-I468/30)),0))</f>
        <v/>
      </c>
      <c r="AE468" s="7" t="str">
        <f aca="false">IFERROR(INDEX('Stato Asta'!$G$9:$G$12,MATCH($B468,'Stato Asta'!$A$9:$A$12,0)),"")</f>
        <v>🟡 Attesa rischiosa</v>
      </c>
    </row>
    <row r="469" customFormat="false" ht="14.25" hidden="false" customHeight="true" outlineLevel="0" collapsed="false">
      <c r="A469" s="21" t="n">
        <v>5320</v>
      </c>
      <c r="B469" s="21" t="s">
        <v>43</v>
      </c>
      <c r="C469" s="21" t="s">
        <v>185</v>
      </c>
      <c r="E469" s="26" t="str">
        <f aca="false">IF(COUNTIF('Info Strategia'!$D$2:$D$51,$C469)&gt;0,"SI","NO")</f>
        <v>NO</v>
      </c>
      <c r="F469" s="27" t="n">
        <f aca="false">IFERROR(ROUND(($G469+($H469-$G469)*'Info Strategia'!$B$6)*(1+IF($E469="SI",'Parametri Modello'!$B$7*'Info Strategia'!$B$6,0)),0),"")</f>
        <v>1</v>
      </c>
      <c r="G469" s="27" t="n">
        <f aca="false">IFERROR(ROUND((IF(OR(INDEX('Parametri Modello'!$C$39:$C$42,MATCH($B469,'Parametri Modello'!$A$39:$A$42,0))="",INDEX('Parametri Modello'!$C$39:$C$42,MATCH($B469,'Parametri Modello'!$A$39:$A$42,0))=0),0,($O469/INDEX('Parametri Modello'!$C$39:$C$42,MATCH($B469,'Parametri Modello'!$A$39:$A$42,0)))*(INDEX('Parametri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H469" s="27" t="n">
        <f aca="false">IFERROR(ROUND((IF(OR(INDEX('Parametri Modello'!$C$39:$C$42,MATCH($B469,'Parametri Modello'!$A$39:$A$42,0))="",INDEX('Parametri Modello'!$C$39:$C$42,MATCH($B469,'Parametri Modello'!$A$39:$A$42,0))=0),0,($O469/INDEX('Parametri Modello'!$C$39:$C$42,MATCH($B469,'Parametri Modello'!$A$39:$A$42,0)))*(INDEX('Parametri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I469" s="26" t="n">
        <f aca="false">IFERROR(INDEX('Input Statistiche 2025_26'!$F$3:$F$665,MATCH($A469,'Input Statistiche 2025_26'!$A$3:$A$665,0)),"")</f>
        <v>29</v>
      </c>
      <c r="J469" s="26" t="n">
        <f aca="false">IFERROR(IF($I469="","",MAX(0,38-$I469)),"")</f>
        <v>9</v>
      </c>
      <c r="K469" s="26" t="n">
        <f aca="false">IFERROR(INDEX('Input Statistiche 2025_26'!$I$3:$I$665,MATCH($A469,'Input Statistiche 2025_26'!$A$3:$A$665,0)),"")</f>
        <v>0</v>
      </c>
      <c r="L469" s="26" t="n">
        <f aca="false">IFERROR(INDEX('Input Statistiche 2025_26'!$O$3:$O$665,MATCH($A469,'Input Statistiche 2025_26'!$A$3:$A$665,0)),"")</f>
        <v>0</v>
      </c>
      <c r="M469" s="28"/>
      <c r="N469" s="27" t="n">
        <f aca="false">IFERROR(INDEX('Input Giocatori 2026_27'!$E$3:$E$493,MATCH($A469,'Input Giocatori 2026_27'!$A$3:$A$493,0)),"")</f>
        <v>1</v>
      </c>
      <c r="O469" s="27" t="n">
        <f aca="false">IFERROR(INDEX('Input Giocatori 2026_27'!$G$3:$G$493,MATCH($A469,'Input Giocatori 2026_27'!$A$3:$A$493,0)),"")</f>
        <v>1</v>
      </c>
      <c r="P469" s="26" t="str">
        <f aca="false">IFERROR(IF($O469="","",IF((1-(COUNTIFS($B$2:$B$492,$B469,$O$2:$O$492,"&gt;"&amp;$O469)+1-1)/COUNTIF($B$2:$B$492,$B469))&gt;=0.85,"Top",IF((1-(COUNTIFS($B$2:$B$492,$B469,$O$2:$O$492,"&gt;"&amp;$O469)+1-1)/COUNTIF($B$2:$B$492,$B469))&gt;=0.6,"Buono",IF((1-(COUNTIFS($B$2:$B$492,$B469,$O$2:$O$492,"&gt;"&amp;$O469)+1-1)/COUNTIF($B$2:$B$492,$B469))&gt;=0.3,"Nella Media","Scommessa/Riserva")))),"")</f>
        <v>Nella Media</v>
      </c>
      <c r="Q469" s="29" t="n">
        <f aca="false">IF($D469="",COUNTIF($D$2:$D469,""),"")</f>
        <v>468</v>
      </c>
      <c r="R469" s="29" t="str">
        <f aca="false">IF($D469='Info Lega'!$B$28,COUNTIFS($D$2:$D469,'Info Lega'!$B$28),"")</f>
        <v/>
      </c>
      <c r="S469" s="30" t="n">
        <f aca="false">IFERROR(INDEX('Input Statistiche 2025_26'!$G$3:$G$665,MATCH($A469,'Input Statistiche 2025_26'!$A$3:$A$665,0)),"")</f>
        <v>6.09</v>
      </c>
      <c r="T469" s="30" t="n">
        <f aca="false">IFERROR(INDEX('Input Statistiche 2025_26'!$H$3:$H$665,MATCH($A469,'Input Statistiche 2025_26'!$A$3:$A$665,0)),"")</f>
        <v>4.52</v>
      </c>
      <c r="U469" s="26" t="str">
        <f aca="false">IF(OR('La Mia Rosa'!$O$12="",$D469&lt;&gt;""),"",IF($F469&lt;='La Mia Rosa'!$O$12*'Parametri Modello'!$B$24,"OK",IF($F469&lt;='La Mia Rosa'!$O$12*'Parametri Modello'!$B$25,"Attenzione","Rischio Alto")))</f>
        <v>OK</v>
      </c>
      <c r="V469" s="26" t="n">
        <f aca="false">IFERROR(COUNTIFS($B$2:$B$492,$B469,$O$2:$O$492,"&gt;"&amp;$O469)+1,"")</f>
        <v>26</v>
      </c>
      <c r="W469" s="21" t="n">
        <f aca="false">'Info Lega'!$B$4-SUMIFS($M$2:$M$492,$D$2:$D$492,'Info Lega'!$B$28)</f>
        <v>1000</v>
      </c>
      <c r="X469" s="21" t="n">
        <f aca="false">('Info Lega'!$B$5-COUNTIFS($D$2:$D$492,'Info Lega'!$B$28,$B$2:$B$492,"P"))+('Info Lega'!$B$6-COUNTIFS($D$2:$D$492,'Info Lega'!$B$28,$B$2:$B$492,"D"))+('Info Lega'!$B$7-COUNTIFS($D$2:$D$492,'Info Lega'!$B$28,$B$2:$B$492,"C"))+('Info Lega'!$B$8-COUNTIFS($D$2:$D$492,'Info Lega'!$B$28,$B$2:$B$492,"A"))</f>
        <v>25</v>
      </c>
      <c r="Y469" s="21" t="n">
        <f aca="false">X469*'Parametri Modello'!$B$30</f>
        <v>25</v>
      </c>
      <c r="Z469" s="21" t="n">
        <f aca="false">MAX(0,W469-Y469)</f>
        <v>975</v>
      </c>
      <c r="AA469" s="21" t="n">
        <f aca="false">MIN(F469,Z469)</f>
        <v>1</v>
      </c>
      <c r="AB469" s="21"/>
      <c r="AC469" s="21" t="str">
        <f aca="false">IF(AB469="","",IF(AB469&gt;AA469,"PASS",IF(AB469&lt;=AA469*0.85,"BID","ATTENZIONE")))</f>
        <v/>
      </c>
      <c r="AD469" s="31" t="n">
        <f aca="false">IF(I469="","",ROUND(100*(1-EXP(-I469/30)),0))</f>
        <v>62</v>
      </c>
      <c r="AE469" s="7" t="str">
        <f aca="false">IFERROR(INDEX('Stato Asta'!$G$9:$G$12,MATCH($B469,'Stato Asta'!$A$9:$A$12,0)),"")</f>
        <v>🟡 Attesa rischiosa</v>
      </c>
    </row>
    <row r="470" customFormat="false" ht="14.25" hidden="false" customHeight="true" outlineLevel="0" collapsed="false">
      <c r="A470" s="21" t="n">
        <v>7363</v>
      </c>
      <c r="B470" s="21" t="s">
        <v>43</v>
      </c>
      <c r="C470" s="21" t="s">
        <v>186</v>
      </c>
      <c r="E470" s="26" t="str">
        <f aca="false">IF(COUNTIF('Info Strategia'!$D$2:$D$51,$C470)&gt;0,"SI","NO")</f>
        <v>NO</v>
      </c>
      <c r="F470" s="27" t="n">
        <f aca="false">IFERROR(ROUND(($G470+($H470-$G470)*'Info Strategia'!$B$6)*(1+IF($E470="SI",'Parametri Modello'!$B$7*'Info Strategia'!$B$6,0)),0),"")</f>
        <v>1</v>
      </c>
      <c r="G470" s="27" t="n">
        <f aca="false">IFERROR(ROUND((IF(OR(INDEX('Parametri Modello'!$C$39:$C$42,MATCH($B470,'Parametri Modello'!$A$39:$A$42,0))="",INDEX('Parametri Modello'!$C$39:$C$42,MATCH($B470,'Parametri Modello'!$A$39:$A$42,0))=0),0,($O470/INDEX('Parametri Modello'!$C$39:$C$42,MATCH($B470,'Parametri Modello'!$A$39:$A$42,0)))*(INDEX('Parametri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H470" s="27" t="n">
        <f aca="false">IFERROR(ROUND((IF(OR(INDEX('Parametri Modello'!$C$39:$C$42,MATCH($B470,'Parametri Modello'!$A$39:$A$42,0))="",INDEX('Parametri Modello'!$C$39:$C$42,MATCH($B470,'Parametri Modello'!$A$39:$A$42,0))=0),0,($O470/INDEX('Parametri Modello'!$C$39:$C$42,MATCH($B470,'Parametri Modello'!$A$39:$A$42,0)))*(INDEX('Parametri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I470" s="26" t="n">
        <f aca="false">IFERROR(INDEX('Input Statistiche 2025_26'!$F$3:$F$665,MATCH($A470,'Input Statistiche 2025_26'!$A$3:$A$665,0)),"")</f>
        <v>0</v>
      </c>
      <c r="J470" s="26" t="n">
        <f aca="false">IFERROR(IF($I470="","",MAX(0,38-$I470)),"")</f>
        <v>38</v>
      </c>
      <c r="K470" s="26" t="n">
        <f aca="false">IFERROR(INDEX('Input Statistiche 2025_26'!$I$3:$I$665,MATCH($A470,'Input Statistiche 2025_26'!$A$3:$A$665,0)),"")</f>
        <v>0</v>
      </c>
      <c r="L470" s="26" t="n">
        <f aca="false">IFERROR(INDEX('Input Statistiche 2025_26'!$O$3:$O$665,MATCH($A470,'Input Statistiche 2025_26'!$A$3:$A$665,0)),"")</f>
        <v>0</v>
      </c>
      <c r="M470" s="28"/>
      <c r="N470" s="27" t="n">
        <f aca="false">IFERROR(INDEX('Input Giocatori 2026_27'!$E$3:$E$493,MATCH($A470,'Input Giocatori 2026_27'!$A$3:$A$493,0)),"")</f>
        <v>1</v>
      </c>
      <c r="O470" s="27" t="n">
        <f aca="false">IFERROR(INDEX('Input Giocatori 2026_27'!$G$3:$G$493,MATCH($A470,'Input Giocatori 2026_27'!$A$3:$A$493,0)),"")</f>
        <v>1</v>
      </c>
      <c r="P470" s="26" t="str">
        <f aca="false">IFERROR(IF($O470="","",IF((1-(COUNTIFS($B$2:$B$492,$B470,$O$2:$O$492,"&gt;"&amp;$O470)+1-1)/COUNTIF($B$2:$B$492,$B470))&gt;=0.85,"Top",IF((1-(COUNTIFS($B$2:$B$492,$B470,$O$2:$O$492,"&gt;"&amp;$O470)+1-1)/COUNTIF($B$2:$B$492,$B470))&gt;=0.6,"Buono",IF((1-(COUNTIFS($B$2:$B$492,$B470,$O$2:$O$492,"&gt;"&amp;$O470)+1-1)/COUNTIF($B$2:$B$492,$B470))&gt;=0.3,"Nella Media","Scommessa/Riserva")))),"")</f>
        <v>Nella Media</v>
      </c>
      <c r="Q470" s="29" t="n">
        <f aca="false">IF($D470="",COUNTIF($D$2:$D470,""),"")</f>
        <v>469</v>
      </c>
      <c r="R470" s="29" t="str">
        <f aca="false">IF($D470='Info Lega'!$B$28,COUNTIFS($D$2:$D470,'Info Lega'!$B$28),"")</f>
        <v/>
      </c>
      <c r="S470" s="30" t="n">
        <f aca="false">IFERROR(INDEX('Input Statistiche 2025_26'!$G$3:$G$665,MATCH($A470,'Input Statistiche 2025_26'!$A$3:$A$665,0)),"")</f>
        <v>0</v>
      </c>
      <c r="T470" s="30" t="n">
        <f aca="false">IFERROR(INDEX('Input Statistiche 2025_26'!$H$3:$H$665,MATCH($A470,'Input Statistiche 2025_26'!$A$3:$A$665,0)),"")</f>
        <v>0</v>
      </c>
      <c r="U470" s="26" t="str">
        <f aca="false">IF(OR('La Mia Rosa'!$O$12="",$D470&lt;&gt;""),"",IF($F470&lt;='La Mia Rosa'!$O$12*'Parametri Modello'!$B$24,"OK",IF($F470&lt;='La Mia Rosa'!$O$12*'Parametri Modello'!$B$25,"Attenzione","Rischio Alto")))</f>
        <v>OK</v>
      </c>
      <c r="V470" s="26" t="n">
        <f aca="false">IFERROR(COUNTIFS($B$2:$B$492,$B470,$O$2:$O$492,"&gt;"&amp;$O470)+1,"")</f>
        <v>26</v>
      </c>
      <c r="W470" s="21" t="n">
        <f aca="false">'Info Lega'!$B$4-SUMIFS($M$2:$M$492,$D$2:$D$492,'Info Lega'!$B$28)</f>
        <v>1000</v>
      </c>
      <c r="X470" s="21" t="n">
        <f aca="false">('Info Lega'!$B$5-COUNTIFS($D$2:$D$492,'Info Lega'!$B$28,$B$2:$B$492,"P"))+('Info Lega'!$B$6-COUNTIFS($D$2:$D$492,'Info Lega'!$B$28,$B$2:$B$492,"D"))+('Info Lega'!$B$7-COUNTIFS($D$2:$D$492,'Info Lega'!$B$28,$B$2:$B$492,"C"))+('Info Lega'!$B$8-COUNTIFS($D$2:$D$492,'Info Lega'!$B$28,$B$2:$B$492,"A"))</f>
        <v>25</v>
      </c>
      <c r="Y470" s="21" t="n">
        <f aca="false">X470*'Parametri Modello'!$B$30</f>
        <v>25</v>
      </c>
      <c r="Z470" s="21" t="n">
        <f aca="false">MAX(0,W470-Y470)</f>
        <v>975</v>
      </c>
      <c r="AA470" s="21" t="n">
        <f aca="false">MIN(F470,Z470)</f>
        <v>1</v>
      </c>
      <c r="AB470" s="21"/>
      <c r="AC470" s="21" t="str">
        <f aca="false">IF(AB470="","",IF(AB470&gt;AA470,"PASS",IF(AB470&lt;=AA470*0.85,"BID","ATTENZIONE")))</f>
        <v/>
      </c>
      <c r="AD470" s="31" t="n">
        <f aca="false">IF(I470="","",ROUND(100*(1-EXP(-I470/30)),0))</f>
        <v>0</v>
      </c>
      <c r="AE470" s="7" t="str">
        <f aca="false">IFERROR(INDEX('Stato Asta'!$G$9:$G$12,MATCH($B470,'Stato Asta'!$A$9:$A$12,0)),"")</f>
        <v>🟡 Attesa rischiosa</v>
      </c>
    </row>
    <row r="471" customFormat="false" ht="14.25" hidden="false" customHeight="true" outlineLevel="0" collapsed="false">
      <c r="A471" s="21" t="n">
        <v>543</v>
      </c>
      <c r="B471" s="21" t="s">
        <v>43</v>
      </c>
      <c r="C471" s="21" t="s">
        <v>187</v>
      </c>
      <c r="E471" s="26" t="str">
        <f aca="false">IF(COUNTIF('Info Strategia'!$D$2:$D$51,$C471)&gt;0,"SI","NO")</f>
        <v>NO</v>
      </c>
      <c r="F471" s="27" t="n">
        <f aca="false">IFERROR(ROUND(($G471+($H471-$G471)*'Info Strategia'!$B$6)*(1+IF($E471="SI",'Parametri Modello'!$B$7*'Info Strategia'!$B$6,0)),0),"")</f>
        <v>1</v>
      </c>
      <c r="G471" s="27" t="n">
        <f aca="false">IFERROR(ROUND((IF(OR(INDEX('Parametri Modello'!$C$39:$C$42,MATCH($B471,'Parametri Modello'!$A$39:$A$42,0))="",INDEX('Parametri Modello'!$C$39:$C$42,MATCH($B471,'Parametri Modello'!$A$39:$A$42,0))=0),0,($O471/INDEX('Parametri Modello'!$C$39:$C$42,MATCH($B471,'Parametri Modello'!$A$39:$A$42,0)))*(INDEX('Parametri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H471" s="27" t="n">
        <f aca="false">IFERROR(ROUND((IF(OR(INDEX('Parametri Modello'!$C$39:$C$42,MATCH($B471,'Parametri Modello'!$A$39:$A$42,0))="",INDEX('Parametri Modello'!$C$39:$C$42,MATCH($B471,'Parametri Modello'!$A$39:$A$42,0))=0),0,($O471/INDEX('Parametri Modello'!$C$39:$C$42,MATCH($B471,'Parametri Modello'!$A$39:$A$42,0)))*(INDEX('Parametri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I471" s="26" t="n">
        <f aca="false">IFERROR(INDEX('Input Statistiche 2025_26'!$F$3:$F$665,MATCH($A471,'Input Statistiche 2025_26'!$A$3:$A$665,0)),"")</f>
        <v>2</v>
      </c>
      <c r="J471" s="26" t="n">
        <f aca="false">IFERROR(IF($I471="","",MAX(0,38-$I471)),"")</f>
        <v>36</v>
      </c>
      <c r="K471" s="26" t="n">
        <f aca="false">IFERROR(INDEX('Input Statistiche 2025_26'!$I$3:$I$665,MATCH($A471,'Input Statistiche 2025_26'!$A$3:$A$665,0)),"")</f>
        <v>0</v>
      </c>
      <c r="L471" s="26" t="n">
        <f aca="false">IFERROR(INDEX('Input Statistiche 2025_26'!$O$3:$O$665,MATCH($A471,'Input Statistiche 2025_26'!$A$3:$A$665,0)),"")</f>
        <v>0</v>
      </c>
      <c r="M471" s="28"/>
      <c r="N471" s="27" t="n">
        <f aca="false">IFERROR(INDEX('Input Giocatori 2026_27'!$E$3:$E$493,MATCH($A471,'Input Giocatori 2026_27'!$A$3:$A$493,0)),"")</f>
        <v>1</v>
      </c>
      <c r="O471" s="27" t="n">
        <f aca="false">IFERROR(INDEX('Input Giocatori 2026_27'!$G$3:$G$493,MATCH($A471,'Input Giocatori 2026_27'!$A$3:$A$493,0)),"")</f>
        <v>1</v>
      </c>
      <c r="P471" s="26" t="str">
        <f aca="false">IFERROR(IF($O471="","",IF((1-(COUNTIFS($B$2:$B$492,$B471,$O$2:$O$492,"&gt;"&amp;$O471)+1-1)/COUNTIF($B$2:$B$492,$B471))&gt;=0.85,"Top",IF((1-(COUNTIFS($B$2:$B$492,$B471,$O$2:$O$492,"&gt;"&amp;$O471)+1-1)/COUNTIF($B$2:$B$492,$B471))&gt;=0.6,"Buono",IF((1-(COUNTIFS($B$2:$B$492,$B471,$O$2:$O$492,"&gt;"&amp;$O471)+1-1)/COUNTIF($B$2:$B$492,$B471))&gt;=0.3,"Nella Media","Scommessa/Riserva")))),"")</f>
        <v>Nella Media</v>
      </c>
      <c r="Q471" s="29" t="n">
        <f aca="false">IF($D471="",COUNTIF($D$2:$D471,""),"")</f>
        <v>470</v>
      </c>
      <c r="R471" s="29" t="str">
        <f aca="false">IF($D471='Info Lega'!$B$28,COUNTIFS($D$2:$D471,'Info Lega'!$B$28),"")</f>
        <v/>
      </c>
      <c r="S471" s="30" t="n">
        <f aca="false">IFERROR(INDEX('Input Statistiche 2025_26'!$G$3:$G$665,MATCH($A471,'Input Statistiche 2025_26'!$A$3:$A$665,0)),"")</f>
        <v>6.25</v>
      </c>
      <c r="T471" s="30" t="n">
        <f aca="false">IFERROR(INDEX('Input Statistiche 2025_26'!$H$3:$H$665,MATCH($A471,'Input Statistiche 2025_26'!$A$3:$A$665,0)),"")</f>
        <v>5.25</v>
      </c>
      <c r="U471" s="26" t="str">
        <f aca="false">IF(OR('La Mia Rosa'!$O$12="",$D471&lt;&gt;""),"",IF($F471&lt;='La Mia Rosa'!$O$12*'Parametri Modello'!$B$24,"OK",IF($F471&lt;='La Mia Rosa'!$O$12*'Parametri Modello'!$B$25,"Attenzione","Rischio Alto")))</f>
        <v>OK</v>
      </c>
      <c r="V471" s="26" t="n">
        <f aca="false">IFERROR(COUNTIFS($B$2:$B$492,$B471,$O$2:$O$492,"&gt;"&amp;$O471)+1,"")</f>
        <v>26</v>
      </c>
      <c r="W471" s="21" t="n">
        <f aca="false">'Info Lega'!$B$4-SUMIFS($M$2:$M$492,$D$2:$D$492,'Info Lega'!$B$28)</f>
        <v>1000</v>
      </c>
      <c r="X471" s="21" t="n">
        <f aca="false">('Info Lega'!$B$5-COUNTIFS($D$2:$D$492,'Info Lega'!$B$28,$B$2:$B$492,"P"))+('Info Lega'!$B$6-COUNTIFS($D$2:$D$492,'Info Lega'!$B$28,$B$2:$B$492,"D"))+('Info Lega'!$B$7-COUNTIFS($D$2:$D$492,'Info Lega'!$B$28,$B$2:$B$492,"C"))+('Info Lega'!$B$8-COUNTIFS($D$2:$D$492,'Info Lega'!$B$28,$B$2:$B$492,"A"))</f>
        <v>25</v>
      </c>
      <c r="Y471" s="21" t="n">
        <f aca="false">X471*'Parametri Modello'!$B$30</f>
        <v>25</v>
      </c>
      <c r="Z471" s="21" t="n">
        <f aca="false">MAX(0,W471-Y471)</f>
        <v>975</v>
      </c>
      <c r="AA471" s="21" t="n">
        <f aca="false">MIN(F471,Z471)</f>
        <v>1</v>
      </c>
      <c r="AB471" s="21"/>
      <c r="AC471" s="21" t="str">
        <f aca="false">IF(AB471="","",IF(AB471&gt;AA471,"PASS",IF(AB471&lt;=AA471*0.85,"BID","ATTENZIONE")))</f>
        <v/>
      </c>
      <c r="AD471" s="31" t="n">
        <f aca="false">IF(I471="","",ROUND(100*(1-EXP(-I471/30)),0))</f>
        <v>6</v>
      </c>
      <c r="AE471" s="7" t="str">
        <f aca="false">IFERROR(INDEX('Stato Asta'!$G$9:$G$12,MATCH($B471,'Stato Asta'!$A$9:$A$12,0)),"")</f>
        <v>🟡 Attesa rischiosa</v>
      </c>
    </row>
    <row r="472" customFormat="false" ht="14.25" hidden="false" customHeight="true" outlineLevel="0" collapsed="false">
      <c r="A472" s="21" t="n">
        <v>5707</v>
      </c>
      <c r="B472" s="21" t="s">
        <v>43</v>
      </c>
      <c r="C472" s="21" t="s">
        <v>188</v>
      </c>
      <c r="E472" s="26" t="str">
        <f aca="false">IF(COUNTIF('Info Strategia'!$D$2:$D$51,$C472)&gt;0,"SI","NO")</f>
        <v>NO</v>
      </c>
      <c r="F472" s="27" t="n">
        <f aca="false">IFERROR(ROUND(($G472+($H472-$G472)*'Info Strategia'!$B$6)*(1+IF($E472="SI",'Parametri Modello'!$B$7*'Info Strategia'!$B$6,0)),0),"")</f>
        <v>1</v>
      </c>
      <c r="G472" s="27" t="n">
        <f aca="false">IFERROR(ROUND((IF(OR(INDEX('Parametri Modello'!$C$39:$C$42,MATCH($B472,'Parametri Modello'!$A$39:$A$42,0))="",INDEX('Parametri Modello'!$C$39:$C$42,MATCH($B472,'Parametri Modello'!$A$39:$A$42,0))=0),0,($O472/INDEX('Parametri Modello'!$C$39:$C$42,MATCH($B472,'Parametri Modello'!$A$39:$A$42,0)))*(INDEX('Parametri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H472" s="27" t="n">
        <f aca="false">IFERROR(ROUND((IF(OR(INDEX('Parametri Modello'!$C$39:$C$42,MATCH($B472,'Parametri Modello'!$A$39:$A$42,0))="",INDEX('Parametri Modello'!$C$39:$C$42,MATCH($B472,'Parametri Modello'!$A$39:$A$42,0))=0),0,($O472/INDEX('Parametri Modello'!$C$39:$C$42,MATCH($B472,'Parametri Modello'!$A$39:$A$42,0)))*(INDEX('Parametri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I472" s="26" t="str">
        <f aca="false">IFERROR(INDEX('Input Statistiche 2025_26'!$F$3:$F$665,MATCH($A472,'Input Statistiche 2025_26'!$A$3:$A$665,0)),"")</f>
        <v/>
      </c>
      <c r="J472" s="26" t="str">
        <f aca="false">IFERROR(IF($I472="","",MAX(0,38-$I472)),"")</f>
        <v/>
      </c>
      <c r="K472" s="26" t="str">
        <f aca="false">IFERROR(INDEX('Input Statistiche 2025_26'!$I$3:$I$665,MATCH($A472,'Input Statistiche 2025_26'!$A$3:$A$665,0)),"")</f>
        <v/>
      </c>
      <c r="L472" s="26" t="str">
        <f aca="false">IFERROR(INDEX('Input Statistiche 2025_26'!$O$3:$O$665,MATCH($A472,'Input Statistiche 2025_26'!$A$3:$A$665,0)),"")</f>
        <v/>
      </c>
      <c r="M472" s="28"/>
      <c r="N472" s="27" t="n">
        <f aca="false">IFERROR(INDEX('Input Giocatori 2026_27'!$E$3:$E$493,MATCH($A472,'Input Giocatori 2026_27'!$A$3:$A$493,0)),"")</f>
        <v>1</v>
      </c>
      <c r="O472" s="27" t="n">
        <f aca="false">IFERROR(INDEX('Input Giocatori 2026_27'!$G$3:$G$493,MATCH($A472,'Input Giocatori 2026_27'!$A$3:$A$493,0)),"")</f>
        <v>1</v>
      </c>
      <c r="P472" s="26" t="str">
        <f aca="false">IFERROR(IF($O472="","",IF((1-(COUNTIFS($B$2:$B$492,$B472,$O$2:$O$492,"&gt;"&amp;$O472)+1-1)/COUNTIF($B$2:$B$492,$B472))&gt;=0.85,"Top",IF((1-(COUNTIFS($B$2:$B$492,$B472,$O$2:$O$492,"&gt;"&amp;$O472)+1-1)/COUNTIF($B$2:$B$492,$B472))&gt;=0.6,"Buono",IF((1-(COUNTIFS($B$2:$B$492,$B472,$O$2:$O$492,"&gt;"&amp;$O472)+1-1)/COUNTIF($B$2:$B$492,$B472))&gt;=0.3,"Nella Media","Scommessa/Riserva")))),"")</f>
        <v>Nella Media</v>
      </c>
      <c r="Q472" s="29" t="n">
        <f aca="false">IF($D472="",COUNTIF($D$2:$D472,""),"")</f>
        <v>471</v>
      </c>
      <c r="R472" s="29" t="str">
        <f aca="false">IF($D472='Info Lega'!$B$28,COUNTIFS($D$2:$D472,'Info Lega'!$B$28),"")</f>
        <v/>
      </c>
      <c r="S472" s="30" t="str">
        <f aca="false">IFERROR(INDEX('Input Statistiche 2025_26'!$G$3:$G$665,MATCH($A472,'Input Statistiche 2025_26'!$A$3:$A$665,0)),"")</f>
        <v/>
      </c>
      <c r="T472" s="30" t="str">
        <f aca="false">IFERROR(INDEX('Input Statistiche 2025_26'!$H$3:$H$665,MATCH($A472,'Input Statistiche 2025_26'!$A$3:$A$665,0)),"")</f>
        <v/>
      </c>
      <c r="U472" s="26" t="str">
        <f aca="false">IF(OR('La Mia Rosa'!$O$12="",$D472&lt;&gt;""),"",IF($F472&lt;='La Mia Rosa'!$O$12*'Parametri Modello'!$B$24,"OK",IF($F472&lt;='La Mia Rosa'!$O$12*'Parametri Modello'!$B$25,"Attenzione","Rischio Alto")))</f>
        <v>OK</v>
      </c>
      <c r="V472" s="26" t="n">
        <f aca="false">IFERROR(COUNTIFS($B$2:$B$492,$B472,$O$2:$O$492,"&gt;"&amp;$O472)+1,"")</f>
        <v>26</v>
      </c>
      <c r="W472" s="21" t="n">
        <f aca="false">'Info Lega'!$B$4-SUMIFS($M$2:$M$492,$D$2:$D$492,'Info Lega'!$B$28)</f>
        <v>1000</v>
      </c>
      <c r="X472" s="21" t="n">
        <f aca="false">('Info Lega'!$B$5-COUNTIFS($D$2:$D$492,'Info Lega'!$B$28,$B$2:$B$492,"P"))+('Info Lega'!$B$6-COUNTIFS($D$2:$D$492,'Info Lega'!$B$28,$B$2:$B$492,"D"))+('Info Lega'!$B$7-COUNTIFS($D$2:$D$492,'Info Lega'!$B$28,$B$2:$B$492,"C"))+('Info Lega'!$B$8-COUNTIFS($D$2:$D$492,'Info Lega'!$B$28,$B$2:$B$492,"A"))</f>
        <v>25</v>
      </c>
      <c r="Y472" s="21" t="n">
        <f aca="false">X472*'Parametri Modello'!$B$30</f>
        <v>25</v>
      </c>
      <c r="Z472" s="21" t="n">
        <f aca="false">MAX(0,W472-Y472)</f>
        <v>975</v>
      </c>
      <c r="AA472" s="21" t="n">
        <f aca="false">MIN(F472,Z472)</f>
        <v>1</v>
      </c>
      <c r="AB472" s="21"/>
      <c r="AC472" s="21" t="str">
        <f aca="false">IF(AB472="","",IF(AB472&gt;AA472,"PASS",IF(AB472&lt;=AA472*0.85,"BID","ATTENZIONE")))</f>
        <v/>
      </c>
      <c r="AD472" s="31" t="str">
        <f aca="false">IF(I472="","",ROUND(100*(1-EXP(-I472/30)),0))</f>
        <v/>
      </c>
      <c r="AE472" s="7" t="str">
        <f aca="false">IFERROR(INDEX('Stato Asta'!$G$9:$G$12,MATCH($B472,'Stato Asta'!$A$9:$A$12,0)),"")</f>
        <v>🟡 Attesa rischiosa</v>
      </c>
    </row>
    <row r="473" customFormat="false" ht="14.25" hidden="false" customHeight="true" outlineLevel="0" collapsed="false">
      <c r="A473" s="21" t="n">
        <v>6671</v>
      </c>
      <c r="B473" s="21" t="s">
        <v>43</v>
      </c>
      <c r="C473" s="21" t="s">
        <v>189</v>
      </c>
      <c r="E473" s="26" t="str">
        <f aca="false">IF(COUNTIF('Info Strategia'!$D$2:$D$51,$C473)&gt;0,"SI","NO")</f>
        <v>NO</v>
      </c>
      <c r="F473" s="27" t="n">
        <f aca="false">IFERROR(ROUND(($G473+($H473-$G473)*'Info Strategia'!$B$6)*(1+IF($E473="SI",'Parametri Modello'!$B$7*'Info Strategia'!$B$6,0)),0),"")</f>
        <v>1</v>
      </c>
      <c r="G473" s="27" t="n">
        <f aca="false">IFERROR(ROUND((IF(OR(INDEX('Parametri Modello'!$C$39:$C$42,MATCH($B473,'Parametri Modello'!$A$39:$A$42,0))="",INDEX('Parametri Modello'!$C$39:$C$42,MATCH($B473,'Parametri Modello'!$A$39:$A$42,0))=0),0,($O473/INDEX('Parametri Modello'!$C$39:$C$42,MATCH($B473,'Parametri Modello'!$A$39:$A$42,0)))*(INDEX('Parametri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H473" s="27" t="n">
        <f aca="false">IFERROR(ROUND((IF(OR(INDEX('Parametri Modello'!$C$39:$C$42,MATCH($B473,'Parametri Modello'!$A$39:$A$42,0))="",INDEX('Parametri Modello'!$C$39:$C$42,MATCH($B473,'Parametri Modello'!$A$39:$A$42,0))=0),0,($O473/INDEX('Parametri Modello'!$C$39:$C$42,MATCH($B473,'Parametri Modello'!$A$39:$A$42,0)))*(INDEX('Parametri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I473" s="26" t="str">
        <f aca="false">IFERROR(INDEX('Input Statistiche 2025_26'!$F$3:$F$665,MATCH($A473,'Input Statistiche 2025_26'!$A$3:$A$665,0)),"")</f>
        <v/>
      </c>
      <c r="J473" s="26" t="str">
        <f aca="false">IFERROR(IF($I473="","",MAX(0,38-$I473)),"")</f>
        <v/>
      </c>
      <c r="K473" s="26" t="str">
        <f aca="false">IFERROR(INDEX('Input Statistiche 2025_26'!$I$3:$I$665,MATCH($A473,'Input Statistiche 2025_26'!$A$3:$A$665,0)),"")</f>
        <v/>
      </c>
      <c r="L473" s="26" t="str">
        <f aca="false">IFERROR(INDEX('Input Statistiche 2025_26'!$O$3:$O$665,MATCH($A473,'Input Statistiche 2025_26'!$A$3:$A$665,0)),"")</f>
        <v/>
      </c>
      <c r="M473" s="28"/>
      <c r="N473" s="27" t="n">
        <f aca="false">IFERROR(INDEX('Input Giocatori 2026_27'!$E$3:$E$493,MATCH($A473,'Input Giocatori 2026_27'!$A$3:$A$493,0)),"")</f>
        <v>1</v>
      </c>
      <c r="O473" s="27" t="n">
        <f aca="false">IFERROR(INDEX('Input Giocatori 2026_27'!$G$3:$G$493,MATCH($A473,'Input Giocatori 2026_27'!$A$3:$A$493,0)),"")</f>
        <v>1</v>
      </c>
      <c r="P473" s="26" t="str">
        <f aca="false">IFERROR(IF($O473="","",IF((1-(COUNTIFS($B$2:$B$492,$B473,$O$2:$O$492,"&gt;"&amp;$O473)+1-1)/COUNTIF($B$2:$B$492,$B473))&gt;=0.85,"Top",IF((1-(COUNTIFS($B$2:$B$492,$B473,$O$2:$O$492,"&gt;"&amp;$O473)+1-1)/COUNTIF($B$2:$B$492,$B473))&gt;=0.6,"Buono",IF((1-(COUNTIFS($B$2:$B$492,$B473,$O$2:$O$492,"&gt;"&amp;$O473)+1-1)/COUNTIF($B$2:$B$492,$B473))&gt;=0.3,"Nella Media","Scommessa/Riserva")))),"")</f>
        <v>Nella Media</v>
      </c>
      <c r="Q473" s="29" t="n">
        <f aca="false">IF($D473="",COUNTIF($D$2:$D473,""),"")</f>
        <v>472</v>
      </c>
      <c r="R473" s="29" t="str">
        <f aca="false">IF($D473='Info Lega'!$B$28,COUNTIFS($D$2:$D473,'Info Lega'!$B$28),"")</f>
        <v/>
      </c>
      <c r="S473" s="30" t="str">
        <f aca="false">IFERROR(INDEX('Input Statistiche 2025_26'!$G$3:$G$665,MATCH($A473,'Input Statistiche 2025_26'!$A$3:$A$665,0)),"")</f>
        <v/>
      </c>
      <c r="T473" s="30" t="str">
        <f aca="false">IFERROR(INDEX('Input Statistiche 2025_26'!$H$3:$H$665,MATCH($A473,'Input Statistiche 2025_26'!$A$3:$A$665,0)),"")</f>
        <v/>
      </c>
      <c r="U473" s="26" t="str">
        <f aca="false">IF(OR('La Mia Rosa'!$O$12="",$D473&lt;&gt;""),"",IF($F473&lt;='La Mia Rosa'!$O$12*'Parametri Modello'!$B$24,"OK",IF($F473&lt;='La Mia Rosa'!$O$12*'Parametri Modello'!$B$25,"Attenzione","Rischio Alto")))</f>
        <v>OK</v>
      </c>
      <c r="V473" s="26" t="n">
        <f aca="false">IFERROR(COUNTIFS($B$2:$B$492,$B473,$O$2:$O$492,"&gt;"&amp;$O473)+1,"")</f>
        <v>26</v>
      </c>
      <c r="W473" s="21" t="n">
        <f aca="false">'Info Lega'!$B$4-SUMIFS($M$2:$M$492,$D$2:$D$492,'Info Lega'!$B$28)</f>
        <v>1000</v>
      </c>
      <c r="X473" s="21" t="n">
        <f aca="false">('Info Lega'!$B$5-COUNTIFS($D$2:$D$492,'Info Lega'!$B$28,$B$2:$B$492,"P"))+('Info Lega'!$B$6-COUNTIFS($D$2:$D$492,'Info Lega'!$B$28,$B$2:$B$492,"D"))+('Info Lega'!$B$7-COUNTIFS($D$2:$D$492,'Info Lega'!$B$28,$B$2:$B$492,"C"))+('Info Lega'!$B$8-COUNTIFS($D$2:$D$492,'Info Lega'!$B$28,$B$2:$B$492,"A"))</f>
        <v>25</v>
      </c>
      <c r="Y473" s="21" t="n">
        <f aca="false">X473*'Parametri Modello'!$B$30</f>
        <v>25</v>
      </c>
      <c r="Z473" s="21" t="n">
        <f aca="false">MAX(0,W473-Y473)</f>
        <v>975</v>
      </c>
      <c r="AA473" s="21" t="n">
        <f aca="false">MIN(F473,Z473)</f>
        <v>1</v>
      </c>
      <c r="AB473" s="21"/>
      <c r="AC473" s="21" t="str">
        <f aca="false">IF(AB473="","",IF(AB473&gt;AA473,"PASS",IF(AB473&lt;=AA473*0.85,"BID","ATTENZIONE")))</f>
        <v/>
      </c>
      <c r="AD473" s="31" t="str">
        <f aca="false">IF(I473="","",ROUND(100*(1-EXP(-I473/30)),0))</f>
        <v/>
      </c>
      <c r="AE473" s="7" t="str">
        <f aca="false">IFERROR(INDEX('Stato Asta'!$G$9:$G$12,MATCH($B473,'Stato Asta'!$A$9:$A$12,0)),"")</f>
        <v>🟡 Attesa rischiosa</v>
      </c>
    </row>
    <row r="474" customFormat="false" ht="14.25" hidden="false" customHeight="true" outlineLevel="0" collapsed="false">
      <c r="A474" s="21" t="n">
        <v>7531</v>
      </c>
      <c r="B474" s="21" t="s">
        <v>43</v>
      </c>
      <c r="C474" s="21" t="s">
        <v>190</v>
      </c>
      <c r="E474" s="26" t="str">
        <f aca="false">IF(COUNTIF('Info Strategia'!$D$2:$D$51,$C474)&gt;0,"SI","NO")</f>
        <v>NO</v>
      </c>
      <c r="F474" s="27" t="n">
        <f aca="false">IFERROR(ROUND(($G474+($H474-$G474)*'Info Strategia'!$B$6)*(1+IF($E474="SI",'Parametri Modello'!$B$7*'Info Strategia'!$B$6,0)),0),"")</f>
        <v>1</v>
      </c>
      <c r="G474" s="27" t="n">
        <f aca="false">IFERROR(ROUND((IF(OR(INDEX('Parametri Modello'!$C$39:$C$42,MATCH($B474,'Parametri Modello'!$A$39:$A$42,0))="",INDEX('Parametri Modello'!$C$39:$C$42,MATCH($B474,'Parametri Modello'!$A$39:$A$42,0))=0),0,($O474/INDEX('Parametri Modello'!$C$39:$C$42,MATCH($B474,'Parametri Modello'!$A$39:$A$42,0)))*(INDEX('Parametri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H474" s="27" t="n">
        <f aca="false">IFERROR(ROUND((IF(OR(INDEX('Parametri Modello'!$C$39:$C$42,MATCH($B474,'Parametri Modello'!$A$39:$A$42,0))="",INDEX('Parametri Modello'!$C$39:$C$42,MATCH($B474,'Parametri Modello'!$A$39:$A$42,0))=0),0,($O474/INDEX('Parametri Modello'!$C$39:$C$42,MATCH($B474,'Parametri Modello'!$A$39:$A$42,0)))*(INDEX('Parametri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I474" s="26" t="str">
        <f aca="false">IFERROR(INDEX('Input Statistiche 2025_26'!$F$3:$F$665,MATCH($A474,'Input Statistiche 2025_26'!$A$3:$A$665,0)),"")</f>
        <v/>
      </c>
      <c r="J474" s="26" t="str">
        <f aca="false">IFERROR(IF($I474="","",MAX(0,38-$I474)),"")</f>
        <v/>
      </c>
      <c r="K474" s="26" t="str">
        <f aca="false">IFERROR(INDEX('Input Statistiche 2025_26'!$I$3:$I$665,MATCH($A474,'Input Statistiche 2025_26'!$A$3:$A$665,0)),"")</f>
        <v/>
      </c>
      <c r="L474" s="26" t="str">
        <f aca="false">IFERROR(INDEX('Input Statistiche 2025_26'!$O$3:$O$665,MATCH($A474,'Input Statistiche 2025_26'!$A$3:$A$665,0)),"")</f>
        <v/>
      </c>
      <c r="M474" s="28"/>
      <c r="N474" s="27" t="n">
        <f aca="false">IFERROR(INDEX('Input Giocatori 2026_27'!$E$3:$E$493,MATCH($A474,'Input Giocatori 2026_27'!$A$3:$A$493,0)),"")</f>
        <v>1</v>
      </c>
      <c r="O474" s="27" t="n">
        <f aca="false">IFERROR(INDEX('Input Giocatori 2026_27'!$G$3:$G$493,MATCH($A474,'Input Giocatori 2026_27'!$A$3:$A$493,0)),"")</f>
        <v>1</v>
      </c>
      <c r="P474" s="26" t="str">
        <f aca="false">IFERROR(IF($O474="","",IF((1-(COUNTIFS($B$2:$B$492,$B474,$O$2:$O$492,"&gt;"&amp;$O474)+1-1)/COUNTIF($B$2:$B$492,$B474))&gt;=0.85,"Top",IF((1-(COUNTIFS($B$2:$B$492,$B474,$O$2:$O$492,"&gt;"&amp;$O474)+1-1)/COUNTIF($B$2:$B$492,$B474))&gt;=0.6,"Buono",IF((1-(COUNTIFS($B$2:$B$492,$B474,$O$2:$O$492,"&gt;"&amp;$O474)+1-1)/COUNTIF($B$2:$B$492,$B474))&gt;=0.3,"Nella Media","Scommessa/Riserva")))),"")</f>
        <v>Nella Media</v>
      </c>
      <c r="Q474" s="29" t="n">
        <f aca="false">IF($D474="",COUNTIF($D$2:$D474,""),"")</f>
        <v>473</v>
      </c>
      <c r="R474" s="29" t="str">
        <f aca="false">IF($D474='Info Lega'!$B$28,COUNTIFS($D$2:$D474,'Info Lega'!$B$28),"")</f>
        <v/>
      </c>
      <c r="S474" s="30" t="str">
        <f aca="false">IFERROR(INDEX('Input Statistiche 2025_26'!$G$3:$G$665,MATCH($A474,'Input Statistiche 2025_26'!$A$3:$A$665,0)),"")</f>
        <v/>
      </c>
      <c r="T474" s="30" t="str">
        <f aca="false">IFERROR(INDEX('Input Statistiche 2025_26'!$H$3:$H$665,MATCH($A474,'Input Statistiche 2025_26'!$A$3:$A$665,0)),"")</f>
        <v/>
      </c>
      <c r="U474" s="26" t="str">
        <f aca="false">IF(OR('La Mia Rosa'!$O$12="",$D474&lt;&gt;""),"",IF($F474&lt;='La Mia Rosa'!$O$12*'Parametri Modello'!$B$24,"OK",IF($F474&lt;='La Mia Rosa'!$O$12*'Parametri Modello'!$B$25,"Attenzione","Rischio Alto")))</f>
        <v>OK</v>
      </c>
      <c r="V474" s="26" t="n">
        <f aca="false">IFERROR(COUNTIFS($B$2:$B$492,$B474,$O$2:$O$492,"&gt;"&amp;$O474)+1,"")</f>
        <v>26</v>
      </c>
      <c r="W474" s="21" t="n">
        <f aca="false">'Info Lega'!$B$4-SUMIFS($M$2:$M$492,$D$2:$D$492,'Info Lega'!$B$28)</f>
        <v>1000</v>
      </c>
      <c r="X474" s="21" t="n">
        <f aca="false">('Info Lega'!$B$5-COUNTIFS($D$2:$D$492,'Info Lega'!$B$28,$B$2:$B$492,"P"))+('Info Lega'!$B$6-COUNTIFS($D$2:$D$492,'Info Lega'!$B$28,$B$2:$B$492,"D"))+('Info Lega'!$B$7-COUNTIFS($D$2:$D$492,'Info Lega'!$B$28,$B$2:$B$492,"C"))+('Info Lega'!$B$8-COUNTIFS($D$2:$D$492,'Info Lega'!$B$28,$B$2:$B$492,"A"))</f>
        <v>25</v>
      </c>
      <c r="Y474" s="21" t="n">
        <f aca="false">X474*'Parametri Modello'!$B$30</f>
        <v>25</v>
      </c>
      <c r="Z474" s="21" t="n">
        <f aca="false">MAX(0,W474-Y474)</f>
        <v>975</v>
      </c>
      <c r="AA474" s="21" t="n">
        <f aca="false">MIN(F474,Z474)</f>
        <v>1</v>
      </c>
      <c r="AB474" s="21"/>
      <c r="AC474" s="21" t="str">
        <f aca="false">IF(AB474="","",IF(AB474&gt;AA474,"PASS",IF(AB474&lt;=AA474*0.85,"BID","ATTENZIONE")))</f>
        <v/>
      </c>
      <c r="AD474" s="31" t="str">
        <f aca="false">IF(I474="","",ROUND(100*(1-EXP(-I474/30)),0))</f>
        <v/>
      </c>
      <c r="AE474" s="7" t="str">
        <f aca="false">IFERROR(INDEX('Stato Asta'!$G$9:$G$12,MATCH($B474,'Stato Asta'!$A$9:$A$12,0)),"")</f>
        <v>🟡 Attesa rischiosa</v>
      </c>
    </row>
    <row r="475" customFormat="false" ht="14.25" hidden="false" customHeight="true" outlineLevel="0" collapsed="false">
      <c r="A475" s="21" t="n">
        <v>6672</v>
      </c>
      <c r="B475" s="21" t="s">
        <v>44</v>
      </c>
      <c r="C475" s="21" t="s">
        <v>238</v>
      </c>
      <c r="E475" s="26" t="str">
        <f aca="false">IF(COUNTIF('Info Strategia'!$D$2:$D$51,$C475)&gt;0,"SI","NO")</f>
        <v>NO</v>
      </c>
      <c r="F475" s="27" t="n">
        <f aca="false">IFERROR(ROUND(($G475+($H475-$G475)*'Info Strategia'!$B$6)*(1+IF($E475="SI",'Parametri Modello'!$B$7*'Info Strategia'!$B$6,0)),0),"")</f>
        <v>1</v>
      </c>
      <c r="G475" s="27" t="n">
        <f aca="false">IFERROR(ROUND((IF(OR(INDEX('Parametri Modello'!$C$39:$C$42,MATCH($B475,'Parametri Modello'!$A$39:$A$42,0))="",INDEX('Parametri Modello'!$C$39:$C$42,MATCH($B475,'Parametri Modello'!$A$39:$A$42,0))=0),0,($O475/INDEX('Parametri Modello'!$C$39:$C$42,MATCH($B475,'Parametri Modello'!$A$39:$A$42,0)))*(INDEX('Parametri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0</v>
      </c>
      <c r="H475" s="27" t="n">
        <f aca="false">IFERROR(ROUND((IF(OR(INDEX('Parametri Modello'!$C$39:$C$42,MATCH($B475,'Parametri Modello'!$A$39:$A$42,0))="",INDEX('Parametri Modello'!$C$39:$C$42,MATCH($B475,'Parametri Modello'!$A$39:$A$42,0))=0),0,($O475/INDEX('Parametri Modello'!$C$39:$C$42,MATCH($B475,'Parametri Modello'!$A$39:$A$42,0)))*(INDEX('Parametri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I475" s="26" t="n">
        <f aca="false">IFERROR(INDEX('Input Statistiche 2025_26'!$F$3:$F$665,MATCH($A475,'Input Statistiche 2025_26'!$A$3:$A$665,0)),"")</f>
        <v>35</v>
      </c>
      <c r="J475" s="26" t="n">
        <f aca="false">IFERROR(IF($I475="","",MAX(0,38-$I475)),"")</f>
        <v>3</v>
      </c>
      <c r="K475" s="26" t="n">
        <f aca="false">IFERROR(INDEX('Input Statistiche 2025_26'!$I$3:$I$665,MATCH($A475,'Input Statistiche 2025_26'!$A$3:$A$665,0)),"")</f>
        <v>0</v>
      </c>
      <c r="L475" s="26" t="n">
        <f aca="false">IFERROR(INDEX('Input Statistiche 2025_26'!$O$3:$O$665,MATCH($A475,'Input Statistiche 2025_26'!$A$3:$A$665,0)),"")</f>
        <v>0</v>
      </c>
      <c r="M475" s="28"/>
      <c r="N475" s="27" t="n">
        <f aca="false">IFERROR(INDEX('Input Giocatori 2026_27'!$E$3:$E$493,MATCH($A475,'Input Giocatori 2026_27'!$A$3:$A$493,0)),"")</f>
        <v>7</v>
      </c>
      <c r="O475" s="27" t="n">
        <f aca="false">IFERROR(INDEX('Input Giocatori 2026_27'!$G$3:$G$493,MATCH($A475,'Input Giocatori 2026_27'!$A$3:$A$493,0)),"")</f>
        <v>1</v>
      </c>
      <c r="P475" s="26" t="str">
        <f aca="false">IFERROR(IF($O475="","",IF((1-(COUNTIFS($B$2:$B$492,$B475,$O$2:$O$492,"&gt;"&amp;$O475)+1-1)/COUNTIF($B$2:$B$492,$B475))&gt;=0.85,"Top",IF((1-(COUNTIFS($B$2:$B$492,$B475,$O$2:$O$492,"&gt;"&amp;$O475)+1-1)/COUNTIF($B$2:$B$492,$B475))&gt;=0.6,"Buono",IF((1-(COUNTIFS($B$2:$B$492,$B475,$O$2:$O$492,"&gt;"&amp;$O475)+1-1)/COUNTIF($B$2:$B$492,$B475))&gt;=0.3,"Nella Media","Scommessa/Riserva")))),"")</f>
        <v>Scommessa/Riserva</v>
      </c>
      <c r="Q475" s="29" t="n">
        <f aca="false">IF($D475="",COUNTIF($D$2:$D475,""),"")</f>
        <v>474</v>
      </c>
      <c r="R475" s="29" t="str">
        <f aca="false">IF($D475='Info Lega'!$B$28,COUNTIFS($D$2:$D475,'Info Lega'!$B$28),"")</f>
        <v/>
      </c>
      <c r="S475" s="30" t="n">
        <f aca="false">IFERROR(INDEX('Input Statistiche 2025_26'!$G$3:$G$665,MATCH($A475,'Input Statistiche 2025_26'!$A$3:$A$665,0)),"")</f>
        <v>5.94</v>
      </c>
      <c r="T475" s="30" t="n">
        <f aca="false">IFERROR(INDEX('Input Statistiche 2025_26'!$H$3:$H$665,MATCH($A475,'Input Statistiche 2025_26'!$A$3:$A$665,0)),"")</f>
        <v>5.9</v>
      </c>
      <c r="U475" s="26" t="str">
        <f aca="false">IF(OR('La Mia Rosa'!$O$12="",$D475&lt;&gt;""),"",IF($F475&lt;='La Mia Rosa'!$O$12*'Parametri Modello'!$B$24,"OK",IF($F475&lt;='La Mia Rosa'!$O$12*'Parametri Modello'!$B$25,"Attenzione","Rischio Alto")))</f>
        <v>OK</v>
      </c>
      <c r="V475" s="26" t="n">
        <f aca="false">IFERROR(COUNTIFS($B$2:$B$492,$B475,$O$2:$O$492,"&gt;"&amp;$O475)+1,"")</f>
        <v>168</v>
      </c>
      <c r="W475" s="21" t="n">
        <f aca="false">'Info Lega'!$B$4-SUMIFS($M$2:$M$492,$D$2:$D$492,'Info Lega'!$B$28)</f>
        <v>1000</v>
      </c>
      <c r="X475" s="21" t="n">
        <f aca="false">('Info Lega'!$B$5-COUNTIFS($D$2:$D$492,'Info Lega'!$B$28,$B$2:$B$492,"P"))+('Info Lega'!$B$6-COUNTIFS($D$2:$D$492,'Info Lega'!$B$28,$B$2:$B$492,"D"))+('Info Lega'!$B$7-COUNTIFS($D$2:$D$492,'Info Lega'!$B$28,$B$2:$B$492,"C"))+('Info Lega'!$B$8-COUNTIFS($D$2:$D$492,'Info Lega'!$B$28,$B$2:$B$492,"A"))</f>
        <v>25</v>
      </c>
      <c r="Y475" s="21" t="n">
        <f aca="false">X475*'Parametri Modello'!$B$30</f>
        <v>25</v>
      </c>
      <c r="Z475" s="21" t="n">
        <f aca="false">MAX(0,W475-Y475)</f>
        <v>975</v>
      </c>
      <c r="AA475" s="21" t="n">
        <f aca="false">MIN(F475,Z475)</f>
        <v>1</v>
      </c>
      <c r="AB475" s="21"/>
      <c r="AC475" s="21" t="str">
        <f aca="false">IF(AB475="","",IF(AB475&gt;AA475,"PASS",IF(AB475&lt;=AA475*0.85,"BID","ATTENZIONE")))</f>
        <v/>
      </c>
      <c r="AD475" s="31" t="n">
        <f aca="false">IF(I475="","",ROUND(100*(1-EXP(-I475/30)),0))</f>
        <v>69</v>
      </c>
      <c r="AE475" s="7" t="str">
        <f aca="false">IFERROR(INDEX('Stato Asta'!$G$9:$G$12,MATCH($B475,'Stato Asta'!$A$9:$A$12,0)),"")</f>
        <v>🟡 Attesa rischiosa</v>
      </c>
    </row>
    <row r="476" customFormat="false" ht="14.25" hidden="false" customHeight="true" outlineLevel="0" collapsed="false">
      <c r="A476" s="21" t="n">
        <v>7346</v>
      </c>
      <c r="B476" s="21" t="s">
        <v>44</v>
      </c>
      <c r="C476" s="21" t="s">
        <v>340</v>
      </c>
      <c r="E476" s="26" t="str">
        <f aca="false">IF(COUNTIF('Info Strategia'!$D$2:$D$51,$C476)&gt;0,"SI","NO")</f>
        <v>NO</v>
      </c>
      <c r="F476" s="27" t="n">
        <f aca="false">IFERROR(ROUND(($G476+($H476-$G476)*'Info Strategia'!$B$6)*(1+IF($E476="SI",'Parametri Modello'!$B$7*'Info Strategia'!$B$6,0)),0),"")</f>
        <v>1</v>
      </c>
      <c r="G476" s="27" t="n">
        <f aca="false">IFERROR(ROUND((IF(OR(INDEX('Parametri Modello'!$C$39:$C$42,MATCH($B476,'Parametri Modello'!$A$39:$A$42,0))="",INDEX('Parametri Modello'!$C$39:$C$42,MATCH($B476,'Parametri Modello'!$A$39:$A$42,0))=0),0,($O476/INDEX('Parametri Modello'!$C$39:$C$42,MATCH($B476,'Parametri Modello'!$A$39:$A$42,0)))*(INDEX('Parametri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0</v>
      </c>
      <c r="H476" s="27" t="n">
        <f aca="false">IFERROR(ROUND((IF(OR(INDEX('Parametri Modello'!$C$39:$C$42,MATCH($B476,'Parametri Modello'!$A$39:$A$42,0))="",INDEX('Parametri Modello'!$C$39:$C$42,MATCH($B476,'Parametri Modello'!$A$39:$A$42,0))=0),0,($O476/INDEX('Parametri Modello'!$C$39:$C$42,MATCH($B476,'Parametri Modello'!$A$39:$A$42,0)))*(INDEX('Parametri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I476" s="26" t="n">
        <f aca="false">IFERROR(INDEX('Input Statistiche 2025_26'!$F$3:$F$665,MATCH($A476,'Input Statistiche 2025_26'!$A$3:$A$665,0)),"")</f>
        <v>0</v>
      </c>
      <c r="J476" s="26" t="n">
        <f aca="false">IFERROR(IF($I476="","",MAX(0,38-$I476)),"")</f>
        <v>38</v>
      </c>
      <c r="K476" s="26" t="n">
        <f aca="false">IFERROR(INDEX('Input Statistiche 2025_26'!$I$3:$I$665,MATCH($A476,'Input Statistiche 2025_26'!$A$3:$A$665,0)),"")</f>
        <v>0</v>
      </c>
      <c r="L476" s="26" t="n">
        <f aca="false">IFERROR(INDEX('Input Statistiche 2025_26'!$O$3:$O$665,MATCH($A476,'Input Statistiche 2025_26'!$A$3:$A$665,0)),"")</f>
        <v>0</v>
      </c>
      <c r="M476" s="28"/>
      <c r="N476" s="27" t="n">
        <f aca="false">IFERROR(INDEX('Input Giocatori 2026_27'!$E$3:$E$493,MATCH($A476,'Input Giocatori 2026_27'!$A$3:$A$493,0)),"")</f>
        <v>1</v>
      </c>
      <c r="O476" s="27" t="n">
        <f aca="false">IFERROR(INDEX('Input Giocatori 2026_27'!$G$3:$G$493,MATCH($A476,'Input Giocatori 2026_27'!$A$3:$A$493,0)),"")</f>
        <v>1</v>
      </c>
      <c r="P476" s="26" t="str">
        <f aca="false">IFERROR(IF($O476="","",IF((1-(COUNTIFS($B$2:$B$492,$B476,$O$2:$O$492,"&gt;"&amp;$O476)+1-1)/COUNTIF($B$2:$B$492,$B476))&gt;=0.85,"Top",IF((1-(COUNTIFS($B$2:$B$492,$B476,$O$2:$O$492,"&gt;"&amp;$O476)+1-1)/COUNTIF($B$2:$B$492,$B476))&gt;=0.6,"Buono",IF((1-(COUNTIFS($B$2:$B$492,$B476,$O$2:$O$492,"&gt;"&amp;$O476)+1-1)/COUNTIF($B$2:$B$492,$B476))&gt;=0.3,"Nella Media","Scommessa/Riserva")))),"")</f>
        <v>Scommessa/Riserva</v>
      </c>
      <c r="Q476" s="29" t="n">
        <f aca="false">IF($D476="",COUNTIF($D$2:$D476,""),"")</f>
        <v>475</v>
      </c>
      <c r="R476" s="29" t="str">
        <f aca="false">IF($D476='Info Lega'!$B$28,COUNTIFS($D$2:$D476,'Info Lega'!$B$28),"")</f>
        <v/>
      </c>
      <c r="S476" s="30" t="n">
        <f aca="false">IFERROR(INDEX('Input Statistiche 2025_26'!$G$3:$G$665,MATCH($A476,'Input Statistiche 2025_26'!$A$3:$A$665,0)),"")</f>
        <v>0</v>
      </c>
      <c r="T476" s="30" t="n">
        <f aca="false">IFERROR(INDEX('Input Statistiche 2025_26'!$H$3:$H$665,MATCH($A476,'Input Statistiche 2025_26'!$A$3:$A$665,0)),"")</f>
        <v>0</v>
      </c>
      <c r="U476" s="26" t="str">
        <f aca="false">IF(OR('La Mia Rosa'!$O$12="",$D476&lt;&gt;""),"",IF($F476&lt;='La Mia Rosa'!$O$12*'Parametri Modello'!$B$24,"OK",IF($F476&lt;='La Mia Rosa'!$O$12*'Parametri Modello'!$B$25,"Attenzione","Rischio Alto")))</f>
        <v>OK</v>
      </c>
      <c r="V476" s="26" t="n">
        <f aca="false">IFERROR(COUNTIFS($B$2:$B$492,$B476,$O$2:$O$492,"&gt;"&amp;$O476)+1,"")</f>
        <v>168</v>
      </c>
      <c r="W476" s="21" t="n">
        <f aca="false">'Info Lega'!$B$4-SUMIFS($M$2:$M$492,$D$2:$D$492,'Info Lega'!$B$28)</f>
        <v>1000</v>
      </c>
      <c r="X476" s="21" t="n">
        <f aca="false">('Info Lega'!$B$5-COUNTIFS($D$2:$D$492,'Info Lega'!$B$28,$B$2:$B$492,"P"))+('Info Lega'!$B$6-COUNTIFS($D$2:$D$492,'Info Lega'!$B$28,$B$2:$B$492,"D"))+('Info Lega'!$B$7-COUNTIFS($D$2:$D$492,'Info Lega'!$B$28,$B$2:$B$492,"C"))+('Info Lega'!$B$8-COUNTIFS($D$2:$D$492,'Info Lega'!$B$28,$B$2:$B$492,"A"))</f>
        <v>25</v>
      </c>
      <c r="Y476" s="21" t="n">
        <f aca="false">X476*'Parametri Modello'!$B$30</f>
        <v>25</v>
      </c>
      <c r="Z476" s="21" t="n">
        <f aca="false">MAX(0,W476-Y476)</f>
        <v>975</v>
      </c>
      <c r="AA476" s="21" t="n">
        <f aca="false">MIN(F476,Z476)</f>
        <v>1</v>
      </c>
      <c r="AB476" s="21"/>
      <c r="AC476" s="21" t="str">
        <f aca="false">IF(AB476="","",IF(AB476&gt;AA476,"PASS",IF(AB476&lt;=AA476*0.85,"BID","ATTENZIONE")))</f>
        <v/>
      </c>
      <c r="AD476" s="31" t="n">
        <f aca="false">IF(I476="","",ROUND(100*(1-EXP(-I476/30)),0))</f>
        <v>0</v>
      </c>
      <c r="AE476" s="7" t="str">
        <f aca="false">IFERROR(INDEX('Stato Asta'!$G$9:$G$12,MATCH($B476,'Stato Asta'!$A$9:$A$12,0)),"")</f>
        <v>🟡 Attesa rischiosa</v>
      </c>
    </row>
    <row r="477" customFormat="false" ht="14.25" hidden="false" customHeight="true" outlineLevel="0" collapsed="false">
      <c r="A477" s="21" t="n">
        <v>418</v>
      </c>
      <c r="B477" s="21" t="s">
        <v>44</v>
      </c>
      <c r="C477" s="21" t="s">
        <v>341</v>
      </c>
      <c r="E477" s="26" t="str">
        <f aca="false">IF(COUNTIF('Info Strategia'!$D$2:$D$51,$C477)&gt;0,"SI","NO")</f>
        <v>NO</v>
      </c>
      <c r="F477" s="27" t="n">
        <f aca="false">IFERROR(ROUND(($G477+($H477-$G477)*'Info Strategia'!$B$6)*(1+IF($E477="SI",'Parametri Modello'!$B$7*'Info Strategia'!$B$6,0)),0),"")</f>
        <v>1</v>
      </c>
      <c r="G477" s="27" t="n">
        <f aca="false">IFERROR(ROUND((IF(OR(INDEX('Parametri Modello'!$C$39:$C$42,MATCH($B477,'Parametri Modello'!$A$39:$A$42,0))="",INDEX('Parametri Modello'!$C$39:$C$42,MATCH($B477,'Parametri Modello'!$A$39:$A$42,0))=0),0,($O477/INDEX('Parametri Modello'!$C$39:$C$42,MATCH($B477,'Parametri Modello'!$A$39:$A$42,0)))*(INDEX('Parametri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0</v>
      </c>
      <c r="H477" s="27" t="n">
        <f aca="false">IFERROR(ROUND((IF(OR(INDEX('Parametri Modello'!$C$39:$C$42,MATCH($B477,'Parametri Modello'!$A$39:$A$42,0))="",INDEX('Parametri Modello'!$C$39:$C$42,MATCH($B477,'Parametri Modello'!$A$39:$A$42,0))=0),0,($O477/INDEX('Parametri Modello'!$C$39:$C$42,MATCH($B477,'Parametri Modello'!$A$39:$A$42,0)))*(INDEX('Parametri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I477" s="26" t="n">
        <f aca="false">IFERROR(INDEX('Input Statistiche 2025_26'!$F$3:$F$665,MATCH($A477,'Input Statistiche 2025_26'!$A$3:$A$665,0)),"")</f>
        <v>0</v>
      </c>
      <c r="J477" s="26" t="n">
        <f aca="false">IFERROR(IF($I477="","",MAX(0,38-$I477)),"")</f>
        <v>38</v>
      </c>
      <c r="K477" s="26" t="n">
        <f aca="false">IFERROR(INDEX('Input Statistiche 2025_26'!$I$3:$I$665,MATCH($A477,'Input Statistiche 2025_26'!$A$3:$A$665,0)),"")</f>
        <v>0</v>
      </c>
      <c r="L477" s="26" t="n">
        <f aca="false">IFERROR(INDEX('Input Statistiche 2025_26'!$O$3:$O$665,MATCH($A477,'Input Statistiche 2025_26'!$A$3:$A$665,0)),"")</f>
        <v>0</v>
      </c>
      <c r="M477" s="28"/>
      <c r="N477" s="27" t="n">
        <f aca="false">IFERROR(INDEX('Input Giocatori 2026_27'!$E$3:$E$493,MATCH($A477,'Input Giocatori 2026_27'!$A$3:$A$493,0)),"")</f>
        <v>1</v>
      </c>
      <c r="O477" s="27" t="n">
        <f aca="false">IFERROR(INDEX('Input Giocatori 2026_27'!$G$3:$G$493,MATCH($A477,'Input Giocatori 2026_27'!$A$3:$A$493,0)),"")</f>
        <v>1</v>
      </c>
      <c r="P477" s="26" t="str">
        <f aca="false">IFERROR(IF($O477="","",IF((1-(COUNTIFS($B$2:$B$492,$B477,$O$2:$O$492,"&gt;"&amp;$O477)+1-1)/COUNTIF($B$2:$B$492,$B477))&gt;=0.85,"Top",IF((1-(COUNTIFS($B$2:$B$492,$B477,$O$2:$O$492,"&gt;"&amp;$O477)+1-1)/COUNTIF($B$2:$B$492,$B477))&gt;=0.6,"Buono",IF((1-(COUNTIFS($B$2:$B$492,$B477,$O$2:$O$492,"&gt;"&amp;$O477)+1-1)/COUNTIF($B$2:$B$492,$B477))&gt;=0.3,"Nella Media","Scommessa/Riserva")))),"")</f>
        <v>Scommessa/Riserva</v>
      </c>
      <c r="Q477" s="29" t="n">
        <f aca="false">IF($D477="",COUNTIF($D$2:$D477,""),"")</f>
        <v>476</v>
      </c>
      <c r="R477" s="29" t="str">
        <f aca="false">IF($D477='Info Lega'!$B$28,COUNTIFS($D$2:$D477,'Info Lega'!$B$28),"")</f>
        <v/>
      </c>
      <c r="S477" s="30" t="n">
        <f aca="false">IFERROR(INDEX('Input Statistiche 2025_26'!$G$3:$G$665,MATCH($A477,'Input Statistiche 2025_26'!$A$3:$A$665,0)),"")</f>
        <v>0</v>
      </c>
      <c r="T477" s="30" t="n">
        <f aca="false">IFERROR(INDEX('Input Statistiche 2025_26'!$H$3:$H$665,MATCH($A477,'Input Statistiche 2025_26'!$A$3:$A$665,0)),"")</f>
        <v>0</v>
      </c>
      <c r="U477" s="26" t="str">
        <f aca="false">IF(OR('La Mia Rosa'!$O$12="",$D477&lt;&gt;""),"",IF($F477&lt;='La Mia Rosa'!$O$12*'Parametri Modello'!$B$24,"OK",IF($F477&lt;='La Mia Rosa'!$O$12*'Parametri Modello'!$B$25,"Attenzione","Rischio Alto")))</f>
        <v>OK</v>
      </c>
      <c r="V477" s="26" t="n">
        <f aca="false">IFERROR(COUNTIFS($B$2:$B$492,$B477,$O$2:$O$492,"&gt;"&amp;$O477)+1,"")</f>
        <v>168</v>
      </c>
      <c r="W477" s="21" t="n">
        <f aca="false">'Info Lega'!$B$4-SUMIFS($M$2:$M$492,$D$2:$D$492,'Info Lega'!$B$28)</f>
        <v>1000</v>
      </c>
      <c r="X477" s="21" t="n">
        <f aca="false">('Info Lega'!$B$5-COUNTIFS($D$2:$D$492,'Info Lega'!$B$28,$B$2:$B$492,"P"))+('Info Lega'!$B$6-COUNTIFS($D$2:$D$492,'Info Lega'!$B$28,$B$2:$B$492,"D"))+('Info Lega'!$B$7-COUNTIFS($D$2:$D$492,'Info Lega'!$B$28,$B$2:$B$492,"C"))+('Info Lega'!$B$8-COUNTIFS($D$2:$D$492,'Info Lega'!$B$28,$B$2:$B$492,"A"))</f>
        <v>25</v>
      </c>
      <c r="Y477" s="21" t="n">
        <f aca="false">X477*'Parametri Modello'!$B$30</f>
        <v>25</v>
      </c>
      <c r="Z477" s="21" t="n">
        <f aca="false">MAX(0,W477-Y477)</f>
        <v>975</v>
      </c>
      <c r="AA477" s="21" t="n">
        <f aca="false">MIN(F477,Z477)</f>
        <v>1</v>
      </c>
      <c r="AB477" s="21"/>
      <c r="AC477" s="21" t="str">
        <f aca="false">IF(AB477="","",IF(AB477&gt;AA477,"PASS",IF(AB477&lt;=AA477*0.85,"BID","ATTENZIONE")))</f>
        <v/>
      </c>
      <c r="AD477" s="31" t="n">
        <f aca="false">IF(I477="","",ROUND(100*(1-EXP(-I477/30)),0))</f>
        <v>0</v>
      </c>
      <c r="AE477" s="7" t="str">
        <f aca="false">IFERROR(INDEX('Stato Asta'!$G$9:$G$12,MATCH($B477,'Stato Asta'!$A$9:$A$12,0)),"")</f>
        <v>🟡 Attesa rischiosa</v>
      </c>
    </row>
    <row r="478" customFormat="false" ht="14.25" hidden="false" customHeight="true" outlineLevel="0" collapsed="false">
      <c r="A478" s="21" t="n">
        <v>5424</v>
      </c>
      <c r="B478" s="21" t="s">
        <v>44</v>
      </c>
      <c r="C478" s="21" t="s">
        <v>343</v>
      </c>
      <c r="E478" s="26" t="str">
        <f aca="false">IF(COUNTIF('Info Strategia'!$D$2:$D$51,$C478)&gt;0,"SI","NO")</f>
        <v>NO</v>
      </c>
      <c r="F478" s="27" t="n">
        <f aca="false">IFERROR(ROUND(($G478+($H478-$G478)*'Info Strategia'!$B$6)*(1+IF($E478="SI",'Parametri Modello'!$B$7*'Info Strategia'!$B$6,0)),0),"")</f>
        <v>1</v>
      </c>
      <c r="G478" s="27" t="n">
        <f aca="false">IFERROR(ROUND((IF(OR(INDEX('Parametri Modello'!$C$39:$C$42,MATCH($B478,'Parametri Modello'!$A$39:$A$42,0))="",INDEX('Parametri Modello'!$C$39:$C$42,MATCH($B478,'Parametri Modello'!$A$39:$A$42,0))=0),0,($O478/INDEX('Parametri Modello'!$C$39:$C$42,MATCH($B478,'Parametri Modello'!$A$39:$A$42,0)))*(INDEX('Parametri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0</v>
      </c>
      <c r="H478" s="27" t="n">
        <f aca="false">IFERROR(ROUND((IF(OR(INDEX('Parametri Modello'!$C$39:$C$42,MATCH($B478,'Parametri Modello'!$A$39:$A$42,0))="",INDEX('Parametri Modello'!$C$39:$C$42,MATCH($B478,'Parametri Modello'!$A$39:$A$42,0))=0),0,($O478/INDEX('Parametri Modello'!$C$39:$C$42,MATCH($B478,'Parametri Modello'!$A$39:$A$42,0)))*(INDEX('Parametri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I478" s="26" t="str">
        <f aca="false">IFERROR(INDEX('Input Statistiche 2025_26'!$F$3:$F$665,MATCH($A478,'Input Statistiche 2025_26'!$A$3:$A$665,0)),"")</f>
        <v/>
      </c>
      <c r="J478" s="26" t="str">
        <f aca="false">IFERROR(IF($I478="","",MAX(0,38-$I478)),"")</f>
        <v/>
      </c>
      <c r="K478" s="26" t="str">
        <f aca="false">IFERROR(INDEX('Input Statistiche 2025_26'!$I$3:$I$665,MATCH($A478,'Input Statistiche 2025_26'!$A$3:$A$665,0)),"")</f>
        <v/>
      </c>
      <c r="L478" s="26" t="str">
        <f aca="false">IFERROR(INDEX('Input Statistiche 2025_26'!$O$3:$O$665,MATCH($A478,'Input Statistiche 2025_26'!$A$3:$A$665,0)),"")</f>
        <v/>
      </c>
      <c r="M478" s="28"/>
      <c r="N478" s="27" t="n">
        <f aca="false">IFERROR(INDEX('Input Giocatori 2026_27'!$E$3:$E$493,MATCH($A478,'Input Giocatori 2026_27'!$A$3:$A$493,0)),"")</f>
        <v>1</v>
      </c>
      <c r="O478" s="27" t="n">
        <f aca="false">IFERROR(INDEX('Input Giocatori 2026_27'!$G$3:$G$493,MATCH($A478,'Input Giocatori 2026_27'!$A$3:$A$493,0)),"")</f>
        <v>1</v>
      </c>
      <c r="P478" s="26" t="str">
        <f aca="false">IFERROR(IF($O478="","",IF((1-(COUNTIFS($B$2:$B$492,$B478,$O$2:$O$492,"&gt;"&amp;$O478)+1-1)/COUNTIF($B$2:$B$492,$B478))&gt;=0.85,"Top",IF((1-(COUNTIFS($B$2:$B$492,$B478,$O$2:$O$492,"&gt;"&amp;$O478)+1-1)/COUNTIF($B$2:$B$492,$B478))&gt;=0.6,"Buono",IF((1-(COUNTIFS($B$2:$B$492,$B478,$O$2:$O$492,"&gt;"&amp;$O478)+1-1)/COUNTIF($B$2:$B$492,$B478))&gt;=0.3,"Nella Media","Scommessa/Riserva")))),"")</f>
        <v>Scommessa/Riserva</v>
      </c>
      <c r="Q478" s="29" t="n">
        <f aca="false">IF($D478="",COUNTIF($D$2:$D478,""),"")</f>
        <v>477</v>
      </c>
      <c r="R478" s="29" t="str">
        <f aca="false">IF($D478='Info Lega'!$B$28,COUNTIFS($D$2:$D478,'Info Lega'!$B$28),"")</f>
        <v/>
      </c>
      <c r="S478" s="30" t="str">
        <f aca="false">IFERROR(INDEX('Input Statistiche 2025_26'!$G$3:$G$665,MATCH($A478,'Input Statistiche 2025_26'!$A$3:$A$665,0)),"")</f>
        <v/>
      </c>
      <c r="T478" s="30" t="str">
        <f aca="false">IFERROR(INDEX('Input Statistiche 2025_26'!$H$3:$H$665,MATCH($A478,'Input Statistiche 2025_26'!$A$3:$A$665,0)),"")</f>
        <v/>
      </c>
      <c r="U478" s="26" t="str">
        <f aca="false">IF(OR('La Mia Rosa'!$O$12="",$D478&lt;&gt;""),"",IF($F478&lt;='La Mia Rosa'!$O$12*'Parametri Modello'!$B$24,"OK",IF($F478&lt;='La Mia Rosa'!$O$12*'Parametri Modello'!$B$25,"Attenzione","Rischio Alto")))</f>
        <v>OK</v>
      </c>
      <c r="V478" s="26" t="n">
        <f aca="false">IFERROR(COUNTIFS($B$2:$B$492,$B478,$O$2:$O$492,"&gt;"&amp;$O478)+1,"")</f>
        <v>168</v>
      </c>
      <c r="W478" s="21" t="n">
        <f aca="false">'Info Lega'!$B$4-SUMIFS($M$2:$M$492,$D$2:$D$492,'Info Lega'!$B$28)</f>
        <v>1000</v>
      </c>
      <c r="X478" s="21" t="n">
        <f aca="false">('Info Lega'!$B$5-COUNTIFS($D$2:$D$492,'Info Lega'!$B$28,$B$2:$B$492,"P"))+('Info Lega'!$B$6-COUNTIFS($D$2:$D$492,'Info Lega'!$B$28,$B$2:$B$492,"D"))+('Info Lega'!$B$7-COUNTIFS($D$2:$D$492,'Info Lega'!$B$28,$B$2:$B$492,"C"))+('Info Lega'!$B$8-COUNTIFS($D$2:$D$492,'Info Lega'!$B$28,$B$2:$B$492,"A"))</f>
        <v>25</v>
      </c>
      <c r="Y478" s="21" t="n">
        <f aca="false">X478*'Parametri Modello'!$B$30</f>
        <v>25</v>
      </c>
      <c r="Z478" s="21" t="n">
        <f aca="false">MAX(0,W478-Y478)</f>
        <v>975</v>
      </c>
      <c r="AA478" s="21" t="n">
        <f aca="false">MIN(F478,Z478)</f>
        <v>1</v>
      </c>
      <c r="AB478" s="21"/>
      <c r="AC478" s="21" t="str">
        <f aca="false">IF(AB478="","",IF(AB478&gt;AA478,"PASS",IF(AB478&lt;=AA478*0.85,"BID","ATTENZIONE")))</f>
        <v/>
      </c>
      <c r="AD478" s="31" t="str">
        <f aca="false">IF(I478="","",ROUND(100*(1-EXP(-I478/30)),0))</f>
        <v/>
      </c>
      <c r="AE478" s="7" t="str">
        <f aca="false">IFERROR(INDEX('Stato Asta'!$G$9:$G$12,MATCH($B478,'Stato Asta'!$A$9:$A$12,0)),"")</f>
        <v>🟡 Attesa rischiosa</v>
      </c>
    </row>
    <row r="479" customFormat="false" ht="14.25" hidden="false" customHeight="true" outlineLevel="0" collapsed="false">
      <c r="A479" s="21" t="n">
        <v>7468</v>
      </c>
      <c r="B479" s="21" t="s">
        <v>44</v>
      </c>
      <c r="C479" s="21" t="s">
        <v>344</v>
      </c>
      <c r="E479" s="26" t="str">
        <f aca="false">IF(COUNTIF('Info Strategia'!$D$2:$D$51,$C479)&gt;0,"SI","NO")</f>
        <v>NO</v>
      </c>
      <c r="F479" s="27" t="n">
        <f aca="false">IFERROR(ROUND(($G479+($H479-$G479)*'Info Strategia'!$B$6)*(1+IF($E479="SI",'Parametri Modello'!$B$7*'Info Strategia'!$B$6,0)),0),"")</f>
        <v>1</v>
      </c>
      <c r="G479" s="27" t="n">
        <f aca="false">IFERROR(ROUND((IF(OR(INDEX('Parametri Modello'!$C$39:$C$42,MATCH($B479,'Parametri Modello'!$A$39:$A$42,0))="",INDEX('Parametri Modello'!$C$39:$C$42,MATCH($B479,'Parametri Modello'!$A$39:$A$42,0))=0),0,($O479/INDEX('Parametri Modello'!$C$39:$C$42,MATCH($B479,'Parametri Modello'!$A$39:$A$42,0)))*(INDEX('Parametri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0</v>
      </c>
      <c r="H479" s="27" t="n">
        <f aca="false">IFERROR(ROUND((IF(OR(INDEX('Parametri Modello'!$C$39:$C$42,MATCH($B479,'Parametri Modello'!$A$39:$A$42,0))="",INDEX('Parametri Modello'!$C$39:$C$42,MATCH($B479,'Parametri Modello'!$A$39:$A$42,0))=0),0,($O479/INDEX('Parametri Modello'!$C$39:$C$42,MATCH($B479,'Parametri Modello'!$A$39:$A$42,0)))*(INDEX('Parametri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I479" s="26" t="str">
        <f aca="false">IFERROR(INDEX('Input Statistiche 2025_26'!$F$3:$F$665,MATCH($A479,'Input Statistiche 2025_26'!$A$3:$A$665,0)),"")</f>
        <v/>
      </c>
      <c r="J479" s="26" t="str">
        <f aca="false">IFERROR(IF($I479="","",MAX(0,38-$I479)),"")</f>
        <v/>
      </c>
      <c r="K479" s="26" t="str">
        <f aca="false">IFERROR(INDEX('Input Statistiche 2025_26'!$I$3:$I$665,MATCH($A479,'Input Statistiche 2025_26'!$A$3:$A$665,0)),"")</f>
        <v/>
      </c>
      <c r="L479" s="26" t="str">
        <f aca="false">IFERROR(INDEX('Input Statistiche 2025_26'!$O$3:$O$665,MATCH($A479,'Input Statistiche 2025_26'!$A$3:$A$665,0)),"")</f>
        <v/>
      </c>
      <c r="M479" s="28"/>
      <c r="N479" s="27" t="n">
        <f aca="false">IFERROR(INDEX('Input Giocatori 2026_27'!$E$3:$E$493,MATCH($A479,'Input Giocatori 2026_27'!$A$3:$A$493,0)),"")</f>
        <v>1</v>
      </c>
      <c r="O479" s="27" t="n">
        <f aca="false">IFERROR(INDEX('Input Giocatori 2026_27'!$G$3:$G$493,MATCH($A479,'Input Giocatori 2026_27'!$A$3:$A$493,0)),"")</f>
        <v>1</v>
      </c>
      <c r="P479" s="26" t="str">
        <f aca="false">IFERROR(IF($O479="","",IF((1-(COUNTIFS($B$2:$B$492,$B479,$O$2:$O$492,"&gt;"&amp;$O479)+1-1)/COUNTIF($B$2:$B$492,$B479))&gt;=0.85,"Top",IF((1-(COUNTIFS($B$2:$B$492,$B479,$O$2:$O$492,"&gt;"&amp;$O479)+1-1)/COUNTIF($B$2:$B$492,$B479))&gt;=0.6,"Buono",IF((1-(COUNTIFS($B$2:$B$492,$B479,$O$2:$O$492,"&gt;"&amp;$O479)+1-1)/COUNTIF($B$2:$B$492,$B479))&gt;=0.3,"Nella Media","Scommessa/Riserva")))),"")</f>
        <v>Scommessa/Riserva</v>
      </c>
      <c r="Q479" s="29" t="n">
        <f aca="false">IF($D479="",COUNTIF($D$2:$D479,""),"")</f>
        <v>478</v>
      </c>
      <c r="R479" s="29" t="str">
        <f aca="false">IF($D479='Info Lega'!$B$28,COUNTIFS($D$2:$D479,'Info Lega'!$B$28),"")</f>
        <v/>
      </c>
      <c r="S479" s="30" t="str">
        <f aca="false">IFERROR(INDEX('Input Statistiche 2025_26'!$G$3:$G$665,MATCH($A479,'Input Statistiche 2025_26'!$A$3:$A$665,0)),"")</f>
        <v/>
      </c>
      <c r="T479" s="30" t="str">
        <f aca="false">IFERROR(INDEX('Input Statistiche 2025_26'!$H$3:$H$665,MATCH($A479,'Input Statistiche 2025_26'!$A$3:$A$665,0)),"")</f>
        <v/>
      </c>
      <c r="U479" s="26" t="str">
        <f aca="false">IF(OR('La Mia Rosa'!$O$12="",$D479&lt;&gt;""),"",IF($F479&lt;='La Mia Rosa'!$O$12*'Parametri Modello'!$B$24,"OK",IF($F479&lt;='La Mia Rosa'!$O$12*'Parametri Modello'!$B$25,"Attenzione","Rischio Alto")))</f>
        <v>OK</v>
      </c>
      <c r="V479" s="26" t="n">
        <f aca="false">IFERROR(COUNTIFS($B$2:$B$492,$B479,$O$2:$O$492,"&gt;"&amp;$O479)+1,"")</f>
        <v>168</v>
      </c>
      <c r="W479" s="21" t="n">
        <f aca="false">'Info Lega'!$B$4-SUMIFS($M$2:$M$492,$D$2:$D$492,'Info Lega'!$B$28)</f>
        <v>1000</v>
      </c>
      <c r="X479" s="21" t="n">
        <f aca="false">('Info Lega'!$B$5-COUNTIFS($D$2:$D$492,'Info Lega'!$B$28,$B$2:$B$492,"P"))+('Info Lega'!$B$6-COUNTIFS($D$2:$D$492,'Info Lega'!$B$28,$B$2:$B$492,"D"))+('Info Lega'!$B$7-COUNTIFS($D$2:$D$492,'Info Lega'!$B$28,$B$2:$B$492,"C"))+('Info Lega'!$B$8-COUNTIFS($D$2:$D$492,'Info Lega'!$B$28,$B$2:$B$492,"A"))</f>
        <v>25</v>
      </c>
      <c r="Y479" s="21" t="n">
        <f aca="false">X479*'Parametri Modello'!$B$30</f>
        <v>25</v>
      </c>
      <c r="Z479" s="21" t="n">
        <f aca="false">MAX(0,W479-Y479)</f>
        <v>975</v>
      </c>
      <c r="AA479" s="21" t="n">
        <f aca="false">MIN(F479,Z479)</f>
        <v>1</v>
      </c>
      <c r="AB479" s="21"/>
      <c r="AC479" s="21" t="str">
        <f aca="false">IF(AB479="","",IF(AB479&gt;AA479,"PASS",IF(AB479&lt;=AA479*0.85,"BID","ATTENZIONE")))</f>
        <v/>
      </c>
      <c r="AD479" s="31" t="str">
        <f aca="false">IF(I479="","",ROUND(100*(1-EXP(-I479/30)),0))</f>
        <v/>
      </c>
      <c r="AE479" s="7" t="str">
        <f aca="false">IFERROR(INDEX('Stato Asta'!$G$9:$G$12,MATCH($B479,'Stato Asta'!$A$9:$A$12,0)),"")</f>
        <v>🟡 Attesa rischiosa</v>
      </c>
    </row>
    <row r="480" customFormat="false" ht="14.25" hidden="false" customHeight="true" outlineLevel="0" collapsed="false">
      <c r="A480" s="21" t="n">
        <v>7164</v>
      </c>
      <c r="B480" s="21" t="s">
        <v>44</v>
      </c>
      <c r="C480" s="21" t="s">
        <v>352</v>
      </c>
      <c r="E480" s="26" t="str">
        <f aca="false">IF(COUNTIF('Info Strategia'!$D$2:$D$51,$C480)&gt;0,"SI","NO")</f>
        <v>NO</v>
      </c>
      <c r="F480" s="27" t="n">
        <f aca="false">IFERROR(ROUND(($G480+($H480-$G480)*'Info Strategia'!$B$6)*(1+IF($E480="SI",'Parametri Modello'!$B$7*'Info Strategia'!$B$6,0)),0),"")</f>
        <v>1</v>
      </c>
      <c r="G480" s="27" t="n">
        <f aca="false">IFERROR(ROUND((IF(OR(INDEX('Parametri Modello'!$C$39:$C$42,MATCH($B480,'Parametri Modello'!$A$39:$A$42,0))="",INDEX('Parametri Modello'!$C$39:$C$42,MATCH($B480,'Parametri Modello'!$A$39:$A$42,0))=0),0,($O480/INDEX('Parametri Modello'!$C$39:$C$42,MATCH($B480,'Parametri Modello'!$A$39:$A$42,0)))*(INDEX('Parametri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0</v>
      </c>
      <c r="H480" s="27" t="n">
        <f aca="false">IFERROR(ROUND((IF(OR(INDEX('Parametri Modello'!$C$39:$C$42,MATCH($B480,'Parametri Modello'!$A$39:$A$42,0))="",INDEX('Parametri Modello'!$C$39:$C$42,MATCH($B480,'Parametri Modello'!$A$39:$A$42,0))=0),0,($O480/INDEX('Parametri Modello'!$C$39:$C$42,MATCH($B480,'Parametri Modello'!$A$39:$A$42,0)))*(INDEX('Parametri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I480" s="26" t="n">
        <f aca="false">IFERROR(INDEX('Input Statistiche 2025_26'!$F$3:$F$665,MATCH($A480,'Input Statistiche 2025_26'!$A$3:$A$665,0)),"")</f>
        <v>1</v>
      </c>
      <c r="J480" s="26" t="n">
        <f aca="false">IFERROR(IF($I480="","",MAX(0,38-$I480)),"")</f>
        <v>37</v>
      </c>
      <c r="K480" s="26" t="n">
        <f aca="false">IFERROR(INDEX('Input Statistiche 2025_26'!$I$3:$I$665,MATCH($A480,'Input Statistiche 2025_26'!$A$3:$A$665,0)),"")</f>
        <v>0</v>
      </c>
      <c r="L480" s="26" t="n">
        <f aca="false">IFERROR(INDEX('Input Statistiche 2025_26'!$O$3:$O$665,MATCH($A480,'Input Statistiche 2025_26'!$A$3:$A$665,0)),"")</f>
        <v>0</v>
      </c>
      <c r="M480" s="28"/>
      <c r="N480" s="27" t="n">
        <f aca="false">IFERROR(INDEX('Input Giocatori 2026_27'!$E$3:$E$493,MATCH($A480,'Input Giocatori 2026_27'!$A$3:$A$493,0)),"")</f>
        <v>1</v>
      </c>
      <c r="O480" s="27" t="n">
        <f aca="false">IFERROR(INDEX('Input Giocatori 2026_27'!$G$3:$G$493,MATCH($A480,'Input Giocatori 2026_27'!$A$3:$A$493,0)),"")</f>
        <v>1</v>
      </c>
      <c r="P480" s="26" t="str">
        <f aca="false">IFERROR(IF($O480="","",IF((1-(COUNTIFS($B$2:$B$492,$B480,$O$2:$O$492,"&gt;"&amp;$O480)+1-1)/COUNTIF($B$2:$B$492,$B480))&gt;=0.85,"Top",IF((1-(COUNTIFS($B$2:$B$492,$B480,$O$2:$O$492,"&gt;"&amp;$O480)+1-1)/COUNTIF($B$2:$B$492,$B480))&gt;=0.6,"Buono",IF((1-(COUNTIFS($B$2:$B$492,$B480,$O$2:$O$492,"&gt;"&amp;$O480)+1-1)/COUNTIF($B$2:$B$492,$B480))&gt;=0.3,"Nella Media","Scommessa/Riserva")))),"")</f>
        <v>Scommessa/Riserva</v>
      </c>
      <c r="Q480" s="29" t="n">
        <f aca="false">IF($D480="",COUNTIF($D$2:$D480,""),"")</f>
        <v>479</v>
      </c>
      <c r="R480" s="29" t="str">
        <f aca="false">IF($D480='Info Lega'!$B$28,COUNTIFS($D$2:$D480,'Info Lega'!$B$28),"")</f>
        <v/>
      </c>
      <c r="S480" s="30" t="n">
        <f aca="false">IFERROR(INDEX('Input Statistiche 2025_26'!$G$3:$G$665,MATCH($A480,'Input Statistiche 2025_26'!$A$3:$A$665,0)),"")</f>
        <v>5</v>
      </c>
      <c r="T480" s="30" t="n">
        <f aca="false">IFERROR(INDEX('Input Statistiche 2025_26'!$H$3:$H$665,MATCH($A480,'Input Statistiche 2025_26'!$A$3:$A$665,0)),"")</f>
        <v>5</v>
      </c>
      <c r="U480" s="26" t="str">
        <f aca="false">IF(OR('La Mia Rosa'!$O$12="",$D480&lt;&gt;""),"",IF($F480&lt;='La Mia Rosa'!$O$12*'Parametri Modello'!$B$24,"OK",IF($F480&lt;='La Mia Rosa'!$O$12*'Parametri Modello'!$B$25,"Attenzione","Rischio Alto")))</f>
        <v>OK</v>
      </c>
      <c r="V480" s="26" t="n">
        <f aca="false">IFERROR(COUNTIFS($B$2:$B$492,$B480,$O$2:$O$492,"&gt;"&amp;$O480)+1,"")</f>
        <v>168</v>
      </c>
      <c r="W480" s="21" t="n">
        <f aca="false">'Info Lega'!$B$4-SUMIFS($M$2:$M$492,$D$2:$D$492,'Info Lega'!$B$28)</f>
        <v>1000</v>
      </c>
      <c r="X480" s="21" t="n">
        <f aca="false">('Info Lega'!$B$5-COUNTIFS($D$2:$D$492,'Info Lega'!$B$28,$B$2:$B$492,"P"))+('Info Lega'!$B$6-COUNTIFS($D$2:$D$492,'Info Lega'!$B$28,$B$2:$B$492,"D"))+('Info Lega'!$B$7-COUNTIFS($D$2:$D$492,'Info Lega'!$B$28,$B$2:$B$492,"C"))+('Info Lega'!$B$8-COUNTIFS($D$2:$D$492,'Info Lega'!$B$28,$B$2:$B$492,"A"))</f>
        <v>25</v>
      </c>
      <c r="Y480" s="21" t="n">
        <f aca="false">X480*'Parametri Modello'!$B$30</f>
        <v>25</v>
      </c>
      <c r="Z480" s="21" t="n">
        <f aca="false">MAX(0,W480-Y480)</f>
        <v>975</v>
      </c>
      <c r="AA480" s="21" t="n">
        <f aca="false">MIN(F480,Z480)</f>
        <v>1</v>
      </c>
      <c r="AB480" s="21"/>
      <c r="AC480" s="21" t="str">
        <f aca="false">IF(AB480="","",IF(AB480&gt;AA480,"PASS",IF(AB480&lt;=AA480*0.85,"BID","ATTENZIONE")))</f>
        <v/>
      </c>
      <c r="AD480" s="31" t="n">
        <f aca="false">IF(I480="","",ROUND(100*(1-EXP(-I480/30)),0))</f>
        <v>3</v>
      </c>
      <c r="AE480" s="7" t="str">
        <f aca="false">IFERROR(INDEX('Stato Asta'!$G$9:$G$12,MATCH($B480,'Stato Asta'!$A$9:$A$12,0)),"")</f>
        <v>🟡 Attesa rischiosa</v>
      </c>
    </row>
    <row r="481" customFormat="false" ht="14.25" hidden="false" customHeight="true" outlineLevel="0" collapsed="false">
      <c r="A481" s="21" t="n">
        <v>7156</v>
      </c>
      <c r="B481" s="21" t="s">
        <v>44</v>
      </c>
      <c r="C481" s="21" t="s">
        <v>362</v>
      </c>
      <c r="E481" s="26" t="str">
        <f aca="false">IF(COUNTIF('Info Strategia'!$D$2:$D$51,$C481)&gt;0,"SI","NO")</f>
        <v>NO</v>
      </c>
      <c r="F481" s="27" t="n">
        <f aca="false">IFERROR(ROUND(($G481+($H481-$G481)*'Info Strategia'!$B$6)*(1+IF($E481="SI",'Parametri Modello'!$B$7*'Info Strategia'!$B$6,0)),0),"")</f>
        <v>1</v>
      </c>
      <c r="G481" s="27" t="n">
        <f aca="false">IFERROR(ROUND((IF(OR(INDEX('Parametri Modello'!$C$39:$C$42,MATCH($B481,'Parametri Modello'!$A$39:$A$42,0))="",INDEX('Parametri Modello'!$C$39:$C$42,MATCH($B481,'Parametri Modello'!$A$39:$A$42,0))=0),0,($O481/INDEX('Parametri Modello'!$C$39:$C$42,MATCH($B481,'Parametri Modello'!$A$39:$A$42,0)))*(INDEX('Parametri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0</v>
      </c>
      <c r="H481" s="27" t="n">
        <f aca="false">IFERROR(ROUND((IF(OR(INDEX('Parametri Modello'!$C$39:$C$42,MATCH($B481,'Parametri Modello'!$A$39:$A$42,0))="",INDEX('Parametri Modello'!$C$39:$C$42,MATCH($B481,'Parametri Modello'!$A$39:$A$42,0))=0),0,($O481/INDEX('Parametri Modello'!$C$39:$C$42,MATCH($B481,'Parametri Modello'!$A$39:$A$42,0)))*(INDEX('Parametri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I481" s="26" t="n">
        <f aca="false">IFERROR(INDEX('Input Statistiche 2025_26'!$F$3:$F$665,MATCH($A481,'Input Statistiche 2025_26'!$A$3:$A$665,0)),"")</f>
        <v>0</v>
      </c>
      <c r="J481" s="26" t="n">
        <f aca="false">IFERROR(IF($I481="","",MAX(0,38-$I481)),"")</f>
        <v>38</v>
      </c>
      <c r="K481" s="26" t="n">
        <f aca="false">IFERROR(INDEX('Input Statistiche 2025_26'!$I$3:$I$665,MATCH($A481,'Input Statistiche 2025_26'!$A$3:$A$665,0)),"")</f>
        <v>0</v>
      </c>
      <c r="L481" s="26" t="n">
        <f aca="false">IFERROR(INDEX('Input Statistiche 2025_26'!$O$3:$O$665,MATCH($A481,'Input Statistiche 2025_26'!$A$3:$A$665,0)),"")</f>
        <v>0</v>
      </c>
      <c r="M481" s="28"/>
      <c r="N481" s="27" t="n">
        <f aca="false">IFERROR(INDEX('Input Giocatori 2026_27'!$E$3:$E$493,MATCH($A481,'Input Giocatori 2026_27'!$A$3:$A$493,0)),"")</f>
        <v>1</v>
      </c>
      <c r="O481" s="27" t="n">
        <f aca="false">IFERROR(INDEX('Input Giocatori 2026_27'!$G$3:$G$493,MATCH($A481,'Input Giocatori 2026_27'!$A$3:$A$493,0)),"")</f>
        <v>1</v>
      </c>
      <c r="P481" s="26" t="str">
        <f aca="false">IFERROR(IF($O481="","",IF((1-(COUNTIFS($B$2:$B$492,$B481,$O$2:$O$492,"&gt;"&amp;$O481)+1-1)/COUNTIF($B$2:$B$492,$B481))&gt;=0.85,"Top",IF((1-(COUNTIFS($B$2:$B$492,$B481,$O$2:$O$492,"&gt;"&amp;$O481)+1-1)/COUNTIF($B$2:$B$492,$B481))&gt;=0.6,"Buono",IF((1-(COUNTIFS($B$2:$B$492,$B481,$O$2:$O$492,"&gt;"&amp;$O481)+1-1)/COUNTIF($B$2:$B$492,$B481))&gt;=0.3,"Nella Media","Scommessa/Riserva")))),"")</f>
        <v>Scommessa/Riserva</v>
      </c>
      <c r="Q481" s="29" t="n">
        <f aca="false">IF($D481="",COUNTIF($D$2:$D481,""),"")</f>
        <v>480</v>
      </c>
      <c r="R481" s="29" t="str">
        <f aca="false">IF($D481='Info Lega'!$B$28,COUNTIFS($D$2:$D481,'Info Lega'!$B$28),"")</f>
        <v/>
      </c>
      <c r="S481" s="30" t="n">
        <f aca="false">IFERROR(INDEX('Input Statistiche 2025_26'!$G$3:$G$665,MATCH($A481,'Input Statistiche 2025_26'!$A$3:$A$665,0)),"")</f>
        <v>0</v>
      </c>
      <c r="T481" s="30" t="n">
        <f aca="false">IFERROR(INDEX('Input Statistiche 2025_26'!$H$3:$H$665,MATCH($A481,'Input Statistiche 2025_26'!$A$3:$A$665,0)),"")</f>
        <v>0</v>
      </c>
      <c r="U481" s="26" t="str">
        <f aca="false">IF(OR('La Mia Rosa'!$O$12="",$D481&lt;&gt;""),"",IF($F481&lt;='La Mia Rosa'!$O$12*'Parametri Modello'!$B$24,"OK",IF($F481&lt;='La Mia Rosa'!$O$12*'Parametri Modello'!$B$25,"Attenzione","Rischio Alto")))</f>
        <v>OK</v>
      </c>
      <c r="V481" s="26" t="n">
        <f aca="false">IFERROR(COUNTIFS($B$2:$B$492,$B481,$O$2:$O$492,"&gt;"&amp;$O481)+1,"")</f>
        <v>168</v>
      </c>
      <c r="W481" s="21" t="n">
        <f aca="false">'Info Lega'!$B$4-SUMIFS($M$2:$M$492,$D$2:$D$492,'Info Lega'!$B$28)</f>
        <v>1000</v>
      </c>
      <c r="X481" s="21" t="n">
        <f aca="false">('Info Lega'!$B$5-COUNTIFS($D$2:$D$492,'Info Lega'!$B$28,$B$2:$B$492,"P"))+('Info Lega'!$B$6-COUNTIFS($D$2:$D$492,'Info Lega'!$B$28,$B$2:$B$492,"D"))+('Info Lega'!$B$7-COUNTIFS($D$2:$D$492,'Info Lega'!$B$28,$B$2:$B$492,"C"))+('Info Lega'!$B$8-COUNTIFS($D$2:$D$492,'Info Lega'!$B$28,$B$2:$B$492,"A"))</f>
        <v>25</v>
      </c>
      <c r="Y481" s="21" t="n">
        <f aca="false">X481*'Parametri Modello'!$B$30</f>
        <v>25</v>
      </c>
      <c r="Z481" s="21" t="n">
        <f aca="false">MAX(0,W481-Y481)</f>
        <v>975</v>
      </c>
      <c r="AA481" s="21" t="n">
        <f aca="false">MIN(F481,Z481)</f>
        <v>1</v>
      </c>
      <c r="AB481" s="21"/>
      <c r="AC481" s="21" t="str">
        <f aca="false">IF(AB481="","",IF(AB481&gt;AA481,"PASS",IF(AB481&lt;=AA481*0.85,"BID","ATTENZIONE")))</f>
        <v/>
      </c>
      <c r="AD481" s="31" t="n">
        <f aca="false">IF(I481="","",ROUND(100*(1-EXP(-I481/30)),0))</f>
        <v>0</v>
      </c>
      <c r="AE481" s="7" t="str">
        <f aca="false">IFERROR(INDEX('Stato Asta'!$G$9:$G$12,MATCH($B481,'Stato Asta'!$A$9:$A$12,0)),"")</f>
        <v>🟡 Attesa rischiosa</v>
      </c>
    </row>
    <row r="482" customFormat="false" ht="14.25" hidden="false" customHeight="true" outlineLevel="0" collapsed="false">
      <c r="A482" s="21" t="n">
        <v>7454</v>
      </c>
      <c r="B482" s="21" t="s">
        <v>44</v>
      </c>
      <c r="C482" s="21" t="s">
        <v>365</v>
      </c>
      <c r="E482" s="26" t="str">
        <f aca="false">IF(COUNTIF('Info Strategia'!$D$2:$D$51,$C482)&gt;0,"SI","NO")</f>
        <v>NO</v>
      </c>
      <c r="F482" s="27" t="n">
        <f aca="false">IFERROR(ROUND(($G482+($H482-$G482)*'Info Strategia'!$B$6)*(1+IF($E482="SI",'Parametri Modello'!$B$7*'Info Strategia'!$B$6,0)),0),"")</f>
        <v>1</v>
      </c>
      <c r="G482" s="27" t="n">
        <f aca="false">IFERROR(ROUND((IF(OR(INDEX('Parametri Modello'!$C$39:$C$42,MATCH($B482,'Parametri Modello'!$A$39:$A$42,0))="",INDEX('Parametri Modello'!$C$39:$C$42,MATCH($B482,'Parametri Modello'!$A$39:$A$42,0))=0),0,($O482/INDEX('Parametri Modello'!$C$39:$C$42,MATCH($B482,'Parametri Modello'!$A$39:$A$42,0)))*(INDEX('Parametri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0</v>
      </c>
      <c r="H482" s="27" t="n">
        <f aca="false">IFERROR(ROUND((IF(OR(INDEX('Parametri Modello'!$C$39:$C$42,MATCH($B482,'Parametri Modello'!$A$39:$A$42,0))="",INDEX('Parametri Modello'!$C$39:$C$42,MATCH($B482,'Parametri Modello'!$A$39:$A$42,0))=0),0,($O482/INDEX('Parametri Modello'!$C$39:$C$42,MATCH($B482,'Parametri Modello'!$A$39:$A$42,0)))*(INDEX('Parametri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I482" s="26" t="str">
        <f aca="false">IFERROR(INDEX('Input Statistiche 2025_26'!$F$3:$F$665,MATCH($A482,'Input Statistiche 2025_26'!$A$3:$A$665,0)),"")</f>
        <v/>
      </c>
      <c r="J482" s="26" t="str">
        <f aca="false">IFERROR(IF($I482="","",MAX(0,38-$I482)),"")</f>
        <v/>
      </c>
      <c r="K482" s="26" t="str">
        <f aca="false">IFERROR(INDEX('Input Statistiche 2025_26'!$I$3:$I$665,MATCH($A482,'Input Statistiche 2025_26'!$A$3:$A$665,0)),"")</f>
        <v/>
      </c>
      <c r="L482" s="26" t="str">
        <f aca="false">IFERROR(INDEX('Input Statistiche 2025_26'!$O$3:$O$665,MATCH($A482,'Input Statistiche 2025_26'!$A$3:$A$665,0)),"")</f>
        <v/>
      </c>
      <c r="M482" s="28"/>
      <c r="N482" s="27" t="n">
        <f aca="false">IFERROR(INDEX('Input Giocatori 2026_27'!$E$3:$E$493,MATCH($A482,'Input Giocatori 2026_27'!$A$3:$A$493,0)),"")</f>
        <v>1</v>
      </c>
      <c r="O482" s="27" t="n">
        <f aca="false">IFERROR(INDEX('Input Giocatori 2026_27'!$G$3:$G$493,MATCH($A482,'Input Giocatori 2026_27'!$A$3:$A$493,0)),"")</f>
        <v>1</v>
      </c>
      <c r="P482" s="26" t="str">
        <f aca="false">IFERROR(IF($O482="","",IF((1-(COUNTIFS($B$2:$B$492,$B482,$O$2:$O$492,"&gt;"&amp;$O482)+1-1)/COUNTIF($B$2:$B$492,$B482))&gt;=0.85,"Top",IF((1-(COUNTIFS($B$2:$B$492,$B482,$O$2:$O$492,"&gt;"&amp;$O482)+1-1)/COUNTIF($B$2:$B$492,$B482))&gt;=0.6,"Buono",IF((1-(COUNTIFS($B$2:$B$492,$B482,$O$2:$O$492,"&gt;"&amp;$O482)+1-1)/COUNTIF($B$2:$B$492,$B482))&gt;=0.3,"Nella Media","Scommessa/Riserva")))),"")</f>
        <v>Scommessa/Riserva</v>
      </c>
      <c r="Q482" s="29" t="n">
        <f aca="false">IF($D482="",COUNTIF($D$2:$D482,""),"")</f>
        <v>481</v>
      </c>
      <c r="R482" s="29" t="str">
        <f aca="false">IF($D482='Info Lega'!$B$28,COUNTIFS($D$2:$D482,'Info Lega'!$B$28),"")</f>
        <v/>
      </c>
      <c r="S482" s="30" t="str">
        <f aca="false">IFERROR(INDEX('Input Statistiche 2025_26'!$G$3:$G$665,MATCH($A482,'Input Statistiche 2025_26'!$A$3:$A$665,0)),"")</f>
        <v/>
      </c>
      <c r="T482" s="30" t="str">
        <f aca="false">IFERROR(INDEX('Input Statistiche 2025_26'!$H$3:$H$665,MATCH($A482,'Input Statistiche 2025_26'!$A$3:$A$665,0)),"")</f>
        <v/>
      </c>
      <c r="U482" s="26" t="str">
        <f aca="false">IF(OR('La Mia Rosa'!$O$12="",$D482&lt;&gt;""),"",IF($F482&lt;='La Mia Rosa'!$O$12*'Parametri Modello'!$B$24,"OK",IF($F482&lt;='La Mia Rosa'!$O$12*'Parametri Modello'!$B$25,"Attenzione","Rischio Alto")))</f>
        <v>OK</v>
      </c>
      <c r="V482" s="26" t="n">
        <f aca="false">IFERROR(COUNTIFS($B$2:$B$492,$B482,$O$2:$O$492,"&gt;"&amp;$O482)+1,"")</f>
        <v>168</v>
      </c>
      <c r="W482" s="21" t="n">
        <f aca="false">'Info Lega'!$B$4-SUMIFS($M$2:$M$492,$D$2:$D$492,'Info Lega'!$B$28)</f>
        <v>1000</v>
      </c>
      <c r="X482" s="21" t="n">
        <f aca="false">('Info Lega'!$B$5-COUNTIFS($D$2:$D$492,'Info Lega'!$B$28,$B$2:$B$492,"P"))+('Info Lega'!$B$6-COUNTIFS($D$2:$D$492,'Info Lega'!$B$28,$B$2:$B$492,"D"))+('Info Lega'!$B$7-COUNTIFS($D$2:$D$492,'Info Lega'!$B$28,$B$2:$B$492,"C"))+('Info Lega'!$B$8-COUNTIFS($D$2:$D$492,'Info Lega'!$B$28,$B$2:$B$492,"A"))</f>
        <v>25</v>
      </c>
      <c r="Y482" s="21" t="n">
        <f aca="false">X482*'Parametri Modello'!$B$30</f>
        <v>25</v>
      </c>
      <c r="Z482" s="21" t="n">
        <f aca="false">MAX(0,W482-Y482)</f>
        <v>975</v>
      </c>
      <c r="AA482" s="21" t="n">
        <f aca="false">MIN(F482,Z482)</f>
        <v>1</v>
      </c>
      <c r="AB482" s="21"/>
      <c r="AC482" s="21" t="str">
        <f aca="false">IF(AB482="","",IF(AB482&gt;AA482,"PASS",IF(AB482&lt;=AA482*0.85,"BID","ATTENZIONE")))</f>
        <v/>
      </c>
      <c r="AD482" s="31" t="str">
        <f aca="false">IF(I482="","",ROUND(100*(1-EXP(-I482/30)),0))</f>
        <v/>
      </c>
      <c r="AE482" s="7" t="str">
        <f aca="false">IFERROR(INDEX('Stato Asta'!$G$9:$G$12,MATCH($B482,'Stato Asta'!$A$9:$A$12,0)),"")</f>
        <v>🟡 Attesa rischiosa</v>
      </c>
    </row>
    <row r="483" customFormat="false" ht="14.25" hidden="false" customHeight="true" outlineLevel="0" collapsed="false">
      <c r="A483" s="21" t="n">
        <v>7165</v>
      </c>
      <c r="B483" s="21" t="s">
        <v>45</v>
      </c>
      <c r="C483" s="21" t="s">
        <v>521</v>
      </c>
      <c r="E483" s="26" t="str">
        <f aca="false">IF(COUNTIF('Info Strategia'!$D$2:$D$51,$C483)&gt;0,"SI","NO")</f>
        <v>NO</v>
      </c>
      <c r="F483" s="27" t="n">
        <f aca="false">IFERROR(ROUND(($G483+($H483-$G483)*'Info Strategia'!$B$6)*(1+IF($E483="SI",'Parametri Modello'!$B$7*'Info Strategia'!$B$6,0)),0),"")</f>
        <v>1</v>
      </c>
      <c r="G483" s="27" t="n">
        <f aca="false">IFERROR(ROUND((IF(OR(INDEX('Parametri Modello'!$C$39:$C$42,MATCH($B483,'Parametri Modello'!$A$39:$A$42,0))="",INDEX('Parametri Modello'!$C$39:$C$42,MATCH($B483,'Parametri Modello'!$A$39:$A$42,0))=0),0,($O483/INDEX('Parametri Modello'!$C$39:$C$42,MATCH($B483,'Parametri Modello'!$A$39:$A$42,0)))*(INDEX('Parametri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0</v>
      </c>
      <c r="H483" s="27" t="n">
        <f aca="false">IFERROR(ROUND((IF(OR(INDEX('Parametri Modello'!$C$39:$C$42,MATCH($B483,'Parametri Modello'!$A$39:$A$42,0))="",INDEX('Parametri Modello'!$C$39:$C$42,MATCH($B483,'Parametri Modello'!$A$39:$A$42,0))=0),0,($O483/INDEX('Parametri Modello'!$C$39:$C$42,MATCH($B483,'Parametri Modello'!$A$39:$A$42,0)))*(INDEX('Parametri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1</v>
      </c>
      <c r="I483" s="26" t="n">
        <f aca="false">IFERROR(INDEX('Input Statistiche 2025_26'!$F$3:$F$665,MATCH($A483,'Input Statistiche 2025_26'!$A$3:$A$665,0)),"")</f>
        <v>4</v>
      </c>
      <c r="J483" s="26" t="n">
        <f aca="false">IFERROR(IF($I483="","",MAX(0,38-$I483)),"")</f>
        <v>34</v>
      </c>
      <c r="K483" s="26" t="n">
        <f aca="false">IFERROR(INDEX('Input Statistiche 2025_26'!$I$3:$I$665,MATCH($A483,'Input Statistiche 2025_26'!$A$3:$A$665,0)),"")</f>
        <v>0</v>
      </c>
      <c r="L483" s="26" t="n">
        <f aca="false">IFERROR(INDEX('Input Statistiche 2025_26'!$O$3:$O$665,MATCH($A483,'Input Statistiche 2025_26'!$A$3:$A$665,0)),"")</f>
        <v>0</v>
      </c>
      <c r="M483" s="28"/>
      <c r="N483" s="27" t="n">
        <f aca="false">IFERROR(INDEX('Input Giocatori 2026_27'!$E$3:$E$493,MATCH($A483,'Input Giocatori 2026_27'!$A$3:$A$493,0)),"")</f>
        <v>1</v>
      </c>
      <c r="O483" s="27" t="n">
        <f aca="false">IFERROR(INDEX('Input Giocatori 2026_27'!$G$3:$G$493,MATCH($A483,'Input Giocatori 2026_27'!$A$3:$A$493,0)),"")</f>
        <v>1</v>
      </c>
      <c r="P483" s="26" t="str">
        <f aca="false">IFERROR(IF($O483="","",IF((1-(COUNTIFS($B$2:$B$492,$B483,$O$2:$O$492,"&gt;"&amp;$O483)+1-1)/COUNTIF($B$2:$B$492,$B483))&gt;=0.85,"Top",IF((1-(COUNTIFS($B$2:$B$492,$B483,$O$2:$O$492,"&gt;"&amp;$O483)+1-1)/COUNTIF($B$2:$B$492,$B483))&gt;=0.6,"Buono",IF((1-(COUNTIFS($B$2:$B$492,$B483,$O$2:$O$492,"&gt;"&amp;$O483)+1-1)/COUNTIF($B$2:$B$492,$B483))&gt;=0.3,"Nella Media","Scommessa/Riserva")))),"")</f>
        <v>Scommessa/Riserva</v>
      </c>
      <c r="Q483" s="29" t="n">
        <f aca="false">IF($D483="",COUNTIF($D$2:$D483,""),"")</f>
        <v>482</v>
      </c>
      <c r="R483" s="29" t="str">
        <f aca="false">IF($D483='Info Lega'!$B$28,COUNTIFS($D$2:$D483,'Info Lega'!$B$28),"")</f>
        <v/>
      </c>
      <c r="S483" s="30" t="n">
        <f aca="false">IFERROR(INDEX('Input Statistiche 2025_26'!$G$3:$G$665,MATCH($A483,'Input Statistiche 2025_26'!$A$3:$A$665,0)),"")</f>
        <v>5.75</v>
      </c>
      <c r="T483" s="30" t="n">
        <f aca="false">IFERROR(INDEX('Input Statistiche 2025_26'!$H$3:$H$665,MATCH($A483,'Input Statistiche 2025_26'!$A$3:$A$665,0)),"")</f>
        <v>5.75</v>
      </c>
      <c r="U483" s="26" t="str">
        <f aca="false">IF(OR('La Mia Rosa'!$O$12="",$D483&lt;&gt;""),"",IF($F483&lt;='La Mia Rosa'!$O$12*'Parametri Modello'!$B$24,"OK",IF($F483&lt;='La Mia Rosa'!$O$12*'Parametri Modello'!$B$25,"Attenzione","Rischio Alto")))</f>
        <v>OK</v>
      </c>
      <c r="V483" s="26" t="n">
        <f aca="false">IFERROR(COUNTIFS($B$2:$B$492,$B483,$O$2:$O$492,"&gt;"&amp;$O483)+1,"")</f>
        <v>168</v>
      </c>
      <c r="W483" s="21" t="n">
        <f aca="false">'Info Lega'!$B$4-SUMIFS($M$2:$M$492,$D$2:$D$492,'Info Lega'!$B$28)</f>
        <v>1000</v>
      </c>
      <c r="X483" s="21" t="n">
        <f aca="false">('Info Lega'!$B$5-COUNTIFS($D$2:$D$492,'Info Lega'!$B$28,$B$2:$B$492,"P"))+('Info Lega'!$B$6-COUNTIFS($D$2:$D$492,'Info Lega'!$B$28,$B$2:$B$492,"D"))+('Info Lega'!$B$7-COUNTIFS($D$2:$D$492,'Info Lega'!$B$28,$B$2:$B$492,"C"))+('Info Lega'!$B$8-COUNTIFS($D$2:$D$492,'Info Lega'!$B$28,$B$2:$B$492,"A"))</f>
        <v>25</v>
      </c>
      <c r="Y483" s="21" t="n">
        <f aca="false">X483*'Parametri Modello'!$B$30</f>
        <v>25</v>
      </c>
      <c r="Z483" s="21" t="n">
        <f aca="false">MAX(0,W483-Y483)</f>
        <v>975</v>
      </c>
      <c r="AA483" s="21" t="n">
        <f aca="false">MIN(F483,Z483)</f>
        <v>1</v>
      </c>
      <c r="AB483" s="21"/>
      <c r="AC483" s="21" t="str">
        <f aca="false">IF(AB483="","",IF(AB483&gt;AA483,"PASS",IF(AB483&lt;=AA483*0.85,"BID","ATTENZIONE")))</f>
        <v/>
      </c>
      <c r="AD483" s="31" t="n">
        <f aca="false">IF(I483="","",ROUND(100*(1-EXP(-I483/30)),0))</f>
        <v>12</v>
      </c>
      <c r="AE483" s="7" t="str">
        <f aca="false">IFERROR(INDEX('Stato Asta'!$G$9:$G$12,MATCH($B483,'Stato Asta'!$A$9:$A$12,0)),"")</f>
        <v>🟡 Attesa rischiosa</v>
      </c>
    </row>
    <row r="484" customFormat="false" ht="14.25" hidden="false" customHeight="true" outlineLevel="0" collapsed="false">
      <c r="A484" s="21" t="n">
        <v>7357</v>
      </c>
      <c r="B484" s="21" t="s">
        <v>45</v>
      </c>
      <c r="C484" s="21" t="s">
        <v>522</v>
      </c>
      <c r="E484" s="26" t="str">
        <f aca="false">IF(COUNTIF('Info Strategia'!$D$2:$D$51,$C484)&gt;0,"SI","NO")</f>
        <v>NO</v>
      </c>
      <c r="F484" s="27" t="n">
        <f aca="false">IFERROR(ROUND(($G484+($H484-$G484)*'Info Strategia'!$B$6)*(1+IF($E484="SI",'Parametri Modello'!$B$7*'Info Strategia'!$B$6,0)),0),"")</f>
        <v>1</v>
      </c>
      <c r="G484" s="27" t="n">
        <f aca="false">IFERROR(ROUND((IF(OR(INDEX('Parametri Modello'!$C$39:$C$42,MATCH($B484,'Parametri Modello'!$A$39:$A$42,0))="",INDEX('Parametri Modello'!$C$39:$C$42,MATCH($B484,'Parametri Modello'!$A$39:$A$42,0))=0),0,($O484/INDEX('Parametri Modello'!$C$39:$C$42,MATCH($B484,'Parametri Modello'!$A$39:$A$42,0)))*(INDEX('Parametri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0</v>
      </c>
      <c r="H484" s="27" t="n">
        <f aca="false">IFERROR(ROUND((IF(OR(INDEX('Parametri Modello'!$C$39:$C$42,MATCH($B484,'Parametri Modello'!$A$39:$A$42,0))="",INDEX('Parametri Modello'!$C$39:$C$42,MATCH($B484,'Parametri Modello'!$A$39:$A$42,0))=0),0,($O484/INDEX('Parametri Modello'!$C$39:$C$42,MATCH($B484,'Parametri Modello'!$A$39:$A$42,0)))*(INDEX('Parametri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1</v>
      </c>
      <c r="I484" s="26" t="n">
        <f aca="false">IFERROR(INDEX('Input Statistiche 2025_26'!$F$3:$F$665,MATCH($A484,'Input Statistiche 2025_26'!$A$3:$A$665,0)),"")</f>
        <v>0</v>
      </c>
      <c r="J484" s="26" t="n">
        <f aca="false">IFERROR(IF($I484="","",MAX(0,38-$I484)),"")</f>
        <v>38</v>
      </c>
      <c r="K484" s="26" t="n">
        <f aca="false">IFERROR(INDEX('Input Statistiche 2025_26'!$I$3:$I$665,MATCH($A484,'Input Statistiche 2025_26'!$A$3:$A$665,0)),"")</f>
        <v>0</v>
      </c>
      <c r="L484" s="26" t="n">
        <f aca="false">IFERROR(INDEX('Input Statistiche 2025_26'!$O$3:$O$665,MATCH($A484,'Input Statistiche 2025_26'!$A$3:$A$665,0)),"")</f>
        <v>0</v>
      </c>
      <c r="M484" s="28"/>
      <c r="N484" s="27" t="n">
        <f aca="false">IFERROR(INDEX('Input Giocatori 2026_27'!$E$3:$E$493,MATCH($A484,'Input Giocatori 2026_27'!$A$3:$A$493,0)),"")</f>
        <v>1</v>
      </c>
      <c r="O484" s="27" t="n">
        <f aca="false">IFERROR(INDEX('Input Giocatori 2026_27'!$G$3:$G$493,MATCH($A484,'Input Giocatori 2026_27'!$A$3:$A$493,0)),"")</f>
        <v>1</v>
      </c>
      <c r="P484" s="26" t="str">
        <f aca="false">IFERROR(IF($O484="","",IF((1-(COUNTIFS($B$2:$B$492,$B484,$O$2:$O$492,"&gt;"&amp;$O484)+1-1)/COUNTIF($B$2:$B$492,$B484))&gt;=0.85,"Top",IF((1-(COUNTIFS($B$2:$B$492,$B484,$O$2:$O$492,"&gt;"&amp;$O484)+1-1)/COUNTIF($B$2:$B$492,$B484))&gt;=0.6,"Buono",IF((1-(COUNTIFS($B$2:$B$492,$B484,$O$2:$O$492,"&gt;"&amp;$O484)+1-1)/COUNTIF($B$2:$B$492,$B484))&gt;=0.3,"Nella Media","Scommessa/Riserva")))),"")</f>
        <v>Scommessa/Riserva</v>
      </c>
      <c r="Q484" s="29" t="n">
        <f aca="false">IF($D484="",COUNTIF($D$2:$D484,""),"")</f>
        <v>483</v>
      </c>
      <c r="R484" s="29" t="str">
        <f aca="false">IF($D484='Info Lega'!$B$28,COUNTIFS($D$2:$D484,'Info Lega'!$B$28),"")</f>
        <v/>
      </c>
      <c r="S484" s="30" t="n">
        <f aca="false">IFERROR(INDEX('Input Statistiche 2025_26'!$G$3:$G$665,MATCH($A484,'Input Statistiche 2025_26'!$A$3:$A$665,0)),"")</f>
        <v>0</v>
      </c>
      <c r="T484" s="30" t="n">
        <f aca="false">IFERROR(INDEX('Input Statistiche 2025_26'!$H$3:$H$665,MATCH($A484,'Input Statistiche 2025_26'!$A$3:$A$665,0)),"")</f>
        <v>0</v>
      </c>
      <c r="U484" s="26" t="str">
        <f aca="false">IF(OR('La Mia Rosa'!$O$12="",$D484&lt;&gt;""),"",IF($F484&lt;='La Mia Rosa'!$O$12*'Parametri Modello'!$B$24,"OK",IF($F484&lt;='La Mia Rosa'!$O$12*'Parametri Modello'!$B$25,"Attenzione","Rischio Alto")))</f>
        <v>OK</v>
      </c>
      <c r="V484" s="26" t="n">
        <f aca="false">IFERROR(COUNTIFS($B$2:$B$492,$B484,$O$2:$O$492,"&gt;"&amp;$O484)+1,"")</f>
        <v>168</v>
      </c>
      <c r="W484" s="21" t="n">
        <f aca="false">'Info Lega'!$B$4-SUMIFS($M$2:$M$492,$D$2:$D$492,'Info Lega'!$B$28)</f>
        <v>1000</v>
      </c>
      <c r="X484" s="21" t="n">
        <f aca="false">('Info Lega'!$B$5-COUNTIFS($D$2:$D$492,'Info Lega'!$B$28,$B$2:$B$492,"P"))+('Info Lega'!$B$6-COUNTIFS($D$2:$D$492,'Info Lega'!$B$28,$B$2:$B$492,"D"))+('Info Lega'!$B$7-COUNTIFS($D$2:$D$492,'Info Lega'!$B$28,$B$2:$B$492,"C"))+('Info Lega'!$B$8-COUNTIFS($D$2:$D$492,'Info Lega'!$B$28,$B$2:$B$492,"A"))</f>
        <v>25</v>
      </c>
      <c r="Y484" s="21" t="n">
        <f aca="false">X484*'Parametri Modello'!$B$30</f>
        <v>25</v>
      </c>
      <c r="Z484" s="21" t="n">
        <f aca="false">MAX(0,W484-Y484)</f>
        <v>975</v>
      </c>
      <c r="AA484" s="21" t="n">
        <f aca="false">MIN(F484,Z484)</f>
        <v>1</v>
      </c>
      <c r="AB484" s="21"/>
      <c r="AC484" s="21" t="str">
        <f aca="false">IF(AB484="","",IF(AB484&gt;AA484,"PASS",IF(AB484&lt;=AA484*0.85,"BID","ATTENZIONE")))</f>
        <v/>
      </c>
      <c r="AD484" s="31" t="n">
        <f aca="false">IF(I484="","",ROUND(100*(1-EXP(-I484/30)),0))</f>
        <v>0</v>
      </c>
      <c r="AE484" s="7" t="str">
        <f aca="false">IFERROR(INDEX('Stato Asta'!$G$9:$G$12,MATCH($B484,'Stato Asta'!$A$9:$A$12,0)),"")</f>
        <v>🟡 Attesa rischiosa</v>
      </c>
    </row>
    <row r="485" customFormat="false" ht="14.25" hidden="false" customHeight="true" outlineLevel="0" collapsed="false">
      <c r="A485" s="21" t="n">
        <v>7319</v>
      </c>
      <c r="B485" s="21" t="s">
        <v>45</v>
      </c>
      <c r="C485" s="21" t="s">
        <v>529</v>
      </c>
      <c r="E485" s="26" t="str">
        <f aca="false">IF(COUNTIF('Info Strategia'!$D$2:$D$51,$C485)&gt;0,"SI","NO")</f>
        <v>NO</v>
      </c>
      <c r="F485" s="27" t="n">
        <f aca="false">IFERROR(ROUND(($G485+($H485-$G485)*'Info Strategia'!$B$6)*(1+IF($E485="SI",'Parametri Modello'!$B$7*'Info Strategia'!$B$6,0)),0),"")</f>
        <v>1</v>
      </c>
      <c r="G485" s="27" t="n">
        <f aca="false">IFERROR(ROUND((IF(OR(INDEX('Parametri Modello'!$C$39:$C$42,MATCH($B485,'Parametri Modello'!$A$39:$A$42,0))="",INDEX('Parametri Modello'!$C$39:$C$42,MATCH($B485,'Parametri Modello'!$A$39:$A$42,0))=0),0,($O485/INDEX('Parametri Modello'!$C$39:$C$42,MATCH($B485,'Parametri Modello'!$A$39:$A$42,0)))*(INDEX('Parametri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0</v>
      </c>
      <c r="H485" s="27" t="n">
        <f aca="false">IFERROR(ROUND((IF(OR(INDEX('Parametri Modello'!$C$39:$C$42,MATCH($B485,'Parametri Modello'!$A$39:$A$42,0))="",INDEX('Parametri Modello'!$C$39:$C$42,MATCH($B485,'Parametri Modello'!$A$39:$A$42,0))=0),0,($O485/INDEX('Parametri Modello'!$C$39:$C$42,MATCH($B485,'Parametri Modello'!$A$39:$A$42,0)))*(INDEX('Parametri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1</v>
      </c>
      <c r="I485" s="26" t="n">
        <f aca="false">IFERROR(INDEX('Input Statistiche 2025_26'!$F$3:$F$665,MATCH($A485,'Input Statistiche 2025_26'!$A$3:$A$665,0)),"")</f>
        <v>2</v>
      </c>
      <c r="J485" s="26" t="n">
        <f aca="false">IFERROR(IF($I485="","",MAX(0,38-$I485)),"")</f>
        <v>36</v>
      </c>
      <c r="K485" s="26" t="n">
        <f aca="false">IFERROR(INDEX('Input Statistiche 2025_26'!$I$3:$I$665,MATCH($A485,'Input Statistiche 2025_26'!$A$3:$A$665,0)),"")</f>
        <v>0</v>
      </c>
      <c r="L485" s="26" t="n">
        <f aca="false">IFERROR(INDEX('Input Statistiche 2025_26'!$O$3:$O$665,MATCH($A485,'Input Statistiche 2025_26'!$A$3:$A$665,0)),"")</f>
        <v>0</v>
      </c>
      <c r="M485" s="28"/>
      <c r="N485" s="27" t="n">
        <f aca="false">IFERROR(INDEX('Input Giocatori 2026_27'!$E$3:$E$493,MATCH($A485,'Input Giocatori 2026_27'!$A$3:$A$493,0)),"")</f>
        <v>1</v>
      </c>
      <c r="O485" s="27" t="n">
        <f aca="false">IFERROR(INDEX('Input Giocatori 2026_27'!$G$3:$G$493,MATCH($A485,'Input Giocatori 2026_27'!$A$3:$A$493,0)),"")</f>
        <v>1</v>
      </c>
      <c r="P485" s="26" t="str">
        <f aca="false">IFERROR(IF($O485="","",IF((1-(COUNTIFS($B$2:$B$492,$B485,$O$2:$O$492,"&gt;"&amp;$O485)+1-1)/COUNTIF($B$2:$B$492,$B485))&gt;=0.85,"Top",IF((1-(COUNTIFS($B$2:$B$492,$B485,$O$2:$O$492,"&gt;"&amp;$O485)+1-1)/COUNTIF($B$2:$B$492,$B485))&gt;=0.6,"Buono",IF((1-(COUNTIFS($B$2:$B$492,$B485,$O$2:$O$492,"&gt;"&amp;$O485)+1-1)/COUNTIF($B$2:$B$492,$B485))&gt;=0.3,"Nella Media","Scommessa/Riserva")))),"")</f>
        <v>Scommessa/Riserva</v>
      </c>
      <c r="Q485" s="29" t="n">
        <f aca="false">IF($D485="",COUNTIF($D$2:$D485,""),"")</f>
        <v>484</v>
      </c>
      <c r="R485" s="29" t="str">
        <f aca="false">IF($D485='Info Lega'!$B$28,COUNTIFS($D$2:$D485,'Info Lega'!$B$28),"")</f>
        <v/>
      </c>
      <c r="S485" s="30" t="n">
        <f aca="false">IFERROR(INDEX('Input Statistiche 2025_26'!$G$3:$G$665,MATCH($A485,'Input Statistiche 2025_26'!$A$3:$A$665,0)),"")</f>
        <v>5.5</v>
      </c>
      <c r="T485" s="30" t="n">
        <f aca="false">IFERROR(INDEX('Input Statistiche 2025_26'!$H$3:$H$665,MATCH($A485,'Input Statistiche 2025_26'!$A$3:$A$665,0)),"")</f>
        <v>5.5</v>
      </c>
      <c r="U485" s="26" t="str">
        <f aca="false">IF(OR('La Mia Rosa'!$O$12="",$D485&lt;&gt;""),"",IF($F485&lt;='La Mia Rosa'!$O$12*'Parametri Modello'!$B$24,"OK",IF($F485&lt;='La Mia Rosa'!$O$12*'Parametri Modello'!$B$25,"Attenzione","Rischio Alto")))</f>
        <v>OK</v>
      </c>
      <c r="V485" s="26" t="n">
        <f aca="false">IFERROR(COUNTIFS($B$2:$B$492,$B485,$O$2:$O$492,"&gt;"&amp;$O485)+1,"")</f>
        <v>168</v>
      </c>
      <c r="W485" s="21" t="n">
        <f aca="false">'Info Lega'!$B$4-SUMIFS($M$2:$M$492,$D$2:$D$492,'Info Lega'!$B$28)</f>
        <v>1000</v>
      </c>
      <c r="X485" s="21" t="n">
        <f aca="false">('Info Lega'!$B$5-COUNTIFS($D$2:$D$492,'Info Lega'!$B$28,$B$2:$B$492,"P"))+('Info Lega'!$B$6-COUNTIFS($D$2:$D$492,'Info Lega'!$B$28,$B$2:$B$492,"D"))+('Info Lega'!$B$7-COUNTIFS($D$2:$D$492,'Info Lega'!$B$28,$B$2:$B$492,"C"))+('Info Lega'!$B$8-COUNTIFS($D$2:$D$492,'Info Lega'!$B$28,$B$2:$B$492,"A"))</f>
        <v>25</v>
      </c>
      <c r="Y485" s="21" t="n">
        <f aca="false">X485*'Parametri Modello'!$B$30</f>
        <v>25</v>
      </c>
      <c r="Z485" s="21" t="n">
        <f aca="false">MAX(0,W485-Y485)</f>
        <v>975</v>
      </c>
      <c r="AA485" s="21" t="n">
        <f aca="false">MIN(F485,Z485)</f>
        <v>1</v>
      </c>
      <c r="AB485" s="21"/>
      <c r="AC485" s="21" t="str">
        <f aca="false">IF(AB485="","",IF(AB485&gt;AA485,"PASS",IF(AB485&lt;=AA485*0.85,"BID","ATTENZIONE")))</f>
        <v/>
      </c>
      <c r="AD485" s="31" t="n">
        <f aca="false">IF(I485="","",ROUND(100*(1-EXP(-I485/30)),0))</f>
        <v>6</v>
      </c>
      <c r="AE485" s="7" t="str">
        <f aca="false">IFERROR(INDEX('Stato Asta'!$G$9:$G$12,MATCH($B485,'Stato Asta'!$A$9:$A$12,0)),"")</f>
        <v>🟡 Attesa rischiosa</v>
      </c>
    </row>
    <row r="486" customFormat="false" ht="14.25" hidden="false" customHeight="true" outlineLevel="0" collapsed="false">
      <c r="A486" s="21" t="n">
        <v>7157</v>
      </c>
      <c r="B486" s="21" t="s">
        <v>45</v>
      </c>
      <c r="C486" s="21" t="s">
        <v>531</v>
      </c>
      <c r="E486" s="26" t="str">
        <f aca="false">IF(COUNTIF('Info Strategia'!$D$2:$D$51,$C486)&gt;0,"SI","NO")</f>
        <v>NO</v>
      </c>
      <c r="F486" s="27" t="n">
        <f aca="false">IFERROR(ROUND(($G486+($H486-$G486)*'Info Strategia'!$B$6)*(1+IF($E486="SI",'Parametri Modello'!$B$7*'Info Strategia'!$B$6,0)),0),"")</f>
        <v>1</v>
      </c>
      <c r="G486" s="27" t="n">
        <f aca="false">IFERROR(ROUND((IF(OR(INDEX('Parametri Modello'!$C$39:$C$42,MATCH($B486,'Parametri Modello'!$A$39:$A$42,0))="",INDEX('Parametri Modello'!$C$39:$C$42,MATCH($B486,'Parametri Modello'!$A$39:$A$42,0))=0),0,($O486/INDEX('Parametri Modello'!$C$39:$C$42,MATCH($B486,'Parametri Modello'!$A$39:$A$42,0)))*(INDEX('Parametri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0</v>
      </c>
      <c r="H486" s="27" t="n">
        <f aca="false">IFERROR(ROUND((IF(OR(INDEX('Parametri Modello'!$C$39:$C$42,MATCH($B486,'Parametri Modello'!$A$39:$A$42,0))="",INDEX('Parametri Modello'!$C$39:$C$42,MATCH($B486,'Parametri Modello'!$A$39:$A$42,0))=0),0,($O486/INDEX('Parametri Modello'!$C$39:$C$42,MATCH($B486,'Parametri Modello'!$A$39:$A$42,0)))*(INDEX('Parametri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1</v>
      </c>
      <c r="I486" s="26" t="n">
        <f aca="false">IFERROR(INDEX('Input Statistiche 2025_26'!$F$3:$F$665,MATCH($A486,'Input Statistiche 2025_26'!$A$3:$A$665,0)),"")</f>
        <v>5</v>
      </c>
      <c r="J486" s="26" t="n">
        <f aca="false">IFERROR(IF($I486="","",MAX(0,38-$I486)),"")</f>
        <v>33</v>
      </c>
      <c r="K486" s="26" t="n">
        <f aca="false">IFERROR(INDEX('Input Statistiche 2025_26'!$I$3:$I$665,MATCH($A486,'Input Statistiche 2025_26'!$A$3:$A$665,0)),"")</f>
        <v>1</v>
      </c>
      <c r="L486" s="26" t="n">
        <f aca="false">IFERROR(INDEX('Input Statistiche 2025_26'!$O$3:$O$665,MATCH($A486,'Input Statistiche 2025_26'!$A$3:$A$665,0)),"")</f>
        <v>0</v>
      </c>
      <c r="M486" s="28"/>
      <c r="N486" s="27" t="n">
        <f aca="false">IFERROR(INDEX('Input Giocatori 2026_27'!$E$3:$E$493,MATCH($A486,'Input Giocatori 2026_27'!$A$3:$A$493,0)),"")</f>
        <v>1</v>
      </c>
      <c r="O486" s="27" t="n">
        <f aca="false">IFERROR(INDEX('Input Giocatori 2026_27'!$G$3:$G$493,MATCH($A486,'Input Giocatori 2026_27'!$A$3:$A$493,0)),"")</f>
        <v>1</v>
      </c>
      <c r="P486" s="26" t="str">
        <f aca="false">IFERROR(IF($O486="","",IF((1-(COUNTIFS($B$2:$B$492,$B486,$O$2:$O$492,"&gt;"&amp;$O486)+1-1)/COUNTIF($B$2:$B$492,$B486))&gt;=0.85,"Top",IF((1-(COUNTIFS($B$2:$B$492,$B486,$O$2:$O$492,"&gt;"&amp;$O486)+1-1)/COUNTIF($B$2:$B$492,$B486))&gt;=0.6,"Buono",IF((1-(COUNTIFS($B$2:$B$492,$B486,$O$2:$O$492,"&gt;"&amp;$O486)+1-1)/COUNTIF($B$2:$B$492,$B486))&gt;=0.3,"Nella Media","Scommessa/Riserva")))),"")</f>
        <v>Scommessa/Riserva</v>
      </c>
      <c r="Q486" s="29" t="n">
        <f aca="false">IF($D486="",COUNTIF($D$2:$D486,""),"")</f>
        <v>485</v>
      </c>
      <c r="R486" s="29" t="str">
        <f aca="false">IF($D486='Info Lega'!$B$28,COUNTIFS($D$2:$D486,'Info Lega'!$B$28),"")</f>
        <v/>
      </c>
      <c r="S486" s="30" t="n">
        <f aca="false">IFERROR(INDEX('Input Statistiche 2025_26'!$G$3:$G$665,MATCH($A486,'Input Statistiche 2025_26'!$A$3:$A$665,0)),"")</f>
        <v>6</v>
      </c>
      <c r="T486" s="30" t="n">
        <f aca="false">IFERROR(INDEX('Input Statistiche 2025_26'!$H$3:$H$665,MATCH($A486,'Input Statistiche 2025_26'!$A$3:$A$665,0)),"")</f>
        <v>6.5</v>
      </c>
      <c r="U486" s="26" t="str">
        <f aca="false">IF(OR('La Mia Rosa'!$O$12="",$D486&lt;&gt;""),"",IF($F486&lt;='La Mia Rosa'!$O$12*'Parametri Modello'!$B$24,"OK",IF($F486&lt;='La Mia Rosa'!$O$12*'Parametri Modello'!$B$25,"Attenzione","Rischio Alto")))</f>
        <v>OK</v>
      </c>
      <c r="V486" s="26" t="n">
        <f aca="false">IFERROR(COUNTIFS($B$2:$B$492,$B486,$O$2:$O$492,"&gt;"&amp;$O486)+1,"")</f>
        <v>168</v>
      </c>
      <c r="W486" s="21" t="n">
        <f aca="false">'Info Lega'!$B$4-SUMIFS($M$2:$M$492,$D$2:$D$492,'Info Lega'!$B$28)</f>
        <v>1000</v>
      </c>
      <c r="X486" s="21" t="n">
        <f aca="false">('Info Lega'!$B$5-COUNTIFS($D$2:$D$492,'Info Lega'!$B$28,$B$2:$B$492,"P"))+('Info Lega'!$B$6-COUNTIFS($D$2:$D$492,'Info Lega'!$B$28,$B$2:$B$492,"D"))+('Info Lega'!$B$7-COUNTIFS($D$2:$D$492,'Info Lega'!$B$28,$B$2:$B$492,"C"))+('Info Lega'!$B$8-COUNTIFS($D$2:$D$492,'Info Lega'!$B$28,$B$2:$B$492,"A"))</f>
        <v>25</v>
      </c>
      <c r="Y486" s="21" t="n">
        <f aca="false">X486*'Parametri Modello'!$B$30</f>
        <v>25</v>
      </c>
      <c r="Z486" s="21" t="n">
        <f aca="false">MAX(0,W486-Y486)</f>
        <v>975</v>
      </c>
      <c r="AA486" s="21" t="n">
        <f aca="false">MIN(F486,Z486)</f>
        <v>1</v>
      </c>
      <c r="AB486" s="21"/>
      <c r="AC486" s="21" t="str">
        <f aca="false">IF(AB486="","",IF(AB486&gt;AA486,"PASS",IF(AB486&lt;=AA486*0.85,"BID","ATTENZIONE")))</f>
        <v/>
      </c>
      <c r="AD486" s="31" t="n">
        <f aca="false">IF(I486="","",ROUND(100*(1-EXP(-I486/30)),0))</f>
        <v>15</v>
      </c>
      <c r="AE486" s="7" t="str">
        <f aca="false">IFERROR(INDEX('Stato Asta'!$G$9:$G$12,MATCH($B486,'Stato Asta'!$A$9:$A$12,0)),"")</f>
        <v>🟡 Attesa rischiosa</v>
      </c>
    </row>
    <row r="487" customFormat="false" ht="14.25" hidden="false" customHeight="true" outlineLevel="0" collapsed="false">
      <c r="A487" s="21" t="n">
        <v>7481</v>
      </c>
      <c r="B487" s="21" t="s">
        <v>45</v>
      </c>
      <c r="C487" s="21" t="s">
        <v>537</v>
      </c>
      <c r="E487" s="26" t="str">
        <f aca="false">IF(COUNTIF('Info Strategia'!$D$2:$D$51,$C487)&gt;0,"SI","NO")</f>
        <v>NO</v>
      </c>
      <c r="F487" s="27" t="n">
        <f aca="false">IFERROR(ROUND(($G487+($H487-$G487)*'Info Strategia'!$B$6)*(1+IF($E487="SI",'Parametri Modello'!$B$7*'Info Strategia'!$B$6,0)),0),"")</f>
        <v>1</v>
      </c>
      <c r="G487" s="27" t="n">
        <f aca="false">IFERROR(ROUND((IF(OR(INDEX('Parametri Modello'!$C$39:$C$42,MATCH($B487,'Parametri Modello'!$A$39:$A$42,0))="",INDEX('Parametri Modello'!$C$39:$C$42,MATCH($B487,'Parametri Modello'!$A$39:$A$42,0))=0),0,($O487/INDEX('Parametri Modello'!$C$39:$C$42,MATCH($B487,'Parametri Modello'!$A$39:$A$42,0)))*(INDEX('Parametri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0</v>
      </c>
      <c r="H487" s="27" t="n">
        <f aca="false">IFERROR(ROUND((IF(OR(INDEX('Parametri Modello'!$C$39:$C$42,MATCH($B487,'Parametri Modello'!$A$39:$A$42,0))="",INDEX('Parametri Modello'!$C$39:$C$42,MATCH($B487,'Parametri Modello'!$A$39:$A$42,0))=0),0,($O487/INDEX('Parametri Modello'!$C$39:$C$42,MATCH($B487,'Parametri Modello'!$A$39:$A$42,0)))*(INDEX('Parametri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1</v>
      </c>
      <c r="I487" s="26" t="str">
        <f aca="false">IFERROR(INDEX('Input Statistiche 2025_26'!$F$3:$F$665,MATCH($A487,'Input Statistiche 2025_26'!$A$3:$A$665,0)),"")</f>
        <v/>
      </c>
      <c r="J487" s="26" t="str">
        <f aca="false">IFERROR(IF($I487="","",MAX(0,38-$I487)),"")</f>
        <v/>
      </c>
      <c r="K487" s="26" t="str">
        <f aca="false">IFERROR(INDEX('Input Statistiche 2025_26'!$I$3:$I$665,MATCH($A487,'Input Statistiche 2025_26'!$A$3:$A$665,0)),"")</f>
        <v/>
      </c>
      <c r="L487" s="26" t="str">
        <f aca="false">IFERROR(INDEX('Input Statistiche 2025_26'!$O$3:$O$665,MATCH($A487,'Input Statistiche 2025_26'!$A$3:$A$665,0)),"")</f>
        <v/>
      </c>
      <c r="M487" s="28"/>
      <c r="N487" s="27" t="n">
        <f aca="false">IFERROR(INDEX('Input Giocatori 2026_27'!$E$3:$E$493,MATCH($A487,'Input Giocatori 2026_27'!$A$3:$A$493,0)),"")</f>
        <v>1</v>
      </c>
      <c r="O487" s="27" t="n">
        <f aca="false">IFERROR(INDEX('Input Giocatori 2026_27'!$G$3:$G$493,MATCH($A487,'Input Giocatori 2026_27'!$A$3:$A$493,0)),"")</f>
        <v>1</v>
      </c>
      <c r="P487" s="26" t="str">
        <f aca="false">IFERROR(IF($O487="","",IF((1-(COUNTIFS($B$2:$B$492,$B487,$O$2:$O$492,"&gt;"&amp;$O487)+1-1)/COUNTIF($B$2:$B$492,$B487))&gt;=0.85,"Top",IF((1-(COUNTIFS($B$2:$B$492,$B487,$O$2:$O$492,"&gt;"&amp;$O487)+1-1)/COUNTIF($B$2:$B$492,$B487))&gt;=0.6,"Buono",IF((1-(COUNTIFS($B$2:$B$492,$B487,$O$2:$O$492,"&gt;"&amp;$O487)+1-1)/COUNTIF($B$2:$B$492,$B487))&gt;=0.3,"Nella Media","Scommessa/Riserva")))),"")</f>
        <v>Scommessa/Riserva</v>
      </c>
      <c r="Q487" s="29" t="n">
        <f aca="false">IF($D487="",COUNTIF($D$2:$D487,""),"")</f>
        <v>486</v>
      </c>
      <c r="R487" s="29" t="str">
        <f aca="false">IF($D487='Info Lega'!$B$28,COUNTIFS($D$2:$D487,'Info Lega'!$B$28),"")</f>
        <v/>
      </c>
      <c r="S487" s="30" t="str">
        <f aca="false">IFERROR(INDEX('Input Statistiche 2025_26'!$G$3:$G$665,MATCH($A487,'Input Statistiche 2025_26'!$A$3:$A$665,0)),"")</f>
        <v/>
      </c>
      <c r="T487" s="30" t="str">
        <f aca="false">IFERROR(INDEX('Input Statistiche 2025_26'!$H$3:$H$665,MATCH($A487,'Input Statistiche 2025_26'!$A$3:$A$665,0)),"")</f>
        <v/>
      </c>
      <c r="U487" s="26" t="str">
        <f aca="false">IF(OR('La Mia Rosa'!$O$12="",$D487&lt;&gt;""),"",IF($F487&lt;='La Mia Rosa'!$O$12*'Parametri Modello'!$B$24,"OK",IF($F487&lt;='La Mia Rosa'!$O$12*'Parametri Modello'!$B$25,"Attenzione","Rischio Alto")))</f>
        <v>OK</v>
      </c>
      <c r="V487" s="26" t="n">
        <f aca="false">IFERROR(COUNTIFS($B$2:$B$492,$B487,$O$2:$O$492,"&gt;"&amp;$O487)+1,"")</f>
        <v>168</v>
      </c>
      <c r="W487" s="21" t="n">
        <f aca="false">'Info Lega'!$B$4-SUMIFS($M$2:$M$492,$D$2:$D$492,'Info Lega'!$B$28)</f>
        <v>1000</v>
      </c>
      <c r="X487" s="21" t="n">
        <f aca="false">('Info Lega'!$B$5-COUNTIFS($D$2:$D$492,'Info Lega'!$B$28,$B$2:$B$492,"P"))+('Info Lega'!$B$6-COUNTIFS($D$2:$D$492,'Info Lega'!$B$28,$B$2:$B$492,"D"))+('Info Lega'!$B$7-COUNTIFS($D$2:$D$492,'Info Lega'!$B$28,$B$2:$B$492,"C"))+('Info Lega'!$B$8-COUNTIFS($D$2:$D$492,'Info Lega'!$B$28,$B$2:$B$492,"A"))</f>
        <v>25</v>
      </c>
      <c r="Y487" s="21" t="n">
        <f aca="false">X487*'Parametri Modello'!$B$30</f>
        <v>25</v>
      </c>
      <c r="Z487" s="21" t="n">
        <f aca="false">MAX(0,W487-Y487)</f>
        <v>975</v>
      </c>
      <c r="AA487" s="21" t="n">
        <f aca="false">MIN(F487,Z487)</f>
        <v>1</v>
      </c>
      <c r="AB487" s="21"/>
      <c r="AC487" s="21" t="str">
        <f aca="false">IF(AB487="","",IF(AB487&gt;AA487,"PASS",IF(AB487&lt;=AA487*0.85,"BID","ATTENZIONE")))</f>
        <v/>
      </c>
      <c r="AD487" s="31" t="str">
        <f aca="false">IF(I487="","",ROUND(100*(1-EXP(-I487/30)),0))</f>
        <v/>
      </c>
      <c r="AE487" s="7" t="str">
        <f aca="false">IFERROR(INDEX('Stato Asta'!$G$9:$G$12,MATCH($B487,'Stato Asta'!$A$9:$A$12,0)),"")</f>
        <v>🟡 Attesa rischiosa</v>
      </c>
    </row>
    <row r="488" customFormat="false" ht="14.25" hidden="false" customHeight="true" outlineLevel="0" collapsed="false">
      <c r="A488" s="21" t="n">
        <v>7338</v>
      </c>
      <c r="B488" s="21" t="s">
        <v>46</v>
      </c>
      <c r="C488" s="21" t="s">
        <v>615</v>
      </c>
      <c r="E488" s="26" t="str">
        <f aca="false">IF(COUNTIF('Info Strategia'!$D$2:$D$51,$C488)&gt;0,"SI","NO")</f>
        <v>NO</v>
      </c>
      <c r="F488" s="27" t="n">
        <f aca="false">IFERROR(ROUND(($G488+($H488-$G488)*'Info Strategia'!$B$6)*(1+IF($E488="SI",'Parametri Modello'!$B$7*'Info Strategia'!$B$6,0)),0),"")</f>
        <v>1</v>
      </c>
      <c r="G488" s="27" t="n">
        <f aca="false">IFERROR(ROUND((IF(OR(INDEX('Parametri Modello'!$C$39:$C$42,MATCH($B488,'Parametri Modello'!$A$39:$A$42,0))="",INDEX('Parametri Modello'!$C$39:$C$42,MATCH($B488,'Parametri Modello'!$A$39:$A$42,0))=0),0,($O488/INDEX('Parametri Modello'!$C$39:$C$42,MATCH($B488,'Parametri Modello'!$A$39:$A$42,0)))*(INDEX('Parametri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H488" s="27" t="n">
        <f aca="false">IFERROR(ROUND((IF(OR(INDEX('Parametri Modello'!$C$39:$C$42,MATCH($B488,'Parametri Modello'!$A$39:$A$42,0))="",INDEX('Parametri Modello'!$C$39:$C$42,MATCH($B488,'Parametri Modello'!$A$39:$A$42,0))=0),0,($O488/INDEX('Parametri Modello'!$C$39:$C$42,MATCH($B488,'Parametri Modello'!$A$39:$A$42,0)))*(INDEX('Parametri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I488" s="26" t="n">
        <f aca="false">IFERROR(INDEX('Input Statistiche 2025_26'!$F$3:$F$665,MATCH($A488,'Input Statistiche 2025_26'!$A$3:$A$665,0)),"")</f>
        <v>2</v>
      </c>
      <c r="J488" s="26" t="n">
        <f aca="false">IFERROR(IF($I488="","",MAX(0,38-$I488)),"")</f>
        <v>36</v>
      </c>
      <c r="K488" s="26" t="n">
        <f aca="false">IFERROR(INDEX('Input Statistiche 2025_26'!$I$3:$I$665,MATCH($A488,'Input Statistiche 2025_26'!$A$3:$A$665,0)),"")</f>
        <v>0</v>
      </c>
      <c r="L488" s="26" t="n">
        <f aca="false">IFERROR(INDEX('Input Statistiche 2025_26'!$O$3:$O$665,MATCH($A488,'Input Statistiche 2025_26'!$A$3:$A$665,0)),"")</f>
        <v>0</v>
      </c>
      <c r="M488" s="28"/>
      <c r="N488" s="27" t="n">
        <f aca="false">IFERROR(INDEX('Input Giocatori 2026_27'!$E$3:$E$493,MATCH($A488,'Input Giocatori 2026_27'!$A$3:$A$493,0)),"")</f>
        <v>1</v>
      </c>
      <c r="O488" s="27" t="n">
        <f aca="false">IFERROR(INDEX('Input Giocatori 2026_27'!$G$3:$G$493,MATCH($A488,'Input Giocatori 2026_27'!$A$3:$A$493,0)),"")</f>
        <v>1</v>
      </c>
      <c r="P488" s="26" t="str">
        <f aca="false">IFERROR(IF($O488="","",IF((1-(COUNTIFS($B$2:$B$492,$B488,$O$2:$O$492,"&gt;"&amp;$O488)+1-1)/COUNTIF($B$2:$B$492,$B488))&gt;=0.85,"Top",IF((1-(COUNTIFS($B$2:$B$492,$B488,$O$2:$O$492,"&gt;"&amp;$O488)+1-1)/COUNTIF($B$2:$B$492,$B488))&gt;=0.6,"Buono",IF((1-(COUNTIFS($B$2:$B$492,$B488,$O$2:$O$492,"&gt;"&amp;$O488)+1-1)/COUNTIF($B$2:$B$492,$B488))&gt;=0.3,"Nella Media","Scommessa/Riserva")))),"")</f>
        <v>Scommessa/Riserva</v>
      </c>
      <c r="Q488" s="29" t="n">
        <f aca="false">IF($D488="",COUNTIF($D$2:$D488,""),"")</f>
        <v>487</v>
      </c>
      <c r="R488" s="29" t="str">
        <f aca="false">IF($D488='Info Lega'!$B$28,COUNTIFS($D$2:$D488,'Info Lega'!$B$28),"")</f>
        <v/>
      </c>
      <c r="S488" s="30" t="n">
        <f aca="false">IFERROR(INDEX('Input Statistiche 2025_26'!$G$3:$G$665,MATCH($A488,'Input Statistiche 2025_26'!$A$3:$A$665,0)),"")</f>
        <v>6</v>
      </c>
      <c r="T488" s="30" t="n">
        <f aca="false">IFERROR(INDEX('Input Statistiche 2025_26'!$H$3:$H$665,MATCH($A488,'Input Statistiche 2025_26'!$A$3:$A$665,0)),"")</f>
        <v>6</v>
      </c>
      <c r="U488" s="26" t="str">
        <f aca="false">IF(OR('La Mia Rosa'!$O$12="",$D488&lt;&gt;""),"",IF($F488&lt;='La Mia Rosa'!$O$12*'Parametri Modello'!$B$24,"OK",IF($F488&lt;='La Mia Rosa'!$O$12*'Parametri Modello'!$B$25,"Attenzione","Rischio Alto")))</f>
        <v>OK</v>
      </c>
      <c r="V488" s="26" t="n">
        <f aca="false">IFERROR(COUNTIFS($B$2:$B$492,$B488,$O$2:$O$492,"&gt;"&amp;$O488)+1,"")</f>
        <v>81</v>
      </c>
      <c r="W488" s="21" t="n">
        <f aca="false">'Info Lega'!$B$4-SUMIFS($M$2:$M$492,$D$2:$D$492,'Info Lega'!$B$28)</f>
        <v>1000</v>
      </c>
      <c r="X488" s="21" t="n">
        <f aca="false">('Info Lega'!$B$5-COUNTIFS($D$2:$D$492,'Info Lega'!$B$28,$B$2:$B$492,"P"))+('Info Lega'!$B$6-COUNTIFS($D$2:$D$492,'Info Lega'!$B$28,$B$2:$B$492,"D"))+('Info Lega'!$B$7-COUNTIFS($D$2:$D$492,'Info Lega'!$B$28,$B$2:$B$492,"C"))+('Info Lega'!$B$8-COUNTIFS($D$2:$D$492,'Info Lega'!$B$28,$B$2:$B$492,"A"))</f>
        <v>25</v>
      </c>
      <c r="Y488" s="21" t="n">
        <f aca="false">X488*'Parametri Modello'!$B$30</f>
        <v>25</v>
      </c>
      <c r="Z488" s="21" t="n">
        <f aca="false">MAX(0,W488-Y488)</f>
        <v>975</v>
      </c>
      <c r="AA488" s="21" t="n">
        <f aca="false">MIN(F488,Z488)</f>
        <v>1</v>
      </c>
      <c r="AB488" s="21"/>
      <c r="AC488" s="21" t="str">
        <f aca="false">IF(AB488="","",IF(AB488&gt;AA488,"PASS",IF(AB488&lt;=AA488*0.85,"BID","ATTENZIONE")))</f>
        <v/>
      </c>
      <c r="AD488" s="31" t="n">
        <f aca="false">IF(I488="","",ROUND(100*(1-EXP(-I488/30)),0))</f>
        <v>6</v>
      </c>
      <c r="AE488" s="7" t="str">
        <f aca="false">IFERROR(INDEX('Stato Asta'!$G$9:$G$12,MATCH($B488,'Stato Asta'!$A$9:$A$12,0)),"")</f>
        <v>🔴 Non aspettare</v>
      </c>
    </row>
    <row r="489" customFormat="false" ht="14.25" hidden="false" customHeight="true" outlineLevel="0" collapsed="false">
      <c r="A489" s="21" t="n">
        <v>7027</v>
      </c>
      <c r="B489" s="21" t="s">
        <v>46</v>
      </c>
      <c r="C489" s="21" t="s">
        <v>617</v>
      </c>
      <c r="E489" s="26" t="str">
        <f aca="false">IF(COUNTIF('Info Strategia'!$D$2:$D$51,$C489)&gt;0,"SI","NO")</f>
        <v>NO</v>
      </c>
      <c r="F489" s="27" t="n">
        <f aca="false">IFERROR(ROUND(($G489+($H489-$G489)*'Info Strategia'!$B$6)*(1+IF($E489="SI",'Parametri Modello'!$B$7*'Info Strategia'!$B$6,0)),0),"")</f>
        <v>1</v>
      </c>
      <c r="G489" s="27" t="n">
        <f aca="false">IFERROR(ROUND((IF(OR(INDEX('Parametri Modello'!$C$39:$C$42,MATCH($B489,'Parametri Modello'!$A$39:$A$42,0))="",INDEX('Parametri Modello'!$C$39:$C$42,MATCH($B489,'Parametri Modello'!$A$39:$A$42,0))=0),0,($O489/INDEX('Parametri Modello'!$C$39:$C$42,MATCH($B489,'Parametri Modello'!$A$39:$A$42,0)))*(INDEX('Parametri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H489" s="27" t="n">
        <f aca="false">IFERROR(ROUND((IF(OR(INDEX('Parametri Modello'!$C$39:$C$42,MATCH($B489,'Parametri Modello'!$A$39:$A$42,0))="",INDEX('Parametri Modello'!$C$39:$C$42,MATCH($B489,'Parametri Modello'!$A$39:$A$42,0))=0),0,($O489/INDEX('Parametri Modello'!$C$39:$C$42,MATCH($B489,'Parametri Modello'!$A$39:$A$42,0)))*(INDEX('Parametri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I489" s="26" t="n">
        <f aca="false">IFERROR(INDEX('Input Statistiche 2025_26'!$F$3:$F$665,MATCH($A489,'Input Statistiche 2025_26'!$A$3:$A$665,0)),"")</f>
        <v>0</v>
      </c>
      <c r="J489" s="26" t="n">
        <f aca="false">IFERROR(IF($I489="","",MAX(0,38-$I489)),"")</f>
        <v>38</v>
      </c>
      <c r="K489" s="26" t="n">
        <f aca="false">IFERROR(INDEX('Input Statistiche 2025_26'!$I$3:$I$665,MATCH($A489,'Input Statistiche 2025_26'!$A$3:$A$665,0)),"")</f>
        <v>0</v>
      </c>
      <c r="L489" s="26" t="n">
        <f aca="false">IFERROR(INDEX('Input Statistiche 2025_26'!$O$3:$O$665,MATCH($A489,'Input Statistiche 2025_26'!$A$3:$A$665,0)),"")</f>
        <v>0</v>
      </c>
      <c r="M489" s="28"/>
      <c r="N489" s="27" t="n">
        <f aca="false">IFERROR(INDEX('Input Giocatori 2026_27'!$E$3:$E$493,MATCH($A489,'Input Giocatori 2026_27'!$A$3:$A$493,0)),"")</f>
        <v>1</v>
      </c>
      <c r="O489" s="27" t="n">
        <f aca="false">IFERROR(INDEX('Input Giocatori 2026_27'!$G$3:$G$493,MATCH($A489,'Input Giocatori 2026_27'!$A$3:$A$493,0)),"")</f>
        <v>1</v>
      </c>
      <c r="P489" s="26" t="str">
        <f aca="false">IFERROR(IF($O489="","",IF((1-(COUNTIFS($B$2:$B$492,$B489,$O$2:$O$492,"&gt;"&amp;$O489)+1-1)/COUNTIF($B$2:$B$492,$B489))&gt;=0.85,"Top",IF((1-(COUNTIFS($B$2:$B$492,$B489,$O$2:$O$492,"&gt;"&amp;$O489)+1-1)/COUNTIF($B$2:$B$492,$B489))&gt;=0.6,"Buono",IF((1-(COUNTIFS($B$2:$B$492,$B489,$O$2:$O$492,"&gt;"&amp;$O489)+1-1)/COUNTIF($B$2:$B$492,$B489))&gt;=0.3,"Nella Media","Scommessa/Riserva")))),"")</f>
        <v>Scommessa/Riserva</v>
      </c>
      <c r="Q489" s="29" t="n">
        <f aca="false">IF($D489="",COUNTIF($D$2:$D489,""),"")</f>
        <v>488</v>
      </c>
      <c r="R489" s="29" t="str">
        <f aca="false">IF($D489='Info Lega'!$B$28,COUNTIFS($D$2:$D489,'Info Lega'!$B$28),"")</f>
        <v/>
      </c>
      <c r="S489" s="30" t="n">
        <f aca="false">IFERROR(INDEX('Input Statistiche 2025_26'!$G$3:$G$665,MATCH($A489,'Input Statistiche 2025_26'!$A$3:$A$665,0)),"")</f>
        <v>0</v>
      </c>
      <c r="T489" s="30" t="n">
        <f aca="false">IFERROR(INDEX('Input Statistiche 2025_26'!$H$3:$H$665,MATCH($A489,'Input Statistiche 2025_26'!$A$3:$A$665,0)),"")</f>
        <v>0</v>
      </c>
      <c r="U489" s="26" t="str">
        <f aca="false">IF(OR('La Mia Rosa'!$O$12="",$D489&lt;&gt;""),"",IF($F489&lt;='La Mia Rosa'!$O$12*'Parametri Modello'!$B$24,"OK",IF($F489&lt;='La Mia Rosa'!$O$12*'Parametri Modello'!$B$25,"Attenzione","Rischio Alto")))</f>
        <v>OK</v>
      </c>
      <c r="V489" s="26" t="n">
        <f aca="false">IFERROR(COUNTIFS($B$2:$B$492,$B489,$O$2:$O$492,"&gt;"&amp;$O489)+1,"")</f>
        <v>81</v>
      </c>
      <c r="W489" s="21" t="n">
        <f aca="false">'Info Lega'!$B$4-SUMIFS($M$2:$M$492,$D$2:$D$492,'Info Lega'!$B$28)</f>
        <v>1000</v>
      </c>
      <c r="X489" s="21" t="n">
        <f aca="false">('Info Lega'!$B$5-COUNTIFS($D$2:$D$492,'Info Lega'!$B$28,$B$2:$B$492,"P"))+('Info Lega'!$B$6-COUNTIFS($D$2:$D$492,'Info Lega'!$B$28,$B$2:$B$492,"D"))+('Info Lega'!$B$7-COUNTIFS($D$2:$D$492,'Info Lega'!$B$28,$B$2:$B$492,"C"))+('Info Lega'!$B$8-COUNTIFS($D$2:$D$492,'Info Lega'!$B$28,$B$2:$B$492,"A"))</f>
        <v>25</v>
      </c>
      <c r="Y489" s="21" t="n">
        <f aca="false">X489*'Parametri Modello'!$B$30</f>
        <v>25</v>
      </c>
      <c r="Z489" s="21" t="n">
        <f aca="false">MAX(0,W489-Y489)</f>
        <v>975</v>
      </c>
      <c r="AA489" s="21" t="n">
        <f aca="false">MIN(F489,Z489)</f>
        <v>1</v>
      </c>
      <c r="AB489" s="21"/>
      <c r="AC489" s="21" t="str">
        <f aca="false">IF(AB489="","",IF(AB489&gt;AA489,"PASS",IF(AB489&lt;=AA489*0.85,"BID","ATTENZIONE")))</f>
        <v/>
      </c>
      <c r="AD489" s="31" t="n">
        <f aca="false">IF(I489="","",ROUND(100*(1-EXP(-I489/30)),0))</f>
        <v>0</v>
      </c>
      <c r="AE489" s="7" t="str">
        <f aca="false">IFERROR(INDEX('Stato Asta'!$G$9:$G$12,MATCH($B489,'Stato Asta'!$A$9:$A$12,0)),"")</f>
        <v>🔴 Non aspettare</v>
      </c>
    </row>
    <row r="490" customFormat="false" ht="14.25" hidden="false" customHeight="true" outlineLevel="0" collapsed="false">
      <c r="A490" s="21" t="n">
        <v>7158</v>
      </c>
      <c r="B490" s="21" t="s">
        <v>46</v>
      </c>
      <c r="C490" s="21" t="s">
        <v>619</v>
      </c>
      <c r="E490" s="26" t="str">
        <f aca="false">IF(COUNTIF('Info Strategia'!$D$2:$D$51,$C490)&gt;0,"SI","NO")</f>
        <v>NO</v>
      </c>
      <c r="F490" s="27" t="n">
        <f aca="false">IFERROR(ROUND(($G490+($H490-$G490)*'Info Strategia'!$B$6)*(1+IF($E490="SI",'Parametri Modello'!$B$7*'Info Strategia'!$B$6,0)),0),"")</f>
        <v>1</v>
      </c>
      <c r="G490" s="27" t="n">
        <f aca="false">IFERROR(ROUND((IF(OR(INDEX('Parametri Modello'!$C$39:$C$42,MATCH($B490,'Parametri Modello'!$A$39:$A$42,0))="",INDEX('Parametri Modello'!$C$39:$C$42,MATCH($B490,'Parametri Modello'!$A$39:$A$42,0))=0),0,($O490/INDEX('Parametri Modello'!$C$39:$C$42,MATCH($B490,'Parametri Modello'!$A$39:$A$42,0)))*(INDEX('Parametri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H490" s="27" t="n">
        <f aca="false">IFERROR(ROUND((IF(OR(INDEX('Parametri Modello'!$C$39:$C$42,MATCH($B490,'Parametri Modello'!$A$39:$A$42,0))="",INDEX('Parametri Modello'!$C$39:$C$42,MATCH($B490,'Parametri Modello'!$A$39:$A$42,0))=0),0,($O490/INDEX('Parametri Modello'!$C$39:$C$42,MATCH($B490,'Parametri Modello'!$A$39:$A$42,0)))*(INDEX('Parametri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I490" s="26" t="n">
        <f aca="false">IFERROR(INDEX('Input Statistiche 2025_26'!$F$3:$F$665,MATCH($A490,'Input Statistiche 2025_26'!$A$3:$A$665,0)),"")</f>
        <v>6</v>
      </c>
      <c r="J490" s="26" t="n">
        <f aca="false">IFERROR(IF($I490="","",MAX(0,38-$I490)),"")</f>
        <v>32</v>
      </c>
      <c r="K490" s="26" t="n">
        <f aca="false">IFERROR(INDEX('Input Statistiche 2025_26'!$I$3:$I$665,MATCH($A490,'Input Statistiche 2025_26'!$A$3:$A$665,0)),"")</f>
        <v>0</v>
      </c>
      <c r="L490" s="26" t="n">
        <f aca="false">IFERROR(INDEX('Input Statistiche 2025_26'!$O$3:$O$665,MATCH($A490,'Input Statistiche 2025_26'!$A$3:$A$665,0)),"")</f>
        <v>0</v>
      </c>
      <c r="M490" s="28"/>
      <c r="N490" s="27" t="n">
        <f aca="false">IFERROR(INDEX('Input Giocatori 2026_27'!$E$3:$E$493,MATCH($A490,'Input Giocatori 2026_27'!$A$3:$A$493,0)),"")</f>
        <v>1</v>
      </c>
      <c r="O490" s="27" t="n">
        <f aca="false">IFERROR(INDEX('Input Giocatori 2026_27'!$G$3:$G$493,MATCH($A490,'Input Giocatori 2026_27'!$A$3:$A$493,0)),"")</f>
        <v>1</v>
      </c>
      <c r="P490" s="26" t="str">
        <f aca="false">IFERROR(IF($O490="","",IF((1-(COUNTIFS($B$2:$B$492,$B490,$O$2:$O$492,"&gt;"&amp;$O490)+1-1)/COUNTIF($B$2:$B$492,$B490))&gt;=0.85,"Top",IF((1-(COUNTIFS($B$2:$B$492,$B490,$O$2:$O$492,"&gt;"&amp;$O490)+1-1)/COUNTIF($B$2:$B$492,$B490))&gt;=0.6,"Buono",IF((1-(COUNTIFS($B$2:$B$492,$B490,$O$2:$O$492,"&gt;"&amp;$O490)+1-1)/COUNTIF($B$2:$B$492,$B490))&gt;=0.3,"Nella Media","Scommessa/Riserva")))),"")</f>
        <v>Scommessa/Riserva</v>
      </c>
      <c r="Q490" s="29" t="n">
        <f aca="false">IF($D490="",COUNTIF($D$2:$D490,""),"")</f>
        <v>489</v>
      </c>
      <c r="R490" s="29" t="str">
        <f aca="false">IF($D490='Info Lega'!$B$28,COUNTIFS($D$2:$D490,'Info Lega'!$B$28),"")</f>
        <v/>
      </c>
      <c r="S490" s="30" t="n">
        <f aca="false">IFERROR(INDEX('Input Statistiche 2025_26'!$G$3:$G$665,MATCH($A490,'Input Statistiche 2025_26'!$A$3:$A$665,0)),"")</f>
        <v>5.58</v>
      </c>
      <c r="T490" s="30" t="n">
        <f aca="false">IFERROR(INDEX('Input Statistiche 2025_26'!$H$3:$H$665,MATCH($A490,'Input Statistiche 2025_26'!$A$3:$A$665,0)),"")</f>
        <v>5.5</v>
      </c>
      <c r="U490" s="26" t="str">
        <f aca="false">IF(OR('La Mia Rosa'!$O$12="",$D490&lt;&gt;""),"",IF($F490&lt;='La Mia Rosa'!$O$12*'Parametri Modello'!$B$24,"OK",IF($F490&lt;='La Mia Rosa'!$O$12*'Parametri Modello'!$B$25,"Attenzione","Rischio Alto")))</f>
        <v>OK</v>
      </c>
      <c r="V490" s="26" t="n">
        <f aca="false">IFERROR(COUNTIFS($B$2:$B$492,$B490,$O$2:$O$492,"&gt;"&amp;$O490)+1,"")</f>
        <v>81</v>
      </c>
      <c r="W490" s="21" t="n">
        <f aca="false">'Info Lega'!$B$4-SUMIFS($M$2:$M$492,$D$2:$D$492,'Info Lega'!$B$28)</f>
        <v>1000</v>
      </c>
      <c r="X490" s="21" t="n">
        <f aca="false">('Info Lega'!$B$5-COUNTIFS($D$2:$D$492,'Info Lega'!$B$28,$B$2:$B$492,"P"))+('Info Lega'!$B$6-COUNTIFS($D$2:$D$492,'Info Lega'!$B$28,$B$2:$B$492,"D"))+('Info Lega'!$B$7-COUNTIFS($D$2:$D$492,'Info Lega'!$B$28,$B$2:$B$492,"C"))+('Info Lega'!$B$8-COUNTIFS($D$2:$D$492,'Info Lega'!$B$28,$B$2:$B$492,"A"))</f>
        <v>25</v>
      </c>
      <c r="Y490" s="21" t="n">
        <f aca="false">X490*'Parametri Modello'!$B$30</f>
        <v>25</v>
      </c>
      <c r="Z490" s="21" t="n">
        <f aca="false">MAX(0,W490-Y490)</f>
        <v>975</v>
      </c>
      <c r="AA490" s="21" t="n">
        <f aca="false">MIN(F490,Z490)</f>
        <v>1</v>
      </c>
      <c r="AB490" s="21"/>
      <c r="AC490" s="21" t="str">
        <f aca="false">IF(AB490="","",IF(AB490&gt;AA490,"PASS",IF(AB490&lt;=AA490*0.85,"BID","ATTENZIONE")))</f>
        <v/>
      </c>
      <c r="AD490" s="31" t="n">
        <f aca="false">IF(I490="","",ROUND(100*(1-EXP(-I490/30)),0))</f>
        <v>18</v>
      </c>
      <c r="AE490" s="7" t="str">
        <f aca="false">IFERROR(INDEX('Stato Asta'!$G$9:$G$12,MATCH($B490,'Stato Asta'!$A$9:$A$12,0)),"")</f>
        <v>🔴 Non aspettare</v>
      </c>
    </row>
    <row r="491" customFormat="false" ht="14.25" hidden="false" customHeight="true" outlineLevel="0" collapsed="false">
      <c r="A491" s="21" t="n">
        <v>7408</v>
      </c>
      <c r="B491" s="21" t="s">
        <v>46</v>
      </c>
      <c r="C491" s="21" t="s">
        <v>621</v>
      </c>
      <c r="E491" s="26" t="str">
        <f aca="false">IF(COUNTIF('Info Strategia'!$D$2:$D$51,$C491)&gt;0,"SI","NO")</f>
        <v>NO</v>
      </c>
      <c r="F491" s="27" t="n">
        <f aca="false">IFERROR(ROUND(($G491+($H491-$G491)*'Info Strategia'!$B$6)*(1+IF($E491="SI",'Parametri Modello'!$B$7*'Info Strategia'!$B$6,0)),0),"")</f>
        <v>1</v>
      </c>
      <c r="G491" s="27" t="n">
        <f aca="false">IFERROR(ROUND((IF(OR(INDEX('Parametri Modello'!$C$39:$C$42,MATCH($B491,'Parametri Modello'!$A$39:$A$42,0))="",INDEX('Parametri Modello'!$C$39:$C$42,MATCH($B491,'Parametri Modello'!$A$39:$A$42,0))=0),0,($O491/INDEX('Parametri Modello'!$C$39:$C$42,MATCH($B491,'Parametri Modello'!$A$39:$A$42,0)))*(INDEX('Parametri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H491" s="27" t="n">
        <f aca="false">IFERROR(ROUND((IF(OR(INDEX('Parametri Modello'!$C$39:$C$42,MATCH($B491,'Parametri Modello'!$A$39:$A$42,0))="",INDEX('Parametri Modello'!$C$39:$C$42,MATCH($B491,'Parametri Modello'!$A$39:$A$42,0))=0),0,($O491/INDEX('Parametri Modello'!$C$39:$C$42,MATCH($B491,'Parametri Modello'!$A$39:$A$42,0)))*(INDEX('Parametri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I491" s="26" t="str">
        <f aca="false">IFERROR(INDEX('Input Statistiche 2025_26'!$F$3:$F$665,MATCH($A491,'Input Statistiche 2025_26'!$A$3:$A$665,0)),"")</f>
        <v/>
      </c>
      <c r="J491" s="26" t="str">
        <f aca="false">IFERROR(IF($I491="","",MAX(0,38-$I491)),"")</f>
        <v/>
      </c>
      <c r="K491" s="26" t="str">
        <f aca="false">IFERROR(INDEX('Input Statistiche 2025_26'!$I$3:$I$665,MATCH($A491,'Input Statistiche 2025_26'!$A$3:$A$665,0)),"")</f>
        <v/>
      </c>
      <c r="L491" s="26" t="str">
        <f aca="false">IFERROR(INDEX('Input Statistiche 2025_26'!$O$3:$O$665,MATCH($A491,'Input Statistiche 2025_26'!$A$3:$A$665,0)),"")</f>
        <v/>
      </c>
      <c r="M491" s="28"/>
      <c r="N491" s="27" t="n">
        <f aca="false">IFERROR(INDEX('Input Giocatori 2026_27'!$E$3:$E$493,MATCH($A491,'Input Giocatori 2026_27'!$A$3:$A$493,0)),"")</f>
        <v>1</v>
      </c>
      <c r="O491" s="27" t="n">
        <f aca="false">IFERROR(INDEX('Input Giocatori 2026_27'!$G$3:$G$493,MATCH($A491,'Input Giocatori 2026_27'!$A$3:$A$493,0)),"")</f>
        <v>1</v>
      </c>
      <c r="P491" s="26" t="str">
        <f aca="false">IFERROR(IF($O491="","",IF((1-(COUNTIFS($B$2:$B$492,$B491,$O$2:$O$492,"&gt;"&amp;$O491)+1-1)/COUNTIF($B$2:$B$492,$B491))&gt;=0.85,"Top",IF((1-(COUNTIFS($B$2:$B$492,$B491,$O$2:$O$492,"&gt;"&amp;$O491)+1-1)/COUNTIF($B$2:$B$492,$B491))&gt;=0.6,"Buono",IF((1-(COUNTIFS($B$2:$B$492,$B491,$O$2:$O$492,"&gt;"&amp;$O491)+1-1)/COUNTIF($B$2:$B$492,$B491))&gt;=0.3,"Nella Media","Scommessa/Riserva")))),"")</f>
        <v>Scommessa/Riserva</v>
      </c>
      <c r="Q491" s="29" t="n">
        <f aca="false">IF($D491="",COUNTIF($D$2:$D491,""),"")</f>
        <v>490</v>
      </c>
      <c r="R491" s="29" t="str">
        <f aca="false">IF($D491='Info Lega'!$B$28,COUNTIFS($D$2:$D491,'Info Lega'!$B$28),"")</f>
        <v/>
      </c>
      <c r="S491" s="30" t="str">
        <f aca="false">IFERROR(INDEX('Input Statistiche 2025_26'!$G$3:$G$665,MATCH($A491,'Input Statistiche 2025_26'!$A$3:$A$665,0)),"")</f>
        <v/>
      </c>
      <c r="T491" s="30" t="str">
        <f aca="false">IFERROR(INDEX('Input Statistiche 2025_26'!$H$3:$H$665,MATCH($A491,'Input Statistiche 2025_26'!$A$3:$A$665,0)),"")</f>
        <v/>
      </c>
      <c r="U491" s="26" t="str">
        <f aca="false">IF(OR('La Mia Rosa'!$O$12="",$D491&lt;&gt;""),"",IF($F491&lt;='La Mia Rosa'!$O$12*'Parametri Modello'!$B$24,"OK",IF($F491&lt;='La Mia Rosa'!$O$12*'Parametri Modello'!$B$25,"Attenzione","Rischio Alto")))</f>
        <v>OK</v>
      </c>
      <c r="V491" s="26" t="n">
        <f aca="false">IFERROR(COUNTIFS($B$2:$B$492,$B491,$O$2:$O$492,"&gt;"&amp;$O491)+1,"")</f>
        <v>81</v>
      </c>
      <c r="W491" s="21" t="n">
        <f aca="false">'Info Lega'!$B$4-SUMIFS($M$2:$M$492,$D$2:$D$492,'Info Lega'!$B$28)</f>
        <v>1000</v>
      </c>
      <c r="X491" s="21" t="n">
        <f aca="false">('Info Lega'!$B$5-COUNTIFS($D$2:$D$492,'Info Lega'!$B$28,$B$2:$B$492,"P"))+('Info Lega'!$B$6-COUNTIFS($D$2:$D$492,'Info Lega'!$B$28,$B$2:$B$492,"D"))+('Info Lega'!$B$7-COUNTIFS($D$2:$D$492,'Info Lega'!$B$28,$B$2:$B$492,"C"))+('Info Lega'!$B$8-COUNTIFS($D$2:$D$492,'Info Lega'!$B$28,$B$2:$B$492,"A"))</f>
        <v>25</v>
      </c>
      <c r="Y491" s="21" t="n">
        <f aca="false">X491*'Parametri Modello'!$B$30</f>
        <v>25</v>
      </c>
      <c r="Z491" s="21" t="n">
        <f aca="false">MAX(0,W491-Y491)</f>
        <v>975</v>
      </c>
      <c r="AA491" s="21" t="n">
        <f aca="false">MIN(F491,Z491)</f>
        <v>1</v>
      </c>
      <c r="AB491" s="21"/>
      <c r="AC491" s="21" t="str">
        <f aca="false">IF(AB491="","",IF(AB491&gt;AA491,"PASS",IF(AB491&lt;=AA491*0.85,"BID","ATTENZIONE")))</f>
        <v/>
      </c>
      <c r="AD491" s="31" t="str">
        <f aca="false">IF(I491="","",ROUND(100*(1-EXP(-I491/30)),0))</f>
        <v/>
      </c>
      <c r="AE491" s="7" t="str">
        <f aca="false">IFERROR(INDEX('Stato Asta'!$G$9:$G$12,MATCH($B491,'Stato Asta'!$A$9:$A$12,0)),"")</f>
        <v>🔴 Non aspettare</v>
      </c>
    </row>
    <row r="492" customFormat="false" ht="14.25" hidden="false" customHeight="true" outlineLevel="0" collapsed="false">
      <c r="A492" s="21" t="n">
        <v>7482</v>
      </c>
      <c r="B492" s="21" t="s">
        <v>46</v>
      </c>
      <c r="C492" s="21" t="s">
        <v>622</v>
      </c>
      <c r="E492" s="26" t="str">
        <f aca="false">IF(COUNTIF('Info Strategia'!$D$2:$D$51,$C492)&gt;0,"SI","NO")</f>
        <v>NO</v>
      </c>
      <c r="F492" s="27" t="n">
        <f aca="false">IFERROR(ROUND(($G492+($H492-$G492)*'Info Strategia'!$B$6)*(1+IF($E492="SI",'Parametri Modello'!$B$7*'Info Strategia'!$B$6,0)),0),"")</f>
        <v>1</v>
      </c>
      <c r="G492" s="27" t="n">
        <f aca="false">IFERROR(ROUND((IF(OR(INDEX('Parametri Modello'!$C$39:$C$42,MATCH($B492,'Parametri Modello'!$A$39:$A$42,0))="",INDEX('Parametri Modello'!$C$39:$C$42,MATCH($B492,'Parametri Modello'!$A$39:$A$42,0))=0),0,($O492/INDEX('Parametri Modello'!$C$39:$C$42,MATCH($B492,'Parametri Modello'!$A$39:$A$42,0)))*(INDEX('Parametri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H492" s="27" t="n">
        <f aca="false">IFERROR(ROUND((IF(OR(INDEX('Parametri Modello'!$C$39:$C$42,MATCH($B492,'Parametri Modello'!$A$39:$A$42,0))="",INDEX('Parametri Modello'!$C$39:$C$42,MATCH($B492,'Parametri Modello'!$A$39:$A$42,0))=0),0,($O492/INDEX('Parametri Modello'!$C$39:$C$42,MATCH($B492,'Parametri Modello'!$A$39:$A$42,0)))*(INDEX('Parametri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I492" s="26" t="str">
        <f aca="false">IFERROR(INDEX('Input Statistiche 2025_26'!$F$3:$F$665,MATCH($A492,'Input Statistiche 2025_26'!$A$3:$A$665,0)),"")</f>
        <v/>
      </c>
      <c r="J492" s="26" t="str">
        <f aca="false">IFERROR(IF($I492="","",MAX(0,38-$I492)),"")</f>
        <v/>
      </c>
      <c r="K492" s="26" t="str">
        <f aca="false">IFERROR(INDEX('Input Statistiche 2025_26'!$I$3:$I$665,MATCH($A492,'Input Statistiche 2025_26'!$A$3:$A$665,0)),"")</f>
        <v/>
      </c>
      <c r="L492" s="26" t="str">
        <f aca="false">IFERROR(INDEX('Input Statistiche 2025_26'!$O$3:$O$665,MATCH($A492,'Input Statistiche 2025_26'!$A$3:$A$665,0)),"")</f>
        <v/>
      </c>
      <c r="M492" s="28"/>
      <c r="N492" s="27" t="n">
        <f aca="false">IFERROR(INDEX('Input Giocatori 2026_27'!$E$3:$E$493,MATCH($A492,'Input Giocatori 2026_27'!$A$3:$A$493,0)),"")</f>
        <v>1</v>
      </c>
      <c r="O492" s="27" t="n">
        <f aca="false">IFERROR(INDEX('Input Giocatori 2026_27'!$G$3:$G$493,MATCH($A492,'Input Giocatori 2026_27'!$A$3:$A$493,0)),"")</f>
        <v>1</v>
      </c>
      <c r="P492" s="26" t="str">
        <f aca="false">IFERROR(IF($O492="","",IF((1-(COUNTIFS($B$2:$B$492,$B492,$O$2:$O$492,"&gt;"&amp;$O492)+1-1)/COUNTIF($B$2:$B$492,$B492))&gt;=0.85,"Top",IF((1-(COUNTIFS($B$2:$B$492,$B492,$O$2:$O$492,"&gt;"&amp;$O492)+1-1)/COUNTIF($B$2:$B$492,$B492))&gt;=0.6,"Buono",IF((1-(COUNTIFS($B$2:$B$492,$B492,$O$2:$O$492,"&gt;"&amp;$O492)+1-1)/COUNTIF($B$2:$B$492,$B492))&gt;=0.3,"Nella Media","Scommessa/Riserva")))),"")</f>
        <v>Scommessa/Riserva</v>
      </c>
      <c r="Q492" s="29" t="n">
        <f aca="false">IF($D492="",COUNTIF($D$2:$D492,""),"")</f>
        <v>491</v>
      </c>
      <c r="R492" s="29" t="str">
        <f aca="false">IF($D492='Info Lega'!$B$28,COUNTIFS($D$2:$D492,'Info Lega'!$B$28),"")</f>
        <v/>
      </c>
      <c r="S492" s="30" t="str">
        <f aca="false">IFERROR(INDEX('Input Statistiche 2025_26'!$G$3:$G$665,MATCH($A492,'Input Statistiche 2025_26'!$A$3:$A$665,0)),"")</f>
        <v/>
      </c>
      <c r="T492" s="30" t="str">
        <f aca="false">IFERROR(INDEX('Input Statistiche 2025_26'!$H$3:$H$665,MATCH($A492,'Input Statistiche 2025_26'!$A$3:$A$665,0)),"")</f>
        <v/>
      </c>
      <c r="U492" s="26" t="str">
        <f aca="false">IF(OR('La Mia Rosa'!$O$12="",$D492&lt;&gt;""),"",IF($F492&lt;='La Mia Rosa'!$O$12*'Parametri Modello'!$B$24,"OK",IF($F492&lt;='La Mia Rosa'!$O$12*'Parametri Modello'!$B$25,"Attenzione","Rischio Alto")))</f>
        <v>OK</v>
      </c>
      <c r="V492" s="26" t="n">
        <f aca="false">IFERROR(COUNTIFS($B$2:$B$492,$B492,$O$2:$O$492,"&gt;"&amp;$O492)+1,"")</f>
        <v>81</v>
      </c>
      <c r="W492" s="21" t="n">
        <f aca="false">'Info Lega'!$B$4-SUMIFS($M$2:$M$492,$D$2:$D$492,'Info Lega'!$B$28)</f>
        <v>1000</v>
      </c>
      <c r="X492" s="21" t="n">
        <f aca="false">('Info Lega'!$B$5-COUNTIFS($D$2:$D$492,'Info Lega'!$B$28,$B$2:$B$492,"P"))+('Info Lega'!$B$6-COUNTIFS($D$2:$D$492,'Info Lega'!$B$28,$B$2:$B$492,"D"))+('Info Lega'!$B$7-COUNTIFS($D$2:$D$492,'Info Lega'!$B$28,$B$2:$B$492,"C"))+('Info Lega'!$B$8-COUNTIFS($D$2:$D$492,'Info Lega'!$B$28,$B$2:$B$492,"A"))</f>
        <v>25</v>
      </c>
      <c r="Y492" s="21" t="n">
        <f aca="false">X492*'Parametri Modello'!$B$30</f>
        <v>25</v>
      </c>
      <c r="Z492" s="21" t="n">
        <f aca="false">MAX(0,W492-Y492)</f>
        <v>975</v>
      </c>
      <c r="AA492" s="21" t="n">
        <f aca="false">MIN(F492,Z492)</f>
        <v>1</v>
      </c>
      <c r="AB492" s="21"/>
      <c r="AC492" s="21" t="str">
        <f aca="false">IF(AB492="","",IF(AB492&gt;AA492,"PASS",IF(AB492&lt;=AA492*0.85,"BID","ATTENZIONE")))</f>
        <v/>
      </c>
      <c r="AD492" s="31" t="str">
        <f aca="false">IF(I492="","",ROUND(100*(1-EXP(-I492/30)),0))</f>
        <v/>
      </c>
      <c r="AE492" s="7" t="str">
        <f aca="false">IFERROR(INDEX('Stato Asta'!$G$9:$G$12,MATCH($B492,'Stato Asta'!$A$9:$A$12,0)),"")</f>
        <v>🔴 Non aspettare</v>
      </c>
    </row>
  </sheetData>
  <autoFilter ref="A1:R492">
    <sortState ref="A2:R492">
      <sortCondition ref="A2:A492" descending="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8.6328125" defaultRowHeight="14.25" zeroHeight="false" outlineLevelRow="0" outlineLevelCol="0"/>
  <cols>
    <col collapsed="false" customWidth="true" hidden="false" outlineLevel="0" max="1" min="1" style="1" width="22.54"/>
  </cols>
  <sheetData>
    <row r="1" customFormat="false" ht="14.25" hidden="false" customHeight="true" outlineLevel="0" collapsed="false">
      <c r="A1" s="32" t="s">
        <v>94</v>
      </c>
    </row>
    <row r="2" customFormat="false" ht="14.25" hidden="false" customHeight="true" outlineLevel="0" collapsed="false">
      <c r="A2" s="1" t="s">
        <v>95</v>
      </c>
      <c r="B2" s="1" t="s">
        <v>91</v>
      </c>
      <c r="C2" s="33" t="s">
        <v>99</v>
      </c>
    </row>
    <row r="3" customFormat="false" ht="14.25" hidden="false" customHeight="true" outlineLevel="0" collapsed="false">
      <c r="A3" s="1" t="s">
        <v>648</v>
      </c>
      <c r="B3" s="1" t="s">
        <v>93</v>
      </c>
      <c r="C3" s="33" t="s">
        <v>649</v>
      </c>
    </row>
    <row r="4" customFormat="false" ht="14.25" hidden="false" customHeight="true" outlineLevel="0" collapsed="false">
      <c r="A4" s="1" t="s">
        <v>650</v>
      </c>
      <c r="C4" s="33" t="s">
        <v>651</v>
      </c>
    </row>
    <row r="5" customFormat="false" ht="14.25" hidden="false" customHeight="true" outlineLevel="0" collapsed="false">
      <c r="A5" s="1" t="s">
        <v>652</v>
      </c>
      <c r="C5" s="33" t="s">
        <v>653</v>
      </c>
    </row>
    <row r="6" customFormat="false" ht="14.25" hidden="false" customHeight="true" outlineLevel="0" collapsed="false">
      <c r="C6" s="33" t="s">
        <v>654</v>
      </c>
    </row>
    <row r="7" customFormat="false" ht="14.25" hidden="false" customHeight="true" outlineLevel="0" collapsed="false">
      <c r="C7" s="33" t="s">
        <v>655</v>
      </c>
    </row>
    <row r="8" customFormat="false" ht="14.25" hidden="false" customHeight="true" outlineLevel="0" collapsed="false">
      <c r="C8" s="33" t="s">
        <v>656</v>
      </c>
    </row>
    <row r="9" customFormat="false" ht="14.25" hidden="false" customHeight="true" outlineLevel="0" collapsed="false">
      <c r="C9" s="33" t="s">
        <v>657</v>
      </c>
    </row>
    <row r="10" customFormat="false" ht="14.25" hidden="false" customHeight="true" outlineLevel="0" collapsed="false">
      <c r="C10" s="33" t="s">
        <v>651</v>
      </c>
    </row>
    <row r="11" customFormat="false" ht="14.25" hidden="false" customHeight="true" outlineLevel="0" collapsed="false">
      <c r="C11" s="33" t="s">
        <v>658</v>
      </c>
    </row>
    <row r="12" customFormat="false" ht="14.25" hidden="false" customHeight="true" outlineLevel="0" collapsed="false">
      <c r="C12" s="33"/>
    </row>
    <row r="13" customFormat="false" ht="14.25" hidden="false" customHeight="true" outlineLevel="0" collapsed="false">
      <c r="C13" s="33"/>
    </row>
    <row r="14" customFormat="false" ht="14.25" hidden="false" customHeight="true" outlineLevel="0" collapsed="false">
      <c r="C14" s="33"/>
    </row>
    <row r="15" customFormat="false" ht="14.25" hidden="false" customHeight="true" outlineLevel="0" collapsed="false">
      <c r="C15" s="33"/>
    </row>
    <row r="16" customFormat="false" ht="14.25" hidden="false" customHeight="true" outlineLevel="0" collapsed="false">
      <c r="C16" s="33"/>
    </row>
    <row r="17" customFormat="false" ht="14.25" hidden="false" customHeight="true" outlineLevel="0" collapsed="false">
      <c r="C17" s="33"/>
    </row>
    <row r="18" customFormat="false" ht="14.25" hidden="false" customHeight="true" outlineLevel="0" collapsed="false">
      <c r="C18"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45"/>
  </cols>
  <sheetData>
    <row r="1" customFormat="false" ht="15.75" hidden="false" customHeight="true" outlineLevel="0" collapsed="false">
      <c r="A1" s="34" t="s">
        <v>659</v>
      </c>
    </row>
    <row r="3" customFormat="false" ht="32.25" hidden="false" customHeight="true" outlineLevel="0" collapsed="false">
      <c r="A3" s="26" t="s">
        <v>660</v>
      </c>
      <c r="B3" s="35" t="n">
        <v>500</v>
      </c>
      <c r="C3" s="36" t="s">
        <v>661</v>
      </c>
    </row>
    <row r="5" customFormat="false" ht="32.25" hidden="false" customHeight="true" outlineLevel="0" collapsed="false">
      <c r="A5" s="26" t="s">
        <v>662</v>
      </c>
      <c r="B5" s="37" t="n">
        <v>0.15</v>
      </c>
      <c r="C5" s="36" t="s">
        <v>663</v>
      </c>
    </row>
    <row r="7" customFormat="false" ht="21.75" hidden="false" customHeight="true" outlineLevel="0" collapsed="false">
      <c r="A7" s="26" t="s">
        <v>664</v>
      </c>
      <c r="B7" s="37" t="n">
        <v>0.15</v>
      </c>
      <c r="C7" s="36" t="s">
        <v>665</v>
      </c>
    </row>
    <row r="9" customFormat="false" ht="42.75" hidden="false" customHeight="true" outlineLevel="0" collapsed="false">
      <c r="A9" s="26" t="s">
        <v>666</v>
      </c>
      <c r="B9" s="37" t="n">
        <v>0.2</v>
      </c>
      <c r="C9" s="36" t="s">
        <v>667</v>
      </c>
    </row>
    <row r="10" customFormat="false" ht="15" hidden="false" customHeight="true" outlineLevel="0" collapsed="false">
      <c r="A10" s="38" t="s">
        <v>668</v>
      </c>
    </row>
    <row r="11" customFormat="false" ht="15" hidden="false" customHeight="true" outlineLevel="0" collapsed="false">
      <c r="A11" s="25" t="s">
        <v>35</v>
      </c>
      <c r="B11" s="25" t="s">
        <v>669</v>
      </c>
    </row>
    <row r="12" customFormat="false" ht="15" hidden="false" customHeight="true" outlineLevel="0" collapsed="false">
      <c r="A12" s="26" t="s">
        <v>43</v>
      </c>
      <c r="B12" s="37" t="n">
        <v>0.15</v>
      </c>
    </row>
    <row r="13" customFormat="false" ht="15" hidden="false" customHeight="true" outlineLevel="0" collapsed="false">
      <c r="A13" s="26" t="s">
        <v>44</v>
      </c>
      <c r="B13" s="37" t="n">
        <v>0.2</v>
      </c>
    </row>
    <row r="14" customFormat="false" ht="15" hidden="false" customHeight="true" outlineLevel="0" collapsed="false">
      <c r="A14" s="26" t="s">
        <v>45</v>
      </c>
      <c r="B14" s="37" t="n">
        <v>0.25</v>
      </c>
    </row>
    <row r="15" customFormat="false" ht="15" hidden="false" customHeight="true" outlineLevel="0" collapsed="false">
      <c r="A15" s="26" t="s">
        <v>46</v>
      </c>
      <c r="B15" s="37" t="n">
        <v>0.3</v>
      </c>
    </row>
    <row r="16" customFormat="false" ht="15" hidden="false" customHeight="true" outlineLevel="0" collapsed="false">
      <c r="C16" s="39" t="s">
        <v>670</v>
      </c>
    </row>
    <row r="17" customFormat="false" ht="15" hidden="false" customHeight="true" outlineLevel="0" collapsed="false">
      <c r="A17" s="38" t="s">
        <v>671</v>
      </c>
      <c r="C17" s="21" t="s">
        <v>672</v>
      </c>
    </row>
    <row r="18" customFormat="false" ht="15" hidden="false" customHeight="true" outlineLevel="0" collapsed="false">
      <c r="A18" s="25" t="s">
        <v>35</v>
      </c>
      <c r="B18" s="25" t="s">
        <v>673</v>
      </c>
    </row>
    <row r="19" customFormat="false" ht="15" hidden="false" customHeight="true" outlineLevel="0" collapsed="false">
      <c r="A19" s="26" t="s">
        <v>43</v>
      </c>
      <c r="B19" s="30" t="n">
        <f aca="false">IFERROR(AVERAGEIFS('Output Utente'!$T$2:$T$492,'Output Utente'!$B$2:$B$492,"P",'Output Utente'!$T$2:$T$492,"&lt;&gt;",'Output Utente'!$I$2:$I$492,"&gt;="&amp;$B$23),"")</f>
        <v>5.14944444444445</v>
      </c>
    </row>
    <row r="20" customFormat="false" ht="15" hidden="false" customHeight="true" outlineLevel="0" collapsed="false">
      <c r="A20" s="26" t="s">
        <v>44</v>
      </c>
      <c r="B20" s="30" t="n">
        <f aca="false">IFERROR(AVERAGEIFS('Output Utente'!$T$2:$T$492,'Output Utente'!$B$2:$B$492,"D",'Output Utente'!$T$2:$T$492,"&lt;&gt;",'Output Utente'!$I$2:$I$492,"&gt;="&amp;$B$23),"")</f>
        <v>6.02211009174312</v>
      </c>
    </row>
    <row r="21" customFormat="false" ht="15" hidden="false" customHeight="true" outlineLevel="0" collapsed="false">
      <c r="A21" s="26" t="s">
        <v>45</v>
      </c>
      <c r="B21" s="30" t="n">
        <f aca="false">IFERROR(AVERAGEIFS('Output Utente'!$T$2:$T$492,'Output Utente'!$B$2:$B$492,"C",'Output Utente'!$T$2:$T$492,"&lt;&gt;",'Output Utente'!$I$2:$I$492,"&gt;="&amp;$B$23),"")</f>
        <v>6.28050420168067</v>
      </c>
    </row>
    <row r="22" customFormat="false" ht="15" hidden="false" customHeight="true" outlineLevel="0" collapsed="false">
      <c r="A22" s="26" t="s">
        <v>46</v>
      </c>
      <c r="B22" s="30" t="n">
        <f aca="false">IFERROR(AVERAGEIFS('Output Utente'!$T$2:$T$492,'Output Utente'!$B$2:$B$492,"A",'Output Utente'!$T$2:$T$492,"&lt;&gt;",'Output Utente'!$I$2:$I$492,"&gt;="&amp;$B$23),"")</f>
        <v>6.66678571428571</v>
      </c>
    </row>
    <row r="23" customFormat="false" ht="14.25" hidden="false" customHeight="true" outlineLevel="0" collapsed="false">
      <c r="A23" s="26" t="s">
        <v>674</v>
      </c>
      <c r="B23" s="35" t="n">
        <v>10</v>
      </c>
      <c r="C23" s="35" t="s">
        <v>675</v>
      </c>
    </row>
    <row r="24" customFormat="false" ht="42.75" hidden="false" customHeight="true" outlineLevel="0" collapsed="false">
      <c r="A24" s="26" t="s">
        <v>676</v>
      </c>
      <c r="B24" s="40" t="n">
        <v>1.5</v>
      </c>
      <c r="C24" s="36" t="s">
        <v>677</v>
      </c>
    </row>
    <row r="25" customFormat="false" ht="15" hidden="false" customHeight="true" outlineLevel="0" collapsed="false">
      <c r="A25" s="26" t="s">
        <v>678</v>
      </c>
      <c r="B25" s="40" t="n">
        <v>3</v>
      </c>
    </row>
    <row r="27" customFormat="false" ht="74.25" hidden="false" customHeight="true" outlineLevel="0" collapsed="false">
      <c r="A27" s="26" t="s">
        <v>679</v>
      </c>
      <c r="B27" s="35" t="s">
        <v>91</v>
      </c>
      <c r="C27" s="36" t="s">
        <v>680</v>
      </c>
    </row>
    <row r="28" customFormat="false" ht="15" hidden="false" customHeight="true" outlineLevel="0" collapsed="false">
      <c r="A28" s="26" t="s">
        <v>681</v>
      </c>
      <c r="B28" s="37" t="n">
        <v>0.3</v>
      </c>
    </row>
    <row r="29" customFormat="false" ht="14.25" hidden="false" customHeight="true" outlineLevel="0" collapsed="false">
      <c r="A29" s="26" t="s">
        <v>682</v>
      </c>
      <c r="B29" s="35" t="s">
        <v>91</v>
      </c>
      <c r="C29" s="35" t="s">
        <v>683</v>
      </c>
    </row>
    <row r="30" customFormat="false" ht="15" hidden="false" customHeight="true" outlineLevel="0" collapsed="false">
      <c r="A30" s="38" t="s">
        <v>684</v>
      </c>
      <c r="B30" s="21" t="n">
        <v>1</v>
      </c>
      <c r="C30" s="21" t="s">
        <v>685</v>
      </c>
    </row>
    <row r="31" customFormat="false" ht="15" hidden="false" customHeight="true" outlineLevel="0" collapsed="false">
      <c r="A31" s="38" t="s">
        <v>686</v>
      </c>
      <c r="B31" s="38" t="s">
        <v>687</v>
      </c>
      <c r="C31" s="38" t="s">
        <v>688</v>
      </c>
      <c r="D31" s="38" t="s">
        <v>689</v>
      </c>
      <c r="E31" s="38" t="s">
        <v>690</v>
      </c>
      <c r="F31" s="38" t="s">
        <v>691</v>
      </c>
    </row>
    <row r="32" customFormat="false" ht="15" hidden="false" customHeight="true" outlineLevel="0" collapsed="false">
      <c r="A32" s="26" t="s">
        <v>43</v>
      </c>
      <c r="B32" s="26" t="n">
        <f aca="false">'Info Lega'!$B$3*'Info Lega'!$B$5</f>
        <v>24</v>
      </c>
      <c r="C32" s="26" t="n">
        <f aca="false">COUNTIFS('Output Utente'!$B$2:$B$492,"P",'Output Utente'!$D$2:$D$492,"&lt;&gt;")</f>
        <v>0</v>
      </c>
      <c r="D32" s="26" t="n">
        <f aca="false">$B32-$C32</f>
        <v>24</v>
      </c>
      <c r="E32" s="26" t="n">
        <f aca="false">IF($B$29="Si",COUNTIFS('Output Utente'!$B$2:$B$492,"P",'Output Utente'!$D$2:$D$492,"",'Output Utente'!$N$2:$N$492,"&gt;1"),COUNTIFS('Output Utente'!$B$2:$B$492,"P",'Output Utente'!$D$2:$D$492,""))</f>
        <v>24</v>
      </c>
      <c r="F32" s="30" t="n">
        <f aca="false">IFERROR($E32/$D32,"")</f>
        <v>1</v>
      </c>
    </row>
    <row r="33" customFormat="false" ht="15" hidden="false" customHeight="true" outlineLevel="0" collapsed="false">
      <c r="A33" s="26" t="s">
        <v>44</v>
      </c>
      <c r="B33" s="26" t="n">
        <f aca="false">'Info Lega'!$B$3*'Info Lega'!$B$6</f>
        <v>64</v>
      </c>
      <c r="C33" s="26" t="n">
        <f aca="false">COUNTIFS('Output Utente'!$B$2:$B$492,"D",'Output Utente'!$D$2:$D$492,"&lt;&gt;")</f>
        <v>0</v>
      </c>
      <c r="D33" s="26" t="n">
        <f aca="false">$B33-$C33</f>
        <v>64</v>
      </c>
      <c r="E33" s="26" t="n">
        <f aca="false">IF($B$29="Si",COUNTIFS('Output Utente'!$B$2:$B$492,"D",'Output Utente'!$D$2:$D$492,"",'Output Utente'!$N$2:$N$492,"&gt;1"),COUNTIFS('Output Utente'!$B$2:$B$492,"D",'Output Utente'!$D$2:$D$492,""))</f>
        <v>148</v>
      </c>
      <c r="F33" s="30" t="n">
        <f aca="false">IFERROR($E33/$D33,"")</f>
        <v>2.3125</v>
      </c>
    </row>
    <row r="34" customFormat="false" ht="15" hidden="false" customHeight="true" outlineLevel="0" collapsed="false">
      <c r="A34" s="26" t="s">
        <v>45</v>
      </c>
      <c r="B34" s="26" t="n">
        <f aca="false">'Info Lega'!$B$3*'Info Lega'!$B$7</f>
        <v>64</v>
      </c>
      <c r="C34" s="26" t="n">
        <f aca="false">COUNTIFS('Output Utente'!$B$2:$B$492,"C",'Output Utente'!$D$2:$D$492,"&lt;&gt;")</f>
        <v>0</v>
      </c>
      <c r="D34" s="26" t="n">
        <f aca="false">$B34-$C34</f>
        <v>64</v>
      </c>
      <c r="E34" s="26" t="n">
        <f aca="false">IF($B$29="Si",COUNTIFS('Output Utente'!$B$2:$B$492,"C",'Output Utente'!$D$2:$D$492,"",'Output Utente'!$N$2:$N$492,"&gt;1"),COUNTIFS('Output Utente'!$B$2:$B$492,"C",'Output Utente'!$D$2:$D$492,""))</f>
        <v>155</v>
      </c>
      <c r="F34" s="30" t="n">
        <f aca="false">IFERROR($E34/$D34,"")</f>
        <v>2.421875</v>
      </c>
    </row>
    <row r="35" customFormat="false" ht="15" hidden="false" customHeight="true" outlineLevel="0" collapsed="false">
      <c r="A35" s="26" t="s">
        <v>46</v>
      </c>
      <c r="B35" s="26" t="n">
        <f aca="false">'Info Lega'!$B$3*'Info Lega'!$B$8</f>
        <v>48</v>
      </c>
      <c r="C35" s="26" t="n">
        <f aca="false">COUNTIFS('Output Utente'!$B$2:$B$492,"A",'Output Utente'!$D$2:$D$492,"&lt;&gt;")</f>
        <v>0</v>
      </c>
      <c r="D35" s="26" t="n">
        <f aca="false">$B35-$C35</f>
        <v>48</v>
      </c>
      <c r="E35" s="26" t="n">
        <f aca="false">IF($B$29="Si",COUNTIFS('Output Utente'!$B$2:$B$492,"A",'Output Utente'!$D$2:$D$492,"",'Output Utente'!$N$2:$N$492,"&gt;1"),COUNTIFS('Output Utente'!$B$2:$B$492,"A",'Output Utente'!$D$2:$D$492,""))</f>
        <v>77</v>
      </c>
      <c r="F35" s="30" t="n">
        <f aca="false">IFERROR($E35/$D35,"")</f>
        <v>1.60416666666667</v>
      </c>
    </row>
    <row r="37" customFormat="false" ht="53.25" hidden="false" customHeight="true" outlineLevel="0" collapsed="false">
      <c r="A37" s="38" t="s">
        <v>692</v>
      </c>
      <c r="C37" s="36" t="s">
        <v>693</v>
      </c>
    </row>
    <row r="38" customFormat="false" ht="15" hidden="false" customHeight="true" outlineLevel="0" collapsed="false">
      <c r="A38" s="25" t="s">
        <v>35</v>
      </c>
      <c r="B38" s="25" t="s">
        <v>694</v>
      </c>
      <c r="C38" s="25" t="s">
        <v>695</v>
      </c>
    </row>
    <row r="39" customFormat="false" ht="15" hidden="false" customHeight="true" outlineLevel="0" collapsed="false">
      <c r="A39" s="26" t="s">
        <v>43</v>
      </c>
      <c r="B39" s="26" t="n">
        <f aca="false">$B$32</f>
        <v>24</v>
      </c>
      <c r="C39" s="26" t="n">
        <f aca="false">SUMIFS('Output Utente'!$O$2:$O$492,'Output Utente'!$B$2:$B$492,"P",'Output Utente'!$V$2:$V$492,"&lt;="&amp;$B39)</f>
        <v>689</v>
      </c>
    </row>
    <row r="40" customFormat="false" ht="15" hidden="false" customHeight="true" outlineLevel="0" collapsed="false">
      <c r="A40" s="26" t="s">
        <v>44</v>
      </c>
      <c r="B40" s="26" t="n">
        <f aca="false">$B$33</f>
        <v>64</v>
      </c>
      <c r="C40" s="26" t="n">
        <f aca="false">SUMIFS('Output Utente'!$O$2:$O$492,'Output Utente'!$B$2:$B$492,"D",'Output Utente'!$V$2:$V$492,"&lt;="&amp;$B40)</f>
        <v>1998</v>
      </c>
    </row>
    <row r="41" customFormat="false" ht="15" hidden="false" customHeight="true" outlineLevel="0" collapsed="false">
      <c r="A41" s="26" t="s">
        <v>45</v>
      </c>
      <c r="B41" s="26" t="n">
        <f aca="false">$B$34</f>
        <v>64</v>
      </c>
      <c r="C41" s="26" t="n">
        <f aca="false">SUMIFS('Output Utente'!$O$2:$O$492,'Output Utente'!$B$2:$B$492,"C",'Output Utente'!$V$2:$V$492,"&lt;="&amp;$B41)</f>
        <v>3678</v>
      </c>
    </row>
    <row r="42" customFormat="false" ht="15" hidden="false" customHeight="true" outlineLevel="0" collapsed="false">
      <c r="A42" s="26" t="s">
        <v>46</v>
      </c>
      <c r="B42" s="26" t="n">
        <f aca="false">$B$35</f>
        <v>48</v>
      </c>
      <c r="C42" s="26" t="n">
        <f aca="false">SUMIFS('Output Utente'!$O$2:$O$492,'Output Utente'!$B$2:$B$492,"A",'Output Utente'!$V$2:$V$492,"&lt;="&amp;$B42)</f>
        <v>4604</v>
      </c>
    </row>
    <row r="43" customFormat="false" ht="35.25" hidden="false" customHeight="true" outlineLevel="0" collapsed="false">
      <c r="A43" s="38" t="s">
        <v>696</v>
      </c>
      <c r="B43" s="38" t="n">
        <f aca="false">SUM($C$39:$C$42)</f>
        <v>10969</v>
      </c>
      <c r="C43" s="41" t="s">
        <v>697</v>
      </c>
    </row>
    <row r="44" customFormat="false" ht="15" hidden="false" customHeight="true" outlineLevel="0" collapsed="false">
      <c r="A44" s="26" t="s">
        <v>698</v>
      </c>
      <c r="B44" s="38" t="n">
        <f aca="false">'Info Lega'!$B$3*'Info Lega'!$B$4</f>
        <v>8000</v>
      </c>
    </row>
    <row r="46" customFormat="false" ht="32.25" hidden="false" customHeight="true" outlineLevel="0" collapsed="false">
      <c r="A46" s="7" t="s">
        <v>699</v>
      </c>
      <c r="B46" s="42" t="n">
        <v>2</v>
      </c>
      <c r="C46" s="43" t="s">
        <v>700</v>
      </c>
    </row>
    <row r="47" customFormat="false" ht="14.25" hidden="false" customHeight="true" outlineLevel="0" collapsed="false">
      <c r="A47" s="7" t="s">
        <v>701</v>
      </c>
      <c r="B47" s="42" t="n">
        <v>1</v>
      </c>
    </row>
    <row r="48" customFormat="false" ht="43.25" hidden="false" customHeight="false" outlineLevel="0" collapsed="false">
      <c r="A48" s="44" t="s">
        <v>702</v>
      </c>
      <c r="C48" s="43" t="s">
        <v>703</v>
      </c>
    </row>
    <row r="49" customFormat="false" ht="14.25" hidden="false" customHeight="false" outlineLevel="0" collapsed="false">
      <c r="A49" s="45" t="s">
        <v>35</v>
      </c>
      <c r="B49" s="45" t="s">
        <v>704</v>
      </c>
    </row>
    <row r="50" customFormat="false" ht="14.25" hidden="false" customHeight="false" outlineLevel="0" collapsed="false">
      <c r="A50" s="46" t="s">
        <v>43</v>
      </c>
      <c r="B50" s="47" t="n">
        <v>0.093</v>
      </c>
    </row>
    <row r="51" customFormat="false" ht="14.25" hidden="false" customHeight="false" outlineLevel="0" collapsed="false">
      <c r="A51" s="46" t="s">
        <v>44</v>
      </c>
      <c r="B51" s="47" t="n">
        <v>0.116</v>
      </c>
    </row>
    <row r="52" customFormat="false" ht="14.25" hidden="false" customHeight="false" outlineLevel="0" collapsed="false">
      <c r="A52" s="46" t="s">
        <v>45</v>
      </c>
      <c r="B52" s="47" t="n">
        <v>0.278</v>
      </c>
    </row>
    <row r="53" customFormat="false" ht="14.25" hidden="false" customHeight="false" outlineLevel="0" collapsed="false">
      <c r="A53" s="46" t="s">
        <v>46</v>
      </c>
      <c r="B53" s="47" t="n">
        <v>0.515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7"/>
    <col collapsed="false" customWidth="true" hidden="false" outlineLevel="0" max="3" min="3" style="1" width="4"/>
    <col collapsed="false" customWidth="true" hidden="false" outlineLevel="0" max="4" min="4" style="1" width="20"/>
    <col collapsed="false" customWidth="true" hidden="false" outlineLevel="0" max="5" min="5" style="1" width="16"/>
    <col collapsed="false" customWidth="true" hidden="false" outlineLevel="0" max="6" min="6" style="1" width="7"/>
    <col collapsed="false" customWidth="true" hidden="false" outlineLevel="0" max="7" min="7" style="1" width="9"/>
    <col collapsed="false" customWidth="true" hidden="false" outlineLevel="0" max="8" min="8" style="1" width="16"/>
    <col collapsed="false" customWidth="true" hidden="false" outlineLevel="0" max="9" min="9" style="1" width="11"/>
    <col collapsed="false" customWidth="true" hidden="false" outlineLevel="0" max="11" min="10" style="1" width="13"/>
    <col collapsed="false" customWidth="true" hidden="false" outlineLevel="0" max="12" min="12" style="1" width="10"/>
    <col collapsed="false" customWidth="true" hidden="false" outlineLevel="0" max="13" min="13" style="1" width="14"/>
    <col collapsed="false" customWidth="true" hidden="false" outlineLevel="0" max="14" min="14" style="1" width="18"/>
  </cols>
  <sheetData>
    <row r="1" customFormat="false" ht="21.75" hidden="false" customHeight="true" outlineLevel="0" collapsed="false">
      <c r="A1" s="48" t="s">
        <v>705</v>
      </c>
      <c r="B1" s="48"/>
      <c r="C1" s="48"/>
      <c r="D1" s="48"/>
      <c r="E1" s="48"/>
      <c r="F1" s="48"/>
      <c r="G1" s="48"/>
      <c r="H1" s="48"/>
      <c r="I1" s="48"/>
      <c r="J1" s="48"/>
      <c r="K1" s="48"/>
    </row>
    <row r="3" customFormat="false" ht="15" hidden="false" customHeight="true" outlineLevel="0" collapsed="false">
      <c r="A3" s="12" t="s">
        <v>706</v>
      </c>
      <c r="B3" s="12" t="s">
        <v>105</v>
      </c>
      <c r="C3" s="12" t="s">
        <v>106</v>
      </c>
      <c r="D3" s="12" t="s">
        <v>107</v>
      </c>
      <c r="E3" s="12" t="s">
        <v>707</v>
      </c>
      <c r="F3" s="12" t="s">
        <v>109</v>
      </c>
      <c r="G3" s="12" t="s">
        <v>111</v>
      </c>
      <c r="H3" s="12" t="s">
        <v>20</v>
      </c>
      <c r="I3" s="12" t="s">
        <v>625</v>
      </c>
      <c r="J3" s="12" t="s">
        <v>626</v>
      </c>
      <c r="K3" s="12" t="s">
        <v>627</v>
      </c>
      <c r="L3" s="12" t="s">
        <v>624</v>
      </c>
      <c r="M3" s="12" t="s">
        <v>708</v>
      </c>
      <c r="N3" s="12" t="s">
        <v>647</v>
      </c>
    </row>
    <row r="4" customFormat="false" ht="15" hidden="false" customHeight="true" outlineLevel="0" collapsed="false">
      <c r="A4" s="49" t="n">
        <v>1</v>
      </c>
      <c r="B4" s="7" t="n">
        <f aca="false">IFERROR(INDEX('Output Utente'!$A$2:$A$492,MATCH(1,'Output Utente'!$Q$2:$Q$492,0)),"")</f>
        <v>2764</v>
      </c>
      <c r="C4" s="7" t="str">
        <f aca="false">IFERROR(INDEX('Output Utente'!$B$2:$B$492,MATCH(1,'Output Utente'!$Q$2:$Q$492,0)),"")</f>
        <v>A</v>
      </c>
      <c r="D4" s="7" t="str">
        <f aca="false">IFERROR(INDEX('Output Utente'!$C$2:$C$492,MATCH(1,'Output Utente'!$Q$2:$Q$492,0)),"")</f>
        <v>Martinez L.</v>
      </c>
      <c r="E4" s="7" t="str">
        <f aca="false">IFERROR(INDEX('Input Giocatori 2026_27'!$D$3:$D$493,MATCH($B4,'Input Giocatori 2026_27'!$A$3:$A$493,0)),"")</f>
        <v>Inter</v>
      </c>
      <c r="F4" s="50" t="n">
        <f aca="false">IFERROR(INDEX('Output Utente'!$N$2:$N$492,MATCH(1,'Output Utente'!$Q$2:$Q$492,0)),"")</f>
        <v>35</v>
      </c>
      <c r="G4" s="50" t="n">
        <f aca="false">IFERROR(INDEX('Output Utente'!$O$2:$O$492,MATCH(1,'Output Utente'!$Q$2:$Q$492,0)),"")</f>
        <v>370</v>
      </c>
      <c r="H4" s="7" t="str">
        <f aca="false">IFERROR(INDEX('Output Utente'!$P$2:$P$492,MATCH(1,'Output Utente'!$Q$2:$Q$492,0)),"")</f>
        <v>Top</v>
      </c>
      <c r="I4" s="50" t="n">
        <f aca="false">IFERROR(INDEX('Output Utente'!$F$2:$F$492,MATCH(1,'Output Utente'!$Q$2:$Q$492,0)),"")</f>
        <v>345</v>
      </c>
      <c r="J4" s="50" t="n">
        <f aca="false">IFERROR(INDEX('Output Utente'!$G$2:$G$492,MATCH(1,'Output Utente'!$Q$2:$Q$492,0)),"")</f>
        <v>215</v>
      </c>
      <c r="K4" s="50" t="n">
        <f aca="false">IFERROR(INDEX('Output Utente'!$H$2:$H$492,MATCH(1,'Output Utente'!$Q$2:$Q$492,0)),"")</f>
        <v>400</v>
      </c>
      <c r="L4" s="7" t="str">
        <f aca="false">IFERROR(INDEX('Output Utente'!$E$2:$E$492,MATCH(1,'Output Utente'!$Q$2:$Q$492,0)),"")</f>
        <v>NO</v>
      </c>
      <c r="M4" s="7" t="str">
        <f aca="false">IFERROR(INDEX('Output Utente'!$U$2:$U$492,MATCH(1,'Output Utente'!$Q$2:$Q$492,0)),"")</f>
        <v>Rischio Alto</v>
      </c>
      <c r="N4" s="7" t="str">
        <f aca="false">IFERROR(INDEX('Output Utente'!$AE$2:$AE$492,MATCH(1,'Output Utente'!$Q$2:$Q$492,0)),"")</f>
        <v>🔴 Non aspettare</v>
      </c>
    </row>
    <row r="5" customFormat="false" ht="15" hidden="false" customHeight="true" outlineLevel="0" collapsed="false">
      <c r="A5" s="49" t="n">
        <v>2</v>
      </c>
      <c r="B5" s="7" t="n">
        <f aca="false">IFERROR(INDEX('Output Utente'!$A$2:$A$492,MATCH(2,'Output Utente'!$Q$2:$Q$492,0)),"")</f>
        <v>5585</v>
      </c>
      <c r="C5" s="7" t="str">
        <f aca="false">IFERROR(INDEX('Output Utente'!$B$2:$B$492,MATCH(2,'Output Utente'!$Q$2:$Q$492,0)),"")</f>
        <v>A</v>
      </c>
      <c r="D5" s="7" t="str">
        <f aca="false">IFERROR(INDEX('Output Utente'!$C$2:$C$492,MATCH(2,'Output Utente'!$Q$2:$Q$492,0)),"")</f>
        <v>Malen</v>
      </c>
      <c r="E5" s="7" t="str">
        <f aca="false">IFERROR(INDEX('Input Giocatori 2026_27'!$D$3:$D$493,MATCH($B5,'Input Giocatori 2026_27'!$A$3:$A$493,0)),"")</f>
        <v>Roma</v>
      </c>
      <c r="F5" s="50" t="n">
        <f aca="false">IFERROR(INDEX('Output Utente'!$N$2:$N$492,MATCH(2,'Output Utente'!$Q$2:$Q$492,0)),"")</f>
        <v>34</v>
      </c>
      <c r="G5" s="50" t="n">
        <f aca="false">IFERROR(INDEX('Output Utente'!$O$2:$O$492,MATCH(2,'Output Utente'!$Q$2:$Q$492,0)),"")</f>
        <v>365</v>
      </c>
      <c r="H5" s="7" t="str">
        <f aca="false">IFERROR(INDEX('Output Utente'!$P$2:$P$492,MATCH(2,'Output Utente'!$Q$2:$Q$492,0)),"")</f>
        <v>Top</v>
      </c>
      <c r="I5" s="50" t="n">
        <f aca="false">IFERROR(INDEX('Output Utente'!$F$2:$F$492,MATCH(2,'Output Utente'!$Q$2:$Q$492,0)),"")</f>
        <v>347</v>
      </c>
      <c r="J5" s="50" t="n">
        <f aca="false">IFERROR(INDEX('Output Utente'!$G$2:$G$492,MATCH(2,'Output Utente'!$Q$2:$Q$492,0)),"")</f>
        <v>217</v>
      </c>
      <c r="K5" s="50" t="n">
        <f aca="false">IFERROR(INDEX('Output Utente'!$H$2:$H$492,MATCH(2,'Output Utente'!$Q$2:$Q$492,0)),"")</f>
        <v>403</v>
      </c>
      <c r="L5" s="7" t="str">
        <f aca="false">IFERROR(INDEX('Output Utente'!$E$2:$E$492,MATCH(2,'Output Utente'!$Q$2:$Q$492,0)),"")</f>
        <v>NO</v>
      </c>
      <c r="M5" s="7" t="str">
        <f aca="false">IFERROR(INDEX('Output Utente'!$U$2:$U$492,MATCH(2,'Output Utente'!$Q$2:$Q$492,0)),"")</f>
        <v>Rischio Alto</v>
      </c>
      <c r="N5" s="7" t="str">
        <f aca="false">IFERROR(INDEX('Output Utente'!$AE$2:$AE$492,MATCH(2,'Output Utente'!$Q$2:$Q$492,0)),"")</f>
        <v>🔴 Non aspettare</v>
      </c>
    </row>
    <row r="6" customFormat="false" ht="15" hidden="false" customHeight="true" outlineLevel="0" collapsed="false">
      <c r="A6" s="49" t="n">
        <v>3</v>
      </c>
      <c r="B6" s="7" t="n">
        <f aca="false">IFERROR(INDEX('Output Utente'!$A$2:$A$492,MATCH(3,'Output Utente'!$Q$2:$Q$492,0)),"")</f>
        <v>4871</v>
      </c>
      <c r="C6" s="7" t="str">
        <f aca="false">IFERROR(INDEX('Output Utente'!$B$2:$B$492,MATCH(3,'Output Utente'!$Q$2:$Q$492,0)),"")</f>
        <v>A</v>
      </c>
      <c r="D6" s="7" t="str">
        <f aca="false">IFERROR(INDEX('Output Utente'!$C$2:$C$492,MATCH(3,'Output Utente'!$Q$2:$Q$492,0)),"")</f>
        <v>Thuram</v>
      </c>
      <c r="E6" s="7" t="str">
        <f aca="false">IFERROR(INDEX('Input Giocatori 2026_27'!$D$3:$D$493,MATCH($B6,'Input Giocatori 2026_27'!$A$3:$A$493,0)),"")</f>
        <v>Inter</v>
      </c>
      <c r="F6" s="50" t="n">
        <f aca="false">IFERROR(INDEX('Output Utente'!$N$2:$N$492,MATCH(3,'Output Utente'!$Q$2:$Q$492,0)),"")</f>
        <v>29</v>
      </c>
      <c r="G6" s="50" t="n">
        <f aca="false">IFERROR(INDEX('Output Utente'!$O$2:$O$492,MATCH(3,'Output Utente'!$Q$2:$Q$492,0)),"")</f>
        <v>280</v>
      </c>
      <c r="H6" s="7" t="str">
        <f aca="false">IFERROR(INDEX('Output Utente'!$P$2:$P$492,MATCH(3,'Output Utente'!$Q$2:$Q$492,0)),"")</f>
        <v>Top</v>
      </c>
      <c r="I6" s="50" t="n">
        <f aca="false">IFERROR(INDEX('Output Utente'!$F$2:$F$492,MATCH(3,'Output Utente'!$Q$2:$Q$492,0)),"")</f>
        <v>259</v>
      </c>
      <c r="J6" s="50" t="n">
        <f aca="false">IFERROR(INDEX('Output Utente'!$G$2:$G$492,MATCH(3,'Output Utente'!$Q$2:$Q$492,0)),"")</f>
        <v>162</v>
      </c>
      <c r="K6" s="50" t="n">
        <f aca="false">IFERROR(INDEX('Output Utente'!$H$2:$H$492,MATCH(3,'Output Utente'!$Q$2:$Q$492,0)),"")</f>
        <v>300</v>
      </c>
      <c r="L6" s="7" t="str">
        <f aca="false">IFERROR(INDEX('Output Utente'!$E$2:$E$492,MATCH(3,'Output Utente'!$Q$2:$Q$492,0)),"")</f>
        <v>NO</v>
      </c>
      <c r="M6" s="7" t="str">
        <f aca="false">IFERROR(INDEX('Output Utente'!$U$2:$U$492,MATCH(3,'Output Utente'!$Q$2:$Q$492,0)),"")</f>
        <v>Rischio Alto</v>
      </c>
      <c r="N6" s="7" t="str">
        <f aca="false">IFERROR(INDEX('Output Utente'!$AE$2:$AE$492,MATCH(3,'Output Utente'!$Q$2:$Q$492,0)),"")</f>
        <v>🔴 Non aspettare</v>
      </c>
    </row>
    <row r="7" customFormat="false" ht="15" hidden="false" customHeight="true" outlineLevel="0" collapsed="false">
      <c r="A7" s="49" t="n">
        <v>4</v>
      </c>
      <c r="B7" s="7" t="n">
        <f aca="false">IFERROR(INDEX('Output Utente'!$A$2:$A$492,MATCH(4,'Output Utente'!$Q$2:$Q$492,0)),"")</f>
        <v>6052</v>
      </c>
      <c r="C7" s="7" t="str">
        <f aca="false">IFERROR(INDEX('Output Utente'!$B$2:$B$492,MATCH(4,'Output Utente'!$Q$2:$Q$492,0)),"")</f>
        <v>A</v>
      </c>
      <c r="D7" s="7" t="str">
        <f aca="false">IFERROR(INDEX('Output Utente'!$C$2:$C$492,MATCH(4,'Output Utente'!$Q$2:$Q$492,0)),"")</f>
        <v>Hojlund</v>
      </c>
      <c r="E7" s="7" t="str">
        <f aca="false">IFERROR(INDEX('Input Giocatori 2026_27'!$D$3:$D$493,MATCH($B7,'Input Giocatori 2026_27'!$A$3:$A$493,0)),"")</f>
        <v>Napoli</v>
      </c>
      <c r="F7" s="50" t="n">
        <f aca="false">IFERROR(INDEX('Output Utente'!$N$2:$N$492,MATCH(4,'Output Utente'!$Q$2:$Q$492,0)),"")</f>
        <v>28</v>
      </c>
      <c r="G7" s="50" t="n">
        <f aca="false">IFERROR(INDEX('Output Utente'!$O$2:$O$492,MATCH(4,'Output Utente'!$Q$2:$Q$492,0)),"")</f>
        <v>271</v>
      </c>
      <c r="H7" s="7" t="str">
        <f aca="false">IFERROR(INDEX('Output Utente'!$P$2:$P$492,MATCH(4,'Output Utente'!$Q$2:$Q$492,0)),"")</f>
        <v>Top</v>
      </c>
      <c r="I7" s="50" t="n">
        <f aca="false">IFERROR(INDEX('Output Utente'!$F$2:$F$492,MATCH(4,'Output Utente'!$Q$2:$Q$492,0)),"")</f>
        <v>246</v>
      </c>
      <c r="J7" s="50" t="n">
        <f aca="false">IFERROR(INDEX('Output Utente'!$G$2:$G$492,MATCH(4,'Output Utente'!$Q$2:$Q$492,0)),"")</f>
        <v>154</v>
      </c>
      <c r="K7" s="50" t="n">
        <f aca="false">IFERROR(INDEX('Output Utente'!$H$2:$H$492,MATCH(4,'Output Utente'!$Q$2:$Q$492,0)),"")</f>
        <v>286</v>
      </c>
      <c r="L7" s="7" t="str">
        <f aca="false">IFERROR(INDEX('Output Utente'!$E$2:$E$492,MATCH(4,'Output Utente'!$Q$2:$Q$492,0)),"")</f>
        <v>NO</v>
      </c>
      <c r="M7" s="7" t="str">
        <f aca="false">IFERROR(INDEX('Output Utente'!$U$2:$U$492,MATCH(4,'Output Utente'!$Q$2:$Q$492,0)),"")</f>
        <v>Rischio Alto</v>
      </c>
      <c r="N7" s="7" t="str">
        <f aca="false">IFERROR(INDEX('Output Utente'!$AE$2:$AE$492,MATCH(4,'Output Utente'!$Q$2:$Q$492,0)),"")</f>
        <v>🔴 Non aspettare</v>
      </c>
    </row>
    <row r="8" customFormat="false" ht="15" hidden="false" customHeight="true" outlineLevel="0" collapsed="false">
      <c r="A8" s="49" t="n">
        <v>5</v>
      </c>
      <c r="B8" s="7" t="n">
        <f aca="false">IFERROR(INDEX('Output Utente'!$A$2:$A$492,MATCH(5,'Output Utente'!$Q$2:$Q$492,0)),"")</f>
        <v>254</v>
      </c>
      <c r="C8" s="7" t="str">
        <f aca="false">IFERROR(INDEX('Output Utente'!$B$2:$B$492,MATCH(5,'Output Utente'!$Q$2:$Q$492,0)),"")</f>
        <v>D</v>
      </c>
      <c r="D8" s="7" t="str">
        <f aca="false">IFERROR(INDEX('Output Utente'!$C$2:$C$492,MATCH(5,'Output Utente'!$Q$2:$Q$492,0)),"")</f>
        <v>Dimarco</v>
      </c>
      <c r="E8" s="7" t="str">
        <f aca="false">IFERROR(INDEX('Input Giocatori 2026_27'!$D$3:$D$493,MATCH($B8,'Input Giocatori 2026_27'!$A$3:$A$493,0)),"")</f>
        <v>Inter</v>
      </c>
      <c r="F8" s="50" t="n">
        <f aca="false">IFERROR(INDEX('Output Utente'!$N$2:$N$492,MATCH(5,'Output Utente'!$Q$2:$Q$492,0)),"")</f>
        <v>32</v>
      </c>
      <c r="G8" s="50" t="n">
        <f aca="false">IFERROR(INDEX('Output Utente'!$O$2:$O$492,MATCH(5,'Output Utente'!$Q$2:$Q$492,0)),"")</f>
        <v>265</v>
      </c>
      <c r="H8" s="7" t="str">
        <f aca="false">IFERROR(INDEX('Output Utente'!$P$2:$P$492,MATCH(5,'Output Utente'!$Q$2:$Q$492,0)),"")</f>
        <v>Top</v>
      </c>
      <c r="I8" s="50" t="n">
        <f aca="false">IFERROR(INDEX('Output Utente'!$F$2:$F$492,MATCH(5,'Output Utente'!$Q$2:$Q$492,0)),"")</f>
        <v>134</v>
      </c>
      <c r="J8" s="50" t="n">
        <f aca="false">IFERROR(INDEX('Output Utente'!$G$2:$G$492,MATCH(5,'Output Utente'!$Q$2:$Q$492,0)),"")</f>
        <v>99</v>
      </c>
      <c r="K8" s="50" t="n">
        <f aca="false">IFERROR(INDEX('Output Utente'!$H$2:$H$492,MATCH(5,'Output Utente'!$Q$2:$Q$492,0)),"")</f>
        <v>149</v>
      </c>
      <c r="L8" s="7" t="str">
        <f aca="false">IFERROR(INDEX('Output Utente'!$E$2:$E$492,MATCH(5,'Output Utente'!$Q$2:$Q$492,0)),"")</f>
        <v>NO</v>
      </c>
      <c r="M8" s="7" t="str">
        <f aca="false">IFERROR(INDEX('Output Utente'!$U$2:$U$492,MATCH(5,'Output Utente'!$Q$2:$Q$492,0)),"")</f>
        <v>Rischio Alto</v>
      </c>
      <c r="N8" s="7" t="str">
        <f aca="false">IFERROR(INDEX('Output Utente'!$AE$2:$AE$492,MATCH(5,'Output Utente'!$Q$2:$Q$492,0)),"")</f>
        <v>🟡 Attesa rischiosa</v>
      </c>
    </row>
    <row r="9" customFormat="false" ht="15" hidden="false" customHeight="true" outlineLevel="0" collapsed="false">
      <c r="A9" s="49" t="n">
        <v>6</v>
      </c>
      <c r="B9" s="7" t="n">
        <f aca="false">IFERROR(INDEX('Output Utente'!$A$2:$A$492,MATCH(6,'Output Utente'!$Q$2:$Q$492,0)),"")</f>
        <v>6875</v>
      </c>
      <c r="C9" s="7" t="str">
        <f aca="false">IFERROR(INDEX('Output Utente'!$B$2:$B$492,MATCH(6,'Output Utente'!$Q$2:$Q$492,0)),"")</f>
        <v>C</v>
      </c>
      <c r="D9" s="7" t="str">
        <f aca="false">IFERROR(INDEX('Output Utente'!$C$2:$C$492,MATCH(6,'Output Utente'!$Q$2:$Q$492,0)),"")</f>
        <v>Paz N.</v>
      </c>
      <c r="E9" s="7" t="str">
        <f aca="false">IFERROR(INDEX('Input Giocatori 2026_27'!$D$3:$D$493,MATCH($B9,'Input Giocatori 2026_27'!$A$3:$A$493,0)),"")</f>
        <v>Como</v>
      </c>
      <c r="F9" s="50" t="n">
        <f aca="false">IFERROR(INDEX('Output Utente'!$N$2:$N$492,MATCH(6,'Output Utente'!$Q$2:$Q$492,0)),"")</f>
        <v>30</v>
      </c>
      <c r="G9" s="50" t="n">
        <f aca="false">IFERROR(INDEX('Output Utente'!$O$2:$O$492,MATCH(6,'Output Utente'!$Q$2:$Q$492,0)),"")</f>
        <v>250</v>
      </c>
      <c r="H9" s="7" t="str">
        <f aca="false">IFERROR(INDEX('Output Utente'!$P$2:$P$492,MATCH(6,'Output Utente'!$Q$2:$Q$492,0)),"")</f>
        <v>Top</v>
      </c>
      <c r="I9" s="50" t="n">
        <f aca="false">IFERROR(INDEX('Output Utente'!$F$2:$F$492,MATCH(6,'Output Utente'!$Q$2:$Q$492,0)),"")</f>
        <v>142</v>
      </c>
      <c r="J9" s="50" t="n">
        <f aca="false">IFERROR(INDEX('Output Utente'!$G$2:$G$492,MATCH(6,'Output Utente'!$Q$2:$Q$492,0)),"")</f>
        <v>96</v>
      </c>
      <c r="K9" s="50" t="n">
        <f aca="false">IFERROR(INDEX('Output Utente'!$H$2:$H$492,MATCH(6,'Output Utente'!$Q$2:$Q$492,0)),"")</f>
        <v>161</v>
      </c>
      <c r="L9" s="7" t="str">
        <f aca="false">IFERROR(INDEX('Output Utente'!$E$2:$E$492,MATCH(6,'Output Utente'!$Q$2:$Q$492,0)),"")</f>
        <v>NO</v>
      </c>
      <c r="M9" s="7" t="str">
        <f aca="false">IFERROR(INDEX('Output Utente'!$U$2:$U$492,MATCH(6,'Output Utente'!$Q$2:$Q$492,0)),"")</f>
        <v>Rischio Alto</v>
      </c>
      <c r="N9" s="7" t="str">
        <f aca="false">IFERROR(INDEX('Output Utente'!$AE$2:$AE$492,MATCH(6,'Output Utente'!$Q$2:$Q$492,0)),"")</f>
        <v>🟡 Attesa rischiosa</v>
      </c>
    </row>
    <row r="10" customFormat="false" ht="15" hidden="false" customHeight="true" outlineLevel="0" collapsed="false">
      <c r="A10" s="49" t="n">
        <v>7</v>
      </c>
      <c r="B10" s="7" t="n">
        <f aca="false">IFERROR(INDEX('Output Utente'!$A$2:$A$492,MATCH(7,'Output Utente'!$Q$2:$Q$492,0)),"")</f>
        <v>4777</v>
      </c>
      <c r="C10" s="7" t="str">
        <f aca="false">IFERROR(INDEX('Output Utente'!$B$2:$B$492,MATCH(7,'Output Utente'!$Q$2:$Q$492,0)),"")</f>
        <v>C</v>
      </c>
      <c r="D10" s="7" t="str">
        <f aca="false">IFERROR(INDEX('Output Utente'!$C$2:$C$492,MATCH(7,'Output Utente'!$Q$2:$Q$492,0)),"")</f>
        <v>McTominay</v>
      </c>
      <c r="E10" s="7" t="str">
        <f aca="false">IFERROR(INDEX('Input Giocatori 2026_27'!$D$3:$D$493,MATCH($B10,'Input Giocatori 2026_27'!$A$3:$A$493,0)),"")</f>
        <v>Napoli</v>
      </c>
      <c r="F10" s="50" t="n">
        <f aca="false">IFERROR(INDEX('Output Utente'!$N$2:$N$492,MATCH(7,'Output Utente'!$Q$2:$Q$492,0)),"")</f>
        <v>28</v>
      </c>
      <c r="G10" s="50" t="n">
        <f aca="false">IFERROR(INDEX('Output Utente'!$O$2:$O$492,MATCH(7,'Output Utente'!$Q$2:$Q$492,0)),"")</f>
        <v>240</v>
      </c>
      <c r="H10" s="7" t="str">
        <f aca="false">IFERROR(INDEX('Output Utente'!$P$2:$P$492,MATCH(7,'Output Utente'!$Q$2:$Q$492,0)),"")</f>
        <v>Top</v>
      </c>
      <c r="I10" s="50" t="n">
        <f aca="false">IFERROR(INDEX('Output Utente'!$F$2:$F$492,MATCH(7,'Output Utente'!$Q$2:$Q$492,0)),"")</f>
        <v>135</v>
      </c>
      <c r="J10" s="50" t="n">
        <f aca="false">IFERROR(INDEX('Output Utente'!$G$2:$G$492,MATCH(7,'Output Utente'!$Q$2:$Q$492,0)),"")</f>
        <v>92</v>
      </c>
      <c r="K10" s="50" t="n">
        <f aca="false">IFERROR(INDEX('Output Utente'!$H$2:$H$492,MATCH(7,'Output Utente'!$Q$2:$Q$492,0)),"")</f>
        <v>154</v>
      </c>
      <c r="L10" s="7" t="str">
        <f aca="false">IFERROR(INDEX('Output Utente'!$E$2:$E$492,MATCH(7,'Output Utente'!$Q$2:$Q$492,0)),"")</f>
        <v>NO</v>
      </c>
      <c r="M10" s="7" t="str">
        <f aca="false">IFERROR(INDEX('Output Utente'!$U$2:$U$492,MATCH(7,'Output Utente'!$Q$2:$Q$492,0)),"")</f>
        <v>Rischio Alto</v>
      </c>
      <c r="N10" s="7" t="str">
        <f aca="false">IFERROR(INDEX('Output Utente'!$AE$2:$AE$492,MATCH(7,'Output Utente'!$Q$2:$Q$492,0)),"")</f>
        <v>🟡 Attesa rischiosa</v>
      </c>
    </row>
    <row r="11" customFormat="false" ht="15" hidden="false" customHeight="true" outlineLevel="0" collapsed="false">
      <c r="A11" s="49" t="n">
        <v>8</v>
      </c>
      <c r="B11" s="7" t="n">
        <f aca="false">IFERROR(INDEX('Output Utente'!$A$2:$A$492,MATCH(8,'Output Utente'!$Q$2:$Q$492,0)),"")</f>
        <v>6397</v>
      </c>
      <c r="C11" s="7" t="str">
        <f aca="false">IFERROR(INDEX('Output Utente'!$B$2:$B$492,MATCH(8,'Output Utente'!$Q$2:$Q$492,0)),"")</f>
        <v>A</v>
      </c>
      <c r="D11" s="7" t="str">
        <f aca="false">IFERROR(INDEX('Output Utente'!$C$2:$C$492,MATCH(8,'Output Utente'!$Q$2:$Q$492,0)),"")</f>
        <v>Ramos G.</v>
      </c>
      <c r="E11" s="7" t="str">
        <f aca="false">IFERROR(INDEX('Input Giocatori 2026_27'!$D$3:$D$493,MATCH($B11,'Input Giocatori 2026_27'!$A$3:$A$493,0)),"")</f>
        <v>Milan</v>
      </c>
      <c r="F11" s="50" t="n">
        <f aca="false">IFERROR(INDEX('Output Utente'!$N$2:$N$492,MATCH(8,'Output Utente'!$Q$2:$Q$492,0)),"")</f>
        <v>27</v>
      </c>
      <c r="G11" s="50" t="n">
        <f aca="false">IFERROR(INDEX('Output Utente'!$O$2:$O$492,MATCH(8,'Output Utente'!$Q$2:$Q$492,0)),"")</f>
        <v>240</v>
      </c>
      <c r="H11" s="7" t="str">
        <f aca="false">IFERROR(INDEX('Output Utente'!$P$2:$P$492,MATCH(8,'Output Utente'!$Q$2:$Q$492,0)),"")</f>
        <v>Top</v>
      </c>
      <c r="I11" s="50" t="n">
        <f aca="false">IFERROR(INDEX('Output Utente'!$F$2:$F$492,MATCH(8,'Output Utente'!$Q$2:$Q$492,0)),"")</f>
        <v>214</v>
      </c>
      <c r="J11" s="50" t="n">
        <f aca="false">IFERROR(INDEX('Output Utente'!$G$2:$G$492,MATCH(8,'Output Utente'!$Q$2:$Q$492,0)),"")</f>
        <v>133</v>
      </c>
      <c r="K11" s="50" t="n">
        <f aca="false">IFERROR(INDEX('Output Utente'!$H$2:$H$492,MATCH(8,'Output Utente'!$Q$2:$Q$492,0)),"")</f>
        <v>248</v>
      </c>
      <c r="L11" s="7" t="str">
        <f aca="false">IFERROR(INDEX('Output Utente'!$E$2:$E$492,MATCH(8,'Output Utente'!$Q$2:$Q$492,0)),"")</f>
        <v>NO</v>
      </c>
      <c r="M11" s="7" t="str">
        <f aca="false">IFERROR(INDEX('Output Utente'!$U$2:$U$492,MATCH(8,'Output Utente'!$Q$2:$Q$492,0)),"")</f>
        <v>Rischio Alto</v>
      </c>
      <c r="N11" s="7" t="str">
        <f aca="false">IFERROR(INDEX('Output Utente'!$AE$2:$AE$492,MATCH(8,'Output Utente'!$Q$2:$Q$492,0)),"")</f>
        <v>🔴 Non aspettare</v>
      </c>
    </row>
    <row r="12" customFormat="false" ht="15" hidden="false" customHeight="true" outlineLevel="0" collapsed="false">
      <c r="A12" s="49" t="n">
        <v>9</v>
      </c>
      <c r="B12" s="7" t="n">
        <f aca="false">IFERROR(INDEX('Output Utente'!$A$2:$A$492,MATCH(9,'Output Utente'!$Q$2:$Q$492,0)),"")</f>
        <v>2194</v>
      </c>
      <c r="C12" s="7" t="str">
        <f aca="false">IFERROR(INDEX('Output Utente'!$B$2:$B$492,MATCH(9,'Output Utente'!$Q$2:$Q$492,0)),"")</f>
        <v>C</v>
      </c>
      <c r="D12" s="7" t="str">
        <f aca="false">IFERROR(INDEX('Output Utente'!$C$2:$C$492,MATCH(9,'Output Utente'!$Q$2:$Q$492,0)),"")</f>
        <v>Calhanoglu</v>
      </c>
      <c r="E12" s="7" t="str">
        <f aca="false">IFERROR(INDEX('Input Giocatori 2026_27'!$D$3:$D$493,MATCH($B12,'Input Giocatori 2026_27'!$A$3:$A$493,0)),"")</f>
        <v>Inter</v>
      </c>
      <c r="F12" s="50" t="n">
        <f aca="false">IFERROR(INDEX('Output Utente'!$N$2:$N$492,MATCH(9,'Output Utente'!$Q$2:$Q$492,0)),"")</f>
        <v>27</v>
      </c>
      <c r="G12" s="50" t="n">
        <f aca="false">IFERROR(INDEX('Output Utente'!$O$2:$O$492,MATCH(9,'Output Utente'!$Q$2:$Q$492,0)),"")</f>
        <v>230</v>
      </c>
      <c r="H12" s="7" t="str">
        <f aca="false">IFERROR(INDEX('Output Utente'!$P$2:$P$492,MATCH(9,'Output Utente'!$Q$2:$Q$492,0)),"")</f>
        <v>Top</v>
      </c>
      <c r="I12" s="50" t="n">
        <f aca="false">IFERROR(INDEX('Output Utente'!$F$2:$F$492,MATCH(9,'Output Utente'!$Q$2:$Q$492,0)),"")</f>
        <v>131</v>
      </c>
      <c r="J12" s="50" t="n">
        <f aca="false">IFERROR(INDEX('Output Utente'!$G$2:$G$492,MATCH(9,'Output Utente'!$Q$2:$Q$492,0)),"")</f>
        <v>90</v>
      </c>
      <c r="K12" s="50" t="n">
        <f aca="false">IFERROR(INDEX('Output Utente'!$H$2:$H$492,MATCH(9,'Output Utente'!$Q$2:$Q$492,0)),"")</f>
        <v>149</v>
      </c>
      <c r="L12" s="7" t="str">
        <f aca="false">IFERROR(INDEX('Output Utente'!$E$2:$E$492,MATCH(9,'Output Utente'!$Q$2:$Q$492,0)),"")</f>
        <v>NO</v>
      </c>
      <c r="M12" s="7" t="str">
        <f aca="false">IFERROR(INDEX('Output Utente'!$U$2:$U$492,MATCH(9,'Output Utente'!$Q$2:$Q$492,0)),"")</f>
        <v>Rischio Alto</v>
      </c>
      <c r="N12" s="7" t="str">
        <f aca="false">IFERROR(INDEX('Output Utente'!$AE$2:$AE$492,MATCH(9,'Output Utente'!$Q$2:$Q$492,0)),"")</f>
        <v>🟡 Attesa rischiosa</v>
      </c>
    </row>
    <row r="13" customFormat="false" ht="15" hidden="false" customHeight="true" outlineLevel="0" collapsed="false">
      <c r="A13" s="49" t="n">
        <v>10</v>
      </c>
      <c r="B13" s="7" t="n">
        <f aca="false">IFERROR(INDEX('Output Utente'!$A$2:$A$492,MATCH(10,'Output Utente'!$Q$2:$Q$492,0)),"")</f>
        <v>5951</v>
      </c>
      <c r="C13" s="7" t="str">
        <f aca="false">IFERROR(INDEX('Output Utente'!$B$2:$B$492,MATCH(10,'Output Utente'!$Q$2:$Q$492,0)),"")</f>
        <v>A</v>
      </c>
      <c r="D13" s="7" t="str">
        <f aca="false">IFERROR(INDEX('Output Utente'!$C$2:$C$492,MATCH(10,'Output Utente'!$Q$2:$Q$492,0)),"")</f>
        <v>Kolo Muani</v>
      </c>
      <c r="E13" s="7" t="str">
        <f aca="false">IFERROR(INDEX('Input Giocatori 2026_27'!$D$3:$D$493,MATCH($B13,'Input Giocatori 2026_27'!$A$3:$A$493,0)),"")</f>
        <v>Juventus</v>
      </c>
      <c r="F13" s="50" t="n">
        <f aca="false">IFERROR(INDEX('Output Utente'!$N$2:$N$492,MATCH(10,'Output Utente'!$Q$2:$Q$492,0)),"")</f>
        <v>26</v>
      </c>
      <c r="G13" s="50" t="n">
        <f aca="false">IFERROR(INDEX('Output Utente'!$O$2:$O$492,MATCH(10,'Output Utente'!$Q$2:$Q$492,0)),"")</f>
        <v>225</v>
      </c>
      <c r="H13" s="7" t="str">
        <f aca="false">IFERROR(INDEX('Output Utente'!$P$2:$P$492,MATCH(10,'Output Utente'!$Q$2:$Q$492,0)),"")</f>
        <v>Top</v>
      </c>
      <c r="I13" s="50" t="n">
        <f aca="false">IFERROR(INDEX('Output Utente'!$F$2:$F$492,MATCH(10,'Output Utente'!$Q$2:$Q$492,0)),"")</f>
        <v>200</v>
      </c>
      <c r="J13" s="50" t="n">
        <f aca="false">IFERROR(INDEX('Output Utente'!$G$2:$G$492,MATCH(10,'Output Utente'!$Q$2:$Q$492,0)),"")</f>
        <v>125</v>
      </c>
      <c r="K13" s="50" t="n">
        <f aca="false">IFERROR(INDEX('Output Utente'!$H$2:$H$492,MATCH(10,'Output Utente'!$Q$2:$Q$492,0)),"")</f>
        <v>232</v>
      </c>
      <c r="L13" s="7" t="str">
        <f aca="false">IFERROR(INDEX('Output Utente'!$E$2:$E$492,MATCH(10,'Output Utente'!$Q$2:$Q$492,0)),"")</f>
        <v>NO</v>
      </c>
      <c r="M13" s="7" t="str">
        <f aca="false">IFERROR(INDEX('Output Utente'!$U$2:$U$492,MATCH(10,'Output Utente'!$Q$2:$Q$492,0)),"")</f>
        <v>Rischio Alto</v>
      </c>
      <c r="N13" s="7" t="str">
        <f aca="false">IFERROR(INDEX('Output Utente'!$AE$2:$AE$492,MATCH(10,'Output Utente'!$Q$2:$Q$492,0)),"")</f>
        <v>🔴 Non aspettare</v>
      </c>
    </row>
    <row r="14" customFormat="false" ht="15" hidden="false" customHeight="true" outlineLevel="0" collapsed="false">
      <c r="A14" s="49" t="n">
        <v>11</v>
      </c>
      <c r="B14" s="7" t="n">
        <f aca="false">IFERROR(INDEX('Output Utente'!$A$2:$A$492,MATCH(11,'Output Utente'!$Q$2:$Q$492,0)),"")</f>
        <v>2097</v>
      </c>
      <c r="C14" s="7" t="str">
        <f aca="false">IFERROR(INDEX('Output Utente'!$B$2:$B$492,MATCH(11,'Output Utente'!$Q$2:$Q$492,0)),"")</f>
        <v>A</v>
      </c>
      <c r="D14" s="7" t="str">
        <f aca="false">IFERROR(INDEX('Output Utente'!$C$2:$C$492,MATCH(11,'Output Utente'!$Q$2:$Q$492,0)),"")</f>
        <v>Kean</v>
      </c>
      <c r="E14" s="7" t="str">
        <f aca="false">IFERROR(INDEX('Input Giocatori 2026_27'!$D$3:$D$493,MATCH($B14,'Input Giocatori 2026_27'!$A$3:$A$493,0)),"")</f>
        <v>Fiorentina</v>
      </c>
      <c r="F14" s="50" t="n">
        <f aca="false">IFERROR(INDEX('Output Utente'!$N$2:$N$492,MATCH(11,'Output Utente'!$Q$2:$Q$492,0)),"")</f>
        <v>25</v>
      </c>
      <c r="G14" s="50" t="n">
        <f aca="false">IFERROR(INDEX('Output Utente'!$O$2:$O$492,MATCH(11,'Output Utente'!$Q$2:$Q$492,0)),"")</f>
        <v>212</v>
      </c>
      <c r="H14" s="7" t="str">
        <f aca="false">IFERROR(INDEX('Output Utente'!$P$2:$P$492,MATCH(11,'Output Utente'!$Q$2:$Q$492,0)),"")</f>
        <v>Top</v>
      </c>
      <c r="I14" s="50" t="n">
        <f aca="false">IFERROR(INDEX('Output Utente'!$F$2:$F$492,MATCH(11,'Output Utente'!$Q$2:$Q$492,0)),"")</f>
        <v>189</v>
      </c>
      <c r="J14" s="50" t="n">
        <f aca="false">IFERROR(INDEX('Output Utente'!$G$2:$G$492,MATCH(11,'Output Utente'!$Q$2:$Q$492,0)),"")</f>
        <v>118</v>
      </c>
      <c r="K14" s="50" t="n">
        <f aca="false">IFERROR(INDEX('Output Utente'!$H$2:$H$492,MATCH(11,'Output Utente'!$Q$2:$Q$492,0)),"")</f>
        <v>219</v>
      </c>
      <c r="L14" s="7" t="str">
        <f aca="false">IFERROR(INDEX('Output Utente'!$E$2:$E$492,MATCH(11,'Output Utente'!$Q$2:$Q$492,0)),"")</f>
        <v>NO</v>
      </c>
      <c r="M14" s="7" t="str">
        <f aca="false">IFERROR(INDEX('Output Utente'!$U$2:$U$492,MATCH(11,'Output Utente'!$Q$2:$Q$492,0)),"")</f>
        <v>Rischio Alto</v>
      </c>
      <c r="N14" s="7" t="str">
        <f aca="false">IFERROR(INDEX('Output Utente'!$AE$2:$AE$492,MATCH(11,'Output Utente'!$Q$2:$Q$492,0)),"")</f>
        <v>🔴 Non aspettare</v>
      </c>
    </row>
    <row r="15" customFormat="false" ht="15" hidden="false" customHeight="true" outlineLevel="0" collapsed="false">
      <c r="A15" s="49" t="n">
        <v>12</v>
      </c>
      <c r="B15" s="7" t="n">
        <f aca="false">IFERROR(INDEX('Output Utente'!$A$2:$A$492,MATCH(12,'Output Utente'!$Q$2:$Q$492,0)),"")</f>
        <v>2167</v>
      </c>
      <c r="C15" s="7" t="str">
        <f aca="false">IFERROR(INDEX('Output Utente'!$B$2:$B$492,MATCH(12,'Output Utente'!$Q$2:$Q$492,0)),"")</f>
        <v>C</v>
      </c>
      <c r="D15" s="7" t="str">
        <f aca="false">IFERROR(INDEX('Output Utente'!$C$2:$C$492,MATCH(12,'Output Utente'!$Q$2:$Q$492,0)),"")</f>
        <v>Orsolini</v>
      </c>
      <c r="E15" s="7" t="str">
        <f aca="false">IFERROR(INDEX('Input Giocatori 2026_27'!$D$3:$D$493,MATCH($B15,'Input Giocatori 2026_27'!$A$3:$A$493,0)),"")</f>
        <v>Bologna</v>
      </c>
      <c r="F15" s="50" t="n">
        <f aca="false">IFERROR(INDEX('Output Utente'!$N$2:$N$492,MATCH(12,'Output Utente'!$Q$2:$Q$492,0)),"")</f>
        <v>26</v>
      </c>
      <c r="G15" s="50" t="n">
        <f aca="false">IFERROR(INDEX('Output Utente'!$O$2:$O$492,MATCH(12,'Output Utente'!$Q$2:$Q$492,0)),"")</f>
        <v>200</v>
      </c>
      <c r="H15" s="7" t="str">
        <f aca="false">IFERROR(INDEX('Output Utente'!$P$2:$P$492,MATCH(12,'Output Utente'!$Q$2:$Q$492,0)),"")</f>
        <v>Top</v>
      </c>
      <c r="I15" s="50" t="n">
        <f aca="false">IFERROR(INDEX('Output Utente'!$F$2:$F$492,MATCH(12,'Output Utente'!$Q$2:$Q$492,0)),"")</f>
        <v>111</v>
      </c>
      <c r="J15" s="50" t="n">
        <f aca="false">IFERROR(INDEX('Output Utente'!$G$2:$G$492,MATCH(12,'Output Utente'!$Q$2:$Q$492,0)),"")</f>
        <v>76</v>
      </c>
      <c r="K15" s="50" t="n">
        <f aca="false">IFERROR(INDEX('Output Utente'!$H$2:$H$492,MATCH(12,'Output Utente'!$Q$2:$Q$492,0)),"")</f>
        <v>126</v>
      </c>
      <c r="L15" s="7" t="str">
        <f aca="false">IFERROR(INDEX('Output Utente'!$E$2:$E$492,MATCH(12,'Output Utente'!$Q$2:$Q$492,0)),"")</f>
        <v>NO</v>
      </c>
      <c r="M15" s="7" t="str">
        <f aca="false">IFERROR(INDEX('Output Utente'!$U$2:$U$492,MATCH(12,'Output Utente'!$Q$2:$Q$492,0)),"")</f>
        <v>Attenzione</v>
      </c>
      <c r="N15" s="7" t="str">
        <f aca="false">IFERROR(INDEX('Output Utente'!$AE$2:$AE$492,MATCH(12,'Output Utente'!$Q$2:$Q$492,0)),"")</f>
        <v>🟡 Attesa rischiosa</v>
      </c>
    </row>
    <row r="16" customFormat="false" ht="15" hidden="false" customHeight="true" outlineLevel="0" collapsed="false">
      <c r="A16" s="49" t="n">
        <v>13</v>
      </c>
      <c r="B16" s="7" t="n">
        <f aca="false">IFERROR(INDEX('Output Utente'!$A$2:$A$492,MATCH(13,'Output Utente'!$Q$2:$Q$492,0)),"")</f>
        <v>6434</v>
      </c>
      <c r="C16" s="7" t="str">
        <f aca="false">IFERROR(INDEX('Output Utente'!$B$2:$B$492,MATCH(13,'Output Utente'!$Q$2:$Q$492,0)),"")</f>
        <v>A</v>
      </c>
      <c r="D16" s="7" t="str">
        <f aca="false">IFERROR(INDEX('Output Utente'!$C$2:$C$492,MATCH(13,'Output Utente'!$Q$2:$Q$492,0)),"")</f>
        <v>Yildiz</v>
      </c>
      <c r="E16" s="7" t="str">
        <f aca="false">IFERROR(INDEX('Input Giocatori 2026_27'!$D$3:$D$493,MATCH($B16,'Input Giocatori 2026_27'!$A$3:$A$493,0)),"")</f>
        <v>Juventus</v>
      </c>
      <c r="F16" s="50" t="n">
        <f aca="false">IFERROR(INDEX('Output Utente'!$N$2:$N$492,MATCH(13,'Output Utente'!$Q$2:$Q$492,0)),"")</f>
        <v>23</v>
      </c>
      <c r="G16" s="50" t="n">
        <f aca="false">IFERROR(INDEX('Output Utente'!$O$2:$O$492,MATCH(13,'Output Utente'!$Q$2:$Q$492,0)),"")</f>
        <v>200</v>
      </c>
      <c r="H16" s="7" t="str">
        <f aca="false">IFERROR(INDEX('Output Utente'!$P$2:$P$492,MATCH(13,'Output Utente'!$Q$2:$Q$492,0)),"")</f>
        <v>Top</v>
      </c>
      <c r="I16" s="50" t="n">
        <f aca="false">IFERROR(INDEX('Output Utente'!$F$2:$F$492,MATCH(13,'Output Utente'!$Q$2:$Q$492,0)),"")</f>
        <v>181</v>
      </c>
      <c r="J16" s="50" t="n">
        <f aca="false">IFERROR(INDEX('Output Utente'!$G$2:$G$492,MATCH(13,'Output Utente'!$Q$2:$Q$492,0)),"")</f>
        <v>113</v>
      </c>
      <c r="K16" s="50" t="n">
        <f aca="false">IFERROR(INDEX('Output Utente'!$H$2:$H$492,MATCH(13,'Output Utente'!$Q$2:$Q$492,0)),"")</f>
        <v>210</v>
      </c>
      <c r="L16" s="7" t="str">
        <f aca="false">IFERROR(INDEX('Output Utente'!$E$2:$E$492,MATCH(13,'Output Utente'!$Q$2:$Q$492,0)),"")</f>
        <v>NO</v>
      </c>
      <c r="M16" s="7" t="str">
        <f aca="false">IFERROR(INDEX('Output Utente'!$U$2:$U$492,MATCH(13,'Output Utente'!$Q$2:$Q$492,0)),"")</f>
        <v>Rischio Alto</v>
      </c>
      <c r="N16" s="7" t="str">
        <f aca="false">IFERROR(INDEX('Output Utente'!$AE$2:$AE$492,MATCH(13,'Output Utente'!$Q$2:$Q$492,0)),"")</f>
        <v>🔴 Non aspettare</v>
      </c>
    </row>
    <row r="17" customFormat="false" ht="15" hidden="false" customHeight="true" outlineLevel="0" collapsed="false">
      <c r="A17" s="49" t="n">
        <v>14</v>
      </c>
      <c r="B17" s="7" t="n">
        <f aca="false">IFERROR(INDEX('Output Utente'!$A$2:$A$492,MATCH(14,'Output Utente'!$Q$2:$Q$492,0)),"")</f>
        <v>2423</v>
      </c>
      <c r="C17" s="7" t="str">
        <f aca="false">IFERROR(INDEX('Output Utente'!$B$2:$B$492,MATCH(14,'Output Utente'!$Q$2:$Q$492,0)),"")</f>
        <v>C</v>
      </c>
      <c r="D17" s="7" t="str">
        <f aca="false">IFERROR(INDEX('Output Utente'!$C$2:$C$492,MATCH(14,'Output Utente'!$Q$2:$Q$492,0)),"")</f>
        <v>Pulisic</v>
      </c>
      <c r="E17" s="7" t="str">
        <f aca="false">IFERROR(INDEX('Input Giocatori 2026_27'!$D$3:$D$493,MATCH($B17,'Input Giocatori 2026_27'!$A$3:$A$493,0)),"")</f>
        <v>Milan</v>
      </c>
      <c r="F17" s="50" t="n">
        <f aca="false">IFERROR(INDEX('Output Utente'!$N$2:$N$492,MATCH(14,'Output Utente'!$Q$2:$Q$492,0)),"")</f>
        <v>25</v>
      </c>
      <c r="G17" s="50" t="n">
        <f aca="false">IFERROR(INDEX('Output Utente'!$O$2:$O$492,MATCH(14,'Output Utente'!$Q$2:$Q$492,0)),"")</f>
        <v>180</v>
      </c>
      <c r="H17" s="7" t="str">
        <f aca="false">IFERROR(INDEX('Output Utente'!$P$2:$P$492,MATCH(14,'Output Utente'!$Q$2:$Q$492,0)),"")</f>
        <v>Top</v>
      </c>
      <c r="I17" s="50" t="n">
        <f aca="false">IFERROR(INDEX('Output Utente'!$F$2:$F$492,MATCH(14,'Output Utente'!$Q$2:$Q$492,0)),"")</f>
        <v>101</v>
      </c>
      <c r="J17" s="50" t="n">
        <f aca="false">IFERROR(INDEX('Output Utente'!$G$2:$G$492,MATCH(14,'Output Utente'!$Q$2:$Q$492,0)),"")</f>
        <v>69</v>
      </c>
      <c r="K17" s="50" t="n">
        <f aca="false">IFERROR(INDEX('Output Utente'!$H$2:$H$492,MATCH(14,'Output Utente'!$Q$2:$Q$492,0)),"")</f>
        <v>115</v>
      </c>
      <c r="L17" s="7" t="str">
        <f aca="false">IFERROR(INDEX('Output Utente'!$E$2:$E$492,MATCH(14,'Output Utente'!$Q$2:$Q$492,0)),"")</f>
        <v>NO</v>
      </c>
      <c r="M17" s="7" t="str">
        <f aca="false">IFERROR(INDEX('Output Utente'!$U$2:$U$492,MATCH(14,'Output Utente'!$Q$2:$Q$492,0)),"")</f>
        <v>Attenzione</v>
      </c>
      <c r="N17" s="7" t="str">
        <f aca="false">IFERROR(INDEX('Output Utente'!$AE$2:$AE$492,MATCH(14,'Output Utente'!$Q$2:$Q$492,0)),"")</f>
        <v>🟡 Attesa rischiosa</v>
      </c>
    </row>
    <row r="18" customFormat="false" ht="15" hidden="false" customHeight="true" outlineLevel="0" collapsed="false">
      <c r="A18" s="49" t="n">
        <v>15</v>
      </c>
      <c r="B18" s="7" t="n">
        <f aca="false">IFERROR(INDEX('Output Utente'!$A$2:$A$492,MATCH(15,'Output Utente'!$Q$2:$Q$492,0)),"")</f>
        <v>7017</v>
      </c>
      <c r="C18" s="7" t="str">
        <f aca="false">IFERROR(INDEX('Output Utente'!$B$2:$B$492,MATCH(15,'Output Utente'!$Q$2:$Q$492,0)),"")</f>
        <v>A</v>
      </c>
      <c r="D18" s="7" t="str">
        <f aca="false">IFERROR(INDEX('Output Utente'!$C$2:$C$492,MATCH(15,'Output Utente'!$Q$2:$Q$492,0)),"")</f>
        <v>Douvikas</v>
      </c>
      <c r="E18" s="7" t="str">
        <f aca="false">IFERROR(INDEX('Input Giocatori 2026_27'!$D$3:$D$493,MATCH($B18,'Input Giocatori 2026_27'!$A$3:$A$493,0)),"")</f>
        <v>Como</v>
      </c>
      <c r="F18" s="50" t="n">
        <f aca="false">IFERROR(INDEX('Output Utente'!$N$2:$N$492,MATCH(15,'Output Utente'!$Q$2:$Q$492,0)),"")</f>
        <v>20</v>
      </c>
      <c r="G18" s="50" t="n">
        <f aca="false">IFERROR(INDEX('Output Utente'!$O$2:$O$492,MATCH(15,'Output Utente'!$Q$2:$Q$492,0)),"")</f>
        <v>157</v>
      </c>
      <c r="H18" s="7" t="str">
        <f aca="false">IFERROR(INDEX('Output Utente'!$P$2:$P$492,MATCH(15,'Output Utente'!$Q$2:$Q$492,0)),"")</f>
        <v>Top</v>
      </c>
      <c r="I18" s="50" t="n">
        <f aca="false">IFERROR(INDEX('Output Utente'!$F$2:$F$492,MATCH(15,'Output Utente'!$Q$2:$Q$492,0)),"")</f>
        <v>142</v>
      </c>
      <c r="J18" s="50" t="n">
        <f aca="false">IFERROR(INDEX('Output Utente'!$G$2:$G$492,MATCH(15,'Output Utente'!$Q$2:$Q$492,0)),"")</f>
        <v>89</v>
      </c>
      <c r="K18" s="50" t="n">
        <f aca="false">IFERROR(INDEX('Output Utente'!$H$2:$H$492,MATCH(15,'Output Utente'!$Q$2:$Q$492,0)),"")</f>
        <v>165</v>
      </c>
      <c r="L18" s="7" t="str">
        <f aca="false">IFERROR(INDEX('Output Utente'!$E$2:$E$492,MATCH(15,'Output Utente'!$Q$2:$Q$492,0)),"")</f>
        <v>NO</v>
      </c>
      <c r="M18" s="7" t="str">
        <f aca="false">IFERROR(INDEX('Output Utente'!$U$2:$U$492,MATCH(15,'Output Utente'!$Q$2:$Q$492,0)),"")</f>
        <v>Rischio Alto</v>
      </c>
      <c r="N18" s="7" t="str">
        <f aca="false">IFERROR(INDEX('Output Utente'!$AE$2:$AE$492,MATCH(15,'Output Utente'!$Q$2:$Q$492,0)),"")</f>
        <v>🔴 Non aspettare</v>
      </c>
    </row>
    <row r="19" customFormat="false" ht="15" hidden="false" customHeight="true" outlineLevel="0" collapsed="false">
      <c r="A19" s="49" t="n">
        <v>16</v>
      </c>
      <c r="B19" s="7" t="n">
        <f aca="false">IFERROR(INDEX('Output Utente'!$A$2:$A$492,MATCH(16,'Output Utente'!$Q$2:$Q$492,0)),"")</f>
        <v>2379</v>
      </c>
      <c r="C19" s="7" t="str">
        <f aca="false">IFERROR(INDEX('Output Utente'!$B$2:$B$492,MATCH(16,'Output Utente'!$Q$2:$Q$492,0)),"")</f>
        <v>C</v>
      </c>
      <c r="D19" s="7" t="str">
        <f aca="false">IFERROR(INDEX('Output Utente'!$C$2:$C$492,MATCH(16,'Output Utente'!$Q$2:$Q$492,0)),"")</f>
        <v>Rabiot</v>
      </c>
      <c r="E19" s="7" t="str">
        <f aca="false">IFERROR(INDEX('Input Giocatori 2026_27'!$D$3:$D$493,MATCH($B19,'Input Giocatori 2026_27'!$A$3:$A$493,0)),"")</f>
        <v>Milan</v>
      </c>
      <c r="F19" s="50" t="n">
        <f aca="false">IFERROR(INDEX('Output Utente'!$N$2:$N$492,MATCH(16,'Output Utente'!$Q$2:$Q$492,0)),"")</f>
        <v>22</v>
      </c>
      <c r="G19" s="50" t="n">
        <f aca="false">IFERROR(INDEX('Output Utente'!$O$2:$O$492,MATCH(16,'Output Utente'!$Q$2:$Q$492,0)),"")</f>
        <v>128</v>
      </c>
      <c r="H19" s="7" t="str">
        <f aca="false">IFERROR(INDEX('Output Utente'!$P$2:$P$492,MATCH(16,'Output Utente'!$Q$2:$Q$492,0)),"")</f>
        <v>Top</v>
      </c>
      <c r="I19" s="50" t="n">
        <f aca="false">IFERROR(INDEX('Output Utente'!$F$2:$F$492,MATCH(16,'Output Utente'!$Q$2:$Q$492,0)),"")</f>
        <v>71</v>
      </c>
      <c r="J19" s="50" t="n">
        <f aca="false">IFERROR(INDEX('Output Utente'!$G$2:$G$492,MATCH(16,'Output Utente'!$Q$2:$Q$492,0)),"")</f>
        <v>49</v>
      </c>
      <c r="K19" s="50" t="n">
        <f aca="false">IFERROR(INDEX('Output Utente'!$H$2:$H$492,MATCH(16,'Output Utente'!$Q$2:$Q$492,0)),"")</f>
        <v>81</v>
      </c>
      <c r="L19" s="7" t="str">
        <f aca="false">IFERROR(INDEX('Output Utente'!$E$2:$E$492,MATCH(16,'Output Utente'!$Q$2:$Q$492,0)),"")</f>
        <v>NO</v>
      </c>
      <c r="M19" s="7" t="str">
        <f aca="false">IFERROR(INDEX('Output Utente'!$U$2:$U$492,MATCH(16,'Output Utente'!$Q$2:$Q$492,0)),"")</f>
        <v>Attenzione</v>
      </c>
      <c r="N19" s="7" t="str">
        <f aca="false">IFERROR(INDEX('Output Utente'!$AE$2:$AE$492,MATCH(16,'Output Utente'!$Q$2:$Q$492,0)),"")</f>
        <v>🟡 Attesa rischiosa</v>
      </c>
    </row>
    <row r="20" customFormat="false" ht="15" hidden="false" customHeight="true" outlineLevel="0" collapsed="false">
      <c r="A20" s="49" t="n">
        <v>17</v>
      </c>
      <c r="B20" s="7" t="n">
        <f aca="false">IFERROR(INDEX('Output Utente'!$A$2:$A$492,MATCH(17,'Output Utente'!$Q$2:$Q$492,0)),"")</f>
        <v>2137</v>
      </c>
      <c r="C20" s="7" t="str">
        <f aca="false">IFERROR(INDEX('Output Utente'!$B$2:$B$492,MATCH(17,'Output Utente'!$Q$2:$Q$492,0)),"")</f>
        <v>A</v>
      </c>
      <c r="D20" s="7" t="str">
        <f aca="false">IFERROR(INDEX('Output Utente'!$C$2:$C$492,MATCH(17,'Output Utente'!$Q$2:$Q$492,0)),"")</f>
        <v>Scamacca</v>
      </c>
      <c r="E20" s="7" t="str">
        <f aca="false">IFERROR(INDEX('Input Giocatori 2026_27'!$D$3:$D$493,MATCH($B20,'Input Giocatori 2026_27'!$A$3:$A$493,0)),"")</f>
        <v>Atalanta</v>
      </c>
      <c r="F20" s="50" t="n">
        <f aca="false">IFERROR(INDEX('Output Utente'!$N$2:$N$492,MATCH(17,'Output Utente'!$Q$2:$Q$492,0)),"")</f>
        <v>19</v>
      </c>
      <c r="G20" s="50" t="n">
        <f aca="false">IFERROR(INDEX('Output Utente'!$O$2:$O$492,MATCH(17,'Output Utente'!$Q$2:$Q$492,0)),"")</f>
        <v>128</v>
      </c>
      <c r="H20" s="7" t="str">
        <f aca="false">IFERROR(INDEX('Output Utente'!$P$2:$P$492,MATCH(17,'Output Utente'!$Q$2:$Q$492,0)),"")</f>
        <v>Top</v>
      </c>
      <c r="I20" s="50" t="n">
        <f aca="false">IFERROR(INDEX('Output Utente'!$F$2:$F$492,MATCH(17,'Output Utente'!$Q$2:$Q$492,0)),"")</f>
        <v>117</v>
      </c>
      <c r="J20" s="50" t="n">
        <f aca="false">IFERROR(INDEX('Output Utente'!$G$2:$G$492,MATCH(17,'Output Utente'!$Q$2:$Q$492,0)),"")</f>
        <v>73</v>
      </c>
      <c r="K20" s="50" t="n">
        <f aca="false">IFERROR(INDEX('Output Utente'!$H$2:$H$492,MATCH(17,'Output Utente'!$Q$2:$Q$492,0)),"")</f>
        <v>136</v>
      </c>
      <c r="L20" s="7" t="str">
        <f aca="false">IFERROR(INDEX('Output Utente'!$E$2:$E$492,MATCH(17,'Output Utente'!$Q$2:$Q$492,0)),"")</f>
        <v>NO</v>
      </c>
      <c r="M20" s="7" t="str">
        <f aca="false">IFERROR(INDEX('Output Utente'!$U$2:$U$492,MATCH(17,'Output Utente'!$Q$2:$Q$492,0)),"")</f>
        <v>Attenzione</v>
      </c>
      <c r="N20" s="7" t="str">
        <f aca="false">IFERROR(INDEX('Output Utente'!$AE$2:$AE$492,MATCH(17,'Output Utente'!$Q$2:$Q$492,0)),"")</f>
        <v>🔴 Non aspettare</v>
      </c>
    </row>
    <row r="21" customFormat="false" ht="15" hidden="false" customHeight="true" outlineLevel="0" collapsed="false">
      <c r="A21" s="49" t="n">
        <v>18</v>
      </c>
      <c r="B21" s="7" t="n">
        <f aca="false">IFERROR(INDEX('Output Utente'!$A$2:$A$492,MATCH(18,'Output Utente'!$Q$2:$Q$492,0)),"")</f>
        <v>5637</v>
      </c>
      <c r="C21" s="7" t="str">
        <f aca="false">IFERROR(INDEX('Output Utente'!$B$2:$B$492,MATCH(18,'Output Utente'!$Q$2:$Q$492,0)),"")</f>
        <v>A</v>
      </c>
      <c r="D21" s="7" t="str">
        <f aca="false">IFERROR(INDEX('Output Utente'!$C$2:$C$492,MATCH(18,'Output Utente'!$Q$2:$Q$492,0)),"")</f>
        <v>Davis K.</v>
      </c>
      <c r="E21" s="7" t="str">
        <f aca="false">IFERROR(INDEX('Input Giocatori 2026_27'!$D$3:$D$493,MATCH($B21,'Input Giocatori 2026_27'!$A$3:$A$493,0)),"")</f>
        <v>Udinese</v>
      </c>
      <c r="F21" s="50" t="n">
        <f aca="false">IFERROR(INDEX('Output Utente'!$N$2:$N$492,MATCH(18,'Output Utente'!$Q$2:$Q$492,0)),"")</f>
        <v>19</v>
      </c>
      <c r="G21" s="50" t="n">
        <f aca="false">IFERROR(INDEX('Output Utente'!$O$2:$O$492,MATCH(18,'Output Utente'!$Q$2:$Q$492,0)),"")</f>
        <v>121</v>
      </c>
      <c r="H21" s="7" t="str">
        <f aca="false">IFERROR(INDEX('Output Utente'!$P$2:$P$492,MATCH(18,'Output Utente'!$Q$2:$Q$492,0)),"")</f>
        <v>Top</v>
      </c>
      <c r="I21" s="50" t="n">
        <f aca="false">IFERROR(INDEX('Output Utente'!$F$2:$F$492,MATCH(18,'Output Utente'!$Q$2:$Q$492,0)),"")</f>
        <v>110</v>
      </c>
      <c r="J21" s="50" t="n">
        <f aca="false">IFERROR(INDEX('Output Utente'!$G$2:$G$492,MATCH(18,'Output Utente'!$Q$2:$Q$492,0)),"")</f>
        <v>69</v>
      </c>
      <c r="K21" s="50" t="n">
        <f aca="false">IFERROR(INDEX('Output Utente'!$H$2:$H$492,MATCH(18,'Output Utente'!$Q$2:$Q$492,0)),"")</f>
        <v>127</v>
      </c>
      <c r="L21" s="7" t="str">
        <f aca="false">IFERROR(INDEX('Output Utente'!$E$2:$E$492,MATCH(18,'Output Utente'!$Q$2:$Q$492,0)),"")</f>
        <v>NO</v>
      </c>
      <c r="M21" s="7" t="str">
        <f aca="false">IFERROR(INDEX('Output Utente'!$U$2:$U$492,MATCH(18,'Output Utente'!$Q$2:$Q$492,0)),"")</f>
        <v>Attenzione</v>
      </c>
      <c r="N21" s="7" t="str">
        <f aca="false">IFERROR(INDEX('Output Utente'!$AE$2:$AE$492,MATCH(18,'Output Utente'!$Q$2:$Q$492,0)),"")</f>
        <v>🔴 Non aspettare</v>
      </c>
    </row>
    <row r="22" customFormat="false" ht="15" hidden="false" customHeight="true" outlineLevel="0" collapsed="false">
      <c r="A22" s="49" t="n">
        <v>19</v>
      </c>
      <c r="B22" s="7" t="n">
        <f aca="false">IFERROR(INDEX('Output Utente'!$A$2:$A$492,MATCH(19,'Output Utente'!$Q$2:$Q$492,0)),"")</f>
        <v>4510</v>
      </c>
      <c r="C22" s="7" t="str">
        <f aca="false">IFERROR(INDEX('Output Utente'!$B$2:$B$492,MATCH(19,'Output Utente'!$Q$2:$Q$492,0)),"")</f>
        <v>A</v>
      </c>
      <c r="D22" s="7" t="str">
        <f aca="false">IFERROR(INDEX('Output Utente'!$C$2:$C$492,MATCH(19,'Output Utente'!$Q$2:$Q$492,0)),"")</f>
        <v>Leao</v>
      </c>
      <c r="E22" s="7" t="str">
        <f aca="false">IFERROR(INDEX('Input Giocatori 2026_27'!$D$3:$D$493,MATCH($B22,'Input Giocatori 2026_27'!$A$3:$A$493,0)),"")</f>
        <v>Milan</v>
      </c>
      <c r="F22" s="50" t="n">
        <f aca="false">IFERROR(INDEX('Output Utente'!$N$2:$N$492,MATCH(19,'Output Utente'!$Q$2:$Q$492,0)),"")</f>
        <v>18</v>
      </c>
      <c r="G22" s="50" t="n">
        <f aca="false">IFERROR(INDEX('Output Utente'!$O$2:$O$492,MATCH(19,'Output Utente'!$Q$2:$Q$492,0)),"")</f>
        <v>120</v>
      </c>
      <c r="H22" s="7" t="str">
        <f aca="false">IFERROR(INDEX('Output Utente'!$P$2:$P$492,MATCH(19,'Output Utente'!$Q$2:$Q$492,0)),"")</f>
        <v>Top</v>
      </c>
      <c r="I22" s="50" t="n">
        <f aca="false">IFERROR(INDEX('Output Utente'!$F$2:$F$492,MATCH(19,'Output Utente'!$Q$2:$Q$492,0)),"")</f>
        <v>108</v>
      </c>
      <c r="J22" s="50" t="n">
        <f aca="false">IFERROR(INDEX('Output Utente'!$G$2:$G$492,MATCH(19,'Output Utente'!$Q$2:$Q$492,0)),"")</f>
        <v>67</v>
      </c>
      <c r="K22" s="50" t="n">
        <f aca="false">IFERROR(INDEX('Output Utente'!$H$2:$H$492,MATCH(19,'Output Utente'!$Q$2:$Q$492,0)),"")</f>
        <v>125</v>
      </c>
      <c r="L22" s="7" t="str">
        <f aca="false">IFERROR(INDEX('Output Utente'!$E$2:$E$492,MATCH(19,'Output Utente'!$Q$2:$Q$492,0)),"")</f>
        <v>NO</v>
      </c>
      <c r="M22" s="7" t="str">
        <f aca="false">IFERROR(INDEX('Output Utente'!$U$2:$U$492,MATCH(19,'Output Utente'!$Q$2:$Q$492,0)),"")</f>
        <v>Attenzione</v>
      </c>
      <c r="N22" s="7" t="str">
        <f aca="false">IFERROR(INDEX('Output Utente'!$AE$2:$AE$492,MATCH(19,'Output Utente'!$Q$2:$Q$492,0)),"")</f>
        <v>🔴 Non aspettare</v>
      </c>
    </row>
    <row r="23" customFormat="false" ht="15" hidden="false" customHeight="true" outlineLevel="0" collapsed="false">
      <c r="A23" s="49" t="n">
        <v>20</v>
      </c>
      <c r="B23" s="7" t="n">
        <f aca="false">IFERROR(INDEX('Output Utente'!$A$2:$A$492,MATCH(20,'Output Utente'!$Q$2:$Q$492,0)),"")</f>
        <v>531</v>
      </c>
      <c r="C23" s="7" t="str">
        <f aca="false">IFERROR(INDEX('Output Utente'!$B$2:$B$492,MATCH(20,'Output Utente'!$Q$2:$Q$492,0)),"")</f>
        <v>A</v>
      </c>
      <c r="D23" s="7" t="str">
        <f aca="false">IFERROR(INDEX('Output Utente'!$C$2:$C$492,MATCH(20,'Output Utente'!$Q$2:$Q$492,0)),"")</f>
        <v>Berardi</v>
      </c>
      <c r="E23" s="7" t="str">
        <f aca="false">IFERROR(INDEX('Input Giocatori 2026_27'!$D$3:$D$493,MATCH($B23,'Input Giocatori 2026_27'!$A$3:$A$493,0)),"")</f>
        <v>Sassuolo</v>
      </c>
      <c r="F23" s="50" t="n">
        <f aca="false">IFERROR(INDEX('Output Utente'!$N$2:$N$492,MATCH(20,'Output Utente'!$Q$2:$Q$492,0)),"")</f>
        <v>18</v>
      </c>
      <c r="G23" s="50" t="n">
        <f aca="false">IFERROR(INDEX('Output Utente'!$O$2:$O$492,MATCH(20,'Output Utente'!$Q$2:$Q$492,0)),"")</f>
        <v>115</v>
      </c>
      <c r="H23" s="7" t="str">
        <f aca="false">IFERROR(INDEX('Output Utente'!$P$2:$P$492,MATCH(20,'Output Utente'!$Q$2:$Q$492,0)),"")</f>
        <v>Top</v>
      </c>
      <c r="I23" s="50" t="n">
        <f aca="false">IFERROR(INDEX('Output Utente'!$F$2:$F$492,MATCH(20,'Output Utente'!$Q$2:$Q$492,0)),"")</f>
        <v>104</v>
      </c>
      <c r="J23" s="50" t="n">
        <f aca="false">IFERROR(INDEX('Output Utente'!$G$2:$G$492,MATCH(20,'Output Utente'!$Q$2:$Q$492,0)),"")</f>
        <v>65</v>
      </c>
      <c r="K23" s="50" t="n">
        <f aca="false">IFERROR(INDEX('Output Utente'!$H$2:$H$492,MATCH(20,'Output Utente'!$Q$2:$Q$492,0)),"")</f>
        <v>121</v>
      </c>
      <c r="L23" s="7" t="str">
        <f aca="false">IFERROR(INDEX('Output Utente'!$E$2:$E$492,MATCH(20,'Output Utente'!$Q$2:$Q$492,0)),"")</f>
        <v>NO</v>
      </c>
      <c r="M23" s="7" t="str">
        <f aca="false">IFERROR(INDEX('Output Utente'!$U$2:$U$492,MATCH(20,'Output Utente'!$Q$2:$Q$492,0)),"")</f>
        <v>Attenzione</v>
      </c>
      <c r="N23" s="7" t="str">
        <f aca="false">IFERROR(INDEX('Output Utente'!$AE$2:$AE$492,MATCH(20,'Output Utente'!$Q$2:$Q$492,0)),"")</f>
        <v>🔴 Non aspettare</v>
      </c>
    </row>
    <row r="24" customFormat="false" ht="15" hidden="false" customHeight="true" outlineLevel="0" collapsed="false">
      <c r="A24" s="49" t="n">
        <v>21</v>
      </c>
      <c r="B24" s="7" t="n">
        <f aca="false">IFERROR(INDEX('Output Utente'!$A$2:$A$492,MATCH(21,'Output Utente'!$Q$2:$Q$492,0)),"")</f>
        <v>5995</v>
      </c>
      <c r="C24" s="7" t="str">
        <f aca="false">IFERROR(INDEX('Output Utente'!$B$2:$B$492,MATCH(21,'Output Utente'!$Q$2:$Q$492,0)),"")</f>
        <v>A</v>
      </c>
      <c r="D24" s="7" t="str">
        <f aca="false">IFERROR(INDEX('Output Utente'!$C$2:$C$492,MATCH(21,'Output Utente'!$Q$2:$Q$492,0)),"")</f>
        <v>De Ketelaere</v>
      </c>
      <c r="E24" s="7" t="str">
        <f aca="false">IFERROR(INDEX('Input Giocatori 2026_27'!$D$3:$D$493,MATCH($B24,'Input Giocatori 2026_27'!$A$3:$A$493,0)),"")</f>
        <v>Atalanta</v>
      </c>
      <c r="F24" s="50" t="n">
        <f aca="false">IFERROR(INDEX('Output Utente'!$N$2:$N$492,MATCH(21,'Output Utente'!$Q$2:$Q$492,0)),"")</f>
        <v>17</v>
      </c>
      <c r="G24" s="50" t="n">
        <f aca="false">IFERROR(INDEX('Output Utente'!$O$2:$O$492,MATCH(21,'Output Utente'!$Q$2:$Q$492,0)),"")</f>
        <v>106</v>
      </c>
      <c r="H24" s="7" t="str">
        <f aca="false">IFERROR(INDEX('Output Utente'!$P$2:$P$492,MATCH(21,'Output Utente'!$Q$2:$Q$492,0)),"")</f>
        <v>Buono</v>
      </c>
      <c r="I24" s="50" t="n">
        <f aca="false">IFERROR(INDEX('Output Utente'!$F$2:$F$492,MATCH(21,'Output Utente'!$Q$2:$Q$492,0)),"")</f>
        <v>94</v>
      </c>
      <c r="J24" s="50" t="n">
        <f aca="false">IFERROR(INDEX('Output Utente'!$G$2:$G$492,MATCH(21,'Output Utente'!$Q$2:$Q$492,0)),"")</f>
        <v>59</v>
      </c>
      <c r="K24" s="50" t="n">
        <f aca="false">IFERROR(INDEX('Output Utente'!$H$2:$H$492,MATCH(21,'Output Utente'!$Q$2:$Q$492,0)),"")</f>
        <v>109</v>
      </c>
      <c r="L24" s="7" t="str">
        <f aca="false">IFERROR(INDEX('Output Utente'!$E$2:$E$492,MATCH(21,'Output Utente'!$Q$2:$Q$492,0)),"")</f>
        <v>NO</v>
      </c>
      <c r="M24" s="7" t="str">
        <f aca="false">IFERROR(INDEX('Output Utente'!$U$2:$U$492,MATCH(21,'Output Utente'!$Q$2:$Q$492,0)),"")</f>
        <v>Attenzione</v>
      </c>
      <c r="N24" s="7" t="str">
        <f aca="false">IFERROR(INDEX('Output Utente'!$AE$2:$AE$492,MATCH(21,'Output Utente'!$Q$2:$Q$492,0)),"")</f>
        <v>🔴 Non aspettare</v>
      </c>
    </row>
    <row r="25" customFormat="false" ht="15" hidden="false" customHeight="true" outlineLevel="0" collapsed="false">
      <c r="A25" s="49" t="n">
        <v>22</v>
      </c>
      <c r="B25" s="7" t="n">
        <f aca="false">IFERROR(INDEX('Output Utente'!$A$2:$A$492,MATCH(22,'Output Utente'!$Q$2:$Q$492,0)),"")</f>
        <v>7126</v>
      </c>
      <c r="C25" s="7" t="str">
        <f aca="false">IFERROR(INDEX('Output Utente'!$B$2:$B$492,MATCH(22,'Output Utente'!$Q$2:$Q$492,0)),"")</f>
        <v>C</v>
      </c>
      <c r="D25" s="7" t="str">
        <f aca="false">IFERROR(INDEX('Output Utente'!$C$2:$C$492,MATCH(22,'Output Utente'!$Q$2:$Q$492,0)),"")</f>
        <v>Baturina</v>
      </c>
      <c r="E25" s="7" t="str">
        <f aca="false">IFERROR(INDEX('Input Giocatori 2026_27'!$D$3:$D$493,MATCH($B25,'Input Giocatori 2026_27'!$A$3:$A$493,0)),"")</f>
        <v>Como</v>
      </c>
      <c r="F25" s="50" t="n">
        <f aca="false">IFERROR(INDEX('Output Utente'!$N$2:$N$492,MATCH(22,'Output Utente'!$Q$2:$Q$492,0)),"")</f>
        <v>19</v>
      </c>
      <c r="G25" s="50" t="n">
        <f aca="false">IFERROR(INDEX('Output Utente'!$O$2:$O$492,MATCH(22,'Output Utente'!$Q$2:$Q$492,0)),"")</f>
        <v>102</v>
      </c>
      <c r="H25" s="7" t="str">
        <f aca="false">IFERROR(INDEX('Output Utente'!$P$2:$P$492,MATCH(22,'Output Utente'!$Q$2:$Q$492,0)),"")</f>
        <v>Top</v>
      </c>
      <c r="I25" s="50" t="n">
        <f aca="false">IFERROR(INDEX('Output Utente'!$F$2:$F$492,MATCH(22,'Output Utente'!$Q$2:$Q$492,0)),"")</f>
        <v>57</v>
      </c>
      <c r="J25" s="50" t="n">
        <f aca="false">IFERROR(INDEX('Output Utente'!$G$2:$G$492,MATCH(22,'Output Utente'!$Q$2:$Q$492,0)),"")</f>
        <v>39</v>
      </c>
      <c r="K25" s="50" t="n">
        <f aca="false">IFERROR(INDEX('Output Utente'!$H$2:$H$492,MATCH(22,'Output Utente'!$Q$2:$Q$492,0)),"")</f>
        <v>65</v>
      </c>
      <c r="L25" s="7" t="str">
        <f aca="false">IFERROR(INDEX('Output Utente'!$E$2:$E$492,MATCH(22,'Output Utente'!$Q$2:$Q$492,0)),"")</f>
        <v>NO</v>
      </c>
      <c r="M25" s="7" t="str">
        <f aca="false">IFERROR(INDEX('Output Utente'!$U$2:$U$492,MATCH(22,'Output Utente'!$Q$2:$Q$492,0)),"")</f>
        <v>OK</v>
      </c>
      <c r="N25" s="7" t="str">
        <f aca="false">IFERROR(INDEX('Output Utente'!$AE$2:$AE$492,MATCH(22,'Output Utente'!$Q$2:$Q$492,0)),"")</f>
        <v>🟡 Attesa rischiosa</v>
      </c>
    </row>
    <row r="26" customFormat="false" ht="15" hidden="false" customHeight="true" outlineLevel="0" collapsed="false">
      <c r="A26" s="49" t="n">
        <v>23</v>
      </c>
      <c r="B26" s="7" t="n">
        <f aca="false">IFERROR(INDEX('Output Utente'!$A$2:$A$492,MATCH(23,'Output Utente'!$Q$2:$Q$492,0)),"")</f>
        <v>2517</v>
      </c>
      <c r="C26" s="7" t="str">
        <f aca="false">IFERROR(INDEX('Output Utente'!$B$2:$B$492,MATCH(23,'Output Utente'!$Q$2:$Q$492,0)),"")</f>
        <v>C</v>
      </c>
      <c r="D26" s="7" t="str">
        <f aca="false">IFERROR(INDEX('Output Utente'!$C$2:$C$492,MATCH(23,'Output Utente'!$Q$2:$Q$492,0)),"")</f>
        <v>De Bruyne</v>
      </c>
      <c r="E26" s="7" t="str">
        <f aca="false">IFERROR(INDEX('Input Giocatori 2026_27'!$D$3:$D$493,MATCH($B26,'Input Giocatori 2026_27'!$A$3:$A$493,0)),"")</f>
        <v>Napoli</v>
      </c>
      <c r="F26" s="50" t="n">
        <f aca="false">IFERROR(INDEX('Output Utente'!$N$2:$N$492,MATCH(23,'Output Utente'!$Q$2:$Q$492,0)),"")</f>
        <v>15</v>
      </c>
      <c r="G26" s="50" t="n">
        <f aca="false">IFERROR(INDEX('Output Utente'!$O$2:$O$492,MATCH(23,'Output Utente'!$Q$2:$Q$492,0)),"")</f>
        <v>100</v>
      </c>
      <c r="H26" s="7" t="str">
        <f aca="false">IFERROR(INDEX('Output Utente'!$P$2:$P$492,MATCH(23,'Output Utente'!$Q$2:$Q$492,0)),"")</f>
        <v>Top</v>
      </c>
      <c r="I26" s="50" t="n">
        <f aca="false">IFERROR(INDEX('Output Utente'!$F$2:$F$492,MATCH(23,'Output Utente'!$Q$2:$Q$492,0)),"")</f>
        <v>57</v>
      </c>
      <c r="J26" s="50" t="n">
        <f aca="false">IFERROR(INDEX('Output Utente'!$G$2:$G$492,MATCH(23,'Output Utente'!$Q$2:$Q$492,0)),"")</f>
        <v>39</v>
      </c>
      <c r="K26" s="50" t="n">
        <f aca="false">IFERROR(INDEX('Output Utente'!$H$2:$H$492,MATCH(23,'Output Utente'!$Q$2:$Q$492,0)),"")</f>
        <v>64</v>
      </c>
      <c r="L26" s="7" t="str">
        <f aca="false">IFERROR(INDEX('Output Utente'!$E$2:$E$492,MATCH(23,'Output Utente'!$Q$2:$Q$492,0)),"")</f>
        <v>NO</v>
      </c>
      <c r="M26" s="7" t="str">
        <f aca="false">IFERROR(INDEX('Output Utente'!$U$2:$U$492,MATCH(23,'Output Utente'!$Q$2:$Q$492,0)),"")</f>
        <v>OK</v>
      </c>
      <c r="N26" s="7" t="str">
        <f aca="false">IFERROR(INDEX('Output Utente'!$AE$2:$AE$492,MATCH(23,'Output Utente'!$Q$2:$Q$492,0)),"")</f>
        <v>🟡 Attesa rischiosa</v>
      </c>
    </row>
    <row r="27" customFormat="false" ht="15" hidden="false" customHeight="true" outlineLevel="0" collapsed="false">
      <c r="A27" s="49" t="n">
        <v>24</v>
      </c>
      <c r="B27" s="7" t="n">
        <f aca="false">IFERROR(INDEX('Output Utente'!$A$2:$A$492,MATCH(24,'Output Utente'!$Q$2:$Q$492,0)),"")</f>
        <v>6435</v>
      </c>
      <c r="C27" s="7" t="str">
        <f aca="false">IFERROR(INDEX('Output Utente'!$B$2:$B$492,MATCH(24,'Output Utente'!$Q$2:$Q$492,0)),"")</f>
        <v>A</v>
      </c>
      <c r="D27" s="7" t="str">
        <f aca="false">IFERROR(INDEX('Output Utente'!$C$2:$C$492,MATCH(24,'Output Utente'!$Q$2:$Q$492,0)),"")</f>
        <v>Krstovic</v>
      </c>
      <c r="E27" s="7" t="str">
        <f aca="false">IFERROR(INDEX('Input Giocatori 2026_27'!$D$3:$D$493,MATCH($B27,'Input Giocatori 2026_27'!$A$3:$A$493,0)),"")</f>
        <v>Atalanta</v>
      </c>
      <c r="F27" s="50" t="n">
        <f aca="false">IFERROR(INDEX('Output Utente'!$N$2:$N$492,MATCH(24,'Output Utente'!$Q$2:$Q$492,0)),"")</f>
        <v>18</v>
      </c>
      <c r="G27" s="50" t="n">
        <f aca="false">IFERROR(INDEX('Output Utente'!$O$2:$O$492,MATCH(24,'Output Utente'!$Q$2:$Q$492,0)),"")</f>
        <v>100</v>
      </c>
      <c r="H27" s="7" t="str">
        <f aca="false">IFERROR(INDEX('Output Utente'!$P$2:$P$492,MATCH(24,'Output Utente'!$Q$2:$Q$492,0)),"")</f>
        <v>Buono</v>
      </c>
      <c r="I27" s="50" t="n">
        <f aca="false">IFERROR(INDEX('Output Utente'!$F$2:$F$492,MATCH(24,'Output Utente'!$Q$2:$Q$492,0)),"")</f>
        <v>90</v>
      </c>
      <c r="J27" s="50" t="n">
        <f aca="false">IFERROR(INDEX('Output Utente'!$G$2:$G$492,MATCH(24,'Output Utente'!$Q$2:$Q$492,0)),"")</f>
        <v>56</v>
      </c>
      <c r="K27" s="50" t="n">
        <f aca="false">IFERROR(INDEX('Output Utente'!$H$2:$H$492,MATCH(24,'Output Utente'!$Q$2:$Q$492,0)),"")</f>
        <v>105</v>
      </c>
      <c r="L27" s="7" t="str">
        <f aca="false">IFERROR(INDEX('Output Utente'!$E$2:$E$492,MATCH(24,'Output Utente'!$Q$2:$Q$492,0)),"")</f>
        <v>NO</v>
      </c>
      <c r="M27" s="7" t="str">
        <f aca="false">IFERROR(INDEX('Output Utente'!$U$2:$U$492,MATCH(24,'Output Utente'!$Q$2:$Q$492,0)),"")</f>
        <v>Attenzione</v>
      </c>
      <c r="N27" s="7" t="str">
        <f aca="false">IFERROR(INDEX('Output Utente'!$AE$2:$AE$492,MATCH(24,'Output Utente'!$Q$2:$Q$492,0)),"")</f>
        <v>🔴 Non aspettare</v>
      </c>
    </row>
    <row r="28" customFormat="false" ht="15" hidden="false" customHeight="true" outlineLevel="0" collapsed="false">
      <c r="A28" s="49" t="n">
        <v>25</v>
      </c>
      <c r="B28" s="7" t="n">
        <f aca="false">IFERROR(INDEX('Output Utente'!$A$2:$A$492,MATCH(25,'Output Utente'!$Q$2:$Q$492,0)),"")</f>
        <v>7071</v>
      </c>
      <c r="C28" s="7" t="str">
        <f aca="false">IFERROR(INDEX('Output Utente'!$B$2:$B$492,MATCH(25,'Output Utente'!$Q$2:$Q$492,0)),"")</f>
        <v>A</v>
      </c>
      <c r="D28" s="7" t="str">
        <f aca="false">IFERROR(INDEX('Output Utente'!$C$2:$C$492,MATCH(25,'Output Utente'!$Q$2:$Q$492,0)),"")</f>
        <v>Esposito F.P.</v>
      </c>
      <c r="E28" s="7" t="str">
        <f aca="false">IFERROR(INDEX('Input Giocatori 2026_27'!$D$3:$D$493,MATCH($B28,'Input Giocatori 2026_27'!$A$3:$A$493,0)),"")</f>
        <v>Inter</v>
      </c>
      <c r="F28" s="50" t="n">
        <f aca="false">IFERROR(INDEX('Output Utente'!$N$2:$N$492,MATCH(25,'Output Utente'!$Q$2:$Q$492,0)),"")</f>
        <v>16</v>
      </c>
      <c r="G28" s="50" t="n">
        <f aca="false">IFERROR(INDEX('Output Utente'!$O$2:$O$492,MATCH(25,'Output Utente'!$Q$2:$Q$492,0)),"")</f>
        <v>93</v>
      </c>
      <c r="H28" s="7" t="str">
        <f aca="false">IFERROR(INDEX('Output Utente'!$P$2:$P$492,MATCH(25,'Output Utente'!$Q$2:$Q$492,0)),"")</f>
        <v>Buono</v>
      </c>
      <c r="I28" s="50" t="n">
        <f aca="false">IFERROR(INDEX('Output Utente'!$F$2:$F$492,MATCH(25,'Output Utente'!$Q$2:$Q$492,0)),"")</f>
        <v>84</v>
      </c>
      <c r="J28" s="50" t="n">
        <f aca="false">IFERROR(INDEX('Output Utente'!$G$2:$G$492,MATCH(25,'Output Utente'!$Q$2:$Q$492,0)),"")</f>
        <v>52</v>
      </c>
      <c r="K28" s="50" t="n">
        <f aca="false">IFERROR(INDEX('Output Utente'!$H$2:$H$492,MATCH(25,'Output Utente'!$Q$2:$Q$492,0)),"")</f>
        <v>97</v>
      </c>
      <c r="L28" s="7" t="str">
        <f aca="false">IFERROR(INDEX('Output Utente'!$E$2:$E$492,MATCH(25,'Output Utente'!$Q$2:$Q$492,0)),"")</f>
        <v>NO</v>
      </c>
      <c r="M28" s="7" t="str">
        <f aca="false">IFERROR(INDEX('Output Utente'!$U$2:$U$492,MATCH(25,'Output Utente'!$Q$2:$Q$492,0)),"")</f>
        <v>Attenzione</v>
      </c>
      <c r="N28" s="7" t="str">
        <f aca="false">IFERROR(INDEX('Output Utente'!$AE$2:$AE$492,MATCH(25,'Output Utente'!$Q$2:$Q$492,0)),"")</f>
        <v>🔴 Non aspettare</v>
      </c>
    </row>
    <row r="29" customFormat="false" ht="15" hidden="false" customHeight="true" outlineLevel="0" collapsed="false">
      <c r="A29" s="49" t="n">
        <v>26</v>
      </c>
      <c r="B29" s="7" t="n">
        <f aca="false">IFERROR(INDEX('Output Utente'!$A$2:$A$492,MATCH(26,'Output Utente'!$Q$2:$Q$492,0)),"")</f>
        <v>632</v>
      </c>
      <c r="C29" s="7" t="str">
        <f aca="false">IFERROR(INDEX('Output Utente'!$B$2:$B$492,MATCH(26,'Output Utente'!$Q$2:$Q$492,0)),"")</f>
        <v>C</v>
      </c>
      <c r="D29" s="7" t="str">
        <f aca="false">IFERROR(INDEX('Output Utente'!$C$2:$C$492,MATCH(26,'Output Utente'!$Q$2:$Q$492,0)),"")</f>
        <v>Zaccagni</v>
      </c>
      <c r="E29" s="7" t="str">
        <f aca="false">IFERROR(INDEX('Input Giocatori 2026_27'!$D$3:$D$493,MATCH($B29,'Input Giocatori 2026_27'!$A$3:$A$493,0)),"")</f>
        <v>Lazio</v>
      </c>
      <c r="F29" s="50" t="n">
        <f aca="false">IFERROR(INDEX('Output Utente'!$N$2:$N$492,MATCH(26,'Output Utente'!$Q$2:$Q$492,0)),"")</f>
        <v>16</v>
      </c>
      <c r="G29" s="50" t="n">
        <f aca="false">IFERROR(INDEX('Output Utente'!$O$2:$O$492,MATCH(26,'Output Utente'!$Q$2:$Q$492,0)),"")</f>
        <v>91</v>
      </c>
      <c r="H29" s="7" t="str">
        <f aca="false">IFERROR(INDEX('Output Utente'!$P$2:$P$492,MATCH(26,'Output Utente'!$Q$2:$Q$492,0)),"")</f>
        <v>Top</v>
      </c>
      <c r="I29" s="50" t="n">
        <f aca="false">IFERROR(INDEX('Output Utente'!$F$2:$F$492,MATCH(26,'Output Utente'!$Q$2:$Q$492,0)),"")</f>
        <v>49</v>
      </c>
      <c r="J29" s="50" t="n">
        <f aca="false">IFERROR(INDEX('Output Utente'!$G$2:$G$492,MATCH(26,'Output Utente'!$Q$2:$Q$492,0)),"")</f>
        <v>34</v>
      </c>
      <c r="K29" s="50" t="n">
        <f aca="false">IFERROR(INDEX('Output Utente'!$H$2:$H$492,MATCH(26,'Output Utente'!$Q$2:$Q$492,0)),"")</f>
        <v>56</v>
      </c>
      <c r="L29" s="7" t="str">
        <f aca="false">IFERROR(INDEX('Output Utente'!$E$2:$E$492,MATCH(26,'Output Utente'!$Q$2:$Q$492,0)),"")</f>
        <v>NO</v>
      </c>
      <c r="M29" s="7" t="str">
        <f aca="false">IFERROR(INDEX('Output Utente'!$U$2:$U$492,MATCH(26,'Output Utente'!$Q$2:$Q$492,0)),"")</f>
        <v>OK</v>
      </c>
      <c r="N29" s="7" t="str">
        <f aca="false">IFERROR(INDEX('Output Utente'!$AE$2:$AE$492,MATCH(26,'Output Utente'!$Q$2:$Q$492,0)),"")</f>
        <v>🟡 Attesa rischiosa</v>
      </c>
    </row>
    <row r="30" customFormat="false" ht="15" hidden="false" customHeight="true" outlineLevel="0" collapsed="false">
      <c r="A30" s="49" t="n">
        <v>27</v>
      </c>
      <c r="B30" s="7" t="n">
        <f aca="false">IFERROR(INDEX('Output Utente'!$A$2:$A$492,MATCH(27,'Output Utente'!$Q$2:$Q$492,0)),"")</f>
        <v>7181</v>
      </c>
      <c r="C30" s="7" t="str">
        <f aca="false">IFERROR(INDEX('Output Utente'!$B$2:$B$492,MATCH(27,'Output Utente'!$Q$2:$Q$492,0)),"")</f>
        <v>D</v>
      </c>
      <c r="D30" s="7" t="str">
        <f aca="false">IFERROR(INDEX('Output Utente'!$C$2:$C$492,MATCH(27,'Output Utente'!$Q$2:$Q$492,0)),"")</f>
        <v>Wesley</v>
      </c>
      <c r="E30" s="7" t="str">
        <f aca="false">IFERROR(INDEX('Input Giocatori 2026_27'!$D$3:$D$493,MATCH($B30,'Input Giocatori 2026_27'!$A$3:$A$493,0)),"")</f>
        <v>Roma</v>
      </c>
      <c r="F30" s="50" t="n">
        <f aca="false">IFERROR(INDEX('Output Utente'!$N$2:$N$492,MATCH(27,'Output Utente'!$Q$2:$Q$492,0)),"")</f>
        <v>17</v>
      </c>
      <c r="G30" s="50" t="n">
        <f aca="false">IFERROR(INDEX('Output Utente'!$O$2:$O$492,MATCH(27,'Output Utente'!$Q$2:$Q$492,0)),"")</f>
        <v>90</v>
      </c>
      <c r="H30" s="7" t="str">
        <f aca="false">IFERROR(INDEX('Output Utente'!$P$2:$P$492,MATCH(27,'Output Utente'!$Q$2:$Q$492,0)),"")</f>
        <v>Top</v>
      </c>
      <c r="I30" s="50" t="n">
        <f aca="false">IFERROR(INDEX('Output Utente'!$F$2:$F$492,MATCH(27,'Output Utente'!$Q$2:$Q$492,0)),"")</f>
        <v>44</v>
      </c>
      <c r="J30" s="50" t="n">
        <f aca="false">IFERROR(INDEX('Output Utente'!$G$2:$G$492,MATCH(27,'Output Utente'!$Q$2:$Q$492,0)),"")</f>
        <v>32</v>
      </c>
      <c r="K30" s="50" t="n">
        <f aca="false">IFERROR(INDEX('Output Utente'!$H$2:$H$492,MATCH(27,'Output Utente'!$Q$2:$Q$492,0)),"")</f>
        <v>49</v>
      </c>
      <c r="L30" s="7" t="str">
        <f aca="false">IFERROR(INDEX('Output Utente'!$E$2:$E$492,MATCH(27,'Output Utente'!$Q$2:$Q$492,0)),"")</f>
        <v>NO</v>
      </c>
      <c r="M30" s="7" t="str">
        <f aca="false">IFERROR(INDEX('Output Utente'!$U$2:$U$492,MATCH(27,'Output Utente'!$Q$2:$Q$492,0)),"")</f>
        <v>OK</v>
      </c>
      <c r="N30" s="7" t="str">
        <f aca="false">IFERROR(INDEX('Output Utente'!$AE$2:$AE$492,MATCH(27,'Output Utente'!$Q$2:$Q$492,0)),"")</f>
        <v>🟡 Attesa rischiosa</v>
      </c>
    </row>
    <row r="31" customFormat="false" ht="15" hidden="false" customHeight="true" outlineLevel="0" collapsed="false">
      <c r="A31" s="49" t="n">
        <v>28</v>
      </c>
      <c r="B31" s="7" t="n">
        <f aca="false">IFERROR(INDEX('Output Utente'!$A$2:$A$492,MATCH(28,'Output Utente'!$Q$2:$Q$492,0)),"")</f>
        <v>5559</v>
      </c>
      <c r="C31" s="7" t="str">
        <f aca="false">IFERROR(INDEX('Output Utente'!$B$2:$B$492,MATCH(28,'Output Utente'!$Q$2:$Q$492,0)),"")</f>
        <v>C</v>
      </c>
      <c r="D31" s="7" t="str">
        <f aca="false">IFERROR(INDEX('Output Utente'!$C$2:$C$492,MATCH(28,'Output Utente'!$Q$2:$Q$492,0)),"")</f>
        <v>Da Cunha</v>
      </c>
      <c r="E31" s="7" t="str">
        <f aca="false">IFERROR(INDEX('Input Giocatori 2026_27'!$D$3:$D$493,MATCH($B31,'Input Giocatori 2026_27'!$A$3:$A$493,0)),"")</f>
        <v>Como</v>
      </c>
      <c r="F31" s="50" t="n">
        <f aca="false">IFERROR(INDEX('Output Utente'!$N$2:$N$492,MATCH(28,'Output Utente'!$Q$2:$Q$492,0)),"")</f>
        <v>18</v>
      </c>
      <c r="G31" s="50" t="n">
        <f aca="false">IFERROR(INDEX('Output Utente'!$O$2:$O$492,MATCH(28,'Output Utente'!$Q$2:$Q$492,0)),"")</f>
        <v>90</v>
      </c>
      <c r="H31" s="7" t="str">
        <f aca="false">IFERROR(INDEX('Output Utente'!$P$2:$P$492,MATCH(28,'Output Utente'!$Q$2:$Q$492,0)),"")</f>
        <v>Top</v>
      </c>
      <c r="I31" s="50" t="n">
        <f aca="false">IFERROR(INDEX('Output Utente'!$F$2:$F$492,MATCH(28,'Output Utente'!$Q$2:$Q$492,0)),"")</f>
        <v>50</v>
      </c>
      <c r="J31" s="50" t="n">
        <f aca="false">IFERROR(INDEX('Output Utente'!$G$2:$G$492,MATCH(28,'Output Utente'!$Q$2:$Q$492,0)),"")</f>
        <v>34</v>
      </c>
      <c r="K31" s="50" t="n">
        <f aca="false">IFERROR(INDEX('Output Utente'!$H$2:$H$492,MATCH(28,'Output Utente'!$Q$2:$Q$492,0)),"")</f>
        <v>57</v>
      </c>
      <c r="L31" s="7" t="str">
        <f aca="false">IFERROR(INDEX('Output Utente'!$E$2:$E$492,MATCH(28,'Output Utente'!$Q$2:$Q$492,0)),"")</f>
        <v>NO</v>
      </c>
      <c r="M31" s="7" t="str">
        <f aca="false">IFERROR(INDEX('Output Utente'!$U$2:$U$492,MATCH(28,'Output Utente'!$Q$2:$Q$492,0)),"")</f>
        <v>OK</v>
      </c>
      <c r="N31" s="7" t="str">
        <f aca="false">IFERROR(INDEX('Output Utente'!$AE$2:$AE$492,MATCH(28,'Output Utente'!$Q$2:$Q$492,0)),"")</f>
        <v>🟡 Attesa rischiosa</v>
      </c>
    </row>
    <row r="32" customFormat="false" ht="15" hidden="false" customHeight="true" outlineLevel="0" collapsed="false">
      <c r="A32" s="49" t="n">
        <v>29</v>
      </c>
      <c r="B32" s="7" t="n">
        <f aca="false">IFERROR(INDEX('Output Utente'!$A$2:$A$492,MATCH(29,'Output Utente'!$Q$2:$Q$492,0)),"")</f>
        <v>2766</v>
      </c>
      <c r="C32" s="7" t="str">
        <f aca="false">IFERROR(INDEX('Output Utente'!$B$2:$B$492,MATCH(29,'Output Utente'!$Q$2:$Q$492,0)),"")</f>
        <v>C</v>
      </c>
      <c r="D32" s="7" t="str">
        <f aca="false">IFERROR(INDEX('Output Utente'!$C$2:$C$492,MATCH(29,'Output Utente'!$Q$2:$Q$492,0)),"")</f>
        <v>Zaniolo</v>
      </c>
      <c r="E32" s="7" t="str">
        <f aca="false">IFERROR(INDEX('Input Giocatori 2026_27'!$D$3:$D$493,MATCH($B32,'Input Giocatori 2026_27'!$A$3:$A$493,0)),"")</f>
        <v>Udinese</v>
      </c>
      <c r="F32" s="50" t="n">
        <f aca="false">IFERROR(INDEX('Output Utente'!$N$2:$N$492,MATCH(29,'Output Utente'!$Q$2:$Q$492,0)),"")</f>
        <v>18</v>
      </c>
      <c r="G32" s="50" t="n">
        <f aca="false">IFERROR(INDEX('Output Utente'!$O$2:$O$492,MATCH(29,'Output Utente'!$Q$2:$Q$492,0)),"")</f>
        <v>90</v>
      </c>
      <c r="H32" s="7" t="str">
        <f aca="false">IFERROR(INDEX('Output Utente'!$P$2:$P$492,MATCH(29,'Output Utente'!$Q$2:$Q$492,0)),"")</f>
        <v>Top</v>
      </c>
      <c r="I32" s="50" t="n">
        <f aca="false">IFERROR(INDEX('Output Utente'!$F$2:$F$492,MATCH(29,'Output Utente'!$Q$2:$Q$492,0)),"")</f>
        <v>50</v>
      </c>
      <c r="J32" s="50" t="n">
        <f aca="false">IFERROR(INDEX('Output Utente'!$G$2:$G$492,MATCH(29,'Output Utente'!$Q$2:$Q$492,0)),"")</f>
        <v>34</v>
      </c>
      <c r="K32" s="50" t="n">
        <f aca="false">IFERROR(INDEX('Output Utente'!$H$2:$H$492,MATCH(29,'Output Utente'!$Q$2:$Q$492,0)),"")</f>
        <v>57</v>
      </c>
      <c r="L32" s="7" t="str">
        <f aca="false">IFERROR(INDEX('Output Utente'!$E$2:$E$492,MATCH(29,'Output Utente'!$Q$2:$Q$492,0)),"")</f>
        <v>NO</v>
      </c>
      <c r="M32" s="7" t="str">
        <f aca="false">IFERROR(INDEX('Output Utente'!$U$2:$U$492,MATCH(29,'Output Utente'!$Q$2:$Q$492,0)),"")</f>
        <v>OK</v>
      </c>
      <c r="N32" s="7" t="str">
        <f aca="false">IFERROR(INDEX('Output Utente'!$AE$2:$AE$492,MATCH(29,'Output Utente'!$Q$2:$Q$492,0)),"")</f>
        <v>🟡 Attesa rischiosa</v>
      </c>
    </row>
    <row r="33" customFormat="false" ht="15" hidden="false" customHeight="true" outlineLevel="0" collapsed="false">
      <c r="A33" s="49" t="n">
        <v>30</v>
      </c>
      <c r="B33" s="7" t="n">
        <f aca="false">IFERROR(INDEX('Output Utente'!$A$2:$A$492,MATCH(30,'Output Utente'!$Q$2:$Q$492,0)),"")</f>
        <v>6060</v>
      </c>
      <c r="C33" s="7" t="str">
        <f aca="false">IFERROR(INDEX('Output Utente'!$B$2:$B$492,MATCH(30,'Output Utente'!$Q$2:$Q$492,0)),"")</f>
        <v>A</v>
      </c>
      <c r="D33" s="7" t="str">
        <f aca="false">IFERROR(INDEX('Output Utente'!$C$2:$C$492,MATCH(30,'Output Utente'!$Q$2:$Q$492,0)),"")</f>
        <v>Laurientè</v>
      </c>
      <c r="E33" s="7" t="str">
        <f aca="false">IFERROR(INDEX('Input Giocatori 2026_27'!$D$3:$D$493,MATCH($B33,'Input Giocatori 2026_27'!$A$3:$A$493,0)),"")</f>
        <v>Sassuolo</v>
      </c>
      <c r="F33" s="50" t="n">
        <f aca="false">IFERROR(INDEX('Output Utente'!$N$2:$N$492,MATCH(30,'Output Utente'!$Q$2:$Q$492,0)),"")</f>
        <v>15</v>
      </c>
      <c r="G33" s="50" t="n">
        <f aca="false">IFERROR(INDEX('Output Utente'!$O$2:$O$492,MATCH(30,'Output Utente'!$Q$2:$Q$492,0)),"")</f>
        <v>88</v>
      </c>
      <c r="H33" s="7" t="str">
        <f aca="false">IFERROR(INDEX('Output Utente'!$P$2:$P$492,MATCH(30,'Output Utente'!$Q$2:$Q$492,0)),"")</f>
        <v>Buono</v>
      </c>
      <c r="I33" s="50" t="n">
        <f aca="false">IFERROR(INDEX('Output Utente'!$F$2:$F$492,MATCH(30,'Output Utente'!$Q$2:$Q$492,0)),"")</f>
        <v>79</v>
      </c>
      <c r="J33" s="50" t="n">
        <f aca="false">IFERROR(INDEX('Output Utente'!$G$2:$G$492,MATCH(30,'Output Utente'!$Q$2:$Q$492,0)),"")</f>
        <v>49</v>
      </c>
      <c r="K33" s="50" t="n">
        <f aca="false">IFERROR(INDEX('Output Utente'!$H$2:$H$492,MATCH(30,'Output Utente'!$Q$2:$Q$492,0)),"")</f>
        <v>92</v>
      </c>
      <c r="L33" s="7" t="str">
        <f aca="false">IFERROR(INDEX('Output Utente'!$E$2:$E$492,MATCH(30,'Output Utente'!$Q$2:$Q$492,0)),"")</f>
        <v>NO</v>
      </c>
      <c r="M33" s="7" t="str">
        <f aca="false">IFERROR(INDEX('Output Utente'!$U$2:$U$492,MATCH(30,'Output Utente'!$Q$2:$Q$492,0)),"")</f>
        <v>Attenzione</v>
      </c>
      <c r="N33" s="7" t="str">
        <f aca="false">IFERROR(INDEX('Output Utente'!$AE$2:$AE$492,MATCH(30,'Output Utente'!$Q$2:$Q$492,0)),"")</f>
        <v>🔴 Non aspettare</v>
      </c>
    </row>
    <row r="34" customFormat="false" ht="15" hidden="false" customHeight="true" outlineLevel="0" collapsed="false">
      <c r="A34" s="49" t="n">
        <v>31</v>
      </c>
      <c r="B34" s="7" t="n">
        <f aca="false">IFERROR(INDEX('Output Utente'!$A$2:$A$492,MATCH(31,'Output Utente'!$Q$2:$Q$492,0)),"")</f>
        <v>6908</v>
      </c>
      <c r="C34" s="7" t="str">
        <f aca="false">IFERROR(INDEX('Output Utente'!$B$2:$B$492,MATCH(31,'Output Utente'!$Q$2:$Q$492,0)),"")</f>
        <v>C</v>
      </c>
      <c r="D34" s="7" t="str">
        <f aca="false">IFERROR(INDEX('Output Utente'!$C$2:$C$492,MATCH(31,'Output Utente'!$Q$2:$Q$492,0)),"")</f>
        <v>Atta</v>
      </c>
      <c r="E34" s="7" t="str">
        <f aca="false">IFERROR(INDEX('Input Giocatori 2026_27'!$D$3:$D$493,MATCH($B34,'Input Giocatori 2026_27'!$A$3:$A$493,0)),"")</f>
        <v>Fiorentina</v>
      </c>
      <c r="F34" s="50" t="n">
        <f aca="false">IFERROR(INDEX('Output Utente'!$N$2:$N$492,MATCH(31,'Output Utente'!$Q$2:$Q$492,0)),"")</f>
        <v>17</v>
      </c>
      <c r="G34" s="50" t="n">
        <f aca="false">IFERROR(INDEX('Output Utente'!$O$2:$O$492,MATCH(31,'Output Utente'!$Q$2:$Q$492,0)),"")</f>
        <v>87</v>
      </c>
      <c r="H34" s="7" t="str">
        <f aca="false">IFERROR(INDEX('Output Utente'!$P$2:$P$492,MATCH(31,'Output Utente'!$Q$2:$Q$492,0)),"")</f>
        <v>Top</v>
      </c>
      <c r="I34" s="50" t="n">
        <f aca="false">IFERROR(INDEX('Output Utente'!$F$2:$F$492,MATCH(31,'Output Utente'!$Q$2:$Q$492,0)),"")</f>
        <v>48</v>
      </c>
      <c r="J34" s="50" t="n">
        <f aca="false">IFERROR(INDEX('Output Utente'!$G$2:$G$492,MATCH(31,'Output Utente'!$Q$2:$Q$492,0)),"")</f>
        <v>33</v>
      </c>
      <c r="K34" s="50" t="n">
        <f aca="false">IFERROR(INDEX('Output Utente'!$H$2:$H$492,MATCH(31,'Output Utente'!$Q$2:$Q$492,0)),"")</f>
        <v>55</v>
      </c>
      <c r="L34" s="7" t="str">
        <f aca="false">IFERROR(INDEX('Output Utente'!$E$2:$E$492,MATCH(31,'Output Utente'!$Q$2:$Q$492,0)),"")</f>
        <v>NO</v>
      </c>
      <c r="M34" s="7" t="str">
        <f aca="false">IFERROR(INDEX('Output Utente'!$U$2:$U$492,MATCH(31,'Output Utente'!$Q$2:$Q$492,0)),"")</f>
        <v>OK</v>
      </c>
      <c r="N34" s="7" t="str">
        <f aca="false">IFERROR(INDEX('Output Utente'!$AE$2:$AE$492,MATCH(31,'Output Utente'!$Q$2:$Q$492,0)),"")</f>
        <v>🟡 Attesa rischiosa</v>
      </c>
    </row>
    <row r="35" customFormat="false" ht="15" hidden="false" customHeight="true" outlineLevel="0" collapsed="false">
      <c r="A35" s="49" t="n">
        <v>32</v>
      </c>
      <c r="B35" s="7" t="n">
        <f aca="false">IFERROR(INDEX('Output Utente'!$A$2:$A$492,MATCH(32,'Output Utente'!$Q$2:$Q$492,0)),"")</f>
        <v>6675</v>
      </c>
      <c r="C35" s="7" t="str">
        <f aca="false">IFERROR(INDEX('Output Utente'!$B$2:$B$492,MATCH(32,'Output Utente'!$Q$2:$Q$492,0)),"")</f>
        <v>A</v>
      </c>
      <c r="D35" s="7" t="str">
        <f aca="false">IFERROR(INDEX('Output Utente'!$C$2:$C$492,MATCH(32,'Output Utente'!$Q$2:$Q$492,0)),"")</f>
        <v>Dovbyk</v>
      </c>
      <c r="E35" s="7" t="str">
        <f aca="false">IFERROR(INDEX('Input Giocatori 2026_27'!$D$3:$D$493,MATCH($B35,'Input Giocatori 2026_27'!$A$3:$A$493,0)),"")</f>
        <v>Bologna</v>
      </c>
      <c r="F35" s="50" t="n">
        <f aca="false">IFERROR(INDEX('Output Utente'!$N$2:$N$492,MATCH(32,'Output Utente'!$Q$2:$Q$492,0)),"")</f>
        <v>16</v>
      </c>
      <c r="G35" s="50" t="n">
        <f aca="false">IFERROR(INDEX('Output Utente'!$O$2:$O$492,MATCH(32,'Output Utente'!$Q$2:$Q$492,0)),"")</f>
        <v>84</v>
      </c>
      <c r="H35" s="7" t="str">
        <f aca="false">IFERROR(INDEX('Output Utente'!$P$2:$P$492,MATCH(32,'Output Utente'!$Q$2:$Q$492,0)),"")</f>
        <v>Buono</v>
      </c>
      <c r="I35" s="50" t="n">
        <f aca="false">IFERROR(INDEX('Output Utente'!$F$2:$F$492,MATCH(32,'Output Utente'!$Q$2:$Q$492,0)),"")</f>
        <v>75</v>
      </c>
      <c r="J35" s="50" t="n">
        <f aca="false">IFERROR(INDEX('Output Utente'!$G$2:$G$492,MATCH(32,'Output Utente'!$Q$2:$Q$492,0)),"")</f>
        <v>47</v>
      </c>
      <c r="K35" s="50" t="n">
        <f aca="false">IFERROR(INDEX('Output Utente'!$H$2:$H$492,MATCH(32,'Output Utente'!$Q$2:$Q$492,0)),"")</f>
        <v>87</v>
      </c>
      <c r="L35" s="7" t="str">
        <f aca="false">IFERROR(INDEX('Output Utente'!$E$2:$E$492,MATCH(32,'Output Utente'!$Q$2:$Q$492,0)),"")</f>
        <v>NO</v>
      </c>
      <c r="M35" s="7" t="str">
        <f aca="false">IFERROR(INDEX('Output Utente'!$U$2:$U$492,MATCH(32,'Output Utente'!$Q$2:$Q$492,0)),"")</f>
        <v>Attenzione</v>
      </c>
      <c r="N35" s="7" t="str">
        <f aca="false">IFERROR(INDEX('Output Utente'!$AE$2:$AE$492,MATCH(32,'Output Utente'!$Q$2:$Q$492,0)),"")</f>
        <v>🔴 Non aspettare</v>
      </c>
    </row>
    <row r="36" customFormat="false" ht="15" hidden="false" customHeight="true" outlineLevel="0" collapsed="false">
      <c r="A36" s="49" t="n">
        <v>33</v>
      </c>
      <c r="B36" s="7" t="n">
        <f aca="false">IFERROR(INDEX('Output Utente'!$A$2:$A$492,MATCH(33,'Output Utente'!$Q$2:$Q$492,0)),"")</f>
        <v>6572</v>
      </c>
      <c r="C36" s="7" t="str">
        <f aca="false">IFERROR(INDEX('Output Utente'!$B$2:$B$492,MATCH(33,'Output Utente'!$Q$2:$Q$492,0)),"")</f>
        <v>A</v>
      </c>
      <c r="D36" s="7" t="str">
        <f aca="false">IFERROR(INDEX('Output Utente'!$C$2:$C$492,MATCH(33,'Output Utente'!$Q$2:$Q$492,0)),"")</f>
        <v>Castro S.</v>
      </c>
      <c r="E36" s="7" t="str">
        <f aca="false">IFERROR(INDEX('Input Giocatori 2026_27'!$D$3:$D$493,MATCH($B36,'Input Giocatori 2026_27'!$A$3:$A$493,0)),"")</f>
        <v>Roma</v>
      </c>
      <c r="F36" s="50" t="n">
        <f aca="false">IFERROR(INDEX('Output Utente'!$N$2:$N$492,MATCH(33,'Output Utente'!$Q$2:$Q$492,0)),"")</f>
        <v>14</v>
      </c>
      <c r="G36" s="50" t="n">
        <f aca="false">IFERROR(INDEX('Output Utente'!$O$2:$O$492,MATCH(33,'Output Utente'!$Q$2:$Q$492,0)),"")</f>
        <v>83</v>
      </c>
      <c r="H36" s="7" t="str">
        <f aca="false">IFERROR(INDEX('Output Utente'!$P$2:$P$492,MATCH(33,'Output Utente'!$Q$2:$Q$492,0)),"")</f>
        <v>Buono</v>
      </c>
      <c r="I36" s="50" t="n">
        <f aca="false">IFERROR(INDEX('Output Utente'!$F$2:$F$492,MATCH(33,'Output Utente'!$Q$2:$Q$492,0)),"")</f>
        <v>73</v>
      </c>
      <c r="J36" s="50" t="n">
        <f aca="false">IFERROR(INDEX('Output Utente'!$G$2:$G$492,MATCH(33,'Output Utente'!$Q$2:$Q$492,0)),"")</f>
        <v>46</v>
      </c>
      <c r="K36" s="50" t="n">
        <f aca="false">IFERROR(INDEX('Output Utente'!$H$2:$H$492,MATCH(33,'Output Utente'!$Q$2:$Q$492,0)),"")</f>
        <v>85</v>
      </c>
      <c r="L36" s="7" t="str">
        <f aca="false">IFERROR(INDEX('Output Utente'!$E$2:$E$492,MATCH(33,'Output Utente'!$Q$2:$Q$492,0)),"")</f>
        <v>NO</v>
      </c>
      <c r="M36" s="7" t="str">
        <f aca="false">IFERROR(INDEX('Output Utente'!$U$2:$U$492,MATCH(33,'Output Utente'!$Q$2:$Q$492,0)),"")</f>
        <v>Attenzione</v>
      </c>
      <c r="N36" s="7" t="str">
        <f aca="false">IFERROR(INDEX('Output Utente'!$AE$2:$AE$492,MATCH(33,'Output Utente'!$Q$2:$Q$492,0)),"")</f>
        <v>🔴 Non aspettare</v>
      </c>
    </row>
    <row r="37" customFormat="false" ht="15" hidden="false" customHeight="true" outlineLevel="0" collapsed="false">
      <c r="A37" s="49" t="n">
        <v>34</v>
      </c>
      <c r="B37" s="7" t="n">
        <f aca="false">IFERROR(INDEX('Output Utente'!$A$2:$A$492,MATCH(34,'Output Utente'!$Q$2:$Q$492,0)),"")</f>
        <v>1870</v>
      </c>
      <c r="C37" s="7" t="str">
        <f aca="false">IFERROR(INDEX('Output Utente'!$B$2:$B$492,MATCH(34,'Output Utente'!$Q$2:$Q$492,0)),"")</f>
        <v>C</v>
      </c>
      <c r="D37" s="7" t="str">
        <f aca="false">IFERROR(INDEX('Output Utente'!$C$2:$C$492,MATCH(34,'Output Utente'!$Q$2:$Q$492,0)),"")</f>
        <v>Barella</v>
      </c>
      <c r="E37" s="7" t="str">
        <f aca="false">IFERROR(INDEX('Input Giocatori 2026_27'!$D$3:$D$493,MATCH($B37,'Input Giocatori 2026_27'!$A$3:$A$493,0)),"")</f>
        <v>Inter</v>
      </c>
      <c r="F37" s="50" t="n">
        <f aca="false">IFERROR(INDEX('Output Utente'!$N$2:$N$492,MATCH(34,'Output Utente'!$Q$2:$Q$492,0)),"")</f>
        <v>17</v>
      </c>
      <c r="G37" s="50" t="n">
        <f aca="false">IFERROR(INDEX('Output Utente'!$O$2:$O$492,MATCH(34,'Output Utente'!$Q$2:$Q$492,0)),"")</f>
        <v>82</v>
      </c>
      <c r="H37" s="7" t="str">
        <f aca="false">IFERROR(INDEX('Output Utente'!$P$2:$P$492,MATCH(34,'Output Utente'!$Q$2:$Q$492,0)),"")</f>
        <v>Top</v>
      </c>
      <c r="I37" s="50" t="n">
        <f aca="false">IFERROR(INDEX('Output Utente'!$F$2:$F$492,MATCH(34,'Output Utente'!$Q$2:$Q$492,0)),"")</f>
        <v>46</v>
      </c>
      <c r="J37" s="50" t="n">
        <f aca="false">IFERROR(INDEX('Output Utente'!$G$2:$G$492,MATCH(34,'Output Utente'!$Q$2:$Q$492,0)),"")</f>
        <v>31</v>
      </c>
      <c r="K37" s="50" t="n">
        <f aca="false">IFERROR(INDEX('Output Utente'!$H$2:$H$492,MATCH(34,'Output Utente'!$Q$2:$Q$492,0)),"")</f>
        <v>52</v>
      </c>
      <c r="L37" s="7" t="str">
        <f aca="false">IFERROR(INDEX('Output Utente'!$E$2:$E$492,MATCH(34,'Output Utente'!$Q$2:$Q$492,0)),"")</f>
        <v>NO</v>
      </c>
      <c r="M37" s="7" t="str">
        <f aca="false">IFERROR(INDEX('Output Utente'!$U$2:$U$492,MATCH(34,'Output Utente'!$Q$2:$Q$492,0)),"")</f>
        <v>OK</v>
      </c>
      <c r="N37" s="7" t="str">
        <f aca="false">IFERROR(INDEX('Output Utente'!$AE$2:$AE$492,MATCH(34,'Output Utente'!$Q$2:$Q$492,0)),"")</f>
        <v>🟡 Attesa rischiosa</v>
      </c>
    </row>
    <row r="38" customFormat="false" ht="15" hidden="false" customHeight="true" outlineLevel="0" collapsed="false">
      <c r="A38" s="49" t="n">
        <v>35</v>
      </c>
      <c r="B38" s="7" t="n">
        <f aca="false">IFERROR(INDEX('Output Utente'!$A$2:$A$492,MATCH(35,'Output Utente'!$Q$2:$Q$492,0)),"")</f>
        <v>2061</v>
      </c>
      <c r="C38" s="7" t="str">
        <f aca="false">IFERROR(INDEX('Output Utente'!$B$2:$B$492,MATCH(35,'Output Utente'!$Q$2:$Q$492,0)),"")</f>
        <v>A</v>
      </c>
      <c r="D38" s="7" t="str">
        <f aca="false">IFERROR(INDEX('Output Utente'!$C$2:$C$492,MATCH(35,'Output Utente'!$Q$2:$Q$492,0)),"")</f>
        <v>Simeone</v>
      </c>
      <c r="E38" s="7" t="str">
        <f aca="false">IFERROR(INDEX('Input Giocatori 2026_27'!$D$3:$D$493,MATCH($B38,'Input Giocatori 2026_27'!$A$3:$A$493,0)),"")</f>
        <v>Torino</v>
      </c>
      <c r="F38" s="50" t="n">
        <f aca="false">IFERROR(INDEX('Output Utente'!$N$2:$N$492,MATCH(35,'Output Utente'!$Q$2:$Q$492,0)),"")</f>
        <v>15</v>
      </c>
      <c r="G38" s="50" t="n">
        <f aca="false">IFERROR(INDEX('Output Utente'!$O$2:$O$492,MATCH(35,'Output Utente'!$Q$2:$Q$492,0)),"")</f>
        <v>82</v>
      </c>
      <c r="H38" s="7" t="str">
        <f aca="false">IFERROR(INDEX('Output Utente'!$P$2:$P$492,MATCH(35,'Output Utente'!$Q$2:$Q$492,0)),"")</f>
        <v>Buono</v>
      </c>
      <c r="I38" s="50" t="n">
        <f aca="false">IFERROR(INDEX('Output Utente'!$F$2:$F$492,MATCH(35,'Output Utente'!$Q$2:$Q$492,0)),"")</f>
        <v>74</v>
      </c>
      <c r="J38" s="50" t="n">
        <f aca="false">IFERROR(INDEX('Output Utente'!$G$2:$G$492,MATCH(35,'Output Utente'!$Q$2:$Q$492,0)),"")</f>
        <v>46</v>
      </c>
      <c r="K38" s="50" t="n">
        <f aca="false">IFERROR(INDEX('Output Utente'!$H$2:$H$492,MATCH(35,'Output Utente'!$Q$2:$Q$492,0)),"")</f>
        <v>86</v>
      </c>
      <c r="L38" s="7" t="str">
        <f aca="false">IFERROR(INDEX('Output Utente'!$E$2:$E$492,MATCH(35,'Output Utente'!$Q$2:$Q$492,0)),"")</f>
        <v>NO</v>
      </c>
      <c r="M38" s="7" t="str">
        <f aca="false">IFERROR(INDEX('Output Utente'!$U$2:$U$492,MATCH(35,'Output Utente'!$Q$2:$Q$492,0)),"")</f>
        <v>Attenzione</v>
      </c>
      <c r="N38" s="7" t="str">
        <f aca="false">IFERROR(INDEX('Output Utente'!$AE$2:$AE$492,MATCH(35,'Output Utente'!$Q$2:$Q$492,0)),"")</f>
        <v>🔴 Non aspettare</v>
      </c>
    </row>
    <row r="39" customFormat="false" ht="15" hidden="false" customHeight="true" outlineLevel="0" collapsed="false">
      <c r="A39" s="49" t="n">
        <v>36</v>
      </c>
      <c r="B39" s="7" t="n">
        <f aca="false">IFERROR(INDEX('Output Utente'!$A$2:$A$492,MATCH(36,'Output Utente'!$Q$2:$Q$492,0)),"")</f>
        <v>7023</v>
      </c>
      <c r="C39" s="7" t="str">
        <f aca="false">IFERROR(INDEX('Output Utente'!$B$2:$B$492,MATCH(36,'Output Utente'!$Q$2:$Q$492,0)),"")</f>
        <v>A</v>
      </c>
      <c r="D39" s="7" t="str">
        <f aca="false">IFERROR(INDEX('Output Utente'!$C$2:$C$492,MATCH(36,'Output Utente'!$Q$2:$Q$492,0)),"")</f>
        <v>Pellegrino M.</v>
      </c>
      <c r="E39" s="7" t="str">
        <f aca="false">IFERROR(INDEX('Input Giocatori 2026_27'!$D$3:$D$493,MATCH($B39,'Input Giocatori 2026_27'!$A$3:$A$493,0)),"")</f>
        <v>Parma</v>
      </c>
      <c r="F39" s="50" t="n">
        <f aca="false">IFERROR(INDEX('Output Utente'!$N$2:$N$492,MATCH(36,'Output Utente'!$Q$2:$Q$492,0)),"")</f>
        <v>15</v>
      </c>
      <c r="G39" s="50" t="n">
        <f aca="false">IFERROR(INDEX('Output Utente'!$O$2:$O$492,MATCH(36,'Output Utente'!$Q$2:$Q$492,0)),"")</f>
        <v>81</v>
      </c>
      <c r="H39" s="7" t="str">
        <f aca="false">IFERROR(INDEX('Output Utente'!$P$2:$P$492,MATCH(36,'Output Utente'!$Q$2:$Q$492,0)),"")</f>
        <v>Buono</v>
      </c>
      <c r="I39" s="50" t="n">
        <f aca="false">IFERROR(INDEX('Output Utente'!$F$2:$F$492,MATCH(36,'Output Utente'!$Q$2:$Q$492,0)),"")</f>
        <v>72</v>
      </c>
      <c r="J39" s="50" t="n">
        <f aca="false">IFERROR(INDEX('Output Utente'!$G$2:$G$492,MATCH(36,'Output Utente'!$Q$2:$Q$492,0)),"")</f>
        <v>45</v>
      </c>
      <c r="K39" s="50" t="n">
        <f aca="false">IFERROR(INDEX('Output Utente'!$H$2:$H$492,MATCH(36,'Output Utente'!$Q$2:$Q$492,0)),"")</f>
        <v>84</v>
      </c>
      <c r="L39" s="7" t="str">
        <f aca="false">IFERROR(INDEX('Output Utente'!$E$2:$E$492,MATCH(36,'Output Utente'!$Q$2:$Q$492,0)),"")</f>
        <v>NO</v>
      </c>
      <c r="M39" s="7" t="str">
        <f aca="false">IFERROR(INDEX('Output Utente'!$U$2:$U$492,MATCH(36,'Output Utente'!$Q$2:$Q$492,0)),"")</f>
        <v>Attenzione</v>
      </c>
      <c r="N39" s="7" t="str">
        <f aca="false">IFERROR(INDEX('Output Utente'!$AE$2:$AE$492,MATCH(36,'Output Utente'!$Q$2:$Q$492,0)),"")</f>
        <v>🔴 Non aspettare</v>
      </c>
    </row>
    <row r="40" customFormat="false" ht="15" hidden="false" customHeight="true" outlineLevel="0" collapsed="false">
      <c r="A40" s="49" t="n">
        <v>37</v>
      </c>
      <c r="B40" s="7" t="n">
        <f aca="false">IFERROR(INDEX('Output Utente'!$A$2:$A$492,MATCH(37,'Output Utente'!$Q$2:$Q$492,0)),"")</f>
        <v>5687</v>
      </c>
      <c r="C40" s="7" t="str">
        <f aca="false">IFERROR(INDEX('Output Utente'!$B$2:$B$492,MATCH(37,'Output Utente'!$Q$2:$Q$492,0)),"")</f>
        <v>C</v>
      </c>
      <c r="D40" s="7" t="str">
        <f aca="false">IFERROR(INDEX('Output Utente'!$C$2:$C$492,MATCH(37,'Output Utente'!$Q$2:$Q$492,0)),"")</f>
        <v>Vlasic</v>
      </c>
      <c r="E40" s="7" t="str">
        <f aca="false">IFERROR(INDEX('Input Giocatori 2026_27'!$D$3:$D$493,MATCH($B40,'Input Giocatori 2026_27'!$A$3:$A$493,0)),"")</f>
        <v>Torino</v>
      </c>
      <c r="F40" s="50" t="n">
        <f aca="false">IFERROR(INDEX('Output Utente'!$N$2:$N$492,MATCH(37,'Output Utente'!$Q$2:$Q$492,0)),"")</f>
        <v>14</v>
      </c>
      <c r="G40" s="50" t="n">
        <f aca="false">IFERROR(INDEX('Output Utente'!$O$2:$O$492,MATCH(37,'Output Utente'!$Q$2:$Q$492,0)),"")</f>
        <v>80</v>
      </c>
      <c r="H40" s="7" t="str">
        <f aca="false">IFERROR(INDEX('Output Utente'!$P$2:$P$492,MATCH(37,'Output Utente'!$Q$2:$Q$492,0)),"")</f>
        <v>Top</v>
      </c>
      <c r="I40" s="50" t="n">
        <f aca="false">IFERROR(INDEX('Output Utente'!$F$2:$F$492,MATCH(37,'Output Utente'!$Q$2:$Q$492,0)),"")</f>
        <v>44</v>
      </c>
      <c r="J40" s="50" t="n">
        <f aca="false">IFERROR(INDEX('Output Utente'!$G$2:$G$492,MATCH(37,'Output Utente'!$Q$2:$Q$492,0)),"")</f>
        <v>30</v>
      </c>
      <c r="K40" s="50" t="n">
        <f aca="false">IFERROR(INDEX('Output Utente'!$H$2:$H$492,MATCH(37,'Output Utente'!$Q$2:$Q$492,0)),"")</f>
        <v>50</v>
      </c>
      <c r="L40" s="7" t="str">
        <f aca="false">IFERROR(INDEX('Output Utente'!$E$2:$E$492,MATCH(37,'Output Utente'!$Q$2:$Q$492,0)),"")</f>
        <v>NO</v>
      </c>
      <c r="M40" s="7" t="str">
        <f aca="false">IFERROR(INDEX('Output Utente'!$U$2:$U$492,MATCH(37,'Output Utente'!$Q$2:$Q$492,0)),"")</f>
        <v>OK</v>
      </c>
      <c r="N40" s="7" t="str">
        <f aca="false">IFERROR(INDEX('Output Utente'!$AE$2:$AE$492,MATCH(37,'Output Utente'!$Q$2:$Q$492,0)),"")</f>
        <v>🟡 Attesa rischiosa</v>
      </c>
    </row>
    <row r="41" customFormat="false" ht="15" hidden="false" customHeight="true" outlineLevel="0" collapsed="false">
      <c r="A41" s="49" t="n">
        <v>38</v>
      </c>
      <c r="B41" s="7" t="n">
        <f aca="false">IFERROR(INDEX('Output Utente'!$A$2:$A$492,MATCH(38,'Output Utente'!$Q$2:$Q$492,0)),"")</f>
        <v>4973</v>
      </c>
      <c r="C41" s="7" t="str">
        <f aca="false">IFERROR(INDEX('Output Utente'!$B$2:$B$492,MATCH(38,'Output Utente'!$Q$2:$Q$492,0)),"")</f>
        <v>C</v>
      </c>
      <c r="D41" s="7" t="str">
        <f aca="false">IFERROR(INDEX('Output Utente'!$C$2:$C$492,MATCH(38,'Output Utente'!$Q$2:$Q$492,0)),"")</f>
        <v>McKennie</v>
      </c>
      <c r="E41" s="7" t="str">
        <f aca="false">IFERROR(INDEX('Input Giocatori 2026_27'!$D$3:$D$493,MATCH($B41,'Input Giocatori 2026_27'!$A$3:$A$493,0)),"")</f>
        <v>Juventus</v>
      </c>
      <c r="F41" s="50" t="n">
        <f aca="false">IFERROR(INDEX('Output Utente'!$N$2:$N$492,MATCH(38,'Output Utente'!$Q$2:$Q$492,0)),"")</f>
        <v>17</v>
      </c>
      <c r="G41" s="50" t="n">
        <f aca="false">IFERROR(INDEX('Output Utente'!$O$2:$O$492,MATCH(38,'Output Utente'!$Q$2:$Q$492,0)),"")</f>
        <v>68</v>
      </c>
      <c r="H41" s="7" t="str">
        <f aca="false">IFERROR(INDEX('Output Utente'!$P$2:$P$492,MATCH(38,'Output Utente'!$Q$2:$Q$492,0)),"")</f>
        <v>Top</v>
      </c>
      <c r="I41" s="50" t="n">
        <f aca="false">IFERROR(INDEX('Output Utente'!$F$2:$F$492,MATCH(38,'Output Utente'!$Q$2:$Q$492,0)),"")</f>
        <v>38</v>
      </c>
      <c r="J41" s="50" t="n">
        <f aca="false">IFERROR(INDEX('Output Utente'!$G$2:$G$492,MATCH(38,'Output Utente'!$Q$2:$Q$492,0)),"")</f>
        <v>26</v>
      </c>
      <c r="K41" s="50" t="n">
        <f aca="false">IFERROR(INDEX('Output Utente'!$H$2:$H$492,MATCH(38,'Output Utente'!$Q$2:$Q$492,0)),"")</f>
        <v>43</v>
      </c>
      <c r="L41" s="7" t="str">
        <f aca="false">IFERROR(INDEX('Output Utente'!$E$2:$E$492,MATCH(38,'Output Utente'!$Q$2:$Q$492,0)),"")</f>
        <v>NO</v>
      </c>
      <c r="M41" s="7" t="str">
        <f aca="false">IFERROR(INDEX('Output Utente'!$U$2:$U$492,MATCH(38,'Output Utente'!$Q$2:$Q$492,0)),"")</f>
        <v>OK</v>
      </c>
      <c r="N41" s="7" t="str">
        <f aca="false">IFERROR(INDEX('Output Utente'!$AE$2:$AE$492,MATCH(38,'Output Utente'!$Q$2:$Q$492,0)),"")</f>
        <v>🟡 Attesa rischiosa</v>
      </c>
    </row>
    <row r="42" customFormat="false" ht="15" hidden="false" customHeight="true" outlineLevel="0" collapsed="false">
      <c r="A42" s="49" t="n">
        <v>39</v>
      </c>
      <c r="B42" s="7" t="n">
        <f aca="false">IFERROR(INDEX('Output Utente'!$A$2:$A$492,MATCH(39,'Output Utente'!$Q$2:$Q$492,0)),"")</f>
        <v>309</v>
      </c>
      <c r="C42" s="7" t="str">
        <f aca="false">IFERROR(INDEX('Output Utente'!$B$2:$B$492,MATCH(39,'Output Utente'!$Q$2:$Q$492,0)),"")</f>
        <v>A</v>
      </c>
      <c r="D42" s="7" t="str">
        <f aca="false">IFERROR(INDEX('Output Utente'!$C$2:$C$492,MATCH(39,'Output Utente'!$Q$2:$Q$492,0)),"")</f>
        <v>Dybala</v>
      </c>
      <c r="E42" s="7" t="str">
        <f aca="false">IFERROR(INDEX('Input Giocatori 2026_27'!$D$3:$D$493,MATCH($B42,'Input Giocatori 2026_27'!$A$3:$A$493,0)),"")</f>
        <v>Roma</v>
      </c>
      <c r="F42" s="50" t="n">
        <f aca="false">IFERROR(INDEX('Output Utente'!$N$2:$N$492,MATCH(39,'Output Utente'!$Q$2:$Q$492,0)),"")</f>
        <v>14</v>
      </c>
      <c r="G42" s="50" t="n">
        <f aca="false">IFERROR(INDEX('Output Utente'!$O$2:$O$492,MATCH(39,'Output Utente'!$Q$2:$Q$492,0)),"")</f>
        <v>67</v>
      </c>
      <c r="H42" s="7" t="str">
        <f aca="false">IFERROR(INDEX('Output Utente'!$P$2:$P$492,MATCH(39,'Output Utente'!$Q$2:$Q$492,0)),"")</f>
        <v>Buono</v>
      </c>
      <c r="I42" s="50" t="n">
        <f aca="false">IFERROR(INDEX('Output Utente'!$F$2:$F$492,MATCH(39,'Output Utente'!$Q$2:$Q$492,0)),"")</f>
        <v>59</v>
      </c>
      <c r="J42" s="50" t="n">
        <f aca="false">IFERROR(INDEX('Output Utente'!$G$2:$G$492,MATCH(39,'Output Utente'!$Q$2:$Q$492,0)),"")</f>
        <v>37</v>
      </c>
      <c r="K42" s="50" t="n">
        <f aca="false">IFERROR(INDEX('Output Utente'!$H$2:$H$492,MATCH(39,'Output Utente'!$Q$2:$Q$492,0)),"")</f>
        <v>69</v>
      </c>
      <c r="L42" s="7" t="str">
        <f aca="false">IFERROR(INDEX('Output Utente'!$E$2:$E$492,MATCH(39,'Output Utente'!$Q$2:$Q$492,0)),"")</f>
        <v>NO</v>
      </c>
      <c r="M42" s="7" t="str">
        <f aca="false">IFERROR(INDEX('Output Utente'!$U$2:$U$492,MATCH(39,'Output Utente'!$Q$2:$Q$492,0)),"")</f>
        <v>OK</v>
      </c>
      <c r="N42" s="7" t="str">
        <f aca="false">IFERROR(INDEX('Output Utente'!$AE$2:$AE$492,MATCH(39,'Output Utente'!$Q$2:$Q$492,0)),"")</f>
        <v>🔴 Non aspettare</v>
      </c>
    </row>
    <row r="43" customFormat="false" ht="15" hidden="false" customHeight="true" outlineLevel="0" collapsed="false">
      <c r="A43" s="49" t="n">
        <v>40</v>
      </c>
      <c r="B43" s="7" t="n">
        <f aca="false">IFERROR(INDEX('Output Utente'!$A$2:$A$492,MATCH(40,'Output Utente'!$Q$2:$Q$492,0)),"")</f>
        <v>5841</v>
      </c>
      <c r="C43" s="7" t="str">
        <f aca="false">IFERROR(INDEX('Output Utente'!$B$2:$B$492,MATCH(40,'Output Utente'!$Q$2:$Q$492,0)),"")</f>
        <v>P</v>
      </c>
      <c r="D43" s="7" t="str">
        <f aca="false">IFERROR(INDEX('Output Utente'!$C$2:$C$492,MATCH(40,'Output Utente'!$Q$2:$Q$492,0)),"")</f>
        <v>Svilar</v>
      </c>
      <c r="E43" s="7" t="str">
        <f aca="false">IFERROR(INDEX('Input Giocatori 2026_27'!$D$3:$D$493,MATCH($B43,'Input Giocatori 2026_27'!$A$3:$A$493,0)),"")</f>
        <v>Roma</v>
      </c>
      <c r="F43" s="50" t="n">
        <f aca="false">IFERROR(INDEX('Output Utente'!$N$2:$N$492,MATCH(40,'Output Utente'!$Q$2:$Q$492,0)),"")</f>
        <v>18</v>
      </c>
      <c r="G43" s="50" t="n">
        <f aca="false">IFERROR(INDEX('Output Utente'!$O$2:$O$492,MATCH(40,'Output Utente'!$Q$2:$Q$492,0)),"")</f>
        <v>65</v>
      </c>
      <c r="H43" s="7" t="str">
        <f aca="false">IFERROR(INDEX('Output Utente'!$P$2:$P$492,MATCH(40,'Output Utente'!$Q$2:$Q$492,0)),"")</f>
        <v>Top</v>
      </c>
      <c r="I43" s="50" t="n">
        <f aca="false">IFERROR(INDEX('Output Utente'!$F$2:$F$492,MATCH(40,'Output Utente'!$Q$2:$Q$492,0)),"")</f>
        <v>75</v>
      </c>
      <c r="J43" s="50" t="n">
        <f aca="false">IFERROR(INDEX('Output Utente'!$G$2:$G$492,MATCH(40,'Output Utente'!$Q$2:$Q$492,0)),"")</f>
        <v>60</v>
      </c>
      <c r="K43" s="50" t="n">
        <f aca="false">IFERROR(INDEX('Output Utente'!$H$2:$H$492,MATCH(40,'Output Utente'!$Q$2:$Q$492,0)),"")</f>
        <v>82</v>
      </c>
      <c r="L43" s="7" t="str">
        <f aca="false">IFERROR(INDEX('Output Utente'!$E$2:$E$492,MATCH(40,'Output Utente'!$Q$2:$Q$492,0)),"")</f>
        <v>NO</v>
      </c>
      <c r="M43" s="7" t="str">
        <f aca="false">IFERROR(INDEX('Output Utente'!$U$2:$U$492,MATCH(40,'Output Utente'!$Q$2:$Q$492,0)),"")</f>
        <v>Attenzione</v>
      </c>
      <c r="N43" s="7" t="str">
        <f aca="false">IFERROR(INDEX('Output Utente'!$AE$2:$AE$492,MATCH(40,'Output Utente'!$Q$2:$Q$492,0)),"")</f>
        <v>🟡 Attesa rischiosa</v>
      </c>
    </row>
    <row r="44" customFormat="false" ht="15" hidden="false" customHeight="true" outlineLevel="0" collapsed="false">
      <c r="A44" s="49" t="n">
        <v>41</v>
      </c>
      <c r="B44" s="7" t="n">
        <f aca="false">IFERROR(INDEX('Output Utente'!$A$2:$A$492,MATCH(41,'Output Utente'!$Q$2:$Q$492,0)),"")</f>
        <v>7314</v>
      </c>
      <c r="C44" s="7" t="str">
        <f aca="false">IFERROR(INDEX('Output Utente'!$B$2:$B$492,MATCH(41,'Output Utente'!$Q$2:$Q$492,0)),"")</f>
        <v>C</v>
      </c>
      <c r="D44" s="7" t="str">
        <f aca="false">IFERROR(INDEX('Output Utente'!$C$2:$C$492,MATCH(41,'Output Utente'!$Q$2:$Q$492,0)),"")</f>
        <v>Taylor K.</v>
      </c>
      <c r="E44" s="7" t="str">
        <f aca="false">IFERROR(INDEX('Input Giocatori 2026_27'!$D$3:$D$493,MATCH($B44,'Input Giocatori 2026_27'!$A$3:$A$493,0)),"")</f>
        <v>Lazio</v>
      </c>
      <c r="F44" s="50" t="n">
        <f aca="false">IFERROR(INDEX('Output Utente'!$N$2:$N$492,MATCH(41,'Output Utente'!$Q$2:$Q$492,0)),"")</f>
        <v>13</v>
      </c>
      <c r="G44" s="50" t="n">
        <f aca="false">IFERROR(INDEX('Output Utente'!$O$2:$O$492,MATCH(41,'Output Utente'!$Q$2:$Q$492,0)),"")</f>
        <v>64</v>
      </c>
      <c r="H44" s="7" t="str">
        <f aca="false">IFERROR(INDEX('Output Utente'!$P$2:$P$492,MATCH(41,'Output Utente'!$Q$2:$Q$492,0)),"")</f>
        <v>Top</v>
      </c>
      <c r="I44" s="50" t="n">
        <f aca="false">IFERROR(INDEX('Output Utente'!$F$2:$F$492,MATCH(41,'Output Utente'!$Q$2:$Q$492,0)),"")</f>
        <v>35</v>
      </c>
      <c r="J44" s="50" t="n">
        <f aca="false">IFERROR(INDEX('Output Utente'!$G$2:$G$492,MATCH(41,'Output Utente'!$Q$2:$Q$492,0)),"")</f>
        <v>24</v>
      </c>
      <c r="K44" s="50" t="n">
        <f aca="false">IFERROR(INDEX('Output Utente'!$H$2:$H$492,MATCH(41,'Output Utente'!$Q$2:$Q$492,0)),"")</f>
        <v>40</v>
      </c>
      <c r="L44" s="7" t="str">
        <f aca="false">IFERROR(INDEX('Output Utente'!$E$2:$E$492,MATCH(41,'Output Utente'!$Q$2:$Q$492,0)),"")</f>
        <v>NO</v>
      </c>
      <c r="M44" s="7" t="str">
        <f aca="false">IFERROR(INDEX('Output Utente'!$U$2:$U$492,MATCH(41,'Output Utente'!$Q$2:$Q$492,0)),"")</f>
        <v>OK</v>
      </c>
      <c r="N44" s="7" t="str">
        <f aca="false">IFERROR(INDEX('Output Utente'!$AE$2:$AE$492,MATCH(41,'Output Utente'!$Q$2:$Q$492,0)),"")</f>
        <v>🟡 Attesa rischiosa</v>
      </c>
    </row>
    <row r="45" customFormat="false" ht="15" hidden="false" customHeight="true" outlineLevel="0" collapsed="false">
      <c r="A45" s="49" t="n">
        <v>42</v>
      </c>
      <c r="B45" s="7" t="n">
        <f aca="false">IFERROR(INDEX('Output Utente'!$A$2:$A$492,MATCH(42,'Output Utente'!$Q$2:$Q$492,0)),"")</f>
        <v>5116</v>
      </c>
      <c r="C45" s="7" t="str">
        <f aca="false">IFERROR(INDEX('Output Utente'!$B$2:$B$492,MATCH(42,'Output Utente'!$Q$2:$Q$492,0)),"")</f>
        <v>P</v>
      </c>
      <c r="D45" s="7" t="str">
        <f aca="false">IFERROR(INDEX('Output Utente'!$C$2:$C$492,MATCH(42,'Output Utente'!$Q$2:$Q$492,0)),"")</f>
        <v>Martinez Jo.</v>
      </c>
      <c r="E45" s="7" t="str">
        <f aca="false">IFERROR(INDEX('Input Giocatori 2026_27'!$D$3:$D$493,MATCH($B45,'Input Giocatori 2026_27'!$A$3:$A$493,0)),"")</f>
        <v>Inter</v>
      </c>
      <c r="F45" s="50" t="n">
        <f aca="false">IFERROR(INDEX('Output Utente'!$N$2:$N$492,MATCH(42,'Output Utente'!$Q$2:$Q$492,0)),"")</f>
        <v>17</v>
      </c>
      <c r="G45" s="50" t="n">
        <f aca="false">IFERROR(INDEX('Output Utente'!$O$2:$O$492,MATCH(42,'Output Utente'!$Q$2:$Q$492,0)),"")</f>
        <v>63</v>
      </c>
      <c r="H45" s="7" t="str">
        <f aca="false">IFERROR(INDEX('Output Utente'!$P$2:$P$492,MATCH(42,'Output Utente'!$Q$2:$Q$492,0)),"")</f>
        <v>Top</v>
      </c>
      <c r="I45" s="50" t="n">
        <f aca="false">IFERROR(INDEX('Output Utente'!$F$2:$F$492,MATCH(42,'Output Utente'!$Q$2:$Q$492,0)),"")</f>
        <v>72</v>
      </c>
      <c r="J45" s="50" t="n">
        <f aca="false">IFERROR(INDEX('Output Utente'!$G$2:$G$492,MATCH(42,'Output Utente'!$Q$2:$Q$492,0)),"")</f>
        <v>58</v>
      </c>
      <c r="K45" s="50" t="n">
        <f aca="false">IFERROR(INDEX('Output Utente'!$H$2:$H$492,MATCH(42,'Output Utente'!$Q$2:$Q$492,0)),"")</f>
        <v>78</v>
      </c>
      <c r="L45" s="7" t="str">
        <f aca="false">IFERROR(INDEX('Output Utente'!$E$2:$E$492,MATCH(42,'Output Utente'!$Q$2:$Q$492,0)),"")</f>
        <v>NO</v>
      </c>
      <c r="M45" s="7" t="str">
        <f aca="false">IFERROR(INDEX('Output Utente'!$U$2:$U$492,MATCH(42,'Output Utente'!$Q$2:$Q$492,0)),"")</f>
        <v>Attenzione</v>
      </c>
      <c r="N45" s="7" t="str">
        <f aca="false">IFERROR(INDEX('Output Utente'!$AE$2:$AE$492,MATCH(42,'Output Utente'!$Q$2:$Q$492,0)),"")</f>
        <v>🟡 Attesa rischiosa</v>
      </c>
    </row>
    <row r="46" customFormat="false" ht="15" hidden="false" customHeight="true" outlineLevel="0" collapsed="false">
      <c r="A46" s="49" t="n">
        <v>43</v>
      </c>
      <c r="B46" s="7" t="n">
        <f aca="false">IFERROR(INDEX('Output Utente'!$A$2:$A$492,MATCH(43,'Output Utente'!$Q$2:$Q$492,0)),"")</f>
        <v>4923</v>
      </c>
      <c r="C46" s="7" t="str">
        <f aca="false">IFERROR(INDEX('Output Utente'!$B$2:$B$492,MATCH(43,'Output Utente'!$Q$2:$Q$492,0)),"")</f>
        <v>A</v>
      </c>
      <c r="D46" s="7" t="str">
        <f aca="false">IFERROR(INDEX('Output Utente'!$C$2:$C$492,MATCH(43,'Output Utente'!$Q$2:$Q$492,0)),"")</f>
        <v>Colombo</v>
      </c>
      <c r="E46" s="7" t="str">
        <f aca="false">IFERROR(INDEX('Input Giocatori 2026_27'!$D$3:$D$493,MATCH($B46,'Input Giocatori 2026_27'!$A$3:$A$493,0)),"")</f>
        <v>Genoa</v>
      </c>
      <c r="F46" s="50" t="n">
        <f aca="false">IFERROR(INDEX('Output Utente'!$N$2:$N$492,MATCH(43,'Output Utente'!$Q$2:$Q$492,0)),"")</f>
        <v>11</v>
      </c>
      <c r="G46" s="50" t="n">
        <f aca="false">IFERROR(INDEX('Output Utente'!$O$2:$O$492,MATCH(43,'Output Utente'!$Q$2:$Q$492,0)),"")</f>
        <v>63</v>
      </c>
      <c r="H46" s="7" t="str">
        <f aca="false">IFERROR(INDEX('Output Utente'!$P$2:$P$492,MATCH(43,'Output Utente'!$Q$2:$Q$492,0)),"")</f>
        <v>Buono</v>
      </c>
      <c r="I46" s="50" t="n">
        <f aca="false">IFERROR(INDEX('Output Utente'!$F$2:$F$492,MATCH(43,'Output Utente'!$Q$2:$Q$492,0)),"")</f>
        <v>56</v>
      </c>
      <c r="J46" s="50" t="n">
        <f aca="false">IFERROR(INDEX('Output Utente'!$G$2:$G$492,MATCH(43,'Output Utente'!$Q$2:$Q$492,0)),"")</f>
        <v>35</v>
      </c>
      <c r="K46" s="50" t="n">
        <f aca="false">IFERROR(INDEX('Output Utente'!$H$2:$H$492,MATCH(43,'Output Utente'!$Q$2:$Q$492,0)),"")</f>
        <v>65</v>
      </c>
      <c r="L46" s="7" t="str">
        <f aca="false">IFERROR(INDEX('Output Utente'!$E$2:$E$492,MATCH(43,'Output Utente'!$Q$2:$Q$492,0)),"")</f>
        <v>NO</v>
      </c>
      <c r="M46" s="7" t="str">
        <f aca="false">IFERROR(INDEX('Output Utente'!$U$2:$U$492,MATCH(43,'Output Utente'!$Q$2:$Q$492,0)),"")</f>
        <v>OK</v>
      </c>
      <c r="N46" s="7" t="str">
        <f aca="false">IFERROR(INDEX('Output Utente'!$AE$2:$AE$492,MATCH(43,'Output Utente'!$Q$2:$Q$492,0)),"")</f>
        <v>🔴 Non aspettare</v>
      </c>
    </row>
    <row r="47" customFormat="false" ht="15" hidden="false" customHeight="true" outlineLevel="0" collapsed="false">
      <c r="A47" s="49" t="n">
        <v>44</v>
      </c>
      <c r="B47" s="7" t="n">
        <f aca="false">IFERROR(INDEX('Output Utente'!$A$2:$A$492,MATCH(44,'Output Utente'!$Q$2:$Q$492,0)),"")</f>
        <v>4371</v>
      </c>
      <c r="C47" s="7" t="str">
        <f aca="false">IFERROR(INDEX('Output Utente'!$B$2:$B$492,MATCH(44,'Output Utente'!$Q$2:$Q$492,0)),"")</f>
        <v>A</v>
      </c>
      <c r="D47" s="7" t="str">
        <f aca="false">IFERROR(INDEX('Output Utente'!$C$2:$C$492,MATCH(44,'Output Utente'!$Q$2:$Q$492,0)),"")</f>
        <v>Raspadori</v>
      </c>
      <c r="E47" s="7" t="str">
        <f aca="false">IFERROR(INDEX('Input Giocatori 2026_27'!$D$3:$D$493,MATCH($B47,'Input Giocatori 2026_27'!$A$3:$A$493,0)),"")</f>
        <v>Atalanta</v>
      </c>
      <c r="F47" s="50" t="n">
        <f aca="false">IFERROR(INDEX('Output Utente'!$N$2:$N$492,MATCH(44,'Output Utente'!$Q$2:$Q$492,0)),"")</f>
        <v>13</v>
      </c>
      <c r="G47" s="50" t="n">
        <f aca="false">IFERROR(INDEX('Output Utente'!$O$2:$O$492,MATCH(44,'Output Utente'!$Q$2:$Q$492,0)),"")</f>
        <v>62</v>
      </c>
      <c r="H47" s="7" t="str">
        <f aca="false">IFERROR(INDEX('Output Utente'!$P$2:$P$492,MATCH(44,'Output Utente'!$Q$2:$Q$492,0)),"")</f>
        <v>Buono</v>
      </c>
      <c r="I47" s="50" t="n">
        <f aca="false">IFERROR(INDEX('Output Utente'!$F$2:$F$492,MATCH(44,'Output Utente'!$Q$2:$Q$492,0)),"")</f>
        <v>55</v>
      </c>
      <c r="J47" s="50" t="n">
        <f aca="false">IFERROR(INDEX('Output Utente'!$G$2:$G$492,MATCH(44,'Output Utente'!$Q$2:$Q$492,0)),"")</f>
        <v>35</v>
      </c>
      <c r="K47" s="50" t="n">
        <f aca="false">IFERROR(INDEX('Output Utente'!$H$2:$H$492,MATCH(44,'Output Utente'!$Q$2:$Q$492,0)),"")</f>
        <v>64</v>
      </c>
      <c r="L47" s="7" t="str">
        <f aca="false">IFERROR(INDEX('Output Utente'!$E$2:$E$492,MATCH(44,'Output Utente'!$Q$2:$Q$492,0)),"")</f>
        <v>NO</v>
      </c>
      <c r="M47" s="7" t="str">
        <f aca="false">IFERROR(INDEX('Output Utente'!$U$2:$U$492,MATCH(44,'Output Utente'!$Q$2:$Q$492,0)),"")</f>
        <v>OK</v>
      </c>
      <c r="N47" s="7" t="str">
        <f aca="false">IFERROR(INDEX('Output Utente'!$AE$2:$AE$492,MATCH(44,'Output Utente'!$Q$2:$Q$492,0)),"")</f>
        <v>🔴 Non aspettare</v>
      </c>
    </row>
    <row r="48" customFormat="false" ht="15" hidden="false" customHeight="true" outlineLevel="0" collapsed="false">
      <c r="A48" s="49" t="n">
        <v>45</v>
      </c>
      <c r="B48" s="7" t="n">
        <f aca="false">IFERROR(INDEX('Output Utente'!$A$2:$A$492,MATCH(45,'Output Utente'!$Q$2:$Q$492,0)),"")</f>
        <v>5800</v>
      </c>
      <c r="C48" s="7" t="str">
        <f aca="false">IFERROR(INDEX('Output Utente'!$B$2:$B$492,MATCH(45,'Output Utente'!$Q$2:$Q$492,0)),"")</f>
        <v>C</v>
      </c>
      <c r="D48" s="7" t="str">
        <f aca="false">IFERROR(INDEX('Output Utente'!$C$2:$C$492,MATCH(45,'Output Utente'!$Q$2:$Q$492,0)),"")</f>
        <v>Gudmundsson A.</v>
      </c>
      <c r="E48" s="7" t="str">
        <f aca="false">IFERROR(INDEX('Input Giocatori 2026_27'!$D$3:$D$493,MATCH($B48,'Input Giocatori 2026_27'!$A$3:$A$493,0)),"")</f>
        <v>Fiorentina</v>
      </c>
      <c r="F48" s="50" t="n">
        <f aca="false">IFERROR(INDEX('Output Utente'!$N$2:$N$492,MATCH(45,'Output Utente'!$Q$2:$Q$492,0)),"")</f>
        <v>13</v>
      </c>
      <c r="G48" s="50" t="n">
        <f aca="false">IFERROR(INDEX('Output Utente'!$O$2:$O$492,MATCH(45,'Output Utente'!$Q$2:$Q$492,0)),"")</f>
        <v>61</v>
      </c>
      <c r="H48" s="7" t="str">
        <f aca="false">IFERROR(INDEX('Output Utente'!$P$2:$P$492,MATCH(45,'Output Utente'!$Q$2:$Q$492,0)),"")</f>
        <v>Top</v>
      </c>
      <c r="I48" s="50" t="n">
        <f aca="false">IFERROR(INDEX('Output Utente'!$F$2:$F$492,MATCH(45,'Output Utente'!$Q$2:$Q$492,0)),"")</f>
        <v>34</v>
      </c>
      <c r="J48" s="50" t="n">
        <f aca="false">IFERROR(INDEX('Output Utente'!$G$2:$G$492,MATCH(45,'Output Utente'!$Q$2:$Q$492,0)),"")</f>
        <v>23</v>
      </c>
      <c r="K48" s="50" t="n">
        <f aca="false">IFERROR(INDEX('Output Utente'!$H$2:$H$492,MATCH(45,'Output Utente'!$Q$2:$Q$492,0)),"")</f>
        <v>38</v>
      </c>
      <c r="L48" s="7" t="str">
        <f aca="false">IFERROR(INDEX('Output Utente'!$E$2:$E$492,MATCH(45,'Output Utente'!$Q$2:$Q$492,0)),"")</f>
        <v>NO</v>
      </c>
      <c r="M48" s="7" t="str">
        <f aca="false">IFERROR(INDEX('Output Utente'!$U$2:$U$492,MATCH(45,'Output Utente'!$Q$2:$Q$492,0)),"")</f>
        <v>OK</v>
      </c>
      <c r="N48" s="7" t="str">
        <f aca="false">IFERROR(INDEX('Output Utente'!$AE$2:$AE$492,MATCH(45,'Output Utente'!$Q$2:$Q$492,0)),"")</f>
        <v>🟡 Attesa rischiosa</v>
      </c>
    </row>
    <row r="49" customFormat="false" ht="15" hidden="false" customHeight="true" outlineLevel="0" collapsed="false">
      <c r="A49" s="49" t="n">
        <v>46</v>
      </c>
      <c r="B49" s="7" t="n">
        <f aca="false">IFERROR(INDEX('Output Utente'!$A$2:$A$492,MATCH(46,'Output Utente'!$Q$2:$Q$492,0)),"")</f>
        <v>6884</v>
      </c>
      <c r="C49" s="7" t="str">
        <f aca="false">IFERROR(INDEX('Output Utente'!$B$2:$B$492,MATCH(46,'Output Utente'!$Q$2:$Q$492,0)),"")</f>
        <v>C</v>
      </c>
      <c r="D49" s="7" t="str">
        <f aca="false">IFERROR(INDEX('Output Utente'!$C$2:$C$492,MATCH(46,'Output Utente'!$Q$2:$Q$492,0)),"")</f>
        <v>Conceicao</v>
      </c>
      <c r="E49" s="7" t="str">
        <f aca="false">IFERROR(INDEX('Input Giocatori 2026_27'!$D$3:$D$493,MATCH($B49,'Input Giocatori 2026_27'!$A$3:$A$493,0)),"")</f>
        <v>Juventus</v>
      </c>
      <c r="F49" s="50" t="n">
        <f aca="false">IFERROR(INDEX('Output Utente'!$N$2:$N$492,MATCH(46,'Output Utente'!$Q$2:$Q$492,0)),"")</f>
        <v>12</v>
      </c>
      <c r="G49" s="50" t="n">
        <f aca="false">IFERROR(INDEX('Output Utente'!$O$2:$O$492,MATCH(46,'Output Utente'!$Q$2:$Q$492,0)),"")</f>
        <v>60</v>
      </c>
      <c r="H49" s="7" t="str">
        <f aca="false">IFERROR(INDEX('Output Utente'!$P$2:$P$492,MATCH(46,'Output Utente'!$Q$2:$Q$492,0)),"")</f>
        <v>Top</v>
      </c>
      <c r="I49" s="50" t="n">
        <f aca="false">IFERROR(INDEX('Output Utente'!$F$2:$F$492,MATCH(46,'Output Utente'!$Q$2:$Q$492,0)),"")</f>
        <v>34</v>
      </c>
      <c r="J49" s="50" t="n">
        <f aca="false">IFERROR(INDEX('Output Utente'!$G$2:$G$492,MATCH(46,'Output Utente'!$Q$2:$Q$492,0)),"")</f>
        <v>23</v>
      </c>
      <c r="K49" s="50" t="n">
        <f aca="false">IFERROR(INDEX('Output Utente'!$H$2:$H$492,MATCH(46,'Output Utente'!$Q$2:$Q$492,0)),"")</f>
        <v>38</v>
      </c>
      <c r="L49" s="7" t="str">
        <f aca="false">IFERROR(INDEX('Output Utente'!$E$2:$E$492,MATCH(46,'Output Utente'!$Q$2:$Q$492,0)),"")</f>
        <v>NO</v>
      </c>
      <c r="M49" s="7" t="str">
        <f aca="false">IFERROR(INDEX('Output Utente'!$U$2:$U$492,MATCH(46,'Output Utente'!$Q$2:$Q$492,0)),"")</f>
        <v>OK</v>
      </c>
      <c r="N49" s="7" t="str">
        <f aca="false">IFERROR(INDEX('Output Utente'!$AE$2:$AE$492,MATCH(46,'Output Utente'!$Q$2:$Q$492,0)),"")</f>
        <v>🟡 Attesa rischiosa</v>
      </c>
    </row>
    <row r="50" customFormat="false" ht="15" hidden="false" customHeight="true" outlineLevel="0" collapsed="false">
      <c r="A50" s="49" t="n">
        <v>47</v>
      </c>
      <c r="B50" s="7" t="n">
        <f aca="false">IFERROR(INDEX('Output Utente'!$A$2:$A$492,MATCH(47,'Output Utente'!$Q$2:$Q$492,0)),"")</f>
        <v>7351</v>
      </c>
      <c r="C50" s="7" t="str">
        <f aca="false">IFERROR(INDEX('Output Utente'!$B$2:$B$492,MATCH(47,'Output Utente'!$Q$2:$Q$492,0)),"")</f>
        <v>A</v>
      </c>
      <c r="D50" s="7" t="str">
        <f aca="false">IFERROR(INDEX('Output Utente'!$C$2:$C$492,MATCH(47,'Output Utente'!$Q$2:$Q$492,0)),"")</f>
        <v>Santos A.</v>
      </c>
      <c r="E50" s="7" t="str">
        <f aca="false">IFERROR(INDEX('Input Giocatori 2026_27'!$D$3:$D$493,MATCH($B50,'Input Giocatori 2026_27'!$A$3:$A$493,0)),"")</f>
        <v>Napoli</v>
      </c>
      <c r="F50" s="50" t="n">
        <f aca="false">IFERROR(INDEX('Output Utente'!$N$2:$N$492,MATCH(47,'Output Utente'!$Q$2:$Q$492,0)),"")</f>
        <v>14</v>
      </c>
      <c r="G50" s="50" t="n">
        <f aca="false">IFERROR(INDEX('Output Utente'!$O$2:$O$492,MATCH(47,'Output Utente'!$Q$2:$Q$492,0)),"")</f>
        <v>60</v>
      </c>
      <c r="H50" s="7" t="str">
        <f aca="false">IFERROR(INDEX('Output Utente'!$P$2:$P$492,MATCH(47,'Output Utente'!$Q$2:$Q$492,0)),"")</f>
        <v>Buono</v>
      </c>
      <c r="I50" s="50" t="n">
        <f aca="false">IFERROR(INDEX('Output Utente'!$F$2:$F$492,MATCH(47,'Output Utente'!$Q$2:$Q$492,0)),"")</f>
        <v>54</v>
      </c>
      <c r="J50" s="50" t="n">
        <f aca="false">IFERROR(INDEX('Output Utente'!$G$2:$G$492,MATCH(47,'Output Utente'!$Q$2:$Q$492,0)),"")</f>
        <v>34</v>
      </c>
      <c r="K50" s="50" t="n">
        <f aca="false">IFERROR(INDEX('Output Utente'!$H$2:$H$492,MATCH(47,'Output Utente'!$Q$2:$Q$492,0)),"")</f>
        <v>63</v>
      </c>
      <c r="L50" s="7" t="str">
        <f aca="false">IFERROR(INDEX('Output Utente'!$E$2:$E$492,MATCH(47,'Output Utente'!$Q$2:$Q$492,0)),"")</f>
        <v>NO</v>
      </c>
      <c r="M50" s="7" t="str">
        <f aca="false">IFERROR(INDEX('Output Utente'!$U$2:$U$492,MATCH(47,'Output Utente'!$Q$2:$Q$492,0)),"")</f>
        <v>OK</v>
      </c>
      <c r="N50" s="7" t="str">
        <f aca="false">IFERROR(INDEX('Output Utente'!$AE$2:$AE$492,MATCH(47,'Output Utente'!$Q$2:$Q$492,0)),"")</f>
        <v>🔴 Non aspettare</v>
      </c>
    </row>
    <row r="51" customFormat="false" ht="15" hidden="false" customHeight="true" outlineLevel="0" collapsed="false">
      <c r="A51" s="49" t="n">
        <v>48</v>
      </c>
      <c r="B51" s="7" t="n">
        <f aca="false">IFERROR(INDEX('Output Utente'!$A$2:$A$492,MATCH(48,'Output Utente'!$Q$2:$Q$492,0)),"")</f>
        <v>2038</v>
      </c>
      <c r="C51" s="7" t="str">
        <f aca="false">IFERROR(INDEX('Output Utente'!$B$2:$B$492,MATCH(48,'Output Utente'!$Q$2:$Q$492,0)),"")</f>
        <v>A</v>
      </c>
      <c r="D51" s="7" t="str">
        <f aca="false">IFERROR(INDEX('Output Utente'!$C$2:$C$492,MATCH(48,'Output Utente'!$Q$2:$Q$492,0)),"")</f>
        <v>Pinamonti</v>
      </c>
      <c r="E51" s="7" t="str">
        <f aca="false">IFERROR(INDEX('Input Giocatori 2026_27'!$D$3:$D$493,MATCH($B51,'Input Giocatori 2026_27'!$A$3:$A$493,0)),"")</f>
        <v>Sassuolo</v>
      </c>
      <c r="F51" s="50" t="n">
        <f aca="false">IFERROR(INDEX('Output Utente'!$N$2:$N$492,MATCH(48,'Output Utente'!$Q$2:$Q$492,0)),"")</f>
        <v>13</v>
      </c>
      <c r="G51" s="50" t="n">
        <f aca="false">IFERROR(INDEX('Output Utente'!$O$2:$O$492,MATCH(48,'Output Utente'!$Q$2:$Q$492,0)),"")</f>
        <v>58</v>
      </c>
      <c r="H51" s="7" t="str">
        <f aca="false">IFERROR(INDEX('Output Utente'!$P$2:$P$492,MATCH(48,'Output Utente'!$Q$2:$Q$492,0)),"")</f>
        <v>Buono</v>
      </c>
      <c r="I51" s="50" t="n">
        <f aca="false">IFERROR(INDEX('Output Utente'!$F$2:$F$492,MATCH(48,'Output Utente'!$Q$2:$Q$492,0)),"")</f>
        <v>52</v>
      </c>
      <c r="J51" s="50" t="n">
        <f aca="false">IFERROR(INDEX('Output Utente'!$G$2:$G$492,MATCH(48,'Output Utente'!$Q$2:$Q$492,0)),"")</f>
        <v>32</v>
      </c>
      <c r="K51" s="50" t="n">
        <f aca="false">IFERROR(INDEX('Output Utente'!$H$2:$H$492,MATCH(48,'Output Utente'!$Q$2:$Q$492,0)),"")</f>
        <v>60</v>
      </c>
      <c r="L51" s="7" t="str">
        <f aca="false">IFERROR(INDEX('Output Utente'!$E$2:$E$492,MATCH(48,'Output Utente'!$Q$2:$Q$492,0)),"")</f>
        <v>NO</v>
      </c>
      <c r="M51" s="7" t="str">
        <f aca="false">IFERROR(INDEX('Output Utente'!$U$2:$U$492,MATCH(48,'Output Utente'!$Q$2:$Q$492,0)),"")</f>
        <v>OK</v>
      </c>
      <c r="N51" s="7" t="str">
        <f aca="false">IFERROR(INDEX('Output Utente'!$AE$2:$AE$492,MATCH(48,'Output Utente'!$Q$2:$Q$492,0)),"")</f>
        <v>🔴 Non aspettare</v>
      </c>
    </row>
    <row r="52" customFormat="false" ht="15" hidden="false" customHeight="true" outlineLevel="0" collapsed="false">
      <c r="A52" s="49" t="n">
        <v>49</v>
      </c>
      <c r="B52" s="7" t="n">
        <f aca="false">IFERROR(INDEX('Output Utente'!$A$2:$A$492,MATCH(49,'Output Utente'!$Q$2:$Q$492,0)),"")</f>
        <v>7436</v>
      </c>
      <c r="C52" s="7" t="str">
        <f aca="false">IFERROR(INDEX('Output Utente'!$B$2:$B$492,MATCH(49,'Output Utente'!$Q$2:$Q$492,0)),"")</f>
        <v>C</v>
      </c>
      <c r="D52" s="7" t="str">
        <f aca="false">IFERROR(INDEX('Output Utente'!$C$2:$C$492,MATCH(49,'Output Utente'!$Q$2:$Q$492,0)),"")</f>
        <v>Alajbegovic</v>
      </c>
      <c r="E52" s="7" t="str">
        <f aca="false">IFERROR(INDEX('Input Giocatori 2026_27'!$D$3:$D$493,MATCH($B52,'Input Giocatori 2026_27'!$A$3:$A$493,0)),"")</f>
        <v>Juventus</v>
      </c>
      <c r="F52" s="50" t="n">
        <f aca="false">IFERROR(INDEX('Output Utente'!$N$2:$N$492,MATCH(49,'Output Utente'!$Q$2:$Q$492,0)),"")</f>
        <v>12</v>
      </c>
      <c r="G52" s="50" t="n">
        <f aca="false">IFERROR(INDEX('Output Utente'!$O$2:$O$492,MATCH(49,'Output Utente'!$Q$2:$Q$492,0)),"")</f>
        <v>57</v>
      </c>
      <c r="H52" s="7" t="str">
        <f aca="false">IFERROR(INDEX('Output Utente'!$P$2:$P$492,MATCH(49,'Output Utente'!$Q$2:$Q$492,0)),"")</f>
        <v>Top</v>
      </c>
      <c r="I52" s="50" t="n">
        <f aca="false">IFERROR(INDEX('Output Utente'!$F$2:$F$492,MATCH(49,'Output Utente'!$Q$2:$Q$492,0)),"")</f>
        <v>31</v>
      </c>
      <c r="J52" s="50" t="n">
        <f aca="false">IFERROR(INDEX('Output Utente'!$G$2:$G$492,MATCH(49,'Output Utente'!$Q$2:$Q$492,0)),"")</f>
        <v>21</v>
      </c>
      <c r="K52" s="50" t="n">
        <f aca="false">IFERROR(INDEX('Output Utente'!$H$2:$H$492,MATCH(49,'Output Utente'!$Q$2:$Q$492,0)),"")</f>
        <v>35</v>
      </c>
      <c r="L52" s="7" t="str">
        <f aca="false">IFERROR(INDEX('Output Utente'!$E$2:$E$492,MATCH(49,'Output Utente'!$Q$2:$Q$492,0)),"")</f>
        <v>NO</v>
      </c>
      <c r="M52" s="7" t="str">
        <f aca="false">IFERROR(INDEX('Output Utente'!$U$2:$U$492,MATCH(49,'Output Utente'!$Q$2:$Q$492,0)),"")</f>
        <v>OK</v>
      </c>
      <c r="N52" s="7" t="str">
        <f aca="false">IFERROR(INDEX('Output Utente'!$AE$2:$AE$492,MATCH(49,'Output Utente'!$Q$2:$Q$492,0)),"")</f>
        <v>🟡 Attesa rischiosa</v>
      </c>
    </row>
    <row r="53" customFormat="false" ht="15" hidden="false" customHeight="true" outlineLevel="0" collapsed="false">
      <c r="A53" s="49" t="n">
        <v>50</v>
      </c>
      <c r="B53" s="7" t="n">
        <f aca="false">IFERROR(INDEX('Output Utente'!$A$2:$A$492,MATCH(50,'Output Utente'!$Q$2:$Q$492,0)),"")</f>
        <v>6966</v>
      </c>
      <c r="C53" s="7" t="str">
        <f aca="false">IFERROR(INDEX('Output Utente'!$B$2:$B$492,MATCH(50,'Output Utente'!$Q$2:$Q$492,0)),"")</f>
        <v>P</v>
      </c>
      <c r="D53" s="7" t="str">
        <f aca="false">IFERROR(INDEX('Output Utente'!$C$2:$C$492,MATCH(50,'Output Utente'!$Q$2:$Q$492,0)),"")</f>
        <v>Butez</v>
      </c>
      <c r="E53" s="7" t="str">
        <f aca="false">IFERROR(INDEX('Input Giocatori 2026_27'!$D$3:$D$493,MATCH($B53,'Input Giocatori 2026_27'!$A$3:$A$493,0)),"")</f>
        <v>Como</v>
      </c>
      <c r="F53" s="50" t="n">
        <f aca="false">IFERROR(INDEX('Output Utente'!$N$2:$N$492,MATCH(50,'Output Utente'!$Q$2:$Q$492,0)),"")</f>
        <v>16</v>
      </c>
      <c r="G53" s="50" t="n">
        <f aca="false">IFERROR(INDEX('Output Utente'!$O$2:$O$492,MATCH(50,'Output Utente'!$Q$2:$Q$492,0)),"")</f>
        <v>56</v>
      </c>
      <c r="H53" s="7" t="str">
        <f aca="false">IFERROR(INDEX('Output Utente'!$P$2:$P$492,MATCH(50,'Output Utente'!$Q$2:$Q$492,0)),"")</f>
        <v>Top</v>
      </c>
      <c r="I53" s="50" t="n">
        <f aca="false">IFERROR(INDEX('Output Utente'!$F$2:$F$492,MATCH(50,'Output Utente'!$Q$2:$Q$492,0)),"")</f>
        <v>65</v>
      </c>
      <c r="J53" s="50" t="n">
        <f aca="false">IFERROR(INDEX('Output Utente'!$G$2:$G$492,MATCH(50,'Output Utente'!$Q$2:$Q$492,0)),"")</f>
        <v>52</v>
      </c>
      <c r="K53" s="50" t="n">
        <f aca="false">IFERROR(INDEX('Output Utente'!$H$2:$H$492,MATCH(50,'Output Utente'!$Q$2:$Q$492,0)),"")</f>
        <v>70</v>
      </c>
      <c r="L53" s="7" t="str">
        <f aca="false">IFERROR(INDEX('Output Utente'!$E$2:$E$492,MATCH(50,'Output Utente'!$Q$2:$Q$492,0)),"")</f>
        <v>NO</v>
      </c>
      <c r="M53" s="7" t="str">
        <f aca="false">IFERROR(INDEX('Output Utente'!$U$2:$U$492,MATCH(50,'Output Utente'!$Q$2:$Q$492,0)),"")</f>
        <v>Attenzione</v>
      </c>
      <c r="N53" s="7" t="str">
        <f aca="false">IFERROR(INDEX('Output Utente'!$AE$2:$AE$492,MATCH(50,'Output Utente'!$Q$2:$Q$492,0)),"")</f>
        <v>🟡 Attesa rischiosa</v>
      </c>
    </row>
    <row r="54" customFormat="false" ht="15" hidden="false" customHeight="true" outlineLevel="0" collapsed="false">
      <c r="A54" s="49" t="n">
        <v>51</v>
      </c>
      <c r="B54" s="7" t="n">
        <f aca="false">IFERROR(INDEX('Output Utente'!$A$2:$A$492,MATCH(51,'Output Utente'!$Q$2:$Q$492,0)),"")</f>
        <v>4159</v>
      </c>
      <c r="C54" s="7" t="str">
        <f aca="false">IFERROR(INDEX('Output Utente'!$B$2:$B$492,MATCH(51,'Output Utente'!$Q$2:$Q$492,0)),"")</f>
        <v>D</v>
      </c>
      <c r="D54" s="7" t="str">
        <f aca="false">IFERROR(INDEX('Output Utente'!$C$2:$C$492,MATCH(51,'Output Utente'!$Q$2:$Q$492,0)),"")</f>
        <v>Akanji</v>
      </c>
      <c r="E54" s="7" t="str">
        <f aca="false">IFERROR(INDEX('Input Giocatori 2026_27'!$D$3:$D$493,MATCH($B54,'Input Giocatori 2026_27'!$A$3:$A$493,0)),"")</f>
        <v>Inter</v>
      </c>
      <c r="F54" s="50" t="n">
        <f aca="false">IFERROR(INDEX('Output Utente'!$N$2:$N$492,MATCH(51,'Output Utente'!$Q$2:$Q$492,0)),"")</f>
        <v>16</v>
      </c>
      <c r="G54" s="50" t="n">
        <f aca="false">IFERROR(INDEX('Output Utente'!$O$2:$O$492,MATCH(51,'Output Utente'!$Q$2:$Q$492,0)),"")</f>
        <v>55</v>
      </c>
      <c r="H54" s="7" t="str">
        <f aca="false">IFERROR(INDEX('Output Utente'!$P$2:$P$492,MATCH(51,'Output Utente'!$Q$2:$Q$492,0)),"")</f>
        <v>Top</v>
      </c>
      <c r="I54" s="50" t="n">
        <f aca="false">IFERROR(INDEX('Output Utente'!$F$2:$F$492,MATCH(51,'Output Utente'!$Q$2:$Q$492,0)),"")</f>
        <v>27</v>
      </c>
      <c r="J54" s="50" t="n">
        <f aca="false">IFERROR(INDEX('Output Utente'!$G$2:$G$492,MATCH(51,'Output Utente'!$Q$2:$Q$492,0)),"")</f>
        <v>20</v>
      </c>
      <c r="K54" s="50" t="n">
        <f aca="false">IFERROR(INDEX('Output Utente'!$H$2:$H$492,MATCH(51,'Output Utente'!$Q$2:$Q$492,0)),"")</f>
        <v>30</v>
      </c>
      <c r="L54" s="7" t="str">
        <f aca="false">IFERROR(INDEX('Output Utente'!$E$2:$E$492,MATCH(51,'Output Utente'!$Q$2:$Q$492,0)),"")</f>
        <v>NO</v>
      </c>
      <c r="M54" s="7" t="str">
        <f aca="false">IFERROR(INDEX('Output Utente'!$U$2:$U$492,MATCH(51,'Output Utente'!$Q$2:$Q$492,0)),"")</f>
        <v>OK</v>
      </c>
      <c r="N54" s="7" t="str">
        <f aca="false">IFERROR(INDEX('Output Utente'!$AE$2:$AE$492,MATCH(51,'Output Utente'!$Q$2:$Q$492,0)),"")</f>
        <v>🟡 Attesa rischiosa</v>
      </c>
    </row>
    <row r="55" customFormat="false" ht="15" hidden="false" customHeight="true" outlineLevel="0" collapsed="false">
      <c r="A55" s="49" t="n">
        <v>52</v>
      </c>
      <c r="B55" s="7" t="n">
        <f aca="false">IFERROR(INDEX('Output Utente'!$A$2:$A$492,MATCH(52,'Output Utente'!$Q$2:$Q$492,0)),"")</f>
        <v>4220</v>
      </c>
      <c r="C55" s="7" t="str">
        <f aca="false">IFERROR(INDEX('Output Utente'!$B$2:$B$492,MATCH(52,'Output Utente'!$Q$2:$Q$492,0)),"")</f>
        <v>C</v>
      </c>
      <c r="D55" s="7" t="str">
        <f aca="false">IFERROR(INDEX('Output Utente'!$C$2:$C$492,MATCH(52,'Output Utente'!$Q$2:$Q$492,0)),"")</f>
        <v>Zambo Anguissa</v>
      </c>
      <c r="E55" s="7" t="str">
        <f aca="false">IFERROR(INDEX('Input Giocatori 2026_27'!$D$3:$D$493,MATCH($B55,'Input Giocatori 2026_27'!$A$3:$A$493,0)),"")</f>
        <v>Napoli</v>
      </c>
      <c r="F55" s="50" t="n">
        <f aca="false">IFERROR(INDEX('Output Utente'!$N$2:$N$492,MATCH(52,'Output Utente'!$Q$2:$Q$492,0)),"")</f>
        <v>11</v>
      </c>
      <c r="G55" s="50" t="n">
        <f aca="false">IFERROR(INDEX('Output Utente'!$O$2:$O$492,MATCH(52,'Output Utente'!$Q$2:$Q$492,0)),"")</f>
        <v>55</v>
      </c>
      <c r="H55" s="7" t="str">
        <f aca="false">IFERROR(INDEX('Output Utente'!$P$2:$P$492,MATCH(52,'Output Utente'!$Q$2:$Q$492,0)),"")</f>
        <v>Top</v>
      </c>
      <c r="I55" s="50" t="n">
        <f aca="false">IFERROR(INDEX('Output Utente'!$F$2:$F$492,MATCH(52,'Output Utente'!$Q$2:$Q$492,0)),"")</f>
        <v>31</v>
      </c>
      <c r="J55" s="50" t="n">
        <f aca="false">IFERROR(INDEX('Output Utente'!$G$2:$G$492,MATCH(52,'Output Utente'!$Q$2:$Q$492,0)),"")</f>
        <v>21</v>
      </c>
      <c r="K55" s="50" t="n">
        <f aca="false">IFERROR(INDEX('Output Utente'!$H$2:$H$492,MATCH(52,'Output Utente'!$Q$2:$Q$492,0)),"")</f>
        <v>35</v>
      </c>
      <c r="L55" s="7" t="str">
        <f aca="false">IFERROR(INDEX('Output Utente'!$E$2:$E$492,MATCH(52,'Output Utente'!$Q$2:$Q$492,0)),"")</f>
        <v>NO</v>
      </c>
      <c r="M55" s="7" t="str">
        <f aca="false">IFERROR(INDEX('Output Utente'!$U$2:$U$492,MATCH(52,'Output Utente'!$Q$2:$Q$492,0)),"")</f>
        <v>OK</v>
      </c>
      <c r="N55" s="7" t="str">
        <f aca="false">IFERROR(INDEX('Output Utente'!$AE$2:$AE$492,MATCH(52,'Output Utente'!$Q$2:$Q$492,0)),"")</f>
        <v>🟡 Attesa rischiosa</v>
      </c>
    </row>
    <row r="56" customFormat="false" ht="15" hidden="false" customHeight="true" outlineLevel="0" collapsed="false">
      <c r="A56" s="49" t="n">
        <v>53</v>
      </c>
      <c r="B56" s="7" t="n">
        <f aca="false">IFERROR(INDEX('Output Utente'!$A$2:$A$492,MATCH(53,'Output Utente'!$Q$2:$Q$492,0)),"")</f>
        <v>5734</v>
      </c>
      <c r="C56" s="7" t="str">
        <f aca="false">IFERROR(INDEX('Output Utente'!$B$2:$B$492,MATCH(53,'Output Utente'!$Q$2:$Q$492,0)),"")</f>
        <v>A</v>
      </c>
      <c r="D56" s="7" t="str">
        <f aca="false">IFERROR(INDEX('Output Utente'!$C$2:$C$492,MATCH(53,'Output Utente'!$Q$2:$Q$492,0)),"")</f>
        <v>Soulè</v>
      </c>
      <c r="E56" s="7" t="str">
        <f aca="false">IFERROR(INDEX('Input Giocatori 2026_27'!$D$3:$D$493,MATCH($B56,'Input Giocatori 2026_27'!$A$3:$A$493,0)),"")</f>
        <v>Roma</v>
      </c>
      <c r="F56" s="50" t="n">
        <f aca="false">IFERROR(INDEX('Output Utente'!$N$2:$N$492,MATCH(53,'Output Utente'!$Q$2:$Q$492,0)),"")</f>
        <v>12</v>
      </c>
      <c r="G56" s="50" t="n">
        <f aca="false">IFERROR(INDEX('Output Utente'!$O$2:$O$492,MATCH(53,'Output Utente'!$Q$2:$Q$492,0)),"")</f>
        <v>55</v>
      </c>
      <c r="H56" s="7" t="str">
        <f aca="false">IFERROR(INDEX('Output Utente'!$P$2:$P$492,MATCH(53,'Output Utente'!$Q$2:$Q$492,0)),"")</f>
        <v>Buono</v>
      </c>
      <c r="I56" s="50" t="n">
        <f aca="false">IFERROR(INDEX('Output Utente'!$F$2:$F$492,MATCH(53,'Output Utente'!$Q$2:$Q$492,0)),"")</f>
        <v>49</v>
      </c>
      <c r="J56" s="50" t="n">
        <f aca="false">IFERROR(INDEX('Output Utente'!$G$2:$G$492,MATCH(53,'Output Utente'!$Q$2:$Q$492,0)),"")</f>
        <v>31</v>
      </c>
      <c r="K56" s="50" t="n">
        <f aca="false">IFERROR(INDEX('Output Utente'!$H$2:$H$492,MATCH(53,'Output Utente'!$Q$2:$Q$492,0)),"")</f>
        <v>57</v>
      </c>
      <c r="L56" s="7" t="str">
        <f aca="false">IFERROR(INDEX('Output Utente'!$E$2:$E$492,MATCH(53,'Output Utente'!$Q$2:$Q$492,0)),"")</f>
        <v>NO</v>
      </c>
      <c r="M56" s="7" t="str">
        <f aca="false">IFERROR(INDEX('Output Utente'!$U$2:$U$492,MATCH(53,'Output Utente'!$Q$2:$Q$492,0)),"")</f>
        <v>OK</v>
      </c>
      <c r="N56" s="7" t="str">
        <f aca="false">IFERROR(INDEX('Output Utente'!$AE$2:$AE$492,MATCH(53,'Output Utente'!$Q$2:$Q$492,0)),"")</f>
        <v>🔴 Non aspettare</v>
      </c>
    </row>
    <row r="57" customFormat="false" ht="15" hidden="false" customHeight="true" outlineLevel="0" collapsed="false">
      <c r="A57" s="49" t="n">
        <v>54</v>
      </c>
      <c r="B57" s="7" t="n">
        <f aca="false">IFERROR(INDEX('Output Utente'!$A$2:$A$492,MATCH(54,'Output Utente'!$Q$2:$Q$492,0)),"")</f>
        <v>4431</v>
      </c>
      <c r="C57" s="7" t="str">
        <f aca="false">IFERROR(INDEX('Output Utente'!$B$2:$B$492,MATCH(54,'Output Utente'!$Q$2:$Q$492,0)),"")</f>
        <v>P</v>
      </c>
      <c r="D57" s="7" t="str">
        <f aca="false">IFERROR(INDEX('Output Utente'!$C$2:$C$492,MATCH(54,'Output Utente'!$Q$2:$Q$492,0)),"")</f>
        <v>Carnesecchi</v>
      </c>
      <c r="E57" s="7" t="str">
        <f aca="false">IFERROR(INDEX('Input Giocatori 2026_27'!$D$3:$D$493,MATCH($B57,'Input Giocatori 2026_27'!$A$3:$A$493,0)),"")</f>
        <v>Atalanta</v>
      </c>
      <c r="F57" s="50" t="n">
        <f aca="false">IFERROR(INDEX('Output Utente'!$N$2:$N$492,MATCH(54,'Output Utente'!$Q$2:$Q$492,0)),"")</f>
        <v>16</v>
      </c>
      <c r="G57" s="50" t="n">
        <f aca="false">IFERROR(INDEX('Output Utente'!$O$2:$O$492,MATCH(54,'Output Utente'!$Q$2:$Q$492,0)),"")</f>
        <v>52</v>
      </c>
      <c r="H57" s="7" t="str">
        <f aca="false">IFERROR(INDEX('Output Utente'!$P$2:$P$492,MATCH(54,'Output Utente'!$Q$2:$Q$492,0)),"")</f>
        <v>Top</v>
      </c>
      <c r="I57" s="50" t="n">
        <f aca="false">IFERROR(INDEX('Output Utente'!$F$2:$F$492,MATCH(54,'Output Utente'!$Q$2:$Q$492,0)),"")</f>
        <v>61</v>
      </c>
      <c r="J57" s="50" t="n">
        <f aca="false">IFERROR(INDEX('Output Utente'!$G$2:$G$492,MATCH(54,'Output Utente'!$Q$2:$Q$492,0)),"")</f>
        <v>49</v>
      </c>
      <c r="K57" s="50" t="n">
        <f aca="false">IFERROR(INDEX('Output Utente'!$H$2:$H$492,MATCH(54,'Output Utente'!$Q$2:$Q$492,0)),"")</f>
        <v>66</v>
      </c>
      <c r="L57" s="7" t="str">
        <f aca="false">IFERROR(INDEX('Output Utente'!$E$2:$E$492,MATCH(54,'Output Utente'!$Q$2:$Q$492,0)),"")</f>
        <v>NO</v>
      </c>
      <c r="M57" s="7" t="str">
        <f aca="false">IFERROR(INDEX('Output Utente'!$U$2:$U$492,MATCH(54,'Output Utente'!$Q$2:$Q$492,0)),"")</f>
        <v>Attenzione</v>
      </c>
      <c r="N57" s="7" t="str">
        <f aca="false">IFERROR(INDEX('Output Utente'!$AE$2:$AE$492,MATCH(54,'Output Utente'!$Q$2:$Q$492,0)),"")</f>
        <v>🟡 Attesa rischiosa</v>
      </c>
    </row>
    <row r="58" customFormat="false" ht="15" hidden="false" customHeight="true" outlineLevel="0" collapsed="false">
      <c r="A58" s="49" t="n">
        <v>55</v>
      </c>
      <c r="B58" s="7" t="n">
        <f aca="false">IFERROR(INDEX('Output Utente'!$A$2:$A$492,MATCH(55,'Output Utente'!$Q$2:$Q$492,0)),"")</f>
        <v>4728</v>
      </c>
      <c r="C58" s="7" t="str">
        <f aca="false">IFERROR(INDEX('Output Utente'!$B$2:$B$492,MATCH(55,'Output Utente'!$Q$2:$Q$492,0)),"")</f>
        <v>A</v>
      </c>
      <c r="D58" s="7" t="str">
        <f aca="false">IFERROR(INDEX('Output Utente'!$C$2:$C$492,MATCH(55,'Output Utente'!$Q$2:$Q$492,0)),"")</f>
        <v>Nkunku</v>
      </c>
      <c r="E58" s="7" t="str">
        <f aca="false">IFERROR(INDEX('Input Giocatori 2026_27'!$D$3:$D$493,MATCH($B58,'Input Giocatori 2026_27'!$A$3:$A$493,0)),"")</f>
        <v>Milan</v>
      </c>
      <c r="F58" s="50" t="n">
        <f aca="false">IFERROR(INDEX('Output Utente'!$N$2:$N$492,MATCH(55,'Output Utente'!$Q$2:$Q$492,0)),"")</f>
        <v>13</v>
      </c>
      <c r="G58" s="50" t="n">
        <f aca="false">IFERROR(INDEX('Output Utente'!$O$2:$O$492,MATCH(55,'Output Utente'!$Q$2:$Q$492,0)),"")</f>
        <v>52</v>
      </c>
      <c r="H58" s="7" t="str">
        <f aca="false">IFERROR(INDEX('Output Utente'!$P$2:$P$492,MATCH(55,'Output Utente'!$Q$2:$Q$492,0)),"")</f>
        <v>Buono</v>
      </c>
      <c r="I58" s="50" t="n">
        <f aca="false">IFERROR(INDEX('Output Utente'!$F$2:$F$492,MATCH(55,'Output Utente'!$Q$2:$Q$492,0)),"")</f>
        <v>47</v>
      </c>
      <c r="J58" s="50" t="n">
        <f aca="false">IFERROR(INDEX('Output Utente'!$G$2:$G$492,MATCH(55,'Output Utente'!$Q$2:$Q$492,0)),"")</f>
        <v>29</v>
      </c>
      <c r="K58" s="50" t="n">
        <f aca="false">IFERROR(INDEX('Output Utente'!$H$2:$H$492,MATCH(55,'Output Utente'!$Q$2:$Q$492,0)),"")</f>
        <v>54</v>
      </c>
      <c r="L58" s="7" t="str">
        <f aca="false">IFERROR(INDEX('Output Utente'!$E$2:$E$492,MATCH(55,'Output Utente'!$Q$2:$Q$492,0)),"")</f>
        <v>NO</v>
      </c>
      <c r="M58" s="7" t="str">
        <f aca="false">IFERROR(INDEX('Output Utente'!$U$2:$U$492,MATCH(55,'Output Utente'!$Q$2:$Q$492,0)),"")</f>
        <v>OK</v>
      </c>
      <c r="N58" s="7" t="str">
        <f aca="false">IFERROR(INDEX('Output Utente'!$AE$2:$AE$492,MATCH(55,'Output Utente'!$Q$2:$Q$492,0)),"")</f>
        <v>🔴 Non aspettare</v>
      </c>
    </row>
    <row r="59" customFormat="false" ht="15" hidden="false" customHeight="true" outlineLevel="0" collapsed="false">
      <c r="A59" s="49" t="n">
        <v>56</v>
      </c>
      <c r="B59" s="7" t="n">
        <f aca="false">IFERROR(INDEX('Output Utente'!$A$2:$A$492,MATCH(56,'Output Utente'!$Q$2:$Q$492,0)),"")</f>
        <v>7484</v>
      </c>
      <c r="C59" s="7" t="str">
        <f aca="false">IFERROR(INDEX('Output Utente'!$B$2:$B$492,MATCH(56,'Output Utente'!$Q$2:$Q$492,0)),"")</f>
        <v>A</v>
      </c>
      <c r="D59" s="7" t="str">
        <f aca="false">IFERROR(INDEX('Output Utente'!$C$2:$C$492,MATCH(56,'Output Utente'!$Q$2:$Q$492,0)),"")</f>
        <v>Adams A.</v>
      </c>
      <c r="E59" s="7" t="str">
        <f aca="false">IFERROR(INDEX('Input Giocatori 2026_27'!$D$3:$D$493,MATCH($B59,'Input Giocatori 2026_27'!$A$3:$A$493,0)),"")</f>
        <v>Venezia</v>
      </c>
      <c r="F59" s="50" t="n">
        <f aca="false">IFERROR(INDEX('Output Utente'!$N$2:$N$492,MATCH(56,'Output Utente'!$Q$2:$Q$492,0)),"")</f>
        <v>12</v>
      </c>
      <c r="G59" s="50" t="n">
        <f aca="false">IFERROR(INDEX('Output Utente'!$O$2:$O$492,MATCH(56,'Output Utente'!$Q$2:$Q$492,0)),"")</f>
        <v>52</v>
      </c>
      <c r="H59" s="7" t="str">
        <f aca="false">IFERROR(INDEX('Output Utente'!$P$2:$P$492,MATCH(56,'Output Utente'!$Q$2:$Q$492,0)),"")</f>
        <v>Buono</v>
      </c>
      <c r="I59" s="50" t="n">
        <f aca="false">IFERROR(INDEX('Output Utente'!$F$2:$F$492,MATCH(56,'Output Utente'!$Q$2:$Q$492,0)),"")</f>
        <v>47</v>
      </c>
      <c r="J59" s="50" t="n">
        <f aca="false">IFERROR(INDEX('Output Utente'!$G$2:$G$492,MATCH(56,'Output Utente'!$Q$2:$Q$492,0)),"")</f>
        <v>29</v>
      </c>
      <c r="K59" s="50" t="n">
        <f aca="false">IFERROR(INDEX('Output Utente'!$H$2:$H$492,MATCH(56,'Output Utente'!$Q$2:$Q$492,0)),"")</f>
        <v>54</v>
      </c>
      <c r="L59" s="7" t="str">
        <f aca="false">IFERROR(INDEX('Output Utente'!$E$2:$E$492,MATCH(56,'Output Utente'!$Q$2:$Q$492,0)),"")</f>
        <v>NO</v>
      </c>
      <c r="M59" s="7" t="str">
        <f aca="false">IFERROR(INDEX('Output Utente'!$U$2:$U$492,MATCH(56,'Output Utente'!$Q$2:$Q$492,0)),"")</f>
        <v>OK</v>
      </c>
      <c r="N59" s="7" t="str">
        <f aca="false">IFERROR(INDEX('Output Utente'!$AE$2:$AE$492,MATCH(56,'Output Utente'!$Q$2:$Q$492,0)),"")</f>
        <v>🔴 Non aspettare</v>
      </c>
    </row>
    <row r="60" customFormat="false" ht="15" hidden="false" customHeight="true" outlineLevel="0" collapsed="false">
      <c r="A60" s="49" t="n">
        <v>57</v>
      </c>
      <c r="B60" s="7" t="n">
        <f aca="false">IFERROR(INDEX('Output Utente'!$A$2:$A$492,MATCH(57,'Output Utente'!$Q$2:$Q$492,0)),"")</f>
        <v>4312</v>
      </c>
      <c r="C60" s="7" t="str">
        <f aca="false">IFERROR(INDEX('Output Utente'!$B$2:$B$492,MATCH(57,'Output Utente'!$Q$2:$Q$492,0)),"")</f>
        <v>P</v>
      </c>
      <c r="D60" s="7" t="str">
        <f aca="false">IFERROR(INDEX('Output Utente'!$C$2:$C$492,MATCH(57,'Output Utente'!$Q$2:$Q$492,0)),"")</f>
        <v>Maignan</v>
      </c>
      <c r="E60" s="7" t="str">
        <f aca="false">IFERROR(INDEX('Input Giocatori 2026_27'!$D$3:$D$493,MATCH($B60,'Input Giocatori 2026_27'!$A$3:$A$493,0)),"")</f>
        <v>Milan</v>
      </c>
      <c r="F60" s="50" t="n">
        <f aca="false">IFERROR(INDEX('Output Utente'!$N$2:$N$492,MATCH(57,'Output Utente'!$Q$2:$Q$492,0)),"")</f>
        <v>15</v>
      </c>
      <c r="G60" s="50" t="n">
        <f aca="false">IFERROR(INDEX('Output Utente'!$O$2:$O$492,MATCH(57,'Output Utente'!$Q$2:$Q$492,0)),"")</f>
        <v>50</v>
      </c>
      <c r="H60" s="7" t="str">
        <f aca="false">IFERROR(INDEX('Output Utente'!$P$2:$P$492,MATCH(57,'Output Utente'!$Q$2:$Q$492,0)),"")</f>
        <v>Top</v>
      </c>
      <c r="I60" s="50" t="n">
        <f aca="false">IFERROR(INDEX('Output Utente'!$F$2:$F$492,MATCH(57,'Output Utente'!$Q$2:$Q$492,0)),"")</f>
        <v>58</v>
      </c>
      <c r="J60" s="50" t="n">
        <f aca="false">IFERROR(INDEX('Output Utente'!$G$2:$G$492,MATCH(57,'Output Utente'!$Q$2:$Q$492,0)),"")</f>
        <v>46</v>
      </c>
      <c r="K60" s="50" t="n">
        <f aca="false">IFERROR(INDEX('Output Utente'!$H$2:$H$492,MATCH(57,'Output Utente'!$Q$2:$Q$492,0)),"")</f>
        <v>63</v>
      </c>
      <c r="L60" s="7" t="str">
        <f aca="false">IFERROR(INDEX('Output Utente'!$E$2:$E$492,MATCH(57,'Output Utente'!$Q$2:$Q$492,0)),"")</f>
        <v>NO</v>
      </c>
      <c r="M60" s="7" t="str">
        <f aca="false">IFERROR(INDEX('Output Utente'!$U$2:$U$492,MATCH(57,'Output Utente'!$Q$2:$Q$492,0)),"")</f>
        <v>OK</v>
      </c>
      <c r="N60" s="7" t="str">
        <f aca="false">IFERROR(INDEX('Output Utente'!$AE$2:$AE$492,MATCH(57,'Output Utente'!$Q$2:$Q$492,0)),"")</f>
        <v>🟡 Attesa rischiosa</v>
      </c>
    </row>
    <row r="61" customFormat="false" ht="15" hidden="false" customHeight="true" outlineLevel="0" collapsed="false">
      <c r="A61" s="49" t="n">
        <v>58</v>
      </c>
      <c r="B61" s="7" t="n">
        <f aca="false">IFERROR(INDEX('Output Utente'!$A$2:$A$492,MATCH(58,'Output Utente'!$Q$2:$Q$492,0)),"")</f>
        <v>2788</v>
      </c>
      <c r="C61" s="7" t="str">
        <f aca="false">IFERROR(INDEX('Output Utente'!$B$2:$B$492,MATCH(58,'Output Utente'!$Q$2:$Q$492,0)),"")</f>
        <v>D</v>
      </c>
      <c r="D61" s="7" t="str">
        <f aca="false">IFERROR(INDEX('Output Utente'!$C$2:$C$492,MATCH(58,'Output Utente'!$Q$2:$Q$492,0)),"")</f>
        <v>Bremer</v>
      </c>
      <c r="E61" s="7" t="str">
        <f aca="false">IFERROR(INDEX('Input Giocatori 2026_27'!$D$3:$D$493,MATCH($B61,'Input Giocatori 2026_27'!$A$3:$A$493,0)),"")</f>
        <v>Juventus</v>
      </c>
      <c r="F61" s="50" t="n">
        <f aca="false">IFERROR(INDEX('Output Utente'!$N$2:$N$492,MATCH(58,'Output Utente'!$Q$2:$Q$492,0)),"")</f>
        <v>15</v>
      </c>
      <c r="G61" s="50" t="n">
        <f aca="false">IFERROR(INDEX('Output Utente'!$O$2:$O$492,MATCH(58,'Output Utente'!$Q$2:$Q$492,0)),"")</f>
        <v>50</v>
      </c>
      <c r="H61" s="7" t="str">
        <f aca="false">IFERROR(INDEX('Output Utente'!$P$2:$P$492,MATCH(58,'Output Utente'!$Q$2:$Q$492,0)),"")</f>
        <v>Top</v>
      </c>
      <c r="I61" s="50" t="n">
        <f aca="false">IFERROR(INDEX('Output Utente'!$F$2:$F$492,MATCH(58,'Output Utente'!$Q$2:$Q$492,0)),"")</f>
        <v>24</v>
      </c>
      <c r="J61" s="50" t="n">
        <f aca="false">IFERROR(INDEX('Output Utente'!$G$2:$G$492,MATCH(58,'Output Utente'!$Q$2:$Q$492,0)),"")</f>
        <v>18</v>
      </c>
      <c r="K61" s="50" t="n">
        <f aca="false">IFERROR(INDEX('Output Utente'!$H$2:$H$492,MATCH(58,'Output Utente'!$Q$2:$Q$492,0)),"")</f>
        <v>27</v>
      </c>
      <c r="L61" s="7" t="str">
        <f aca="false">IFERROR(INDEX('Output Utente'!$E$2:$E$492,MATCH(58,'Output Utente'!$Q$2:$Q$492,0)),"")</f>
        <v>NO</v>
      </c>
      <c r="M61" s="7" t="str">
        <f aca="false">IFERROR(INDEX('Output Utente'!$U$2:$U$492,MATCH(58,'Output Utente'!$Q$2:$Q$492,0)),"")</f>
        <v>OK</v>
      </c>
      <c r="N61" s="7" t="str">
        <f aca="false">IFERROR(INDEX('Output Utente'!$AE$2:$AE$492,MATCH(58,'Output Utente'!$Q$2:$Q$492,0)),"")</f>
        <v>🟡 Attesa rischiosa</v>
      </c>
    </row>
    <row r="62" customFormat="false" ht="15" hidden="false" customHeight="true" outlineLevel="0" collapsed="false">
      <c r="A62" s="49" t="n">
        <v>59</v>
      </c>
      <c r="B62" s="7" t="n">
        <f aca="false">IFERROR(INDEX('Output Utente'!$A$2:$A$492,MATCH(59,'Output Utente'!$Q$2:$Q$492,0)),"")</f>
        <v>2606</v>
      </c>
      <c r="C62" s="7" t="str">
        <f aca="false">IFERROR(INDEX('Output Utente'!$B$2:$B$492,MATCH(59,'Output Utente'!$Q$2:$Q$492,0)),"")</f>
        <v>C</v>
      </c>
      <c r="D62" s="7" t="str">
        <f aca="false">IFERROR(INDEX('Output Utente'!$C$2:$C$492,MATCH(59,'Output Utente'!$Q$2:$Q$492,0)),"")</f>
        <v>Modric</v>
      </c>
      <c r="E62" s="7" t="str">
        <f aca="false">IFERROR(INDEX('Input Giocatori 2026_27'!$D$3:$D$493,MATCH($B62,'Input Giocatori 2026_27'!$A$3:$A$493,0)),"")</f>
        <v>Milan</v>
      </c>
      <c r="F62" s="50" t="n">
        <f aca="false">IFERROR(INDEX('Output Utente'!$N$2:$N$492,MATCH(59,'Output Utente'!$Q$2:$Q$492,0)),"")</f>
        <v>12</v>
      </c>
      <c r="G62" s="50" t="n">
        <f aca="false">IFERROR(INDEX('Output Utente'!$O$2:$O$492,MATCH(59,'Output Utente'!$Q$2:$Q$492,0)),"")</f>
        <v>50</v>
      </c>
      <c r="H62" s="7" t="str">
        <f aca="false">IFERROR(INDEX('Output Utente'!$P$2:$P$492,MATCH(59,'Output Utente'!$Q$2:$Q$492,0)),"")</f>
        <v>Top</v>
      </c>
      <c r="I62" s="50" t="n">
        <f aca="false">IFERROR(INDEX('Output Utente'!$F$2:$F$492,MATCH(59,'Output Utente'!$Q$2:$Q$492,0)),"")</f>
        <v>28</v>
      </c>
      <c r="J62" s="50" t="n">
        <f aca="false">IFERROR(INDEX('Output Utente'!$G$2:$G$492,MATCH(59,'Output Utente'!$Q$2:$Q$492,0)),"")</f>
        <v>19</v>
      </c>
      <c r="K62" s="50" t="n">
        <f aca="false">IFERROR(INDEX('Output Utente'!$H$2:$H$492,MATCH(59,'Output Utente'!$Q$2:$Q$492,0)),"")</f>
        <v>32</v>
      </c>
      <c r="L62" s="7" t="str">
        <f aca="false">IFERROR(INDEX('Output Utente'!$E$2:$E$492,MATCH(59,'Output Utente'!$Q$2:$Q$492,0)),"")</f>
        <v>NO</v>
      </c>
      <c r="M62" s="7" t="str">
        <f aca="false">IFERROR(INDEX('Output Utente'!$U$2:$U$492,MATCH(59,'Output Utente'!$Q$2:$Q$492,0)),"")</f>
        <v>OK</v>
      </c>
      <c r="N62" s="7" t="str">
        <f aca="false">IFERROR(INDEX('Output Utente'!$AE$2:$AE$492,MATCH(59,'Output Utente'!$Q$2:$Q$492,0)),"")</f>
        <v>🟡 Attesa rischiosa</v>
      </c>
    </row>
    <row r="63" customFormat="false" ht="15" hidden="false" customHeight="true" outlineLevel="0" collapsed="false">
      <c r="A63" s="49" t="n">
        <v>60</v>
      </c>
      <c r="B63" s="7" t="n">
        <f aca="false">IFERROR(INDEX('Output Utente'!$A$2:$A$492,MATCH(60,'Output Utente'!$Q$2:$Q$492,0)),"")</f>
        <v>4463</v>
      </c>
      <c r="C63" s="7" t="str">
        <f aca="false">IFERROR(INDEX('Output Utente'!$B$2:$B$492,MATCH(60,'Output Utente'!$Q$2:$Q$492,0)),"")</f>
        <v>A</v>
      </c>
      <c r="D63" s="7" t="str">
        <f aca="false">IFERROR(INDEX('Output Utente'!$C$2:$C$492,MATCH(60,'Output Utente'!$Q$2:$Q$492,0)),"")</f>
        <v>Esposito Se.</v>
      </c>
      <c r="E63" s="7" t="str">
        <f aca="false">IFERROR(INDEX('Input Giocatori 2026_27'!$D$3:$D$493,MATCH($B63,'Input Giocatori 2026_27'!$A$3:$A$493,0)),"")</f>
        <v>Cagliari</v>
      </c>
      <c r="F63" s="50" t="n">
        <f aca="false">IFERROR(INDEX('Output Utente'!$N$2:$N$492,MATCH(60,'Output Utente'!$Q$2:$Q$492,0)),"")</f>
        <v>13</v>
      </c>
      <c r="G63" s="50" t="n">
        <f aca="false">IFERROR(INDEX('Output Utente'!$O$2:$O$492,MATCH(60,'Output Utente'!$Q$2:$Q$492,0)),"")</f>
        <v>50</v>
      </c>
      <c r="H63" s="7" t="str">
        <f aca="false">IFERROR(INDEX('Output Utente'!$P$2:$P$492,MATCH(60,'Output Utente'!$Q$2:$Q$492,0)),"")</f>
        <v>Buono</v>
      </c>
      <c r="I63" s="50" t="n">
        <f aca="false">IFERROR(INDEX('Output Utente'!$F$2:$F$492,MATCH(60,'Output Utente'!$Q$2:$Q$492,0)),"")</f>
        <v>45</v>
      </c>
      <c r="J63" s="50" t="n">
        <f aca="false">IFERROR(INDEX('Output Utente'!$G$2:$G$492,MATCH(60,'Output Utente'!$Q$2:$Q$492,0)),"")</f>
        <v>28</v>
      </c>
      <c r="K63" s="50" t="n">
        <f aca="false">IFERROR(INDEX('Output Utente'!$H$2:$H$492,MATCH(60,'Output Utente'!$Q$2:$Q$492,0)),"")</f>
        <v>52</v>
      </c>
      <c r="L63" s="7" t="str">
        <f aca="false">IFERROR(INDEX('Output Utente'!$E$2:$E$492,MATCH(60,'Output Utente'!$Q$2:$Q$492,0)),"")</f>
        <v>NO</v>
      </c>
      <c r="M63" s="7" t="str">
        <f aca="false">IFERROR(INDEX('Output Utente'!$U$2:$U$492,MATCH(60,'Output Utente'!$Q$2:$Q$492,0)),"")</f>
        <v>OK</v>
      </c>
      <c r="N63" s="7" t="str">
        <f aca="false">IFERROR(INDEX('Output Utente'!$AE$2:$AE$492,MATCH(60,'Output Utente'!$Q$2:$Q$492,0)),"")</f>
        <v>🔴 Non aspettare</v>
      </c>
    </row>
    <row r="64" customFormat="false" ht="15" hidden="false" customHeight="true" outlineLevel="0" collapsed="false">
      <c r="A64" s="49" t="n">
        <v>61</v>
      </c>
      <c r="B64" s="7" t="n">
        <f aca="false">IFERROR(INDEX('Output Utente'!$A$2:$A$492,MATCH(61,'Output Utente'!$Q$2:$Q$492,0)),"")</f>
        <v>6967</v>
      </c>
      <c r="C64" s="7" t="str">
        <f aca="false">IFERROR(INDEX('Output Utente'!$B$2:$B$492,MATCH(61,'Output Utente'!$Q$2:$Q$492,0)),"")</f>
        <v>A</v>
      </c>
      <c r="D64" s="7" t="str">
        <f aca="false">IFERROR(INDEX('Output Utente'!$C$2:$C$492,MATCH(61,'Output Utente'!$Q$2:$Q$492,0)),"")</f>
        <v>Diao</v>
      </c>
      <c r="E64" s="7" t="str">
        <f aca="false">IFERROR(INDEX('Input Giocatori 2026_27'!$D$3:$D$493,MATCH($B64,'Input Giocatori 2026_27'!$A$3:$A$493,0)),"")</f>
        <v>Como</v>
      </c>
      <c r="F64" s="50" t="n">
        <f aca="false">IFERROR(INDEX('Output Utente'!$N$2:$N$492,MATCH(61,'Output Utente'!$Q$2:$Q$492,0)),"")</f>
        <v>11</v>
      </c>
      <c r="G64" s="50" t="n">
        <f aca="false">IFERROR(INDEX('Output Utente'!$O$2:$O$492,MATCH(61,'Output Utente'!$Q$2:$Q$492,0)),"")</f>
        <v>50</v>
      </c>
      <c r="H64" s="7" t="str">
        <f aca="false">IFERROR(INDEX('Output Utente'!$P$2:$P$492,MATCH(61,'Output Utente'!$Q$2:$Q$492,0)),"")</f>
        <v>Buono</v>
      </c>
      <c r="I64" s="50" t="n">
        <f aca="false">IFERROR(INDEX('Output Utente'!$F$2:$F$492,MATCH(61,'Output Utente'!$Q$2:$Q$492,0)),"")</f>
        <v>44</v>
      </c>
      <c r="J64" s="50" t="n">
        <f aca="false">IFERROR(INDEX('Output Utente'!$G$2:$G$492,MATCH(61,'Output Utente'!$Q$2:$Q$492,0)),"")</f>
        <v>28</v>
      </c>
      <c r="K64" s="50" t="n">
        <f aca="false">IFERROR(INDEX('Output Utente'!$H$2:$H$492,MATCH(61,'Output Utente'!$Q$2:$Q$492,0)),"")</f>
        <v>51</v>
      </c>
      <c r="L64" s="7" t="str">
        <f aca="false">IFERROR(INDEX('Output Utente'!$E$2:$E$492,MATCH(61,'Output Utente'!$Q$2:$Q$492,0)),"")</f>
        <v>NO</v>
      </c>
      <c r="M64" s="7" t="str">
        <f aca="false">IFERROR(INDEX('Output Utente'!$U$2:$U$492,MATCH(61,'Output Utente'!$Q$2:$Q$492,0)),"")</f>
        <v>OK</v>
      </c>
      <c r="N64" s="7" t="str">
        <f aca="false">IFERROR(INDEX('Output Utente'!$AE$2:$AE$492,MATCH(61,'Output Utente'!$Q$2:$Q$492,0)),"")</f>
        <v>🔴 Non aspettare</v>
      </c>
    </row>
    <row r="65" customFormat="false" ht="15" hidden="false" customHeight="true" outlineLevel="0" collapsed="false">
      <c r="A65" s="49" t="n">
        <v>62</v>
      </c>
      <c r="B65" s="7" t="n">
        <f aca="false">IFERROR(INDEX('Output Utente'!$A$2:$A$492,MATCH(62,'Output Utente'!$Q$2:$Q$492,0)),"")</f>
        <v>2296</v>
      </c>
      <c r="C65" s="7" t="str">
        <f aca="false">IFERROR(INDEX('Output Utente'!$B$2:$B$492,MATCH(62,'Output Utente'!$Q$2:$Q$492,0)),"")</f>
        <v>D</v>
      </c>
      <c r="D65" s="7" t="str">
        <f aca="false">IFERROR(INDEX('Output Utente'!$C$2:$C$492,MATCH(62,'Output Utente'!$Q$2:$Q$492,0)),"")</f>
        <v>Mancini</v>
      </c>
      <c r="E65" s="7" t="str">
        <f aca="false">IFERROR(INDEX('Input Giocatori 2026_27'!$D$3:$D$493,MATCH($B65,'Input Giocatori 2026_27'!$A$3:$A$493,0)),"")</f>
        <v>Roma</v>
      </c>
      <c r="F65" s="50" t="n">
        <f aca="false">IFERROR(INDEX('Output Utente'!$N$2:$N$492,MATCH(62,'Output Utente'!$Q$2:$Q$492,0)),"")</f>
        <v>15</v>
      </c>
      <c r="G65" s="50" t="n">
        <f aca="false">IFERROR(INDEX('Output Utente'!$O$2:$O$492,MATCH(62,'Output Utente'!$Q$2:$Q$492,0)),"")</f>
        <v>49</v>
      </c>
      <c r="H65" s="7" t="str">
        <f aca="false">IFERROR(INDEX('Output Utente'!$P$2:$P$492,MATCH(62,'Output Utente'!$Q$2:$Q$492,0)),"")</f>
        <v>Top</v>
      </c>
      <c r="I65" s="50" t="n">
        <f aca="false">IFERROR(INDEX('Output Utente'!$F$2:$F$492,MATCH(62,'Output Utente'!$Q$2:$Q$492,0)),"")</f>
        <v>24</v>
      </c>
      <c r="J65" s="50" t="n">
        <f aca="false">IFERROR(INDEX('Output Utente'!$G$2:$G$492,MATCH(62,'Output Utente'!$Q$2:$Q$492,0)),"")</f>
        <v>18</v>
      </c>
      <c r="K65" s="50" t="n">
        <f aca="false">IFERROR(INDEX('Output Utente'!$H$2:$H$492,MATCH(62,'Output Utente'!$Q$2:$Q$492,0)),"")</f>
        <v>26</v>
      </c>
      <c r="L65" s="7" t="str">
        <f aca="false">IFERROR(INDEX('Output Utente'!$E$2:$E$492,MATCH(62,'Output Utente'!$Q$2:$Q$492,0)),"")</f>
        <v>NO</v>
      </c>
      <c r="M65" s="7" t="str">
        <f aca="false">IFERROR(INDEX('Output Utente'!$U$2:$U$492,MATCH(62,'Output Utente'!$Q$2:$Q$492,0)),"")</f>
        <v>OK</v>
      </c>
      <c r="N65" s="7" t="str">
        <f aca="false">IFERROR(INDEX('Output Utente'!$AE$2:$AE$492,MATCH(62,'Output Utente'!$Q$2:$Q$492,0)),"")</f>
        <v>🟡 Attesa rischiosa</v>
      </c>
    </row>
    <row r="66" customFormat="false" ht="15" hidden="false" customHeight="true" outlineLevel="0" collapsed="false">
      <c r="A66" s="49" t="n">
        <v>63</v>
      </c>
      <c r="B66" s="7" t="n">
        <f aca="false">IFERROR(INDEX('Output Utente'!$A$2:$A$492,MATCH(63,'Output Utente'!$Q$2:$Q$492,0)),"")</f>
        <v>5022</v>
      </c>
      <c r="C66" s="7" t="str">
        <f aca="false">IFERROR(INDEX('Output Utente'!$B$2:$B$492,MATCH(63,'Output Utente'!$Q$2:$Q$492,0)),"")</f>
        <v>D</v>
      </c>
      <c r="D66" s="7" t="str">
        <f aca="false">IFERROR(INDEX('Output Utente'!$C$2:$C$492,MATCH(63,'Output Utente'!$Q$2:$Q$492,0)),"")</f>
        <v>Pavlovic</v>
      </c>
      <c r="E66" s="7" t="str">
        <f aca="false">IFERROR(INDEX('Input Giocatori 2026_27'!$D$3:$D$493,MATCH($B66,'Input Giocatori 2026_27'!$A$3:$A$493,0)),"")</f>
        <v>Milan</v>
      </c>
      <c r="F66" s="50" t="n">
        <f aca="false">IFERROR(INDEX('Output Utente'!$N$2:$N$492,MATCH(63,'Output Utente'!$Q$2:$Q$492,0)),"")</f>
        <v>14</v>
      </c>
      <c r="G66" s="50" t="n">
        <f aca="false">IFERROR(INDEX('Output Utente'!$O$2:$O$492,MATCH(63,'Output Utente'!$Q$2:$Q$492,0)),"")</f>
        <v>48</v>
      </c>
      <c r="H66" s="7" t="str">
        <f aca="false">IFERROR(INDEX('Output Utente'!$P$2:$P$492,MATCH(63,'Output Utente'!$Q$2:$Q$492,0)),"")</f>
        <v>Top</v>
      </c>
      <c r="I66" s="50" t="n">
        <f aca="false">IFERROR(INDEX('Output Utente'!$F$2:$F$492,MATCH(63,'Output Utente'!$Q$2:$Q$492,0)),"")</f>
        <v>23</v>
      </c>
      <c r="J66" s="50" t="n">
        <f aca="false">IFERROR(INDEX('Output Utente'!$G$2:$G$492,MATCH(63,'Output Utente'!$Q$2:$Q$492,0)),"")</f>
        <v>17</v>
      </c>
      <c r="K66" s="50" t="n">
        <f aca="false">IFERROR(INDEX('Output Utente'!$H$2:$H$492,MATCH(63,'Output Utente'!$Q$2:$Q$492,0)),"")</f>
        <v>26</v>
      </c>
      <c r="L66" s="7" t="str">
        <f aca="false">IFERROR(INDEX('Output Utente'!$E$2:$E$492,MATCH(63,'Output Utente'!$Q$2:$Q$492,0)),"")</f>
        <v>NO</v>
      </c>
      <c r="M66" s="7" t="str">
        <f aca="false">IFERROR(INDEX('Output Utente'!$U$2:$U$492,MATCH(63,'Output Utente'!$Q$2:$Q$492,0)),"")</f>
        <v>OK</v>
      </c>
      <c r="N66" s="7" t="str">
        <f aca="false">IFERROR(INDEX('Output Utente'!$AE$2:$AE$492,MATCH(63,'Output Utente'!$Q$2:$Q$492,0)),"")</f>
        <v>🟡 Attesa rischiosa</v>
      </c>
    </row>
    <row r="67" customFormat="false" ht="15" hidden="false" customHeight="true" outlineLevel="0" collapsed="false">
      <c r="A67" s="49" t="n">
        <v>64</v>
      </c>
      <c r="B67" s="7" t="n">
        <f aca="false">IFERROR(INDEX('Output Utente'!$A$2:$A$492,MATCH(64,'Output Utente'!$Q$2:$Q$492,0)),"")</f>
        <v>4409</v>
      </c>
      <c r="C67" s="7" t="str">
        <f aca="false">IFERROR(INDEX('Output Utente'!$B$2:$B$492,MATCH(64,'Output Utente'!$Q$2:$Q$492,0)),"")</f>
        <v>D</v>
      </c>
      <c r="D67" s="7" t="str">
        <f aca="false">IFERROR(INDEX('Output Utente'!$C$2:$C$492,MATCH(64,'Output Utente'!$Q$2:$Q$492,0)),"")</f>
        <v>Rrahmani</v>
      </c>
      <c r="E67" s="7" t="str">
        <f aca="false">IFERROR(INDEX('Input Giocatori 2026_27'!$D$3:$D$493,MATCH($B67,'Input Giocatori 2026_27'!$A$3:$A$493,0)),"")</f>
        <v>Napoli</v>
      </c>
      <c r="F67" s="50" t="n">
        <f aca="false">IFERROR(INDEX('Output Utente'!$N$2:$N$492,MATCH(64,'Output Utente'!$Q$2:$Q$492,0)),"")</f>
        <v>14</v>
      </c>
      <c r="G67" s="50" t="n">
        <f aca="false">IFERROR(INDEX('Output Utente'!$O$2:$O$492,MATCH(64,'Output Utente'!$Q$2:$Q$492,0)),"")</f>
        <v>47</v>
      </c>
      <c r="H67" s="7" t="str">
        <f aca="false">IFERROR(INDEX('Output Utente'!$P$2:$P$492,MATCH(64,'Output Utente'!$Q$2:$Q$492,0)),"")</f>
        <v>Top</v>
      </c>
      <c r="I67" s="50" t="n">
        <f aca="false">IFERROR(INDEX('Output Utente'!$F$2:$F$492,MATCH(64,'Output Utente'!$Q$2:$Q$492,0)),"")</f>
        <v>23</v>
      </c>
      <c r="J67" s="50" t="n">
        <f aca="false">IFERROR(INDEX('Output Utente'!$G$2:$G$492,MATCH(64,'Output Utente'!$Q$2:$Q$492,0)),"")</f>
        <v>17</v>
      </c>
      <c r="K67" s="50" t="n">
        <f aca="false">IFERROR(INDEX('Output Utente'!$H$2:$H$492,MATCH(64,'Output Utente'!$Q$2:$Q$492,0)),"")</f>
        <v>25</v>
      </c>
      <c r="L67" s="7" t="str">
        <f aca="false">IFERROR(INDEX('Output Utente'!$E$2:$E$492,MATCH(64,'Output Utente'!$Q$2:$Q$492,0)),"")</f>
        <v>NO</v>
      </c>
      <c r="M67" s="7" t="str">
        <f aca="false">IFERROR(INDEX('Output Utente'!$U$2:$U$492,MATCH(64,'Output Utente'!$Q$2:$Q$492,0)),"")</f>
        <v>OK</v>
      </c>
      <c r="N67" s="7" t="str">
        <f aca="false">IFERROR(INDEX('Output Utente'!$AE$2:$AE$492,MATCH(64,'Output Utente'!$Q$2:$Q$492,0)),"")</f>
        <v>🟡 Attesa rischiosa</v>
      </c>
    </row>
    <row r="68" customFormat="false" ht="15" hidden="false" customHeight="true" outlineLevel="0" collapsed="false">
      <c r="A68" s="49" t="n">
        <v>65</v>
      </c>
      <c r="B68" s="7" t="n">
        <f aca="false">IFERROR(INDEX('Output Utente'!$A$2:$A$492,MATCH(65,'Output Utente'!$Q$2:$Q$492,0)),"")</f>
        <v>536</v>
      </c>
      <c r="C68" s="7" t="str">
        <f aca="false">IFERROR(INDEX('Output Utente'!$B$2:$B$492,MATCH(65,'Output Utente'!$Q$2:$Q$492,0)),"")</f>
        <v>C</v>
      </c>
      <c r="D68" s="7" t="str">
        <f aca="false">IFERROR(INDEX('Output Utente'!$C$2:$C$492,MATCH(65,'Output Utente'!$Q$2:$Q$492,0)),"")</f>
        <v>Politano</v>
      </c>
      <c r="E68" s="7" t="str">
        <f aca="false">IFERROR(INDEX('Input Giocatori 2026_27'!$D$3:$D$493,MATCH($B68,'Input Giocatori 2026_27'!$A$3:$A$493,0)),"")</f>
        <v>Napoli</v>
      </c>
      <c r="F68" s="50" t="n">
        <f aca="false">IFERROR(INDEX('Output Utente'!$N$2:$N$492,MATCH(65,'Output Utente'!$Q$2:$Q$492,0)),"")</f>
        <v>10</v>
      </c>
      <c r="G68" s="50" t="n">
        <f aca="false">IFERROR(INDEX('Output Utente'!$O$2:$O$492,MATCH(65,'Output Utente'!$Q$2:$Q$492,0)),"")</f>
        <v>47</v>
      </c>
      <c r="H68" s="7" t="str">
        <f aca="false">IFERROR(INDEX('Output Utente'!$P$2:$P$492,MATCH(65,'Output Utente'!$Q$2:$Q$492,0)),"")</f>
        <v>Top</v>
      </c>
      <c r="I68" s="50" t="n">
        <f aca="false">IFERROR(INDEX('Output Utente'!$F$2:$F$492,MATCH(65,'Output Utente'!$Q$2:$Q$492,0)),"")</f>
        <v>26</v>
      </c>
      <c r="J68" s="50" t="n">
        <f aca="false">IFERROR(INDEX('Output Utente'!$G$2:$G$492,MATCH(65,'Output Utente'!$Q$2:$Q$492,0)),"")</f>
        <v>18</v>
      </c>
      <c r="K68" s="50" t="n">
        <f aca="false">IFERROR(INDEX('Output Utente'!$H$2:$H$492,MATCH(65,'Output Utente'!$Q$2:$Q$492,0)),"")</f>
        <v>29</v>
      </c>
      <c r="L68" s="7" t="str">
        <f aca="false">IFERROR(INDEX('Output Utente'!$E$2:$E$492,MATCH(65,'Output Utente'!$Q$2:$Q$492,0)),"")</f>
        <v>NO</v>
      </c>
      <c r="M68" s="7" t="str">
        <f aca="false">IFERROR(INDEX('Output Utente'!$U$2:$U$492,MATCH(65,'Output Utente'!$Q$2:$Q$492,0)),"")</f>
        <v>OK</v>
      </c>
      <c r="N68" s="7" t="str">
        <f aca="false">IFERROR(INDEX('Output Utente'!$AE$2:$AE$492,MATCH(65,'Output Utente'!$Q$2:$Q$492,0)),"")</f>
        <v>🟡 Attesa rischiosa</v>
      </c>
    </row>
    <row r="69" customFormat="false" ht="15" hidden="false" customHeight="true" outlineLevel="0" collapsed="false">
      <c r="A69" s="49" t="n">
        <v>66</v>
      </c>
      <c r="B69" s="7" t="n">
        <f aca="false">IFERROR(INDEX('Output Utente'!$A$2:$A$492,MATCH(66,'Output Utente'!$Q$2:$Q$492,0)),"")</f>
        <v>4976</v>
      </c>
      <c r="C69" s="7" t="str">
        <f aca="false">IFERROR(INDEX('Output Utente'!$B$2:$B$492,MATCH(66,'Output Utente'!$Q$2:$Q$492,0)),"")</f>
        <v>D</v>
      </c>
      <c r="D69" s="7" t="str">
        <f aca="false">IFERROR(INDEX('Output Utente'!$C$2:$C$492,MATCH(66,'Output Utente'!$Q$2:$Q$492,0)),"")</f>
        <v>Kalulu</v>
      </c>
      <c r="E69" s="7" t="str">
        <f aca="false">IFERROR(INDEX('Input Giocatori 2026_27'!$D$3:$D$493,MATCH($B69,'Input Giocatori 2026_27'!$A$3:$A$493,0)),"")</f>
        <v>Juventus</v>
      </c>
      <c r="F69" s="50" t="n">
        <f aca="false">IFERROR(INDEX('Output Utente'!$N$2:$N$492,MATCH(66,'Output Utente'!$Q$2:$Q$492,0)),"")</f>
        <v>13</v>
      </c>
      <c r="G69" s="50" t="n">
        <f aca="false">IFERROR(INDEX('Output Utente'!$O$2:$O$492,MATCH(66,'Output Utente'!$Q$2:$Q$492,0)),"")</f>
        <v>46</v>
      </c>
      <c r="H69" s="7" t="str">
        <f aca="false">IFERROR(INDEX('Output Utente'!$P$2:$P$492,MATCH(66,'Output Utente'!$Q$2:$Q$492,0)),"")</f>
        <v>Top</v>
      </c>
      <c r="I69" s="50" t="n">
        <f aca="false">IFERROR(INDEX('Output Utente'!$F$2:$F$492,MATCH(66,'Output Utente'!$Q$2:$Q$492,0)),"")</f>
        <v>22</v>
      </c>
      <c r="J69" s="50" t="n">
        <f aca="false">IFERROR(INDEX('Output Utente'!$G$2:$G$492,MATCH(66,'Output Utente'!$Q$2:$Q$492,0)),"")</f>
        <v>16</v>
      </c>
      <c r="K69" s="50" t="n">
        <f aca="false">IFERROR(INDEX('Output Utente'!$H$2:$H$492,MATCH(66,'Output Utente'!$Q$2:$Q$492,0)),"")</f>
        <v>25</v>
      </c>
      <c r="L69" s="7" t="str">
        <f aca="false">IFERROR(INDEX('Output Utente'!$E$2:$E$492,MATCH(66,'Output Utente'!$Q$2:$Q$492,0)),"")</f>
        <v>NO</v>
      </c>
      <c r="M69" s="7" t="str">
        <f aca="false">IFERROR(INDEX('Output Utente'!$U$2:$U$492,MATCH(66,'Output Utente'!$Q$2:$Q$492,0)),"")</f>
        <v>OK</v>
      </c>
      <c r="N69" s="7" t="str">
        <f aca="false">IFERROR(INDEX('Output Utente'!$AE$2:$AE$492,MATCH(66,'Output Utente'!$Q$2:$Q$492,0)),"")</f>
        <v>🟡 Attesa rischiosa</v>
      </c>
    </row>
    <row r="70" customFormat="false" ht="15" hidden="false" customHeight="true" outlineLevel="0" collapsed="false">
      <c r="A70" s="49" t="n">
        <v>67</v>
      </c>
      <c r="B70" s="7" t="n">
        <f aca="false">IFERROR(INDEX('Output Utente'!$A$2:$A$492,MATCH(67,'Output Utente'!$Q$2:$Q$492,0)),"")</f>
        <v>6956</v>
      </c>
      <c r="C70" s="7" t="str">
        <f aca="false">IFERROR(INDEX('Output Utente'!$B$2:$B$492,MATCH(67,'Output Utente'!$Q$2:$Q$492,0)),"")</f>
        <v>D</v>
      </c>
      <c r="D70" s="7" t="str">
        <f aca="false">IFERROR(INDEX('Output Utente'!$C$2:$C$492,MATCH(67,'Output Utente'!$Q$2:$Q$492,0)),"")</f>
        <v>Solet</v>
      </c>
      <c r="E70" s="7" t="str">
        <f aca="false">IFERROR(INDEX('Input Giocatori 2026_27'!$D$3:$D$493,MATCH($B70,'Input Giocatori 2026_27'!$A$3:$A$493,0)),"")</f>
        <v>Udinese</v>
      </c>
      <c r="F70" s="50" t="n">
        <f aca="false">IFERROR(INDEX('Output Utente'!$N$2:$N$492,MATCH(67,'Output Utente'!$Q$2:$Q$492,0)),"")</f>
        <v>13</v>
      </c>
      <c r="G70" s="50" t="n">
        <f aca="false">IFERROR(INDEX('Output Utente'!$O$2:$O$492,MATCH(67,'Output Utente'!$Q$2:$Q$492,0)),"")</f>
        <v>46</v>
      </c>
      <c r="H70" s="7" t="str">
        <f aca="false">IFERROR(INDEX('Output Utente'!$P$2:$P$492,MATCH(67,'Output Utente'!$Q$2:$Q$492,0)),"")</f>
        <v>Top</v>
      </c>
      <c r="I70" s="50" t="n">
        <f aca="false">IFERROR(INDEX('Output Utente'!$F$2:$F$492,MATCH(67,'Output Utente'!$Q$2:$Q$492,0)),"")</f>
        <v>23</v>
      </c>
      <c r="J70" s="50" t="n">
        <f aca="false">IFERROR(INDEX('Output Utente'!$G$2:$G$492,MATCH(67,'Output Utente'!$Q$2:$Q$492,0)),"")</f>
        <v>17</v>
      </c>
      <c r="K70" s="50" t="n">
        <f aca="false">IFERROR(INDEX('Output Utente'!$H$2:$H$492,MATCH(67,'Output Utente'!$Q$2:$Q$492,0)),"")</f>
        <v>25</v>
      </c>
      <c r="L70" s="7" t="str">
        <f aca="false">IFERROR(INDEX('Output Utente'!$E$2:$E$492,MATCH(67,'Output Utente'!$Q$2:$Q$492,0)),"")</f>
        <v>NO</v>
      </c>
      <c r="M70" s="7" t="str">
        <f aca="false">IFERROR(INDEX('Output Utente'!$U$2:$U$492,MATCH(67,'Output Utente'!$Q$2:$Q$492,0)),"")</f>
        <v>OK</v>
      </c>
      <c r="N70" s="7" t="str">
        <f aca="false">IFERROR(INDEX('Output Utente'!$AE$2:$AE$492,MATCH(67,'Output Utente'!$Q$2:$Q$492,0)),"")</f>
        <v>🟡 Attesa rischiosa</v>
      </c>
    </row>
    <row r="71" customFormat="false" ht="15" hidden="false" customHeight="true" outlineLevel="0" collapsed="false">
      <c r="A71" s="49" t="n">
        <v>68</v>
      </c>
      <c r="B71" s="7" t="n">
        <f aca="false">IFERROR(INDEX('Output Utente'!$A$2:$A$492,MATCH(68,'Output Utente'!$Q$2:$Q$492,0)),"")</f>
        <v>2521</v>
      </c>
      <c r="C71" s="7" t="str">
        <f aca="false">IFERROR(INDEX('Output Utente'!$B$2:$B$492,MATCH(68,'Output Utente'!$Q$2:$Q$492,0)),"")</f>
        <v>P</v>
      </c>
      <c r="D71" s="7" t="str">
        <f aca="false">IFERROR(INDEX('Output Utente'!$C$2:$C$492,MATCH(68,'Output Utente'!$Q$2:$Q$492,0)),"")</f>
        <v>De Gea</v>
      </c>
      <c r="E71" s="7" t="str">
        <f aca="false">IFERROR(INDEX('Input Giocatori 2026_27'!$D$3:$D$493,MATCH($B71,'Input Giocatori 2026_27'!$A$3:$A$493,0)),"")</f>
        <v>Fiorentina</v>
      </c>
      <c r="F71" s="50" t="n">
        <f aca="false">IFERROR(INDEX('Output Utente'!$N$2:$N$492,MATCH(68,'Output Utente'!$Q$2:$Q$492,0)),"")</f>
        <v>13</v>
      </c>
      <c r="G71" s="50" t="n">
        <f aca="false">IFERROR(INDEX('Output Utente'!$O$2:$O$492,MATCH(68,'Output Utente'!$Q$2:$Q$492,0)),"")</f>
        <v>45</v>
      </c>
      <c r="H71" s="7" t="str">
        <f aca="false">IFERROR(INDEX('Output Utente'!$P$2:$P$492,MATCH(68,'Output Utente'!$Q$2:$Q$492,0)),"")</f>
        <v>Top</v>
      </c>
      <c r="I71" s="50" t="n">
        <f aca="false">IFERROR(INDEX('Output Utente'!$F$2:$F$492,MATCH(68,'Output Utente'!$Q$2:$Q$492,0)),"")</f>
        <v>52</v>
      </c>
      <c r="J71" s="50" t="n">
        <f aca="false">IFERROR(INDEX('Output Utente'!$G$2:$G$492,MATCH(68,'Output Utente'!$Q$2:$Q$492,0)),"")</f>
        <v>41</v>
      </c>
      <c r="K71" s="50" t="n">
        <f aca="false">IFERROR(INDEX('Output Utente'!$H$2:$H$492,MATCH(68,'Output Utente'!$Q$2:$Q$492,0)),"")</f>
        <v>56</v>
      </c>
      <c r="L71" s="7" t="str">
        <f aca="false">IFERROR(INDEX('Output Utente'!$E$2:$E$492,MATCH(68,'Output Utente'!$Q$2:$Q$492,0)),"")</f>
        <v>NO</v>
      </c>
      <c r="M71" s="7" t="str">
        <f aca="false">IFERROR(INDEX('Output Utente'!$U$2:$U$492,MATCH(68,'Output Utente'!$Q$2:$Q$492,0)),"")</f>
        <v>OK</v>
      </c>
      <c r="N71" s="7" t="str">
        <f aca="false">IFERROR(INDEX('Output Utente'!$AE$2:$AE$492,MATCH(68,'Output Utente'!$Q$2:$Q$492,0)),"")</f>
        <v>🟡 Attesa rischiosa</v>
      </c>
    </row>
    <row r="72" customFormat="false" ht="15" hidden="false" customHeight="true" outlineLevel="0" collapsed="false">
      <c r="A72" s="49" t="n">
        <v>69</v>
      </c>
      <c r="B72" s="7" t="n">
        <f aca="false">IFERROR(INDEX('Output Utente'!$A$2:$A$492,MATCH(69,'Output Utente'!$Q$2:$Q$492,0)),"")</f>
        <v>572</v>
      </c>
      <c r="C72" s="7" t="str">
        <f aca="false">IFERROR(INDEX('Output Utente'!$B$2:$B$492,MATCH(69,'Output Utente'!$Q$2:$Q$492,0)),"")</f>
        <v>P</v>
      </c>
      <c r="D72" s="7" t="str">
        <f aca="false">IFERROR(INDEX('Output Utente'!$C$2:$C$492,MATCH(69,'Output Utente'!$Q$2:$Q$492,0)),"")</f>
        <v>Meret</v>
      </c>
      <c r="E72" s="7" t="str">
        <f aca="false">IFERROR(INDEX('Input Giocatori 2026_27'!$D$3:$D$493,MATCH($B72,'Input Giocatori 2026_27'!$A$3:$A$493,0)),"")</f>
        <v>Napoli</v>
      </c>
      <c r="F72" s="50" t="n">
        <f aca="false">IFERROR(INDEX('Output Utente'!$N$2:$N$492,MATCH(69,'Output Utente'!$Q$2:$Q$492,0)),"")</f>
        <v>11</v>
      </c>
      <c r="G72" s="50" t="n">
        <f aca="false">IFERROR(INDEX('Output Utente'!$O$2:$O$492,MATCH(69,'Output Utente'!$Q$2:$Q$492,0)),"")</f>
        <v>45</v>
      </c>
      <c r="H72" s="7" t="str">
        <f aca="false">IFERROR(INDEX('Output Utente'!$P$2:$P$492,MATCH(69,'Output Utente'!$Q$2:$Q$492,0)),"")</f>
        <v>Top</v>
      </c>
      <c r="I72" s="50" t="n">
        <f aca="false">IFERROR(INDEX('Output Utente'!$F$2:$F$492,MATCH(69,'Output Utente'!$Q$2:$Q$492,0)),"")</f>
        <v>52</v>
      </c>
      <c r="J72" s="50" t="n">
        <f aca="false">IFERROR(INDEX('Output Utente'!$G$2:$G$492,MATCH(69,'Output Utente'!$Q$2:$Q$492,0)),"")</f>
        <v>41</v>
      </c>
      <c r="K72" s="50" t="n">
        <f aca="false">IFERROR(INDEX('Output Utente'!$H$2:$H$492,MATCH(69,'Output Utente'!$Q$2:$Q$492,0)),"")</f>
        <v>56</v>
      </c>
      <c r="L72" s="7" t="str">
        <f aca="false">IFERROR(INDEX('Output Utente'!$E$2:$E$492,MATCH(69,'Output Utente'!$Q$2:$Q$492,0)),"")</f>
        <v>NO</v>
      </c>
      <c r="M72" s="7" t="str">
        <f aca="false">IFERROR(INDEX('Output Utente'!$U$2:$U$492,MATCH(69,'Output Utente'!$Q$2:$Q$492,0)),"")</f>
        <v>OK</v>
      </c>
      <c r="N72" s="7" t="str">
        <f aca="false">IFERROR(INDEX('Output Utente'!$AE$2:$AE$492,MATCH(69,'Output Utente'!$Q$2:$Q$492,0)),"")</f>
        <v>🟡 Attesa rischiosa</v>
      </c>
    </row>
    <row r="73" customFormat="false" ht="15" hidden="false" customHeight="true" outlineLevel="0" collapsed="false">
      <c r="A73" s="49" t="n">
        <v>70</v>
      </c>
      <c r="B73" s="7" t="n">
        <f aca="false">IFERROR(INDEX('Output Utente'!$A$2:$A$492,MATCH(70,'Output Utente'!$Q$2:$Q$492,0)),"")</f>
        <v>5792</v>
      </c>
      <c r="C73" s="7" t="str">
        <f aca="false">IFERROR(INDEX('Output Utente'!$B$2:$B$492,MATCH(70,'Output Utente'!$Q$2:$Q$492,0)),"")</f>
        <v>C</v>
      </c>
      <c r="D73" s="7" t="str">
        <f aca="false">IFERROR(INDEX('Output Utente'!$C$2:$C$492,MATCH(70,'Output Utente'!$Q$2:$Q$492,0)),"")</f>
        <v>Ederson D.S.</v>
      </c>
      <c r="E73" s="7" t="str">
        <f aca="false">IFERROR(INDEX('Input Giocatori 2026_27'!$D$3:$D$493,MATCH($B73,'Input Giocatori 2026_27'!$A$3:$A$493,0)),"")</f>
        <v>Atalanta</v>
      </c>
      <c r="F73" s="50" t="n">
        <f aca="false">IFERROR(INDEX('Output Utente'!$N$2:$N$492,MATCH(70,'Output Utente'!$Q$2:$Q$492,0)),"")</f>
        <v>12</v>
      </c>
      <c r="G73" s="50" t="n">
        <f aca="false">IFERROR(INDEX('Output Utente'!$O$2:$O$492,MATCH(70,'Output Utente'!$Q$2:$Q$492,0)),"")</f>
        <v>45</v>
      </c>
      <c r="H73" s="7" t="str">
        <f aca="false">IFERROR(INDEX('Output Utente'!$P$2:$P$492,MATCH(70,'Output Utente'!$Q$2:$Q$492,0)),"")</f>
        <v>Top</v>
      </c>
      <c r="I73" s="50" t="n">
        <f aca="false">IFERROR(INDEX('Output Utente'!$F$2:$F$492,MATCH(70,'Output Utente'!$Q$2:$Q$492,0)),"")</f>
        <v>25</v>
      </c>
      <c r="J73" s="50" t="n">
        <f aca="false">IFERROR(INDEX('Output Utente'!$G$2:$G$492,MATCH(70,'Output Utente'!$Q$2:$Q$492,0)),"")</f>
        <v>17</v>
      </c>
      <c r="K73" s="50" t="n">
        <f aca="false">IFERROR(INDEX('Output Utente'!$H$2:$H$492,MATCH(70,'Output Utente'!$Q$2:$Q$492,0)),"")</f>
        <v>28</v>
      </c>
      <c r="L73" s="7" t="str">
        <f aca="false">IFERROR(INDEX('Output Utente'!$E$2:$E$492,MATCH(70,'Output Utente'!$Q$2:$Q$492,0)),"")</f>
        <v>NO</v>
      </c>
      <c r="M73" s="7" t="str">
        <f aca="false">IFERROR(INDEX('Output Utente'!$U$2:$U$492,MATCH(70,'Output Utente'!$Q$2:$Q$492,0)),"")</f>
        <v>OK</v>
      </c>
      <c r="N73" s="7" t="str">
        <f aca="false">IFERROR(INDEX('Output Utente'!$AE$2:$AE$492,MATCH(70,'Output Utente'!$Q$2:$Q$492,0)),"")</f>
        <v>🟡 Attesa rischiosa</v>
      </c>
    </row>
    <row r="74" customFormat="false" ht="15" hidden="false" customHeight="true" outlineLevel="0" collapsed="false">
      <c r="A74" s="49" t="n">
        <v>71</v>
      </c>
      <c r="B74" s="7" t="n">
        <f aca="false">IFERROR(INDEX('Output Utente'!$A$2:$A$492,MATCH(71,'Output Utente'!$Q$2:$Q$492,0)),"")</f>
        <v>2531</v>
      </c>
      <c r="C74" s="7" t="str">
        <f aca="false">IFERROR(INDEX('Output Utente'!$B$2:$B$492,MATCH(71,'Output Utente'!$Q$2:$Q$492,0)),"")</f>
        <v>A</v>
      </c>
      <c r="D74" s="7" t="str">
        <f aca="false">IFERROR(INDEX('Output Utente'!$C$2:$C$492,MATCH(71,'Output Utente'!$Q$2:$Q$492,0)),"")</f>
        <v>Lukaku</v>
      </c>
      <c r="E74" s="7" t="str">
        <f aca="false">IFERROR(INDEX('Input Giocatori 2026_27'!$D$3:$D$493,MATCH($B74,'Input Giocatori 2026_27'!$A$3:$A$493,0)),"")</f>
        <v>Napoli</v>
      </c>
      <c r="F74" s="50" t="n">
        <f aca="false">IFERROR(INDEX('Output Utente'!$N$2:$N$492,MATCH(71,'Output Utente'!$Q$2:$Q$492,0)),"")</f>
        <v>10</v>
      </c>
      <c r="G74" s="50" t="n">
        <f aca="false">IFERROR(INDEX('Output Utente'!$O$2:$O$492,MATCH(71,'Output Utente'!$Q$2:$Q$492,0)),"")</f>
        <v>45</v>
      </c>
      <c r="H74" s="7" t="str">
        <f aca="false">IFERROR(INDEX('Output Utente'!$P$2:$P$492,MATCH(71,'Output Utente'!$Q$2:$Q$492,0)),"")</f>
        <v>Buono</v>
      </c>
      <c r="I74" s="50" t="n">
        <f aca="false">IFERROR(INDEX('Output Utente'!$F$2:$F$492,MATCH(71,'Output Utente'!$Q$2:$Q$492,0)),"")</f>
        <v>43</v>
      </c>
      <c r="J74" s="50" t="n">
        <f aca="false">IFERROR(INDEX('Output Utente'!$G$2:$G$492,MATCH(71,'Output Utente'!$Q$2:$Q$492,0)),"")</f>
        <v>27</v>
      </c>
      <c r="K74" s="50" t="n">
        <f aca="false">IFERROR(INDEX('Output Utente'!$H$2:$H$492,MATCH(71,'Output Utente'!$Q$2:$Q$492,0)),"")</f>
        <v>50</v>
      </c>
      <c r="L74" s="7" t="str">
        <f aca="false">IFERROR(INDEX('Output Utente'!$E$2:$E$492,MATCH(71,'Output Utente'!$Q$2:$Q$492,0)),"")</f>
        <v>NO</v>
      </c>
      <c r="M74" s="7" t="str">
        <f aca="false">IFERROR(INDEX('Output Utente'!$U$2:$U$492,MATCH(71,'Output Utente'!$Q$2:$Q$492,0)),"")</f>
        <v>OK</v>
      </c>
      <c r="N74" s="7" t="str">
        <f aca="false">IFERROR(INDEX('Output Utente'!$AE$2:$AE$492,MATCH(71,'Output Utente'!$Q$2:$Q$492,0)),"")</f>
        <v>🔴 Non aspettare</v>
      </c>
    </row>
    <row r="75" customFormat="false" ht="15" hidden="false" customHeight="true" outlineLevel="0" collapsed="false">
      <c r="A75" s="49" t="n">
        <v>72</v>
      </c>
      <c r="B75" s="7" t="n">
        <f aca="false">IFERROR(INDEX('Output Utente'!$A$2:$A$492,MATCH(72,'Output Utente'!$Q$2:$Q$492,0)),"")</f>
        <v>2120</v>
      </c>
      <c r="C75" s="7" t="str">
        <f aca="false">IFERROR(INDEX('Output Utente'!$B$2:$B$492,MATCH(72,'Output Utente'!$Q$2:$Q$492,0)),"")</f>
        <v>D</v>
      </c>
      <c r="D75" s="7" t="str">
        <f aca="false">IFERROR(INDEX('Output Utente'!$C$2:$C$492,MATCH(72,'Output Utente'!$Q$2:$Q$492,0)),"")</f>
        <v>Bastoni</v>
      </c>
      <c r="E75" s="7" t="str">
        <f aca="false">IFERROR(INDEX('Input Giocatori 2026_27'!$D$3:$D$493,MATCH($B75,'Input Giocatori 2026_27'!$A$3:$A$493,0)),"")</f>
        <v>Inter</v>
      </c>
      <c r="F75" s="50" t="n">
        <f aca="false">IFERROR(INDEX('Output Utente'!$N$2:$N$492,MATCH(72,'Output Utente'!$Q$2:$Q$492,0)),"")</f>
        <v>14</v>
      </c>
      <c r="G75" s="50" t="n">
        <f aca="false">IFERROR(INDEX('Output Utente'!$O$2:$O$492,MATCH(72,'Output Utente'!$Q$2:$Q$492,0)),"")</f>
        <v>44</v>
      </c>
      <c r="H75" s="7" t="str">
        <f aca="false">IFERROR(INDEX('Output Utente'!$P$2:$P$492,MATCH(72,'Output Utente'!$Q$2:$Q$492,0)),"")</f>
        <v>Top</v>
      </c>
      <c r="I75" s="50" t="n">
        <f aca="false">IFERROR(INDEX('Output Utente'!$F$2:$F$492,MATCH(72,'Output Utente'!$Q$2:$Q$492,0)),"")</f>
        <v>22</v>
      </c>
      <c r="J75" s="50" t="n">
        <f aca="false">IFERROR(INDEX('Output Utente'!$G$2:$G$492,MATCH(72,'Output Utente'!$Q$2:$Q$492,0)),"")</f>
        <v>16</v>
      </c>
      <c r="K75" s="50" t="n">
        <f aca="false">IFERROR(INDEX('Output Utente'!$H$2:$H$492,MATCH(72,'Output Utente'!$Q$2:$Q$492,0)),"")</f>
        <v>24</v>
      </c>
      <c r="L75" s="7" t="str">
        <f aca="false">IFERROR(INDEX('Output Utente'!$E$2:$E$492,MATCH(72,'Output Utente'!$Q$2:$Q$492,0)),"")</f>
        <v>NO</v>
      </c>
      <c r="M75" s="7" t="str">
        <f aca="false">IFERROR(INDEX('Output Utente'!$U$2:$U$492,MATCH(72,'Output Utente'!$Q$2:$Q$492,0)),"")</f>
        <v>OK</v>
      </c>
      <c r="N75" s="7" t="str">
        <f aca="false">IFERROR(INDEX('Output Utente'!$AE$2:$AE$492,MATCH(72,'Output Utente'!$Q$2:$Q$492,0)),"")</f>
        <v>🟡 Attesa rischiosa</v>
      </c>
    </row>
    <row r="76" customFormat="false" ht="15" hidden="false" customHeight="true" outlineLevel="0" collapsed="false">
      <c r="A76" s="49" t="n">
        <v>73</v>
      </c>
      <c r="B76" s="7" t="n">
        <f aca="false">IFERROR(INDEX('Output Utente'!$A$2:$A$492,MATCH(73,'Output Utente'!$Q$2:$Q$492,0)),"")</f>
        <v>4317</v>
      </c>
      <c r="C76" s="7" t="str">
        <f aca="false">IFERROR(INDEX('Output Utente'!$B$2:$B$492,MATCH(73,'Output Utente'!$Q$2:$Q$492,0)),"")</f>
        <v>D</v>
      </c>
      <c r="D76" s="7" t="str">
        <f aca="false">IFERROR(INDEX('Output Utente'!$C$2:$C$492,MATCH(73,'Output Utente'!$Q$2:$Q$492,0)),"")</f>
        <v>N'Dicka</v>
      </c>
      <c r="E76" s="7" t="str">
        <f aca="false">IFERROR(INDEX('Input Giocatori 2026_27'!$D$3:$D$493,MATCH($B76,'Input Giocatori 2026_27'!$A$3:$A$493,0)),"")</f>
        <v>Roma</v>
      </c>
      <c r="F76" s="50" t="n">
        <f aca="false">IFERROR(INDEX('Output Utente'!$N$2:$N$492,MATCH(73,'Output Utente'!$Q$2:$Q$492,0)),"")</f>
        <v>13</v>
      </c>
      <c r="G76" s="50" t="n">
        <f aca="false">IFERROR(INDEX('Output Utente'!$O$2:$O$492,MATCH(73,'Output Utente'!$Q$2:$Q$492,0)),"")</f>
        <v>44</v>
      </c>
      <c r="H76" s="7" t="str">
        <f aca="false">IFERROR(INDEX('Output Utente'!$P$2:$P$492,MATCH(73,'Output Utente'!$Q$2:$Q$492,0)),"")</f>
        <v>Top</v>
      </c>
      <c r="I76" s="50" t="n">
        <f aca="false">IFERROR(INDEX('Output Utente'!$F$2:$F$492,MATCH(73,'Output Utente'!$Q$2:$Q$492,0)),"")</f>
        <v>22</v>
      </c>
      <c r="J76" s="50" t="n">
        <f aca="false">IFERROR(INDEX('Output Utente'!$G$2:$G$492,MATCH(73,'Output Utente'!$Q$2:$Q$492,0)),"")</f>
        <v>16</v>
      </c>
      <c r="K76" s="50" t="n">
        <f aca="false">IFERROR(INDEX('Output Utente'!$H$2:$H$492,MATCH(73,'Output Utente'!$Q$2:$Q$492,0)),"")</f>
        <v>24</v>
      </c>
      <c r="L76" s="7" t="str">
        <f aca="false">IFERROR(INDEX('Output Utente'!$E$2:$E$492,MATCH(73,'Output Utente'!$Q$2:$Q$492,0)),"")</f>
        <v>NO</v>
      </c>
      <c r="M76" s="7" t="str">
        <f aca="false">IFERROR(INDEX('Output Utente'!$U$2:$U$492,MATCH(73,'Output Utente'!$Q$2:$Q$492,0)),"")</f>
        <v>OK</v>
      </c>
      <c r="N76" s="7" t="str">
        <f aca="false">IFERROR(INDEX('Output Utente'!$AE$2:$AE$492,MATCH(73,'Output Utente'!$Q$2:$Q$492,0)),"")</f>
        <v>🟡 Attesa rischiosa</v>
      </c>
    </row>
    <row r="77" customFormat="false" ht="15" hidden="false" customHeight="true" outlineLevel="0" collapsed="false">
      <c r="A77" s="49" t="n">
        <v>74</v>
      </c>
      <c r="B77" s="7" t="n">
        <f aca="false">IFERROR(INDEX('Output Utente'!$A$2:$A$492,MATCH(74,'Output Utente'!$Q$2:$Q$492,0)),"")</f>
        <v>4892</v>
      </c>
      <c r="C77" s="7" t="str">
        <f aca="false">IFERROR(INDEX('Output Utente'!$B$2:$B$492,MATCH(74,'Output Utente'!$Q$2:$Q$492,0)),"")</f>
        <v>C</v>
      </c>
      <c r="D77" s="7" t="str">
        <f aca="false">IFERROR(INDEX('Output Utente'!$C$2:$C$492,MATCH(74,'Output Utente'!$Q$2:$Q$492,0)),"")</f>
        <v>Saelemaekers</v>
      </c>
      <c r="E77" s="7" t="str">
        <f aca="false">IFERROR(INDEX('Input Giocatori 2026_27'!$D$3:$D$493,MATCH($B77,'Input Giocatori 2026_27'!$A$3:$A$493,0)),"")</f>
        <v>Milan</v>
      </c>
      <c r="F77" s="50" t="n">
        <f aca="false">IFERROR(INDEX('Output Utente'!$N$2:$N$492,MATCH(74,'Output Utente'!$Q$2:$Q$492,0)),"")</f>
        <v>10</v>
      </c>
      <c r="G77" s="50" t="n">
        <f aca="false">IFERROR(INDEX('Output Utente'!$O$2:$O$492,MATCH(74,'Output Utente'!$Q$2:$Q$492,0)),"")</f>
        <v>43</v>
      </c>
      <c r="H77" s="7" t="str">
        <f aca="false">IFERROR(INDEX('Output Utente'!$P$2:$P$492,MATCH(74,'Output Utente'!$Q$2:$Q$492,0)),"")</f>
        <v>Top</v>
      </c>
      <c r="I77" s="50" t="n">
        <f aca="false">IFERROR(INDEX('Output Utente'!$F$2:$F$492,MATCH(74,'Output Utente'!$Q$2:$Q$492,0)),"")</f>
        <v>24</v>
      </c>
      <c r="J77" s="50" t="n">
        <f aca="false">IFERROR(INDEX('Output Utente'!$G$2:$G$492,MATCH(74,'Output Utente'!$Q$2:$Q$492,0)),"")</f>
        <v>16</v>
      </c>
      <c r="K77" s="50" t="n">
        <f aca="false">IFERROR(INDEX('Output Utente'!$H$2:$H$492,MATCH(74,'Output Utente'!$Q$2:$Q$492,0)),"")</f>
        <v>27</v>
      </c>
      <c r="L77" s="7" t="str">
        <f aca="false">IFERROR(INDEX('Output Utente'!$E$2:$E$492,MATCH(74,'Output Utente'!$Q$2:$Q$492,0)),"")</f>
        <v>NO</v>
      </c>
      <c r="M77" s="7" t="str">
        <f aca="false">IFERROR(INDEX('Output Utente'!$U$2:$U$492,MATCH(74,'Output Utente'!$Q$2:$Q$492,0)),"")</f>
        <v>OK</v>
      </c>
      <c r="N77" s="7" t="str">
        <f aca="false">IFERROR(INDEX('Output Utente'!$AE$2:$AE$492,MATCH(74,'Output Utente'!$Q$2:$Q$492,0)),"")</f>
        <v>🟡 Attesa rischiosa</v>
      </c>
    </row>
    <row r="78" customFormat="false" ht="15" hidden="false" customHeight="true" outlineLevel="0" collapsed="false">
      <c r="A78" s="49" t="n">
        <v>75</v>
      </c>
      <c r="B78" s="7" t="n">
        <f aca="false">IFERROR(INDEX('Output Utente'!$A$2:$A$492,MATCH(75,'Output Utente'!$Q$2:$Q$492,0)),"")</f>
        <v>5119</v>
      </c>
      <c r="C78" s="7" t="str">
        <f aca="false">IFERROR(INDEX('Output Utente'!$B$2:$B$492,MATCH(75,'Output Utente'!$Q$2:$Q$492,0)),"")</f>
        <v>C</v>
      </c>
      <c r="D78" s="7" t="str">
        <f aca="false">IFERROR(INDEX('Output Utente'!$C$2:$C$492,MATCH(75,'Output Utente'!$Q$2:$Q$492,0)),"")</f>
        <v>Samardzic</v>
      </c>
      <c r="E78" s="7" t="str">
        <f aca="false">IFERROR(INDEX('Input Giocatori 2026_27'!$D$3:$D$493,MATCH($B78,'Input Giocatori 2026_27'!$A$3:$A$493,0)),"")</f>
        <v>Atalanta</v>
      </c>
      <c r="F78" s="50" t="n">
        <f aca="false">IFERROR(INDEX('Output Utente'!$N$2:$N$492,MATCH(75,'Output Utente'!$Q$2:$Q$492,0)),"")</f>
        <v>12</v>
      </c>
      <c r="G78" s="50" t="n">
        <f aca="false">IFERROR(INDEX('Output Utente'!$O$2:$O$492,MATCH(75,'Output Utente'!$Q$2:$Q$492,0)),"")</f>
        <v>42</v>
      </c>
      <c r="H78" s="7" t="str">
        <f aca="false">IFERROR(INDEX('Output Utente'!$P$2:$P$492,MATCH(75,'Output Utente'!$Q$2:$Q$492,0)),"")</f>
        <v>Top</v>
      </c>
      <c r="I78" s="50" t="n">
        <f aca="false">IFERROR(INDEX('Output Utente'!$F$2:$F$492,MATCH(75,'Output Utente'!$Q$2:$Q$492,0)),"")</f>
        <v>23</v>
      </c>
      <c r="J78" s="50" t="n">
        <f aca="false">IFERROR(INDEX('Output Utente'!$G$2:$G$492,MATCH(75,'Output Utente'!$Q$2:$Q$492,0)),"")</f>
        <v>16</v>
      </c>
      <c r="K78" s="50" t="n">
        <f aca="false">IFERROR(INDEX('Output Utente'!$H$2:$H$492,MATCH(75,'Output Utente'!$Q$2:$Q$492,0)),"")</f>
        <v>26</v>
      </c>
      <c r="L78" s="7" t="str">
        <f aca="false">IFERROR(INDEX('Output Utente'!$E$2:$E$492,MATCH(75,'Output Utente'!$Q$2:$Q$492,0)),"")</f>
        <v>NO</v>
      </c>
      <c r="M78" s="7" t="str">
        <f aca="false">IFERROR(INDEX('Output Utente'!$U$2:$U$492,MATCH(75,'Output Utente'!$Q$2:$Q$492,0)),"")</f>
        <v>OK</v>
      </c>
      <c r="N78" s="7" t="str">
        <f aca="false">IFERROR(INDEX('Output Utente'!$AE$2:$AE$492,MATCH(75,'Output Utente'!$Q$2:$Q$492,0)),"")</f>
        <v>🟡 Attesa rischiosa</v>
      </c>
    </row>
    <row r="79" customFormat="false" ht="15" hidden="false" customHeight="true" outlineLevel="0" collapsed="false">
      <c r="A79" s="49" t="n">
        <v>76</v>
      </c>
      <c r="B79" s="7" t="n">
        <f aca="false">IFERROR(INDEX('Output Utente'!$A$2:$A$492,MATCH(76,'Output Utente'!$Q$2:$Q$492,0)),"")</f>
        <v>5589</v>
      </c>
      <c r="C79" s="7" t="str">
        <f aca="false">IFERROR(INDEX('Output Utente'!$B$2:$B$492,MATCH(76,'Output Utente'!$Q$2:$Q$492,0)),"")</f>
        <v>C</v>
      </c>
      <c r="D79" s="7" t="str">
        <f aca="false">IFERROR(INDEX('Output Utente'!$C$2:$C$492,MATCH(76,'Output Utente'!$Q$2:$Q$492,0)),"")</f>
        <v>Konè M.</v>
      </c>
      <c r="E79" s="7" t="str">
        <f aca="false">IFERROR(INDEX('Input Giocatori 2026_27'!$D$3:$D$493,MATCH($B79,'Input Giocatori 2026_27'!$A$3:$A$493,0)),"")</f>
        <v>Roma</v>
      </c>
      <c r="F79" s="50" t="n">
        <f aca="false">IFERROR(INDEX('Output Utente'!$N$2:$N$492,MATCH(76,'Output Utente'!$Q$2:$Q$492,0)),"")</f>
        <v>10</v>
      </c>
      <c r="G79" s="50" t="n">
        <f aca="false">IFERROR(INDEX('Output Utente'!$O$2:$O$492,MATCH(76,'Output Utente'!$Q$2:$Q$492,0)),"")</f>
        <v>42</v>
      </c>
      <c r="H79" s="7" t="str">
        <f aca="false">IFERROR(INDEX('Output Utente'!$P$2:$P$492,MATCH(76,'Output Utente'!$Q$2:$Q$492,0)),"")</f>
        <v>Top</v>
      </c>
      <c r="I79" s="50" t="n">
        <f aca="false">IFERROR(INDEX('Output Utente'!$F$2:$F$492,MATCH(76,'Output Utente'!$Q$2:$Q$492,0)),"")</f>
        <v>23</v>
      </c>
      <c r="J79" s="50" t="n">
        <f aca="false">IFERROR(INDEX('Output Utente'!$G$2:$G$492,MATCH(76,'Output Utente'!$Q$2:$Q$492,0)),"")</f>
        <v>16</v>
      </c>
      <c r="K79" s="50" t="n">
        <f aca="false">IFERROR(INDEX('Output Utente'!$H$2:$H$492,MATCH(76,'Output Utente'!$Q$2:$Q$492,0)),"")</f>
        <v>26</v>
      </c>
      <c r="L79" s="7" t="str">
        <f aca="false">IFERROR(INDEX('Output Utente'!$E$2:$E$492,MATCH(76,'Output Utente'!$Q$2:$Q$492,0)),"")</f>
        <v>NO</v>
      </c>
      <c r="M79" s="7" t="str">
        <f aca="false">IFERROR(INDEX('Output Utente'!$U$2:$U$492,MATCH(76,'Output Utente'!$Q$2:$Q$492,0)),"")</f>
        <v>OK</v>
      </c>
      <c r="N79" s="7" t="str">
        <f aca="false">IFERROR(INDEX('Output Utente'!$AE$2:$AE$492,MATCH(76,'Output Utente'!$Q$2:$Q$492,0)),"")</f>
        <v>🟡 Attesa rischiosa</v>
      </c>
    </row>
    <row r="80" customFormat="false" ht="15" hidden="false" customHeight="true" outlineLevel="0" collapsed="false">
      <c r="A80" s="49" t="n">
        <v>77</v>
      </c>
      <c r="B80" s="7" t="n">
        <f aca="false">IFERROR(INDEX('Output Utente'!$A$2:$A$492,MATCH(77,'Output Utente'!$Q$2:$Q$492,0)),"")</f>
        <v>152</v>
      </c>
      <c r="C80" s="7" t="str">
        <f aca="false">IFERROR(INDEX('Output Utente'!$B$2:$B$492,MATCH(77,'Output Utente'!$Q$2:$Q$492,0)),"")</f>
        <v>C</v>
      </c>
      <c r="D80" s="7" t="str">
        <f aca="false">IFERROR(INDEX('Output Utente'!$C$2:$C$492,MATCH(77,'Output Utente'!$Q$2:$Q$492,0)),"")</f>
        <v>Zielinski</v>
      </c>
      <c r="E80" s="7" t="str">
        <f aca="false">IFERROR(INDEX('Input Giocatori 2026_27'!$D$3:$D$493,MATCH($B80,'Input Giocatori 2026_27'!$A$3:$A$493,0)),"")</f>
        <v>Inter</v>
      </c>
      <c r="F80" s="50" t="n">
        <f aca="false">IFERROR(INDEX('Output Utente'!$N$2:$N$492,MATCH(77,'Output Utente'!$Q$2:$Q$492,0)),"")</f>
        <v>10</v>
      </c>
      <c r="G80" s="50" t="n">
        <f aca="false">IFERROR(INDEX('Output Utente'!$O$2:$O$492,MATCH(77,'Output Utente'!$Q$2:$Q$492,0)),"")</f>
        <v>41</v>
      </c>
      <c r="H80" s="7" t="str">
        <f aca="false">IFERROR(INDEX('Output Utente'!$P$2:$P$492,MATCH(77,'Output Utente'!$Q$2:$Q$492,0)),"")</f>
        <v>Buono</v>
      </c>
      <c r="I80" s="50" t="n">
        <f aca="false">IFERROR(INDEX('Output Utente'!$F$2:$F$492,MATCH(77,'Output Utente'!$Q$2:$Q$492,0)),"")</f>
        <v>23</v>
      </c>
      <c r="J80" s="50" t="n">
        <f aca="false">IFERROR(INDEX('Output Utente'!$G$2:$G$492,MATCH(77,'Output Utente'!$Q$2:$Q$492,0)),"")</f>
        <v>16</v>
      </c>
      <c r="K80" s="50" t="n">
        <f aca="false">IFERROR(INDEX('Output Utente'!$H$2:$H$492,MATCH(77,'Output Utente'!$Q$2:$Q$492,0)),"")</f>
        <v>26</v>
      </c>
      <c r="L80" s="7" t="str">
        <f aca="false">IFERROR(INDEX('Output Utente'!$E$2:$E$492,MATCH(77,'Output Utente'!$Q$2:$Q$492,0)),"")</f>
        <v>NO</v>
      </c>
      <c r="M80" s="7" t="str">
        <f aca="false">IFERROR(INDEX('Output Utente'!$U$2:$U$492,MATCH(77,'Output Utente'!$Q$2:$Q$492,0)),"")</f>
        <v>OK</v>
      </c>
      <c r="N80" s="7" t="str">
        <f aca="false">IFERROR(INDEX('Output Utente'!$AE$2:$AE$492,MATCH(77,'Output Utente'!$Q$2:$Q$492,0)),"")</f>
        <v>🟡 Attesa rischiosa</v>
      </c>
    </row>
    <row r="81" customFormat="false" ht="15" hidden="false" customHeight="true" outlineLevel="0" collapsed="false">
      <c r="A81" s="49" t="n">
        <v>78</v>
      </c>
      <c r="B81" s="7" t="n">
        <f aca="false">IFERROR(INDEX('Output Utente'!$A$2:$A$492,MATCH(78,'Output Utente'!$Q$2:$Q$492,0)),"")</f>
        <v>5562</v>
      </c>
      <c r="C81" s="7" t="str">
        <f aca="false">IFERROR(INDEX('Output Utente'!$B$2:$B$492,MATCH(78,'Output Utente'!$Q$2:$Q$492,0)),"")</f>
        <v>C</v>
      </c>
      <c r="D81" s="7" t="str">
        <f aca="false">IFERROR(INDEX('Output Utente'!$C$2:$C$492,MATCH(78,'Output Utente'!$Q$2:$Q$492,0)),"")</f>
        <v>Thuram K.</v>
      </c>
      <c r="E81" s="7" t="str">
        <f aca="false">IFERROR(INDEX('Input Giocatori 2026_27'!$D$3:$D$493,MATCH($B81,'Input Giocatori 2026_27'!$A$3:$A$493,0)),"")</f>
        <v>Juventus</v>
      </c>
      <c r="F81" s="50" t="n">
        <f aca="false">IFERROR(INDEX('Output Utente'!$N$2:$N$492,MATCH(78,'Output Utente'!$Q$2:$Q$492,0)),"")</f>
        <v>10</v>
      </c>
      <c r="G81" s="50" t="n">
        <f aca="false">IFERROR(INDEX('Output Utente'!$O$2:$O$492,MATCH(78,'Output Utente'!$Q$2:$Q$492,0)),"")</f>
        <v>41</v>
      </c>
      <c r="H81" s="7" t="str">
        <f aca="false">IFERROR(INDEX('Output Utente'!$P$2:$P$492,MATCH(78,'Output Utente'!$Q$2:$Q$492,0)),"")</f>
        <v>Buono</v>
      </c>
      <c r="I81" s="50" t="n">
        <f aca="false">IFERROR(INDEX('Output Utente'!$F$2:$F$492,MATCH(78,'Output Utente'!$Q$2:$Q$492,0)),"")</f>
        <v>23</v>
      </c>
      <c r="J81" s="50" t="n">
        <f aca="false">IFERROR(INDEX('Output Utente'!$G$2:$G$492,MATCH(78,'Output Utente'!$Q$2:$Q$492,0)),"")</f>
        <v>15</v>
      </c>
      <c r="K81" s="50" t="n">
        <f aca="false">IFERROR(INDEX('Output Utente'!$H$2:$H$492,MATCH(78,'Output Utente'!$Q$2:$Q$492,0)),"")</f>
        <v>26</v>
      </c>
      <c r="L81" s="7" t="str">
        <f aca="false">IFERROR(INDEX('Output Utente'!$E$2:$E$492,MATCH(78,'Output Utente'!$Q$2:$Q$492,0)),"")</f>
        <v>NO</v>
      </c>
      <c r="M81" s="7" t="str">
        <f aca="false">IFERROR(INDEX('Output Utente'!$U$2:$U$492,MATCH(78,'Output Utente'!$Q$2:$Q$492,0)),"")</f>
        <v>OK</v>
      </c>
      <c r="N81" s="7" t="str">
        <f aca="false">IFERROR(INDEX('Output Utente'!$AE$2:$AE$492,MATCH(78,'Output Utente'!$Q$2:$Q$492,0)),"")</f>
        <v>🟡 Attesa rischiosa</v>
      </c>
    </row>
    <row r="82" customFormat="false" ht="15" hidden="false" customHeight="true" outlineLevel="0" collapsed="false">
      <c r="A82" s="49" t="n">
        <v>79</v>
      </c>
      <c r="B82" s="7" t="n">
        <f aca="false">IFERROR(INDEX('Output Utente'!$A$2:$A$492,MATCH(79,'Output Utente'!$Q$2:$Q$492,0)),"")</f>
        <v>5844</v>
      </c>
      <c r="C82" s="7" t="str">
        <f aca="false">IFERROR(INDEX('Output Utente'!$B$2:$B$492,MATCH(79,'Output Utente'!$Q$2:$Q$492,0)),"")</f>
        <v>C</v>
      </c>
      <c r="D82" s="7" t="str">
        <f aca="false">IFERROR(INDEX('Output Utente'!$C$2:$C$492,MATCH(79,'Output Utente'!$Q$2:$Q$492,0)),"")</f>
        <v>Thorstvedt</v>
      </c>
      <c r="E82" s="7" t="str">
        <f aca="false">IFERROR(INDEX('Input Giocatori 2026_27'!$D$3:$D$493,MATCH($B82,'Input Giocatori 2026_27'!$A$3:$A$493,0)),"")</f>
        <v>Sassuolo</v>
      </c>
      <c r="F82" s="50" t="n">
        <f aca="false">IFERROR(INDEX('Output Utente'!$N$2:$N$492,MATCH(79,'Output Utente'!$Q$2:$Q$492,0)),"")</f>
        <v>10</v>
      </c>
      <c r="G82" s="50" t="n">
        <f aca="false">IFERROR(INDEX('Output Utente'!$O$2:$O$492,MATCH(79,'Output Utente'!$Q$2:$Q$492,0)),"")</f>
        <v>41</v>
      </c>
      <c r="H82" s="7" t="str">
        <f aca="false">IFERROR(INDEX('Output Utente'!$P$2:$P$492,MATCH(79,'Output Utente'!$Q$2:$Q$492,0)),"")</f>
        <v>Buono</v>
      </c>
      <c r="I82" s="50" t="n">
        <f aca="false">IFERROR(INDEX('Output Utente'!$F$2:$F$492,MATCH(79,'Output Utente'!$Q$2:$Q$492,0)),"")</f>
        <v>23</v>
      </c>
      <c r="J82" s="50" t="n">
        <f aca="false">IFERROR(INDEX('Output Utente'!$G$2:$G$492,MATCH(79,'Output Utente'!$Q$2:$Q$492,0)),"")</f>
        <v>15</v>
      </c>
      <c r="K82" s="50" t="n">
        <f aca="false">IFERROR(INDEX('Output Utente'!$H$2:$H$492,MATCH(79,'Output Utente'!$Q$2:$Q$492,0)),"")</f>
        <v>26</v>
      </c>
      <c r="L82" s="7" t="str">
        <f aca="false">IFERROR(INDEX('Output Utente'!$E$2:$E$492,MATCH(79,'Output Utente'!$Q$2:$Q$492,0)),"")</f>
        <v>NO</v>
      </c>
      <c r="M82" s="7" t="str">
        <f aca="false">IFERROR(INDEX('Output Utente'!$U$2:$U$492,MATCH(79,'Output Utente'!$Q$2:$Q$492,0)),"")</f>
        <v>OK</v>
      </c>
      <c r="N82" s="7" t="str">
        <f aca="false">IFERROR(INDEX('Output Utente'!$AE$2:$AE$492,MATCH(79,'Output Utente'!$Q$2:$Q$492,0)),"")</f>
        <v>🟡 Attesa rischiosa</v>
      </c>
    </row>
    <row r="83" customFormat="false" ht="15" hidden="false" customHeight="true" outlineLevel="0" collapsed="false">
      <c r="A83" s="49" t="n">
        <v>80</v>
      </c>
      <c r="B83" s="7" t="n">
        <f aca="false">IFERROR(INDEX('Output Utente'!$A$2:$A$492,MATCH(80,'Output Utente'!$Q$2:$Q$492,0)),"")</f>
        <v>6684</v>
      </c>
      <c r="C83" s="7" t="str">
        <f aca="false">IFERROR(INDEX('Output Utente'!$B$2:$B$492,MATCH(80,'Output Utente'!$Q$2:$Q$492,0)),"")</f>
        <v>C</v>
      </c>
      <c r="D83" s="7" t="str">
        <f aca="false">IFERROR(INDEX('Output Utente'!$C$2:$C$492,MATCH(80,'Output Utente'!$Q$2:$Q$492,0)),"")</f>
        <v>Ekkelenkamp</v>
      </c>
      <c r="E83" s="7" t="str">
        <f aca="false">IFERROR(INDEX('Input Giocatori 2026_27'!$D$3:$D$493,MATCH($B83,'Input Giocatori 2026_27'!$A$3:$A$493,0)),"")</f>
        <v>Udinese</v>
      </c>
      <c r="F83" s="50" t="n">
        <f aca="false">IFERROR(INDEX('Output Utente'!$N$2:$N$492,MATCH(80,'Output Utente'!$Q$2:$Q$492,0)),"")</f>
        <v>10</v>
      </c>
      <c r="G83" s="50" t="n">
        <f aca="false">IFERROR(INDEX('Output Utente'!$O$2:$O$492,MATCH(80,'Output Utente'!$Q$2:$Q$492,0)),"")</f>
        <v>41</v>
      </c>
      <c r="H83" s="7" t="str">
        <f aca="false">IFERROR(INDEX('Output Utente'!$P$2:$P$492,MATCH(80,'Output Utente'!$Q$2:$Q$492,0)),"")</f>
        <v>Buono</v>
      </c>
      <c r="I83" s="50" t="n">
        <f aca="false">IFERROR(INDEX('Output Utente'!$F$2:$F$492,MATCH(80,'Output Utente'!$Q$2:$Q$492,0)),"")</f>
        <v>23</v>
      </c>
      <c r="J83" s="50" t="n">
        <f aca="false">IFERROR(INDEX('Output Utente'!$G$2:$G$492,MATCH(80,'Output Utente'!$Q$2:$Q$492,0)),"")</f>
        <v>15</v>
      </c>
      <c r="K83" s="50" t="n">
        <f aca="false">IFERROR(INDEX('Output Utente'!$H$2:$H$492,MATCH(80,'Output Utente'!$Q$2:$Q$492,0)),"")</f>
        <v>26</v>
      </c>
      <c r="L83" s="7" t="str">
        <f aca="false">IFERROR(INDEX('Output Utente'!$E$2:$E$492,MATCH(80,'Output Utente'!$Q$2:$Q$492,0)),"")</f>
        <v>NO</v>
      </c>
      <c r="M83" s="7" t="str">
        <f aca="false">IFERROR(INDEX('Output Utente'!$U$2:$U$492,MATCH(80,'Output Utente'!$Q$2:$Q$492,0)),"")</f>
        <v>OK</v>
      </c>
      <c r="N83" s="7" t="str">
        <f aca="false">IFERROR(INDEX('Output Utente'!$AE$2:$AE$492,MATCH(80,'Output Utente'!$Q$2:$Q$492,0)),"")</f>
        <v>🟡 Attesa rischiosa</v>
      </c>
    </row>
    <row r="84" customFormat="false" ht="15" hidden="false" customHeight="true" outlineLevel="0" collapsed="false">
      <c r="A84" s="49" t="n">
        <v>81</v>
      </c>
      <c r="B84" s="7" t="n">
        <f aca="false">IFERROR(INDEX('Output Utente'!$A$2:$A$492,MATCH(81,'Output Utente'!$Q$2:$Q$492,0)),"")</f>
        <v>5876</v>
      </c>
      <c r="C84" s="7" t="str">
        <f aca="false">IFERROR(INDEX('Output Utente'!$B$2:$B$492,MATCH(81,'Output Utente'!$Q$2:$Q$492,0)),"")</f>
        <v>P</v>
      </c>
      <c r="D84" s="7" t="str">
        <f aca="false">IFERROR(INDEX('Output Utente'!$C$2:$C$492,MATCH(81,'Output Utente'!$Q$2:$Q$492,0)),"")</f>
        <v>Di Gregorio</v>
      </c>
      <c r="E84" s="7" t="str">
        <f aca="false">IFERROR(INDEX('Input Giocatori 2026_27'!$D$3:$D$493,MATCH($B84,'Input Giocatori 2026_27'!$A$3:$A$493,0)),"")</f>
        <v>Juventus</v>
      </c>
      <c r="F84" s="50" t="n">
        <f aca="false">IFERROR(INDEX('Output Utente'!$N$2:$N$492,MATCH(81,'Output Utente'!$Q$2:$Q$492,0)),"")</f>
        <v>9</v>
      </c>
      <c r="G84" s="50" t="n">
        <f aca="false">IFERROR(INDEX('Output Utente'!$O$2:$O$492,MATCH(81,'Output Utente'!$Q$2:$Q$492,0)),"")</f>
        <v>40</v>
      </c>
      <c r="H84" s="7" t="str">
        <f aca="false">IFERROR(INDEX('Output Utente'!$P$2:$P$492,MATCH(81,'Output Utente'!$Q$2:$Q$492,0)),"")</f>
        <v>Top</v>
      </c>
      <c r="I84" s="50" t="n">
        <f aca="false">IFERROR(INDEX('Output Utente'!$F$2:$F$492,MATCH(81,'Output Utente'!$Q$2:$Q$492,0)),"")</f>
        <v>46</v>
      </c>
      <c r="J84" s="50" t="n">
        <f aca="false">IFERROR(INDEX('Output Utente'!$G$2:$G$492,MATCH(81,'Output Utente'!$Q$2:$Q$492,0)),"")</f>
        <v>37</v>
      </c>
      <c r="K84" s="50" t="n">
        <f aca="false">IFERROR(INDEX('Output Utente'!$H$2:$H$492,MATCH(81,'Output Utente'!$Q$2:$Q$492,0)),"")</f>
        <v>50</v>
      </c>
      <c r="L84" s="7" t="str">
        <f aca="false">IFERROR(INDEX('Output Utente'!$E$2:$E$492,MATCH(81,'Output Utente'!$Q$2:$Q$492,0)),"")</f>
        <v>NO</v>
      </c>
      <c r="M84" s="7" t="str">
        <f aca="false">IFERROR(INDEX('Output Utente'!$U$2:$U$492,MATCH(81,'Output Utente'!$Q$2:$Q$492,0)),"")</f>
        <v>OK</v>
      </c>
      <c r="N84" s="7" t="str">
        <f aca="false">IFERROR(INDEX('Output Utente'!$AE$2:$AE$492,MATCH(81,'Output Utente'!$Q$2:$Q$492,0)),"")</f>
        <v>🟡 Attesa rischiosa</v>
      </c>
    </row>
    <row r="85" customFormat="false" ht="15" hidden="false" customHeight="true" outlineLevel="0" collapsed="false">
      <c r="A85" s="49" t="n">
        <v>82</v>
      </c>
      <c r="B85" s="7" t="n">
        <f aca="false">IFERROR(INDEX('Output Utente'!$A$2:$A$492,MATCH(82,'Output Utente'!$Q$2:$Q$492,0)),"")</f>
        <v>2816</v>
      </c>
      <c r="C85" s="7" t="str">
        <f aca="false">IFERROR(INDEX('Output Utente'!$B$2:$B$492,MATCH(82,'Output Utente'!$Q$2:$Q$492,0)),"")</f>
        <v>D</v>
      </c>
      <c r="D85" s="7" t="str">
        <f aca="false">IFERROR(INDEX('Output Utente'!$C$2:$C$492,MATCH(82,'Output Utente'!$Q$2:$Q$492,0)),"")</f>
        <v>Di Lorenzo</v>
      </c>
      <c r="E85" s="7" t="str">
        <f aca="false">IFERROR(INDEX('Input Giocatori 2026_27'!$D$3:$D$493,MATCH($B85,'Input Giocatori 2026_27'!$A$3:$A$493,0)),"")</f>
        <v>Napoli</v>
      </c>
      <c r="F85" s="50" t="n">
        <f aca="false">IFERROR(INDEX('Output Utente'!$N$2:$N$492,MATCH(82,'Output Utente'!$Q$2:$Q$492,0)),"")</f>
        <v>12</v>
      </c>
      <c r="G85" s="50" t="n">
        <f aca="false">IFERROR(INDEX('Output Utente'!$O$2:$O$492,MATCH(82,'Output Utente'!$Q$2:$Q$492,0)),"")</f>
        <v>40</v>
      </c>
      <c r="H85" s="7" t="str">
        <f aca="false">IFERROR(INDEX('Output Utente'!$P$2:$P$492,MATCH(82,'Output Utente'!$Q$2:$Q$492,0)),"")</f>
        <v>Top</v>
      </c>
      <c r="I85" s="50" t="n">
        <f aca="false">IFERROR(INDEX('Output Utente'!$F$2:$F$492,MATCH(82,'Output Utente'!$Q$2:$Q$492,0)),"")</f>
        <v>19</v>
      </c>
      <c r="J85" s="50" t="n">
        <f aca="false">IFERROR(INDEX('Output Utente'!$G$2:$G$492,MATCH(82,'Output Utente'!$Q$2:$Q$492,0)),"")</f>
        <v>14</v>
      </c>
      <c r="K85" s="50" t="n">
        <f aca="false">IFERROR(INDEX('Output Utente'!$H$2:$H$492,MATCH(82,'Output Utente'!$Q$2:$Q$492,0)),"")</f>
        <v>21</v>
      </c>
      <c r="L85" s="7" t="str">
        <f aca="false">IFERROR(INDEX('Output Utente'!$E$2:$E$492,MATCH(82,'Output Utente'!$Q$2:$Q$492,0)),"")</f>
        <v>NO</v>
      </c>
      <c r="M85" s="7" t="str">
        <f aca="false">IFERROR(INDEX('Output Utente'!$U$2:$U$492,MATCH(82,'Output Utente'!$Q$2:$Q$492,0)),"")</f>
        <v>OK</v>
      </c>
      <c r="N85" s="7" t="str">
        <f aca="false">IFERROR(INDEX('Output Utente'!$AE$2:$AE$492,MATCH(82,'Output Utente'!$Q$2:$Q$492,0)),"")</f>
        <v>🟡 Attesa rischiosa</v>
      </c>
    </row>
    <row r="86" customFormat="false" ht="15" hidden="false" customHeight="true" outlineLevel="0" collapsed="false">
      <c r="A86" s="49" t="n">
        <v>83</v>
      </c>
      <c r="B86" s="7" t="n">
        <f aca="false">IFERROR(INDEX('Output Utente'!$A$2:$A$492,MATCH(83,'Output Utente'!$Q$2:$Q$492,0)),"")</f>
        <v>5750</v>
      </c>
      <c r="C86" s="7" t="str">
        <f aca="false">IFERROR(INDEX('Output Utente'!$B$2:$B$492,MATCH(83,'Output Utente'!$Q$2:$Q$492,0)),"")</f>
        <v>D</v>
      </c>
      <c r="D86" s="7" t="str">
        <f aca="false">IFERROR(INDEX('Output Utente'!$C$2:$C$492,MATCH(83,'Output Utente'!$Q$2:$Q$492,0)),"")</f>
        <v>Ostigard</v>
      </c>
      <c r="E86" s="7" t="str">
        <f aca="false">IFERROR(INDEX('Input Giocatori 2026_27'!$D$3:$D$493,MATCH($B86,'Input Giocatori 2026_27'!$A$3:$A$493,0)),"")</f>
        <v>Genoa</v>
      </c>
      <c r="F86" s="50" t="n">
        <f aca="false">IFERROR(INDEX('Output Utente'!$N$2:$N$492,MATCH(83,'Output Utente'!$Q$2:$Q$492,0)),"")</f>
        <v>11</v>
      </c>
      <c r="G86" s="50" t="n">
        <f aca="false">IFERROR(INDEX('Output Utente'!$O$2:$O$492,MATCH(83,'Output Utente'!$Q$2:$Q$492,0)),"")</f>
        <v>40</v>
      </c>
      <c r="H86" s="7" t="str">
        <f aca="false">IFERROR(INDEX('Output Utente'!$P$2:$P$492,MATCH(83,'Output Utente'!$Q$2:$Q$492,0)),"")</f>
        <v>Top</v>
      </c>
      <c r="I86" s="50" t="n">
        <f aca="false">IFERROR(INDEX('Output Utente'!$F$2:$F$492,MATCH(83,'Output Utente'!$Q$2:$Q$492,0)),"")</f>
        <v>20</v>
      </c>
      <c r="J86" s="50" t="n">
        <f aca="false">IFERROR(INDEX('Output Utente'!$G$2:$G$492,MATCH(83,'Output Utente'!$Q$2:$Q$492,0)),"")</f>
        <v>14</v>
      </c>
      <c r="K86" s="50" t="n">
        <f aca="false">IFERROR(INDEX('Output Utente'!$H$2:$H$492,MATCH(83,'Output Utente'!$Q$2:$Q$492,0)),"")</f>
        <v>22</v>
      </c>
      <c r="L86" s="7" t="str">
        <f aca="false">IFERROR(INDEX('Output Utente'!$E$2:$E$492,MATCH(83,'Output Utente'!$Q$2:$Q$492,0)),"")</f>
        <v>NO</v>
      </c>
      <c r="M86" s="7" t="str">
        <f aca="false">IFERROR(INDEX('Output Utente'!$U$2:$U$492,MATCH(83,'Output Utente'!$Q$2:$Q$492,0)),"")</f>
        <v>OK</v>
      </c>
      <c r="N86" s="7" t="str">
        <f aca="false">IFERROR(INDEX('Output Utente'!$AE$2:$AE$492,MATCH(83,'Output Utente'!$Q$2:$Q$492,0)),"")</f>
        <v>🟡 Attesa rischiosa</v>
      </c>
    </row>
    <row r="87" customFormat="false" ht="15" hidden="false" customHeight="true" outlineLevel="0" collapsed="false">
      <c r="A87" s="49" t="n">
        <v>84</v>
      </c>
      <c r="B87" s="7" t="n">
        <f aca="false">IFERROR(INDEX('Output Utente'!$A$2:$A$492,MATCH(84,'Output Utente'!$Q$2:$Q$492,0)),"")</f>
        <v>5544</v>
      </c>
      <c r="C87" s="7" t="str">
        <f aca="false">IFERROR(INDEX('Output Utente'!$B$2:$B$492,MATCH(84,'Output Utente'!$Q$2:$Q$492,0)),"")</f>
        <v>A</v>
      </c>
      <c r="D87" s="7" t="str">
        <f aca="false">IFERROR(INDEX('Output Utente'!$C$2:$C$492,MATCH(84,'Output Utente'!$Q$2:$Q$492,0)),"")</f>
        <v>David</v>
      </c>
      <c r="E87" s="7" t="str">
        <f aca="false">IFERROR(INDEX('Input Giocatori 2026_27'!$D$3:$D$493,MATCH($B87,'Input Giocatori 2026_27'!$A$3:$A$493,0)),"")</f>
        <v>Juventus</v>
      </c>
      <c r="F87" s="50" t="n">
        <f aca="false">IFERROR(INDEX('Output Utente'!$N$2:$N$492,MATCH(84,'Output Utente'!$Q$2:$Q$492,0)),"")</f>
        <v>9</v>
      </c>
      <c r="G87" s="50" t="n">
        <f aca="false">IFERROR(INDEX('Output Utente'!$O$2:$O$492,MATCH(84,'Output Utente'!$Q$2:$Q$492,0)),"")</f>
        <v>40</v>
      </c>
      <c r="H87" s="7" t="str">
        <f aca="false">IFERROR(INDEX('Output Utente'!$P$2:$P$492,MATCH(84,'Output Utente'!$Q$2:$Q$492,0)),"")</f>
        <v>Buono</v>
      </c>
      <c r="I87" s="50" t="n">
        <f aca="false">IFERROR(INDEX('Output Utente'!$F$2:$F$492,MATCH(84,'Output Utente'!$Q$2:$Q$492,0)),"")</f>
        <v>35</v>
      </c>
      <c r="J87" s="50" t="n">
        <f aca="false">IFERROR(INDEX('Output Utente'!$G$2:$G$492,MATCH(84,'Output Utente'!$Q$2:$Q$492,0)),"")</f>
        <v>22</v>
      </c>
      <c r="K87" s="50" t="n">
        <f aca="false">IFERROR(INDEX('Output Utente'!$H$2:$H$492,MATCH(84,'Output Utente'!$Q$2:$Q$492,0)),"")</f>
        <v>41</v>
      </c>
      <c r="L87" s="7" t="str">
        <f aca="false">IFERROR(INDEX('Output Utente'!$E$2:$E$492,MATCH(84,'Output Utente'!$Q$2:$Q$492,0)),"")</f>
        <v>NO</v>
      </c>
      <c r="M87" s="7" t="str">
        <f aca="false">IFERROR(INDEX('Output Utente'!$U$2:$U$492,MATCH(84,'Output Utente'!$Q$2:$Q$492,0)),"")</f>
        <v>OK</v>
      </c>
      <c r="N87" s="7" t="str">
        <f aca="false">IFERROR(INDEX('Output Utente'!$AE$2:$AE$492,MATCH(84,'Output Utente'!$Q$2:$Q$492,0)),"")</f>
        <v>🔴 Non aspettare</v>
      </c>
    </row>
    <row r="88" customFormat="false" ht="15" hidden="false" customHeight="true" outlineLevel="0" collapsed="false">
      <c r="A88" s="49" t="n">
        <v>85</v>
      </c>
      <c r="B88" s="7" t="n">
        <f aca="false">IFERROR(INDEX('Output Utente'!$A$2:$A$492,MATCH(85,'Output Utente'!$Q$2:$Q$492,0)),"")</f>
        <v>7347</v>
      </c>
      <c r="C88" s="7" t="str">
        <f aca="false">IFERROR(INDEX('Output Utente'!$B$2:$B$492,MATCH(85,'Output Utente'!$Q$2:$Q$492,0)),"")</f>
        <v>A</v>
      </c>
      <c r="D88" s="7" t="str">
        <f aca="false">IFERROR(INDEX('Output Utente'!$C$2:$C$492,MATCH(85,'Output Utente'!$Q$2:$Q$492,0)),"")</f>
        <v>Bowie</v>
      </c>
      <c r="E88" s="7" t="str">
        <f aca="false">IFERROR(INDEX('Input Giocatori 2026_27'!$D$3:$D$493,MATCH($B88,'Input Giocatori 2026_27'!$A$3:$A$493,0)),"")</f>
        <v>Sassuolo</v>
      </c>
      <c r="F88" s="50" t="n">
        <f aca="false">IFERROR(INDEX('Output Utente'!$N$2:$N$492,MATCH(85,'Output Utente'!$Q$2:$Q$492,0)),"")</f>
        <v>10</v>
      </c>
      <c r="G88" s="50" t="n">
        <f aca="false">IFERROR(INDEX('Output Utente'!$O$2:$O$492,MATCH(85,'Output Utente'!$Q$2:$Q$492,0)),"")</f>
        <v>39</v>
      </c>
      <c r="H88" s="7" t="str">
        <f aca="false">IFERROR(INDEX('Output Utente'!$P$2:$P$492,MATCH(85,'Output Utente'!$Q$2:$Q$492,0)),"")</f>
        <v>Buono</v>
      </c>
      <c r="I88" s="50" t="n">
        <f aca="false">IFERROR(INDEX('Output Utente'!$F$2:$F$492,MATCH(85,'Output Utente'!$Q$2:$Q$492,0)),"")</f>
        <v>35</v>
      </c>
      <c r="J88" s="50" t="n">
        <f aca="false">IFERROR(INDEX('Output Utente'!$G$2:$G$492,MATCH(85,'Output Utente'!$Q$2:$Q$492,0)),"")</f>
        <v>22</v>
      </c>
      <c r="K88" s="50" t="n">
        <f aca="false">IFERROR(INDEX('Output Utente'!$H$2:$H$492,MATCH(85,'Output Utente'!$Q$2:$Q$492,0)),"")</f>
        <v>40</v>
      </c>
      <c r="L88" s="7" t="str">
        <f aca="false">IFERROR(INDEX('Output Utente'!$E$2:$E$492,MATCH(85,'Output Utente'!$Q$2:$Q$492,0)),"")</f>
        <v>NO</v>
      </c>
      <c r="M88" s="7" t="str">
        <f aca="false">IFERROR(INDEX('Output Utente'!$U$2:$U$492,MATCH(85,'Output Utente'!$Q$2:$Q$492,0)),"")</f>
        <v>OK</v>
      </c>
      <c r="N88" s="7" t="str">
        <f aca="false">IFERROR(INDEX('Output Utente'!$AE$2:$AE$492,MATCH(85,'Output Utente'!$Q$2:$Q$492,0)),"")</f>
        <v>🔴 Non aspettare</v>
      </c>
    </row>
    <row r="89" customFormat="false" ht="15" hidden="false" customHeight="true" outlineLevel="0" collapsed="false">
      <c r="A89" s="49" t="n">
        <v>86</v>
      </c>
      <c r="B89" s="7" t="n">
        <f aca="false">IFERROR(INDEX('Output Utente'!$A$2:$A$492,MATCH(86,'Output Utente'!$Q$2:$Q$492,0)),"")</f>
        <v>2514</v>
      </c>
      <c r="C89" s="7" t="str">
        <f aca="false">IFERROR(INDEX('Output Utente'!$B$2:$B$492,MATCH(86,'Output Utente'!$Q$2:$Q$492,0)),"")</f>
        <v>D</v>
      </c>
      <c r="D89" s="7" t="str">
        <f aca="false">IFERROR(INDEX('Output Utente'!$C$2:$C$492,MATCH(86,'Output Utente'!$Q$2:$Q$492,0)),"")</f>
        <v>Stones</v>
      </c>
      <c r="E89" s="7" t="str">
        <f aca="false">IFERROR(INDEX('Input Giocatori 2026_27'!$D$3:$D$493,MATCH($B89,'Input Giocatori 2026_27'!$A$3:$A$493,0)),"")</f>
        <v>Inter</v>
      </c>
      <c r="F89" s="50" t="n">
        <f aca="false">IFERROR(INDEX('Output Utente'!$N$2:$N$492,MATCH(86,'Output Utente'!$Q$2:$Q$492,0)),"")</f>
        <v>12</v>
      </c>
      <c r="G89" s="50" t="n">
        <f aca="false">IFERROR(INDEX('Output Utente'!$O$2:$O$492,MATCH(86,'Output Utente'!$Q$2:$Q$492,0)),"")</f>
        <v>38</v>
      </c>
      <c r="H89" s="7" t="str">
        <f aca="false">IFERROR(INDEX('Output Utente'!$P$2:$P$492,MATCH(86,'Output Utente'!$Q$2:$Q$492,0)),"")</f>
        <v>Top</v>
      </c>
      <c r="I89" s="50" t="n">
        <f aca="false">IFERROR(INDEX('Output Utente'!$F$2:$F$492,MATCH(86,'Output Utente'!$Q$2:$Q$492,0)),"")</f>
        <v>18</v>
      </c>
      <c r="J89" s="50" t="n">
        <f aca="false">IFERROR(INDEX('Output Utente'!$G$2:$G$492,MATCH(86,'Output Utente'!$Q$2:$Q$492,0)),"")</f>
        <v>13</v>
      </c>
      <c r="K89" s="50" t="n">
        <f aca="false">IFERROR(INDEX('Output Utente'!$H$2:$H$492,MATCH(86,'Output Utente'!$Q$2:$Q$492,0)),"")</f>
        <v>20</v>
      </c>
      <c r="L89" s="7" t="str">
        <f aca="false">IFERROR(INDEX('Output Utente'!$E$2:$E$492,MATCH(86,'Output Utente'!$Q$2:$Q$492,0)),"")</f>
        <v>NO</v>
      </c>
      <c r="M89" s="7" t="str">
        <f aca="false">IFERROR(INDEX('Output Utente'!$U$2:$U$492,MATCH(86,'Output Utente'!$Q$2:$Q$492,0)),"")</f>
        <v>OK</v>
      </c>
      <c r="N89" s="7" t="str">
        <f aca="false">IFERROR(INDEX('Output Utente'!$AE$2:$AE$492,MATCH(86,'Output Utente'!$Q$2:$Q$492,0)),"")</f>
        <v>🟡 Attesa rischiosa</v>
      </c>
    </row>
    <row r="90" customFormat="false" ht="15" hidden="false" customHeight="true" outlineLevel="0" collapsed="false">
      <c r="A90" s="49" t="n">
        <v>87</v>
      </c>
      <c r="B90" s="7" t="n">
        <f aca="false">IFERROR(INDEX('Output Utente'!$A$2:$A$492,MATCH(87,'Output Utente'!$Q$2:$Q$492,0)),"")</f>
        <v>6151</v>
      </c>
      <c r="C90" s="7" t="str">
        <f aca="false">IFERROR(INDEX('Output Utente'!$B$2:$B$492,MATCH(87,'Output Utente'!$Q$2:$Q$492,0)),"")</f>
        <v>C</v>
      </c>
      <c r="D90" s="7" t="str">
        <f aca="false">IFERROR(INDEX('Output Utente'!$C$2:$C$492,MATCH(87,'Output Utente'!$Q$2:$Q$492,0)),"")</f>
        <v>Perrone</v>
      </c>
      <c r="E90" s="7" t="str">
        <f aca="false">IFERROR(INDEX('Input Giocatori 2026_27'!$D$3:$D$493,MATCH($B90,'Input Giocatori 2026_27'!$A$3:$A$493,0)),"")</f>
        <v>Como</v>
      </c>
      <c r="F90" s="50" t="n">
        <f aca="false">IFERROR(INDEX('Output Utente'!$N$2:$N$492,MATCH(87,'Output Utente'!$Q$2:$Q$492,0)),"")</f>
        <v>10</v>
      </c>
      <c r="G90" s="50" t="n">
        <f aca="false">IFERROR(INDEX('Output Utente'!$O$2:$O$492,MATCH(87,'Output Utente'!$Q$2:$Q$492,0)),"")</f>
        <v>38</v>
      </c>
      <c r="H90" s="7" t="str">
        <f aca="false">IFERROR(INDEX('Output Utente'!$P$2:$P$492,MATCH(87,'Output Utente'!$Q$2:$Q$492,0)),"")</f>
        <v>Buono</v>
      </c>
      <c r="I90" s="50" t="n">
        <f aca="false">IFERROR(INDEX('Output Utente'!$F$2:$F$492,MATCH(87,'Output Utente'!$Q$2:$Q$492,0)),"")</f>
        <v>21</v>
      </c>
      <c r="J90" s="50" t="n">
        <f aca="false">IFERROR(INDEX('Output Utente'!$G$2:$G$492,MATCH(87,'Output Utente'!$Q$2:$Q$492,0)),"")</f>
        <v>14</v>
      </c>
      <c r="K90" s="50" t="n">
        <f aca="false">IFERROR(INDEX('Output Utente'!$H$2:$H$492,MATCH(87,'Output Utente'!$Q$2:$Q$492,0)),"")</f>
        <v>24</v>
      </c>
      <c r="L90" s="7" t="str">
        <f aca="false">IFERROR(INDEX('Output Utente'!$E$2:$E$492,MATCH(87,'Output Utente'!$Q$2:$Q$492,0)),"")</f>
        <v>NO</v>
      </c>
      <c r="M90" s="7" t="str">
        <f aca="false">IFERROR(INDEX('Output Utente'!$U$2:$U$492,MATCH(87,'Output Utente'!$Q$2:$Q$492,0)),"")</f>
        <v>OK</v>
      </c>
      <c r="N90" s="7" t="str">
        <f aca="false">IFERROR(INDEX('Output Utente'!$AE$2:$AE$492,MATCH(87,'Output Utente'!$Q$2:$Q$492,0)),"")</f>
        <v>🟡 Attesa rischiosa</v>
      </c>
    </row>
    <row r="91" customFormat="false" ht="15" hidden="false" customHeight="true" outlineLevel="0" collapsed="false">
      <c r="A91" s="49" t="n">
        <v>88</v>
      </c>
      <c r="B91" s="7" t="n">
        <f aca="false">IFERROR(INDEX('Output Utente'!$A$2:$A$492,MATCH(88,'Output Utente'!$Q$2:$Q$492,0)),"")</f>
        <v>133</v>
      </c>
      <c r="C91" s="7" t="str">
        <f aca="false">IFERROR(INDEX('Output Utente'!$B$2:$B$492,MATCH(88,'Output Utente'!$Q$2:$Q$492,0)),"")</f>
        <v>P</v>
      </c>
      <c r="D91" s="7" t="str">
        <f aca="false">IFERROR(INDEX('Output Utente'!$C$2:$C$492,MATCH(88,'Output Utente'!$Q$2:$Q$492,0)),"")</f>
        <v>Skorupski</v>
      </c>
      <c r="E91" s="7" t="str">
        <f aca="false">IFERROR(INDEX('Input Giocatori 2026_27'!$D$3:$D$493,MATCH($B91,'Input Giocatori 2026_27'!$A$3:$A$493,0)),"")</f>
        <v>Bologna</v>
      </c>
      <c r="F91" s="50" t="n">
        <f aca="false">IFERROR(INDEX('Output Utente'!$N$2:$N$492,MATCH(88,'Output Utente'!$Q$2:$Q$492,0)),"")</f>
        <v>10</v>
      </c>
      <c r="G91" s="50" t="n">
        <f aca="false">IFERROR(INDEX('Output Utente'!$O$2:$O$492,MATCH(88,'Output Utente'!$Q$2:$Q$492,0)),"")</f>
        <v>37</v>
      </c>
      <c r="H91" s="7" t="str">
        <f aca="false">IFERROR(INDEX('Output Utente'!$P$2:$P$492,MATCH(88,'Output Utente'!$Q$2:$Q$492,0)),"")</f>
        <v>Top</v>
      </c>
      <c r="I91" s="50" t="n">
        <f aca="false">IFERROR(INDEX('Output Utente'!$F$2:$F$492,MATCH(88,'Output Utente'!$Q$2:$Q$492,0)),"")</f>
        <v>42</v>
      </c>
      <c r="J91" s="50" t="n">
        <f aca="false">IFERROR(INDEX('Output Utente'!$G$2:$G$492,MATCH(88,'Output Utente'!$Q$2:$Q$492,0)),"")</f>
        <v>34</v>
      </c>
      <c r="K91" s="50" t="n">
        <f aca="false">IFERROR(INDEX('Output Utente'!$H$2:$H$492,MATCH(88,'Output Utente'!$Q$2:$Q$492,0)),"")</f>
        <v>46</v>
      </c>
      <c r="L91" s="7" t="str">
        <f aca="false">IFERROR(INDEX('Output Utente'!$E$2:$E$492,MATCH(88,'Output Utente'!$Q$2:$Q$492,0)),"")</f>
        <v>NO</v>
      </c>
      <c r="M91" s="7" t="str">
        <f aca="false">IFERROR(INDEX('Output Utente'!$U$2:$U$492,MATCH(88,'Output Utente'!$Q$2:$Q$492,0)),"")</f>
        <v>OK</v>
      </c>
      <c r="N91" s="7" t="str">
        <f aca="false">IFERROR(INDEX('Output Utente'!$AE$2:$AE$492,MATCH(88,'Output Utente'!$Q$2:$Q$492,0)),"")</f>
        <v>🟡 Attesa rischiosa</v>
      </c>
    </row>
    <row r="92" customFormat="false" ht="15" hidden="false" customHeight="true" outlineLevel="0" collapsed="false">
      <c r="A92" s="49" t="n">
        <v>89</v>
      </c>
      <c r="B92" s="7" t="n">
        <f aca="false">IFERROR(INDEX('Output Utente'!$A$2:$A$492,MATCH(89,'Output Utente'!$Q$2:$Q$492,0)),"")</f>
        <v>6844</v>
      </c>
      <c r="C92" s="7" t="str">
        <f aca="false">IFERROR(INDEX('Output Utente'!$B$2:$B$492,MATCH(89,'Output Utente'!$Q$2:$Q$492,0)),"")</f>
        <v>C</v>
      </c>
      <c r="D92" s="7" t="str">
        <f aca="false">IFERROR(INDEX('Output Utente'!$C$2:$C$492,MATCH(89,'Output Utente'!$Q$2:$Q$492,0)),"")</f>
        <v>Rowe</v>
      </c>
      <c r="E92" s="7" t="str">
        <f aca="false">IFERROR(INDEX('Input Giocatori 2026_27'!$D$3:$D$493,MATCH($B92,'Input Giocatori 2026_27'!$A$3:$A$493,0)),"")</f>
        <v>Bologna</v>
      </c>
      <c r="F92" s="50" t="n">
        <f aca="false">IFERROR(INDEX('Output Utente'!$N$2:$N$492,MATCH(89,'Output Utente'!$Q$2:$Q$492,0)),"")</f>
        <v>11</v>
      </c>
      <c r="G92" s="50" t="n">
        <f aca="false">IFERROR(INDEX('Output Utente'!$O$2:$O$492,MATCH(89,'Output Utente'!$Q$2:$Q$492,0)),"")</f>
        <v>37</v>
      </c>
      <c r="H92" s="7" t="str">
        <f aca="false">IFERROR(INDEX('Output Utente'!$P$2:$P$492,MATCH(89,'Output Utente'!$Q$2:$Q$492,0)),"")</f>
        <v>Buono</v>
      </c>
      <c r="I92" s="50" t="n">
        <f aca="false">IFERROR(INDEX('Output Utente'!$F$2:$F$492,MATCH(89,'Output Utente'!$Q$2:$Q$492,0)),"")</f>
        <v>20</v>
      </c>
      <c r="J92" s="50" t="n">
        <f aca="false">IFERROR(INDEX('Output Utente'!$G$2:$G$492,MATCH(89,'Output Utente'!$Q$2:$Q$492,0)),"")</f>
        <v>14</v>
      </c>
      <c r="K92" s="50" t="n">
        <f aca="false">IFERROR(INDEX('Output Utente'!$H$2:$H$492,MATCH(89,'Output Utente'!$Q$2:$Q$492,0)),"")</f>
        <v>23</v>
      </c>
      <c r="L92" s="7" t="str">
        <f aca="false">IFERROR(INDEX('Output Utente'!$E$2:$E$492,MATCH(89,'Output Utente'!$Q$2:$Q$492,0)),"")</f>
        <v>NO</v>
      </c>
      <c r="M92" s="7" t="str">
        <f aca="false">IFERROR(INDEX('Output Utente'!$U$2:$U$492,MATCH(89,'Output Utente'!$Q$2:$Q$492,0)),"")</f>
        <v>OK</v>
      </c>
      <c r="N92" s="7" t="str">
        <f aca="false">IFERROR(INDEX('Output Utente'!$AE$2:$AE$492,MATCH(89,'Output Utente'!$Q$2:$Q$492,0)),"")</f>
        <v>🟡 Attesa rischiosa</v>
      </c>
    </row>
    <row r="93" customFormat="false" ht="15" hidden="false" customHeight="true" outlineLevel="0" collapsed="false">
      <c r="A93" s="49" t="n">
        <v>90</v>
      </c>
      <c r="B93" s="7" t="n">
        <f aca="false">IFERROR(INDEX('Output Utente'!$A$2:$A$492,MATCH(90,'Output Utente'!$Q$2:$Q$492,0)),"")</f>
        <v>5888</v>
      </c>
      <c r="C93" s="7" t="str">
        <f aca="false">IFERROR(INDEX('Output Utente'!$B$2:$B$492,MATCH(90,'Output Utente'!$Q$2:$Q$492,0)),"")</f>
        <v>C</v>
      </c>
      <c r="D93" s="7" t="str">
        <f aca="false">IFERROR(INDEX('Output Utente'!$C$2:$C$492,MATCH(90,'Output Utente'!$Q$2:$Q$492,0)),"")</f>
        <v>Casadei</v>
      </c>
      <c r="E93" s="7" t="str">
        <f aca="false">IFERROR(INDEX('Input Giocatori 2026_27'!$D$3:$D$493,MATCH($B93,'Input Giocatori 2026_27'!$A$3:$A$493,0)),"")</f>
        <v>Torino</v>
      </c>
      <c r="F93" s="50" t="n">
        <f aca="false">IFERROR(INDEX('Output Utente'!$N$2:$N$492,MATCH(90,'Output Utente'!$Q$2:$Q$492,0)),"")</f>
        <v>10</v>
      </c>
      <c r="G93" s="50" t="n">
        <f aca="false">IFERROR(INDEX('Output Utente'!$O$2:$O$492,MATCH(90,'Output Utente'!$Q$2:$Q$492,0)),"")</f>
        <v>37</v>
      </c>
      <c r="H93" s="7" t="str">
        <f aca="false">IFERROR(INDEX('Output Utente'!$P$2:$P$492,MATCH(90,'Output Utente'!$Q$2:$Q$492,0)),"")</f>
        <v>Buono</v>
      </c>
      <c r="I93" s="50" t="n">
        <f aca="false">IFERROR(INDEX('Output Utente'!$F$2:$F$492,MATCH(90,'Output Utente'!$Q$2:$Q$492,0)),"")</f>
        <v>20</v>
      </c>
      <c r="J93" s="50" t="n">
        <f aca="false">IFERROR(INDEX('Output Utente'!$G$2:$G$492,MATCH(90,'Output Utente'!$Q$2:$Q$492,0)),"")</f>
        <v>14</v>
      </c>
      <c r="K93" s="50" t="n">
        <f aca="false">IFERROR(INDEX('Output Utente'!$H$2:$H$492,MATCH(90,'Output Utente'!$Q$2:$Q$492,0)),"")</f>
        <v>23</v>
      </c>
      <c r="L93" s="7" t="str">
        <f aca="false">IFERROR(INDEX('Output Utente'!$E$2:$E$492,MATCH(90,'Output Utente'!$Q$2:$Q$492,0)),"")</f>
        <v>NO</v>
      </c>
      <c r="M93" s="7" t="str">
        <f aca="false">IFERROR(INDEX('Output Utente'!$U$2:$U$492,MATCH(90,'Output Utente'!$Q$2:$Q$492,0)),"")</f>
        <v>OK</v>
      </c>
      <c r="N93" s="7" t="str">
        <f aca="false">IFERROR(INDEX('Output Utente'!$AE$2:$AE$492,MATCH(90,'Output Utente'!$Q$2:$Q$492,0)),"")</f>
        <v>🟡 Attesa rischiosa</v>
      </c>
    </row>
    <row r="94" customFormat="false" ht="15" hidden="false" customHeight="true" outlineLevel="0" collapsed="false">
      <c r="A94" s="49" t="n">
        <v>91</v>
      </c>
      <c r="B94" s="7" t="n">
        <f aca="false">IFERROR(INDEX('Output Utente'!$A$2:$A$492,MATCH(91,'Output Utente'!$Q$2:$Q$492,0)),"")</f>
        <v>6274</v>
      </c>
      <c r="C94" s="7" t="str">
        <f aca="false">IFERROR(INDEX('Output Utente'!$B$2:$B$492,MATCH(91,'Output Utente'!$Q$2:$Q$492,0)),"")</f>
        <v>C</v>
      </c>
      <c r="D94" s="7" t="str">
        <f aca="false">IFERROR(INDEX('Output Utente'!$C$2:$C$492,MATCH(91,'Output Utente'!$Q$2:$Q$492,0)),"")</f>
        <v>Diouf</v>
      </c>
      <c r="E94" s="7" t="str">
        <f aca="false">IFERROR(INDEX('Input Giocatori 2026_27'!$D$3:$D$493,MATCH($B94,'Input Giocatori 2026_27'!$A$3:$A$493,0)),"")</f>
        <v>Inter</v>
      </c>
      <c r="F94" s="50" t="n">
        <f aca="false">IFERROR(INDEX('Output Utente'!$N$2:$N$492,MATCH(91,'Output Utente'!$Q$2:$Q$492,0)),"")</f>
        <v>8</v>
      </c>
      <c r="G94" s="50" t="n">
        <f aca="false">IFERROR(INDEX('Output Utente'!$O$2:$O$492,MATCH(91,'Output Utente'!$Q$2:$Q$492,0)),"")</f>
        <v>37</v>
      </c>
      <c r="H94" s="7" t="str">
        <f aca="false">IFERROR(INDEX('Output Utente'!$P$2:$P$492,MATCH(91,'Output Utente'!$Q$2:$Q$492,0)),"")</f>
        <v>Buono</v>
      </c>
      <c r="I94" s="50" t="n">
        <f aca="false">IFERROR(INDEX('Output Utente'!$F$2:$F$492,MATCH(91,'Output Utente'!$Q$2:$Q$492,0)),"")</f>
        <v>20</v>
      </c>
      <c r="J94" s="50" t="n">
        <f aca="false">IFERROR(INDEX('Output Utente'!$G$2:$G$492,MATCH(91,'Output Utente'!$Q$2:$Q$492,0)),"")</f>
        <v>14</v>
      </c>
      <c r="K94" s="50" t="n">
        <f aca="false">IFERROR(INDEX('Output Utente'!$H$2:$H$492,MATCH(91,'Output Utente'!$Q$2:$Q$492,0)),"")</f>
        <v>23</v>
      </c>
      <c r="L94" s="7" t="str">
        <f aca="false">IFERROR(INDEX('Output Utente'!$E$2:$E$492,MATCH(91,'Output Utente'!$Q$2:$Q$492,0)),"")</f>
        <v>NO</v>
      </c>
      <c r="M94" s="7" t="str">
        <f aca="false">IFERROR(INDEX('Output Utente'!$U$2:$U$492,MATCH(91,'Output Utente'!$Q$2:$Q$492,0)),"")</f>
        <v>OK</v>
      </c>
      <c r="N94" s="7" t="str">
        <f aca="false">IFERROR(INDEX('Output Utente'!$AE$2:$AE$492,MATCH(91,'Output Utente'!$Q$2:$Q$492,0)),"")</f>
        <v>🟡 Attesa rischiosa</v>
      </c>
    </row>
    <row r="95" customFormat="false" ht="15" hidden="false" customHeight="true" outlineLevel="0" collapsed="false">
      <c r="A95" s="49" t="n">
        <v>92</v>
      </c>
      <c r="B95" s="7" t="n">
        <f aca="false">IFERROR(INDEX('Output Utente'!$A$2:$A$492,MATCH(92,'Output Utente'!$Q$2:$Q$492,0)),"")</f>
        <v>6666</v>
      </c>
      <c r="C95" s="7" t="str">
        <f aca="false">IFERROR(INDEX('Output Utente'!$B$2:$B$492,MATCH(92,'Output Utente'!$Q$2:$Q$492,0)),"")</f>
        <v>C</v>
      </c>
      <c r="D95" s="7" t="str">
        <f aca="false">IFERROR(INDEX('Output Utente'!$C$2:$C$492,MATCH(92,'Output Utente'!$Q$2:$Q$492,0)),"")</f>
        <v>Bernabè</v>
      </c>
      <c r="E95" s="7" t="str">
        <f aca="false">IFERROR(INDEX('Input Giocatori 2026_27'!$D$3:$D$493,MATCH($B95,'Input Giocatori 2026_27'!$A$3:$A$493,0)),"")</f>
        <v>Parma</v>
      </c>
      <c r="F95" s="50" t="n">
        <f aca="false">IFERROR(INDEX('Output Utente'!$N$2:$N$492,MATCH(92,'Output Utente'!$Q$2:$Q$492,0)),"")</f>
        <v>7</v>
      </c>
      <c r="G95" s="50" t="n">
        <f aca="false">IFERROR(INDEX('Output Utente'!$O$2:$O$492,MATCH(92,'Output Utente'!$Q$2:$Q$492,0)),"")</f>
        <v>36</v>
      </c>
      <c r="H95" s="7" t="str">
        <f aca="false">IFERROR(INDEX('Output Utente'!$P$2:$P$492,MATCH(92,'Output Utente'!$Q$2:$Q$492,0)),"")</f>
        <v>Buono</v>
      </c>
      <c r="I95" s="50" t="n">
        <f aca="false">IFERROR(INDEX('Output Utente'!$F$2:$F$492,MATCH(92,'Output Utente'!$Q$2:$Q$492,0)),"")</f>
        <v>20</v>
      </c>
      <c r="J95" s="50" t="n">
        <f aca="false">IFERROR(INDEX('Output Utente'!$G$2:$G$492,MATCH(92,'Output Utente'!$Q$2:$Q$492,0)),"")</f>
        <v>14</v>
      </c>
      <c r="K95" s="50" t="n">
        <f aca="false">IFERROR(INDEX('Output Utente'!$H$2:$H$492,MATCH(92,'Output Utente'!$Q$2:$Q$492,0)),"")</f>
        <v>23</v>
      </c>
      <c r="L95" s="7" t="str">
        <f aca="false">IFERROR(INDEX('Output Utente'!$E$2:$E$492,MATCH(92,'Output Utente'!$Q$2:$Q$492,0)),"")</f>
        <v>NO</v>
      </c>
      <c r="M95" s="7" t="str">
        <f aca="false">IFERROR(INDEX('Output Utente'!$U$2:$U$492,MATCH(92,'Output Utente'!$Q$2:$Q$492,0)),"")</f>
        <v>OK</v>
      </c>
      <c r="N95" s="7" t="str">
        <f aca="false">IFERROR(INDEX('Output Utente'!$AE$2:$AE$492,MATCH(92,'Output Utente'!$Q$2:$Q$492,0)),"")</f>
        <v>🟡 Attesa rischiosa</v>
      </c>
    </row>
    <row r="96" customFormat="false" ht="15" hidden="false" customHeight="true" outlineLevel="0" collapsed="false">
      <c r="A96" s="49" t="n">
        <v>93</v>
      </c>
      <c r="B96" s="7" t="n">
        <f aca="false">IFERROR(INDEX('Output Utente'!$A$2:$A$492,MATCH(93,'Output Utente'!$Q$2:$Q$492,0)),"")</f>
        <v>7223</v>
      </c>
      <c r="C96" s="7" t="str">
        <f aca="false">IFERROR(INDEX('Output Utente'!$B$2:$B$492,MATCH(93,'Output Utente'!$Q$2:$Q$492,0)),"")</f>
        <v>C</v>
      </c>
      <c r="D96" s="7" t="str">
        <f aca="false">IFERROR(INDEX('Output Utente'!$C$2:$C$492,MATCH(93,'Output Utente'!$Q$2:$Q$492,0)),"")</f>
        <v>Vergara</v>
      </c>
      <c r="E96" s="7" t="str">
        <f aca="false">IFERROR(INDEX('Input Giocatori 2026_27'!$D$3:$D$493,MATCH($B96,'Input Giocatori 2026_27'!$A$3:$A$493,0)),"")</f>
        <v>Napoli</v>
      </c>
      <c r="F96" s="50" t="n">
        <f aca="false">IFERROR(INDEX('Output Utente'!$N$2:$N$492,MATCH(93,'Output Utente'!$Q$2:$Q$492,0)),"")</f>
        <v>8</v>
      </c>
      <c r="G96" s="50" t="n">
        <f aca="false">IFERROR(INDEX('Output Utente'!$O$2:$O$492,MATCH(93,'Output Utente'!$Q$2:$Q$492,0)),"")</f>
        <v>34</v>
      </c>
      <c r="H96" s="7" t="str">
        <f aca="false">IFERROR(INDEX('Output Utente'!$P$2:$P$492,MATCH(93,'Output Utente'!$Q$2:$Q$492,0)),"")</f>
        <v>Buono</v>
      </c>
      <c r="I96" s="50" t="n">
        <f aca="false">IFERROR(INDEX('Output Utente'!$F$2:$F$492,MATCH(93,'Output Utente'!$Q$2:$Q$492,0)),"")</f>
        <v>19</v>
      </c>
      <c r="J96" s="50" t="n">
        <f aca="false">IFERROR(INDEX('Output Utente'!$G$2:$G$492,MATCH(93,'Output Utente'!$Q$2:$Q$492,0)),"")</f>
        <v>13</v>
      </c>
      <c r="K96" s="50" t="n">
        <f aca="false">IFERROR(INDEX('Output Utente'!$H$2:$H$492,MATCH(93,'Output Utente'!$Q$2:$Q$492,0)),"")</f>
        <v>21</v>
      </c>
      <c r="L96" s="7" t="str">
        <f aca="false">IFERROR(INDEX('Output Utente'!$E$2:$E$492,MATCH(93,'Output Utente'!$Q$2:$Q$492,0)),"")</f>
        <v>NO</v>
      </c>
      <c r="M96" s="7" t="str">
        <f aca="false">IFERROR(INDEX('Output Utente'!$U$2:$U$492,MATCH(93,'Output Utente'!$Q$2:$Q$492,0)),"")</f>
        <v>OK</v>
      </c>
      <c r="N96" s="7" t="str">
        <f aca="false">IFERROR(INDEX('Output Utente'!$AE$2:$AE$492,MATCH(93,'Output Utente'!$Q$2:$Q$492,0)),"")</f>
        <v>🟡 Attesa rischiosa</v>
      </c>
    </row>
    <row r="97" customFormat="false" ht="15" hidden="false" customHeight="true" outlineLevel="0" collapsed="false">
      <c r="A97" s="49" t="n">
        <v>94</v>
      </c>
      <c r="B97" s="7" t="n">
        <f aca="false">IFERROR(INDEX('Output Utente'!$A$2:$A$492,MATCH(94,'Output Utente'!$Q$2:$Q$492,0)),"")</f>
        <v>6217</v>
      </c>
      <c r="C97" s="7" t="str">
        <f aca="false">IFERROR(INDEX('Output Utente'!$B$2:$B$492,MATCH(94,'Output Utente'!$Q$2:$Q$492,0)),"")</f>
        <v>D</v>
      </c>
      <c r="D97" s="7" t="str">
        <f aca="false">IFERROR(INDEX('Output Utente'!$C$2:$C$492,MATCH(94,'Output Utente'!$Q$2:$Q$492,0)),"")</f>
        <v>Bisseck</v>
      </c>
      <c r="E97" s="7" t="str">
        <f aca="false">IFERROR(INDEX('Input Giocatori 2026_27'!$D$3:$D$493,MATCH($B97,'Input Giocatori 2026_27'!$A$3:$A$493,0)),"")</f>
        <v>Inter</v>
      </c>
      <c r="F97" s="50" t="n">
        <f aca="false">IFERROR(INDEX('Output Utente'!$N$2:$N$492,MATCH(94,'Output Utente'!$Q$2:$Q$492,0)),"")</f>
        <v>11</v>
      </c>
      <c r="G97" s="50" t="n">
        <f aca="false">IFERROR(INDEX('Output Utente'!$O$2:$O$492,MATCH(94,'Output Utente'!$Q$2:$Q$492,0)),"")</f>
        <v>33</v>
      </c>
      <c r="H97" s="7" t="str">
        <f aca="false">IFERROR(INDEX('Output Utente'!$P$2:$P$492,MATCH(94,'Output Utente'!$Q$2:$Q$492,0)),"")</f>
        <v>Top</v>
      </c>
      <c r="I97" s="50" t="n">
        <f aca="false">IFERROR(INDEX('Output Utente'!$F$2:$F$492,MATCH(94,'Output Utente'!$Q$2:$Q$492,0)),"")</f>
        <v>16</v>
      </c>
      <c r="J97" s="50" t="n">
        <f aca="false">IFERROR(INDEX('Output Utente'!$G$2:$G$492,MATCH(94,'Output Utente'!$Q$2:$Q$492,0)),"")</f>
        <v>12</v>
      </c>
      <c r="K97" s="50" t="n">
        <f aca="false">IFERROR(INDEX('Output Utente'!$H$2:$H$492,MATCH(94,'Output Utente'!$Q$2:$Q$492,0)),"")</f>
        <v>18</v>
      </c>
      <c r="L97" s="7" t="str">
        <f aca="false">IFERROR(INDEX('Output Utente'!$E$2:$E$492,MATCH(94,'Output Utente'!$Q$2:$Q$492,0)),"")</f>
        <v>NO</v>
      </c>
      <c r="M97" s="7" t="str">
        <f aca="false">IFERROR(INDEX('Output Utente'!$U$2:$U$492,MATCH(94,'Output Utente'!$Q$2:$Q$492,0)),"")</f>
        <v>OK</v>
      </c>
      <c r="N97" s="7" t="str">
        <f aca="false">IFERROR(INDEX('Output Utente'!$AE$2:$AE$492,MATCH(94,'Output Utente'!$Q$2:$Q$492,0)),"")</f>
        <v>🟡 Attesa rischiosa</v>
      </c>
    </row>
    <row r="98" customFormat="false" ht="15" hidden="false" customHeight="true" outlineLevel="0" collapsed="false">
      <c r="A98" s="49" t="n">
        <v>95</v>
      </c>
      <c r="B98" s="7" t="n">
        <f aca="false">IFERROR(INDEX('Output Utente'!$A$2:$A$492,MATCH(95,'Output Utente'!$Q$2:$Q$492,0)),"")</f>
        <v>5514</v>
      </c>
      <c r="C98" s="7" t="str">
        <f aca="false">IFERROR(INDEX('Output Utente'!$B$2:$B$492,MATCH(95,'Output Utente'!$Q$2:$Q$492,0)),"")</f>
        <v>D</v>
      </c>
      <c r="D98" s="7" t="str">
        <f aca="false">IFERROR(INDEX('Output Utente'!$C$2:$C$492,MATCH(95,'Output Utente'!$Q$2:$Q$492,0)),"")</f>
        <v>Vasquez</v>
      </c>
      <c r="E98" s="7" t="str">
        <f aca="false">IFERROR(INDEX('Input Giocatori 2026_27'!$D$3:$D$493,MATCH($B98,'Input Giocatori 2026_27'!$A$3:$A$493,0)),"")</f>
        <v>Genoa</v>
      </c>
      <c r="F98" s="50" t="n">
        <f aca="false">IFERROR(INDEX('Output Utente'!$N$2:$N$492,MATCH(95,'Output Utente'!$Q$2:$Q$492,0)),"")</f>
        <v>9</v>
      </c>
      <c r="G98" s="50" t="n">
        <f aca="false">IFERROR(INDEX('Output Utente'!$O$2:$O$492,MATCH(95,'Output Utente'!$Q$2:$Q$492,0)),"")</f>
        <v>33</v>
      </c>
      <c r="H98" s="7" t="str">
        <f aca="false">IFERROR(INDEX('Output Utente'!$P$2:$P$492,MATCH(95,'Output Utente'!$Q$2:$Q$492,0)),"")</f>
        <v>Top</v>
      </c>
      <c r="I98" s="50" t="n">
        <f aca="false">IFERROR(INDEX('Output Utente'!$F$2:$F$492,MATCH(95,'Output Utente'!$Q$2:$Q$492,0)),"")</f>
        <v>16</v>
      </c>
      <c r="J98" s="50" t="n">
        <f aca="false">IFERROR(INDEX('Output Utente'!$G$2:$G$492,MATCH(95,'Output Utente'!$Q$2:$Q$492,0)),"")</f>
        <v>12</v>
      </c>
      <c r="K98" s="50" t="n">
        <f aca="false">IFERROR(INDEX('Output Utente'!$H$2:$H$492,MATCH(95,'Output Utente'!$Q$2:$Q$492,0)),"")</f>
        <v>18</v>
      </c>
      <c r="L98" s="7" t="str">
        <f aca="false">IFERROR(INDEX('Output Utente'!$E$2:$E$492,MATCH(95,'Output Utente'!$Q$2:$Q$492,0)),"")</f>
        <v>NO</v>
      </c>
      <c r="M98" s="7" t="str">
        <f aca="false">IFERROR(INDEX('Output Utente'!$U$2:$U$492,MATCH(95,'Output Utente'!$Q$2:$Q$492,0)),"")</f>
        <v>OK</v>
      </c>
      <c r="N98" s="7" t="str">
        <f aca="false">IFERROR(INDEX('Output Utente'!$AE$2:$AE$492,MATCH(95,'Output Utente'!$Q$2:$Q$492,0)),"")</f>
        <v>🟡 Attesa rischiosa</v>
      </c>
    </row>
    <row r="99" customFormat="false" ht="15" hidden="false" customHeight="true" outlineLevel="0" collapsed="false">
      <c r="A99" s="49" t="n">
        <v>96</v>
      </c>
      <c r="B99" s="7" t="n">
        <f aca="false">IFERROR(INDEX('Output Utente'!$A$2:$A$492,MATCH(96,'Output Utente'!$Q$2:$Q$492,0)),"")</f>
        <v>2155</v>
      </c>
      <c r="C99" s="7" t="str">
        <f aca="false">IFERROR(INDEX('Output Utente'!$B$2:$B$492,MATCH(96,'Output Utente'!$Q$2:$Q$492,0)),"")</f>
        <v>A</v>
      </c>
      <c r="D99" s="7" t="str">
        <f aca="false">IFERROR(INDEX('Output Utente'!$C$2:$C$492,MATCH(96,'Output Utente'!$Q$2:$Q$492,0)),"")</f>
        <v>Cutrone</v>
      </c>
      <c r="E99" s="7" t="str">
        <f aca="false">IFERROR(INDEX('Input Giocatori 2026_27'!$D$3:$D$493,MATCH($B99,'Input Giocatori 2026_27'!$A$3:$A$493,0)),"")</f>
        <v>Monza</v>
      </c>
      <c r="F99" s="50" t="n">
        <f aca="false">IFERROR(INDEX('Output Utente'!$N$2:$N$492,MATCH(96,'Output Utente'!$Q$2:$Q$492,0)),"")</f>
        <v>9</v>
      </c>
      <c r="G99" s="50" t="n">
        <f aca="false">IFERROR(INDEX('Output Utente'!$O$2:$O$492,MATCH(96,'Output Utente'!$Q$2:$Q$492,0)),"")</f>
        <v>33</v>
      </c>
      <c r="H99" s="7" t="str">
        <f aca="false">IFERROR(INDEX('Output Utente'!$P$2:$P$492,MATCH(96,'Output Utente'!$Q$2:$Q$492,0)),"")</f>
        <v>Buono</v>
      </c>
      <c r="I99" s="50" t="n">
        <f aca="false">IFERROR(INDEX('Output Utente'!$F$2:$F$492,MATCH(96,'Output Utente'!$Q$2:$Q$492,0)),"")</f>
        <v>29</v>
      </c>
      <c r="J99" s="50" t="n">
        <f aca="false">IFERROR(INDEX('Output Utente'!$G$2:$G$492,MATCH(96,'Output Utente'!$Q$2:$Q$492,0)),"")</f>
        <v>18</v>
      </c>
      <c r="K99" s="50" t="n">
        <f aca="false">IFERROR(INDEX('Output Utente'!$H$2:$H$492,MATCH(96,'Output Utente'!$Q$2:$Q$492,0)),"")</f>
        <v>33</v>
      </c>
      <c r="L99" s="7" t="str">
        <f aca="false">IFERROR(INDEX('Output Utente'!$E$2:$E$492,MATCH(96,'Output Utente'!$Q$2:$Q$492,0)),"")</f>
        <v>NO</v>
      </c>
      <c r="M99" s="7" t="str">
        <f aca="false">IFERROR(INDEX('Output Utente'!$U$2:$U$492,MATCH(96,'Output Utente'!$Q$2:$Q$492,0)),"")</f>
        <v>OK</v>
      </c>
      <c r="N99" s="7" t="str">
        <f aca="false">IFERROR(INDEX('Output Utente'!$AE$2:$AE$492,MATCH(96,'Output Utente'!$Q$2:$Q$492,0)),"")</f>
        <v>🔴 Non aspettare</v>
      </c>
    </row>
    <row r="100" customFormat="false" ht="15" hidden="false" customHeight="true" outlineLevel="0" collapsed="false">
      <c r="A100" s="49" t="n">
        <v>97</v>
      </c>
      <c r="B100" s="7" t="n">
        <f aca="false">IFERROR(INDEX('Output Utente'!$A$2:$A$492,MATCH(97,'Output Utente'!$Q$2:$Q$492,0)),"")</f>
        <v>6869</v>
      </c>
      <c r="C100" s="7" t="str">
        <f aca="false">IFERROR(INDEX('Output Utente'!$B$2:$B$492,MATCH(97,'Output Utente'!$Q$2:$Q$492,0)),"")</f>
        <v>D</v>
      </c>
      <c r="D100" s="7" t="str">
        <f aca="false">IFERROR(INDEX('Output Utente'!$C$2:$C$492,MATCH(97,'Output Utente'!$Q$2:$Q$492,0)),"")</f>
        <v>Ramon</v>
      </c>
      <c r="E100" s="7" t="str">
        <f aca="false">IFERROR(INDEX('Input Giocatori 2026_27'!$D$3:$D$493,MATCH($B100,'Input Giocatori 2026_27'!$A$3:$A$493,0)),"")</f>
        <v>Como</v>
      </c>
      <c r="F100" s="50" t="n">
        <f aca="false">IFERROR(INDEX('Output Utente'!$N$2:$N$492,MATCH(97,'Output Utente'!$Q$2:$Q$492,0)),"")</f>
        <v>10</v>
      </c>
      <c r="G100" s="50" t="n">
        <f aca="false">IFERROR(INDEX('Output Utente'!$O$2:$O$492,MATCH(97,'Output Utente'!$Q$2:$Q$492,0)),"")</f>
        <v>32</v>
      </c>
      <c r="H100" s="7" t="str">
        <f aca="false">IFERROR(INDEX('Output Utente'!$P$2:$P$492,MATCH(97,'Output Utente'!$Q$2:$Q$492,0)),"")</f>
        <v>Top</v>
      </c>
      <c r="I100" s="50" t="n">
        <f aca="false">IFERROR(INDEX('Output Utente'!$F$2:$F$492,MATCH(97,'Output Utente'!$Q$2:$Q$492,0)),"")</f>
        <v>15</v>
      </c>
      <c r="J100" s="50" t="n">
        <f aca="false">IFERROR(INDEX('Output Utente'!$G$2:$G$492,MATCH(97,'Output Utente'!$Q$2:$Q$492,0)),"")</f>
        <v>11</v>
      </c>
      <c r="K100" s="50" t="n">
        <f aca="false">IFERROR(INDEX('Output Utente'!$H$2:$H$492,MATCH(97,'Output Utente'!$Q$2:$Q$492,0)),"")</f>
        <v>17</v>
      </c>
      <c r="L100" s="7" t="str">
        <f aca="false">IFERROR(INDEX('Output Utente'!$E$2:$E$492,MATCH(97,'Output Utente'!$Q$2:$Q$492,0)),"")</f>
        <v>NO</v>
      </c>
      <c r="M100" s="7" t="str">
        <f aca="false">IFERROR(INDEX('Output Utente'!$U$2:$U$492,MATCH(97,'Output Utente'!$Q$2:$Q$492,0)),"")</f>
        <v>OK</v>
      </c>
      <c r="N100" s="7" t="str">
        <f aca="false">IFERROR(INDEX('Output Utente'!$AE$2:$AE$492,MATCH(97,'Output Utente'!$Q$2:$Q$492,0)),"")</f>
        <v>🟡 Attesa rischiosa</v>
      </c>
    </row>
    <row r="101" customFormat="false" ht="15" hidden="false" customHeight="true" outlineLevel="0" collapsed="false">
      <c r="A101" s="49" t="n">
        <v>98</v>
      </c>
      <c r="B101" s="7" t="n">
        <f aca="false">IFERROR(INDEX('Output Utente'!$A$2:$A$492,MATCH(98,'Output Utente'!$Q$2:$Q$492,0)),"")</f>
        <v>7129</v>
      </c>
      <c r="C101" s="7" t="str">
        <f aca="false">IFERROR(INDEX('Output Utente'!$B$2:$B$492,MATCH(98,'Output Utente'!$Q$2:$Q$492,0)),"")</f>
        <v>C</v>
      </c>
      <c r="D101" s="7" t="str">
        <f aca="false">IFERROR(INDEX('Output Utente'!$C$2:$C$492,MATCH(98,'Output Utente'!$Q$2:$Q$492,0)),"")</f>
        <v>Rodriguez Je.</v>
      </c>
      <c r="E101" s="7" t="str">
        <f aca="false">IFERROR(INDEX('Input Giocatori 2026_27'!$D$3:$D$493,MATCH($B101,'Input Giocatori 2026_27'!$A$3:$A$493,0)),"")</f>
        <v>Como</v>
      </c>
      <c r="F101" s="50" t="n">
        <f aca="false">IFERROR(INDEX('Output Utente'!$N$2:$N$492,MATCH(98,'Output Utente'!$Q$2:$Q$492,0)),"")</f>
        <v>12</v>
      </c>
      <c r="G101" s="50" t="n">
        <f aca="false">IFERROR(INDEX('Output Utente'!$O$2:$O$492,MATCH(98,'Output Utente'!$Q$2:$Q$492,0)),"")</f>
        <v>32</v>
      </c>
      <c r="H101" s="7" t="str">
        <f aca="false">IFERROR(INDEX('Output Utente'!$P$2:$P$492,MATCH(98,'Output Utente'!$Q$2:$Q$492,0)),"")</f>
        <v>Buono</v>
      </c>
      <c r="I101" s="50" t="n">
        <f aca="false">IFERROR(INDEX('Output Utente'!$F$2:$F$492,MATCH(98,'Output Utente'!$Q$2:$Q$492,0)),"")</f>
        <v>18</v>
      </c>
      <c r="J101" s="50" t="n">
        <f aca="false">IFERROR(INDEX('Output Utente'!$G$2:$G$492,MATCH(98,'Output Utente'!$Q$2:$Q$492,0)),"")</f>
        <v>12</v>
      </c>
      <c r="K101" s="50" t="n">
        <f aca="false">IFERROR(INDEX('Output Utente'!$H$2:$H$492,MATCH(98,'Output Utente'!$Q$2:$Q$492,0)),"")</f>
        <v>20</v>
      </c>
      <c r="L101" s="7" t="str">
        <f aca="false">IFERROR(INDEX('Output Utente'!$E$2:$E$492,MATCH(98,'Output Utente'!$Q$2:$Q$492,0)),"")</f>
        <v>NO</v>
      </c>
      <c r="M101" s="7" t="str">
        <f aca="false">IFERROR(INDEX('Output Utente'!$U$2:$U$492,MATCH(98,'Output Utente'!$Q$2:$Q$492,0)),"")</f>
        <v>OK</v>
      </c>
      <c r="N101" s="7" t="str">
        <f aca="false">IFERROR(INDEX('Output Utente'!$AE$2:$AE$492,MATCH(98,'Output Utente'!$Q$2:$Q$492,0)),"")</f>
        <v>🟡 Attesa rischiosa</v>
      </c>
    </row>
    <row r="102" customFormat="false" ht="15" hidden="false" customHeight="true" outlineLevel="0" collapsed="false">
      <c r="A102" s="49" t="n">
        <v>99</v>
      </c>
      <c r="B102" s="7" t="n">
        <f aca="false">IFERROR(INDEX('Output Utente'!$A$2:$A$492,MATCH(99,'Output Utente'!$Q$2:$Q$492,0)),"")</f>
        <v>2077</v>
      </c>
      <c r="C102" s="7" t="str">
        <f aca="false">IFERROR(INDEX('Output Utente'!$B$2:$B$492,MATCH(99,'Output Utente'!$Q$2:$Q$492,0)),"")</f>
        <v>C</v>
      </c>
      <c r="D102" s="7" t="str">
        <f aca="false">IFERROR(INDEX('Output Utente'!$C$2:$C$492,MATCH(99,'Output Utente'!$Q$2:$Q$492,0)),"")</f>
        <v>Pasalic</v>
      </c>
      <c r="E102" s="7" t="str">
        <f aca="false">IFERROR(INDEX('Input Giocatori 2026_27'!$D$3:$D$493,MATCH($B102,'Input Giocatori 2026_27'!$A$3:$A$493,0)),"")</f>
        <v>Atalanta</v>
      </c>
      <c r="F102" s="50" t="n">
        <f aca="false">IFERROR(INDEX('Output Utente'!$N$2:$N$492,MATCH(99,'Output Utente'!$Q$2:$Q$492,0)),"")</f>
        <v>9</v>
      </c>
      <c r="G102" s="50" t="n">
        <f aca="false">IFERROR(INDEX('Output Utente'!$O$2:$O$492,MATCH(99,'Output Utente'!$Q$2:$Q$492,0)),"")</f>
        <v>32</v>
      </c>
      <c r="H102" s="7" t="str">
        <f aca="false">IFERROR(INDEX('Output Utente'!$P$2:$P$492,MATCH(99,'Output Utente'!$Q$2:$Q$492,0)),"")</f>
        <v>Buono</v>
      </c>
      <c r="I102" s="50" t="n">
        <f aca="false">IFERROR(INDEX('Output Utente'!$F$2:$F$492,MATCH(99,'Output Utente'!$Q$2:$Q$492,0)),"")</f>
        <v>18</v>
      </c>
      <c r="J102" s="50" t="n">
        <f aca="false">IFERROR(INDEX('Output Utente'!$G$2:$G$492,MATCH(99,'Output Utente'!$Q$2:$Q$492,0)),"")</f>
        <v>12</v>
      </c>
      <c r="K102" s="50" t="n">
        <f aca="false">IFERROR(INDEX('Output Utente'!$H$2:$H$492,MATCH(99,'Output Utente'!$Q$2:$Q$492,0)),"")</f>
        <v>20</v>
      </c>
      <c r="L102" s="7" t="str">
        <f aca="false">IFERROR(INDEX('Output Utente'!$E$2:$E$492,MATCH(99,'Output Utente'!$Q$2:$Q$492,0)),"")</f>
        <v>NO</v>
      </c>
      <c r="M102" s="7" t="str">
        <f aca="false">IFERROR(INDEX('Output Utente'!$U$2:$U$492,MATCH(99,'Output Utente'!$Q$2:$Q$492,0)),"")</f>
        <v>OK</v>
      </c>
      <c r="N102" s="7" t="str">
        <f aca="false">IFERROR(INDEX('Output Utente'!$AE$2:$AE$492,MATCH(99,'Output Utente'!$Q$2:$Q$492,0)),"")</f>
        <v>🟡 Attesa rischiosa</v>
      </c>
    </row>
    <row r="103" customFormat="false" ht="15" hidden="false" customHeight="true" outlineLevel="0" collapsed="false">
      <c r="A103" s="49" t="n">
        <v>100</v>
      </c>
      <c r="B103" s="7" t="n">
        <f aca="false">IFERROR(INDEX('Output Utente'!$A$2:$A$492,MATCH(100,'Output Utente'!$Q$2:$Q$492,0)),"")</f>
        <v>827</v>
      </c>
      <c r="C103" s="7" t="str">
        <f aca="false">IFERROR(INDEX('Output Utente'!$B$2:$B$492,MATCH(100,'Output Utente'!$Q$2:$Q$492,0)),"")</f>
        <v>C</v>
      </c>
      <c r="D103" s="7" t="str">
        <f aca="false">IFERROR(INDEX('Output Utente'!$C$2:$C$492,MATCH(100,'Output Utente'!$Q$2:$Q$492,0)),"")</f>
        <v>Locatelli</v>
      </c>
      <c r="E103" s="7" t="str">
        <f aca="false">IFERROR(INDEX('Input Giocatori 2026_27'!$D$3:$D$493,MATCH($B103,'Input Giocatori 2026_27'!$A$3:$A$493,0)),"")</f>
        <v>Juventus</v>
      </c>
      <c r="F103" s="50" t="n">
        <f aca="false">IFERROR(INDEX('Output Utente'!$N$2:$N$492,MATCH(100,'Output Utente'!$Q$2:$Q$492,0)),"")</f>
        <v>8</v>
      </c>
      <c r="G103" s="50" t="n">
        <f aca="false">IFERROR(INDEX('Output Utente'!$O$2:$O$492,MATCH(100,'Output Utente'!$Q$2:$Q$492,0)),"")</f>
        <v>32</v>
      </c>
      <c r="H103" s="7" t="str">
        <f aca="false">IFERROR(INDEX('Output Utente'!$P$2:$P$492,MATCH(100,'Output Utente'!$Q$2:$Q$492,0)),"")</f>
        <v>Buono</v>
      </c>
      <c r="I103" s="50" t="n">
        <f aca="false">IFERROR(INDEX('Output Utente'!$F$2:$F$492,MATCH(100,'Output Utente'!$Q$2:$Q$492,0)),"")</f>
        <v>18</v>
      </c>
      <c r="J103" s="50" t="n">
        <f aca="false">IFERROR(INDEX('Output Utente'!$G$2:$G$492,MATCH(100,'Output Utente'!$Q$2:$Q$492,0)),"")</f>
        <v>12</v>
      </c>
      <c r="K103" s="50" t="n">
        <f aca="false">IFERROR(INDEX('Output Utente'!$H$2:$H$492,MATCH(100,'Output Utente'!$Q$2:$Q$492,0)),"")</f>
        <v>20</v>
      </c>
      <c r="L103" s="7" t="str">
        <f aca="false">IFERROR(INDEX('Output Utente'!$E$2:$E$492,MATCH(100,'Output Utente'!$Q$2:$Q$492,0)),"")</f>
        <v>NO</v>
      </c>
      <c r="M103" s="7" t="str">
        <f aca="false">IFERROR(INDEX('Output Utente'!$U$2:$U$492,MATCH(100,'Output Utente'!$Q$2:$Q$492,0)),"")</f>
        <v>OK</v>
      </c>
      <c r="N103" s="7" t="str">
        <f aca="false">IFERROR(INDEX('Output Utente'!$AE$2:$AE$492,MATCH(100,'Output Utente'!$Q$2:$Q$492,0)),"")</f>
        <v>🟡 Attesa rischiosa</v>
      </c>
    </row>
    <row r="104" customFormat="false" ht="15" hidden="false" customHeight="true" outlineLevel="0" collapsed="false">
      <c r="A104" s="49" t="n">
        <v>101</v>
      </c>
      <c r="B104" s="7" t="n">
        <f aca="false">IFERROR(INDEX('Output Utente'!$A$2:$A$492,MATCH(101,'Output Utente'!$Q$2:$Q$492,0)),"")</f>
        <v>7313</v>
      </c>
      <c r="C104" s="7" t="str">
        <f aca="false">IFERROR(INDEX('Output Utente'!$B$2:$B$492,MATCH(101,'Output Utente'!$Q$2:$Q$492,0)),"")</f>
        <v>A</v>
      </c>
      <c r="D104" s="7" t="str">
        <f aca="false">IFERROR(INDEX('Output Utente'!$C$2:$C$492,MATCH(101,'Output Utente'!$Q$2:$Q$492,0)),"")</f>
        <v>Ratkov</v>
      </c>
      <c r="E104" s="7" t="str">
        <f aca="false">IFERROR(INDEX('Input Giocatori 2026_27'!$D$3:$D$493,MATCH($B104,'Input Giocatori 2026_27'!$A$3:$A$493,0)),"")</f>
        <v>Lazio</v>
      </c>
      <c r="F104" s="50" t="n">
        <f aca="false">IFERROR(INDEX('Output Utente'!$N$2:$N$492,MATCH(101,'Output Utente'!$Q$2:$Q$492,0)),"")</f>
        <v>10</v>
      </c>
      <c r="G104" s="50" t="n">
        <f aca="false">IFERROR(INDEX('Output Utente'!$O$2:$O$492,MATCH(101,'Output Utente'!$Q$2:$Q$492,0)),"")</f>
        <v>32</v>
      </c>
      <c r="H104" s="7" t="str">
        <f aca="false">IFERROR(INDEX('Output Utente'!$P$2:$P$492,MATCH(101,'Output Utente'!$Q$2:$Q$492,0)),"")</f>
        <v>Nella Media</v>
      </c>
      <c r="I104" s="50" t="n">
        <f aca="false">IFERROR(INDEX('Output Utente'!$F$2:$F$492,MATCH(101,'Output Utente'!$Q$2:$Q$492,0)),"")</f>
        <v>28</v>
      </c>
      <c r="J104" s="50" t="n">
        <f aca="false">IFERROR(INDEX('Output Utente'!$G$2:$G$492,MATCH(101,'Output Utente'!$Q$2:$Q$492,0)),"")</f>
        <v>17</v>
      </c>
      <c r="K104" s="50" t="n">
        <f aca="false">IFERROR(INDEX('Output Utente'!$H$2:$H$492,MATCH(101,'Output Utente'!$Q$2:$Q$492,0)),"")</f>
        <v>32</v>
      </c>
      <c r="L104" s="7" t="str">
        <f aca="false">IFERROR(INDEX('Output Utente'!$E$2:$E$492,MATCH(101,'Output Utente'!$Q$2:$Q$492,0)),"")</f>
        <v>NO</v>
      </c>
      <c r="M104" s="7" t="str">
        <f aca="false">IFERROR(INDEX('Output Utente'!$U$2:$U$492,MATCH(101,'Output Utente'!$Q$2:$Q$492,0)),"")</f>
        <v>OK</v>
      </c>
      <c r="N104" s="7" t="str">
        <f aca="false">IFERROR(INDEX('Output Utente'!$AE$2:$AE$492,MATCH(101,'Output Utente'!$Q$2:$Q$492,0)),"")</f>
        <v>🔴 Non aspettare</v>
      </c>
    </row>
    <row r="105" customFormat="false" ht="15" hidden="false" customHeight="true" outlineLevel="0" collapsed="false">
      <c r="A105" s="49" t="n">
        <v>102</v>
      </c>
      <c r="B105" s="7" t="n">
        <f aca="false">IFERROR(INDEX('Output Utente'!$A$2:$A$492,MATCH(102,'Output Utente'!$Q$2:$Q$492,0)),"")</f>
        <v>6646</v>
      </c>
      <c r="C105" s="7" t="str">
        <f aca="false">IFERROR(INDEX('Output Utente'!$B$2:$B$492,MATCH(102,'Output Utente'!$Q$2:$Q$492,0)),"")</f>
        <v>A</v>
      </c>
      <c r="D105" s="7" t="str">
        <f aca="false">IFERROR(INDEX('Output Utente'!$C$2:$C$492,MATCH(102,'Output Utente'!$Q$2:$Q$492,0)),"")</f>
        <v>Adams C.</v>
      </c>
      <c r="E105" s="7" t="str">
        <f aca="false">IFERROR(INDEX('Input Giocatori 2026_27'!$D$3:$D$493,MATCH($B105,'Input Giocatori 2026_27'!$A$3:$A$493,0)),"")</f>
        <v>Torino</v>
      </c>
      <c r="F105" s="50" t="n">
        <f aca="false">IFERROR(INDEX('Output Utente'!$N$2:$N$492,MATCH(102,'Output Utente'!$Q$2:$Q$492,0)),"")</f>
        <v>9</v>
      </c>
      <c r="G105" s="50" t="n">
        <f aca="false">IFERROR(INDEX('Output Utente'!$O$2:$O$492,MATCH(102,'Output Utente'!$Q$2:$Q$492,0)),"")</f>
        <v>32</v>
      </c>
      <c r="H105" s="7" t="str">
        <f aca="false">IFERROR(INDEX('Output Utente'!$P$2:$P$492,MATCH(102,'Output Utente'!$Q$2:$Q$492,0)),"")</f>
        <v>Nella Media</v>
      </c>
      <c r="I105" s="50" t="n">
        <f aca="false">IFERROR(INDEX('Output Utente'!$F$2:$F$492,MATCH(102,'Output Utente'!$Q$2:$Q$492,0)),"")</f>
        <v>29</v>
      </c>
      <c r="J105" s="50" t="n">
        <f aca="false">IFERROR(INDEX('Output Utente'!$G$2:$G$492,MATCH(102,'Output Utente'!$Q$2:$Q$492,0)),"")</f>
        <v>18</v>
      </c>
      <c r="K105" s="50" t="n">
        <f aca="false">IFERROR(INDEX('Output Utente'!$H$2:$H$492,MATCH(102,'Output Utente'!$Q$2:$Q$492,0)),"")</f>
        <v>33</v>
      </c>
      <c r="L105" s="7" t="str">
        <f aca="false">IFERROR(INDEX('Output Utente'!$E$2:$E$492,MATCH(102,'Output Utente'!$Q$2:$Q$492,0)),"")</f>
        <v>NO</v>
      </c>
      <c r="M105" s="7" t="str">
        <f aca="false">IFERROR(INDEX('Output Utente'!$U$2:$U$492,MATCH(102,'Output Utente'!$Q$2:$Q$492,0)),"")</f>
        <v>OK</v>
      </c>
      <c r="N105" s="7" t="str">
        <f aca="false">IFERROR(INDEX('Output Utente'!$AE$2:$AE$492,MATCH(102,'Output Utente'!$Q$2:$Q$492,0)),"")</f>
        <v>🔴 Non aspettare</v>
      </c>
    </row>
    <row r="106" customFormat="false" ht="15" hidden="false" customHeight="true" outlineLevel="0" collapsed="false">
      <c r="A106" s="49" t="n">
        <v>103</v>
      </c>
      <c r="B106" s="7" t="n">
        <f aca="false">IFERROR(INDEX('Output Utente'!$A$2:$A$492,MATCH(103,'Output Utente'!$Q$2:$Q$492,0)),"")</f>
        <v>5833</v>
      </c>
      <c r="C106" s="7" t="str">
        <f aca="false">IFERROR(INDEX('Output Utente'!$B$2:$B$492,MATCH(103,'Output Utente'!$Q$2:$Q$492,0)),"")</f>
        <v>D</v>
      </c>
      <c r="D106" s="7" t="str">
        <f aca="false">IFERROR(INDEX('Output Utente'!$C$2:$C$492,MATCH(103,'Output Utente'!$Q$2:$Q$492,0)),"")</f>
        <v>Gila</v>
      </c>
      <c r="E106" s="7" t="str">
        <f aca="false">IFERROR(INDEX('Input Giocatori 2026_27'!$D$3:$D$493,MATCH($B106,'Input Giocatori 2026_27'!$A$3:$A$493,0)),"")</f>
        <v>Milan</v>
      </c>
      <c r="F106" s="50" t="n">
        <f aca="false">IFERROR(INDEX('Output Utente'!$N$2:$N$492,MATCH(103,'Output Utente'!$Q$2:$Q$492,0)),"")</f>
        <v>12</v>
      </c>
      <c r="G106" s="50" t="n">
        <f aca="false">IFERROR(INDEX('Output Utente'!$O$2:$O$492,MATCH(103,'Output Utente'!$Q$2:$Q$492,0)),"")</f>
        <v>31</v>
      </c>
      <c r="H106" s="7" t="str">
        <f aca="false">IFERROR(INDEX('Output Utente'!$P$2:$P$492,MATCH(103,'Output Utente'!$Q$2:$Q$492,0)),"")</f>
        <v>Top</v>
      </c>
      <c r="I106" s="50" t="n">
        <f aca="false">IFERROR(INDEX('Output Utente'!$F$2:$F$492,MATCH(103,'Output Utente'!$Q$2:$Q$492,0)),"")</f>
        <v>15</v>
      </c>
      <c r="J106" s="50" t="n">
        <f aca="false">IFERROR(INDEX('Output Utente'!$G$2:$G$492,MATCH(103,'Output Utente'!$Q$2:$Q$492,0)),"")</f>
        <v>11</v>
      </c>
      <c r="K106" s="50" t="n">
        <f aca="false">IFERROR(INDEX('Output Utente'!$H$2:$H$492,MATCH(103,'Output Utente'!$Q$2:$Q$492,0)),"")</f>
        <v>16</v>
      </c>
      <c r="L106" s="7" t="str">
        <f aca="false">IFERROR(INDEX('Output Utente'!$E$2:$E$492,MATCH(103,'Output Utente'!$Q$2:$Q$492,0)),"")</f>
        <v>NO</v>
      </c>
      <c r="M106" s="7" t="str">
        <f aca="false">IFERROR(INDEX('Output Utente'!$U$2:$U$492,MATCH(103,'Output Utente'!$Q$2:$Q$492,0)),"")</f>
        <v>OK</v>
      </c>
      <c r="N106" s="7" t="str">
        <f aca="false">IFERROR(INDEX('Output Utente'!$AE$2:$AE$492,MATCH(103,'Output Utente'!$Q$2:$Q$492,0)),"")</f>
        <v>🟡 Attesa rischiosa</v>
      </c>
    </row>
    <row r="107" customFormat="false" ht="15" hidden="false" customHeight="true" outlineLevel="0" collapsed="false">
      <c r="A107" s="49" t="n">
        <v>104</v>
      </c>
      <c r="B107" s="7" t="n">
        <f aca="false">IFERROR(INDEX('Output Utente'!$A$2:$A$492,MATCH(104,'Output Utente'!$Q$2:$Q$492,0)),"")</f>
        <v>5672</v>
      </c>
      <c r="C107" s="7" t="str">
        <f aca="false">IFERROR(INDEX('Output Utente'!$B$2:$B$492,MATCH(104,'Output Utente'!$Q$2:$Q$492,0)),"")</f>
        <v>A</v>
      </c>
      <c r="D107" s="7" t="str">
        <f aca="false">IFERROR(INDEX('Output Utente'!$C$2:$C$492,MATCH(104,'Output Utente'!$Q$2:$Q$492,0)),"")</f>
        <v>Dia</v>
      </c>
      <c r="E107" s="7" t="str">
        <f aca="false">IFERROR(INDEX('Input Giocatori 2026_27'!$D$3:$D$493,MATCH($B107,'Input Giocatori 2026_27'!$A$3:$A$493,0)),"")</f>
        <v>Lazio</v>
      </c>
      <c r="F107" s="50" t="n">
        <f aca="false">IFERROR(INDEX('Output Utente'!$N$2:$N$492,MATCH(104,'Output Utente'!$Q$2:$Q$492,0)),"")</f>
        <v>10</v>
      </c>
      <c r="G107" s="50" t="n">
        <f aca="false">IFERROR(INDEX('Output Utente'!$O$2:$O$492,MATCH(104,'Output Utente'!$Q$2:$Q$492,0)),"")</f>
        <v>31</v>
      </c>
      <c r="H107" s="7" t="str">
        <f aca="false">IFERROR(INDEX('Output Utente'!$P$2:$P$492,MATCH(104,'Output Utente'!$Q$2:$Q$492,0)),"")</f>
        <v>Nella Media</v>
      </c>
      <c r="I107" s="50" t="n">
        <f aca="false">IFERROR(INDEX('Output Utente'!$F$2:$F$492,MATCH(104,'Output Utente'!$Q$2:$Q$492,0)),"")</f>
        <v>27</v>
      </c>
      <c r="J107" s="50" t="n">
        <f aca="false">IFERROR(INDEX('Output Utente'!$G$2:$G$492,MATCH(104,'Output Utente'!$Q$2:$Q$492,0)),"")</f>
        <v>17</v>
      </c>
      <c r="K107" s="50" t="n">
        <f aca="false">IFERROR(INDEX('Output Utente'!$H$2:$H$492,MATCH(104,'Output Utente'!$Q$2:$Q$492,0)),"")</f>
        <v>31</v>
      </c>
      <c r="L107" s="7" t="str">
        <f aca="false">IFERROR(INDEX('Output Utente'!$E$2:$E$492,MATCH(104,'Output Utente'!$Q$2:$Q$492,0)),"")</f>
        <v>NO</v>
      </c>
      <c r="M107" s="7" t="str">
        <f aca="false">IFERROR(INDEX('Output Utente'!$U$2:$U$492,MATCH(104,'Output Utente'!$Q$2:$Q$492,0)),"")</f>
        <v>OK</v>
      </c>
      <c r="N107" s="7" t="str">
        <f aca="false">IFERROR(INDEX('Output Utente'!$AE$2:$AE$492,MATCH(104,'Output Utente'!$Q$2:$Q$492,0)),"")</f>
        <v>🔴 Non aspettare</v>
      </c>
    </row>
    <row r="108" customFormat="false" ht="15" hidden="false" customHeight="true" outlineLevel="0" collapsed="false">
      <c r="A108" s="49" t="n">
        <v>105</v>
      </c>
      <c r="B108" s="7" t="n">
        <f aca="false">IFERROR(INDEX('Output Utente'!$A$2:$A$492,MATCH(105,'Output Utente'!$Q$2:$Q$492,0)),"")</f>
        <v>6482</v>
      </c>
      <c r="C108" s="7" t="str">
        <f aca="false">IFERROR(INDEX('Output Utente'!$B$2:$B$492,MATCH(105,'Output Utente'!$Q$2:$Q$492,0)),"")</f>
        <v>P</v>
      </c>
      <c r="D108" s="7" t="str">
        <f aca="false">IFERROR(INDEX('Output Utente'!$C$2:$C$492,MATCH(105,'Output Utente'!$Q$2:$Q$492,0)),"")</f>
        <v>Mandas</v>
      </c>
      <c r="E108" s="7" t="str">
        <f aca="false">IFERROR(INDEX('Input Giocatori 2026_27'!$D$3:$D$493,MATCH($B108,'Input Giocatori 2026_27'!$A$3:$A$493,0)),"")</f>
        <v>Lazio</v>
      </c>
      <c r="F108" s="50" t="n">
        <f aca="false">IFERROR(INDEX('Output Utente'!$N$2:$N$492,MATCH(105,'Output Utente'!$Q$2:$Q$492,0)),"")</f>
        <v>9</v>
      </c>
      <c r="G108" s="50" t="n">
        <f aca="false">IFERROR(INDEX('Output Utente'!$O$2:$O$492,MATCH(105,'Output Utente'!$Q$2:$Q$492,0)),"")</f>
        <v>30</v>
      </c>
      <c r="H108" s="7" t="str">
        <f aca="false">IFERROR(INDEX('Output Utente'!$P$2:$P$492,MATCH(105,'Output Utente'!$Q$2:$Q$492,0)),"")</f>
        <v>Buono</v>
      </c>
      <c r="I108" s="50" t="n">
        <f aca="false">IFERROR(INDEX('Output Utente'!$F$2:$F$492,MATCH(105,'Output Utente'!$Q$2:$Q$492,0)),"")</f>
        <v>34</v>
      </c>
      <c r="J108" s="50" t="n">
        <f aca="false">IFERROR(INDEX('Output Utente'!$G$2:$G$492,MATCH(105,'Output Utente'!$Q$2:$Q$492,0)),"")</f>
        <v>28</v>
      </c>
      <c r="K108" s="50" t="n">
        <f aca="false">IFERROR(INDEX('Output Utente'!$H$2:$H$492,MATCH(105,'Output Utente'!$Q$2:$Q$492,0)),"")</f>
        <v>37</v>
      </c>
      <c r="L108" s="7" t="str">
        <f aca="false">IFERROR(INDEX('Output Utente'!$E$2:$E$492,MATCH(105,'Output Utente'!$Q$2:$Q$492,0)),"")</f>
        <v>NO</v>
      </c>
      <c r="M108" s="7" t="str">
        <f aca="false">IFERROR(INDEX('Output Utente'!$U$2:$U$492,MATCH(105,'Output Utente'!$Q$2:$Q$492,0)),"")</f>
        <v>OK</v>
      </c>
      <c r="N108" s="7" t="str">
        <f aca="false">IFERROR(INDEX('Output Utente'!$AE$2:$AE$492,MATCH(105,'Output Utente'!$Q$2:$Q$492,0)),"")</f>
        <v>🟡 Attesa rischiosa</v>
      </c>
    </row>
    <row r="109" customFormat="false" ht="15" hidden="false" customHeight="true" outlineLevel="0" collapsed="false">
      <c r="A109" s="49" t="n">
        <v>106</v>
      </c>
      <c r="B109" s="7" t="n">
        <f aca="false">IFERROR(INDEX('Output Utente'!$A$2:$A$492,MATCH(106,'Output Utente'!$Q$2:$Q$492,0)),"")</f>
        <v>5885</v>
      </c>
      <c r="C109" s="7" t="str">
        <f aca="false">IFERROR(INDEX('Output Utente'!$B$2:$B$492,MATCH(106,'Output Utente'!$Q$2:$Q$492,0)),"")</f>
        <v>D</v>
      </c>
      <c r="D109" s="7" t="str">
        <f aca="false">IFERROR(INDEX('Output Utente'!$C$2:$C$492,MATCH(106,'Output Utente'!$Q$2:$Q$492,0)),"")</f>
        <v>Dodò</v>
      </c>
      <c r="E109" s="7" t="str">
        <f aca="false">IFERROR(INDEX('Input Giocatori 2026_27'!$D$3:$D$493,MATCH($B109,'Input Giocatori 2026_27'!$A$3:$A$493,0)),"")</f>
        <v>Fiorentina</v>
      </c>
      <c r="F109" s="50" t="n">
        <f aca="false">IFERROR(INDEX('Output Utente'!$N$2:$N$492,MATCH(106,'Output Utente'!$Q$2:$Q$492,0)),"")</f>
        <v>10</v>
      </c>
      <c r="G109" s="50" t="n">
        <f aca="false">IFERROR(INDEX('Output Utente'!$O$2:$O$492,MATCH(106,'Output Utente'!$Q$2:$Q$492,0)),"")</f>
        <v>30</v>
      </c>
      <c r="H109" s="7" t="str">
        <f aca="false">IFERROR(INDEX('Output Utente'!$P$2:$P$492,MATCH(106,'Output Utente'!$Q$2:$Q$492,0)),"")</f>
        <v>Top</v>
      </c>
      <c r="I109" s="50" t="n">
        <f aca="false">IFERROR(INDEX('Output Utente'!$F$2:$F$492,MATCH(106,'Output Utente'!$Q$2:$Q$492,0)),"")</f>
        <v>15</v>
      </c>
      <c r="J109" s="50" t="n">
        <f aca="false">IFERROR(INDEX('Output Utente'!$G$2:$G$492,MATCH(106,'Output Utente'!$Q$2:$Q$492,0)),"")</f>
        <v>11</v>
      </c>
      <c r="K109" s="50" t="n">
        <f aca="false">IFERROR(INDEX('Output Utente'!$H$2:$H$492,MATCH(106,'Output Utente'!$Q$2:$Q$492,0)),"")</f>
        <v>16</v>
      </c>
      <c r="L109" s="7" t="str">
        <f aca="false">IFERROR(INDEX('Output Utente'!$E$2:$E$492,MATCH(106,'Output Utente'!$Q$2:$Q$492,0)),"")</f>
        <v>NO</v>
      </c>
      <c r="M109" s="7" t="str">
        <f aca="false">IFERROR(INDEX('Output Utente'!$U$2:$U$492,MATCH(106,'Output Utente'!$Q$2:$Q$492,0)),"")</f>
        <v>OK</v>
      </c>
      <c r="N109" s="7" t="str">
        <f aca="false">IFERROR(INDEX('Output Utente'!$AE$2:$AE$492,MATCH(106,'Output Utente'!$Q$2:$Q$492,0)),"")</f>
        <v>🟡 Attesa rischiosa</v>
      </c>
    </row>
    <row r="110" customFormat="false" ht="15" hidden="false" customHeight="true" outlineLevel="0" collapsed="false">
      <c r="A110" s="49" t="n">
        <v>107</v>
      </c>
      <c r="B110" s="7" t="n">
        <f aca="false">IFERROR(INDEX('Output Utente'!$A$2:$A$492,MATCH(107,'Output Utente'!$Q$2:$Q$492,0)),"")</f>
        <v>5823</v>
      </c>
      <c r="C110" s="7" t="str">
        <f aca="false">IFERROR(INDEX('Output Utente'!$B$2:$B$492,MATCH(107,'Output Utente'!$Q$2:$Q$492,0)),"")</f>
        <v>C</v>
      </c>
      <c r="D110" s="7" t="str">
        <f aca="false">IFERROR(INDEX('Output Utente'!$C$2:$C$492,MATCH(107,'Output Utente'!$Q$2:$Q$492,0)),"")</f>
        <v>Baldanzi</v>
      </c>
      <c r="E110" s="7" t="str">
        <f aca="false">IFERROR(INDEX('Input Giocatori 2026_27'!$D$3:$D$493,MATCH($B110,'Input Giocatori 2026_27'!$A$3:$A$493,0)),"")</f>
        <v>Genoa</v>
      </c>
      <c r="F110" s="50" t="n">
        <f aca="false">IFERROR(INDEX('Output Utente'!$N$2:$N$492,MATCH(107,'Output Utente'!$Q$2:$Q$492,0)),"")</f>
        <v>11</v>
      </c>
      <c r="G110" s="50" t="n">
        <f aca="false">IFERROR(INDEX('Output Utente'!$O$2:$O$492,MATCH(107,'Output Utente'!$Q$2:$Q$492,0)),"")</f>
        <v>30</v>
      </c>
      <c r="H110" s="7" t="str">
        <f aca="false">IFERROR(INDEX('Output Utente'!$P$2:$P$492,MATCH(107,'Output Utente'!$Q$2:$Q$492,0)),"")</f>
        <v>Buono</v>
      </c>
      <c r="I110" s="50" t="n">
        <f aca="false">IFERROR(INDEX('Output Utente'!$F$2:$F$492,MATCH(107,'Output Utente'!$Q$2:$Q$492,0)),"")</f>
        <v>17</v>
      </c>
      <c r="J110" s="50" t="n">
        <f aca="false">IFERROR(INDEX('Output Utente'!$G$2:$G$492,MATCH(107,'Output Utente'!$Q$2:$Q$492,0)),"")</f>
        <v>11</v>
      </c>
      <c r="K110" s="50" t="n">
        <f aca="false">IFERROR(INDEX('Output Utente'!$H$2:$H$492,MATCH(107,'Output Utente'!$Q$2:$Q$492,0)),"")</f>
        <v>19</v>
      </c>
      <c r="L110" s="7" t="str">
        <f aca="false">IFERROR(INDEX('Output Utente'!$E$2:$E$492,MATCH(107,'Output Utente'!$Q$2:$Q$492,0)),"")</f>
        <v>NO</v>
      </c>
      <c r="M110" s="7" t="str">
        <f aca="false">IFERROR(INDEX('Output Utente'!$U$2:$U$492,MATCH(107,'Output Utente'!$Q$2:$Q$492,0)),"")</f>
        <v>OK</v>
      </c>
      <c r="N110" s="7" t="str">
        <f aca="false">IFERROR(INDEX('Output Utente'!$AE$2:$AE$492,MATCH(107,'Output Utente'!$Q$2:$Q$492,0)),"")</f>
        <v>🟡 Attesa rischiosa</v>
      </c>
    </row>
    <row r="111" customFormat="false" ht="15" hidden="false" customHeight="true" outlineLevel="0" collapsed="false">
      <c r="A111" s="49" t="n">
        <v>108</v>
      </c>
      <c r="B111" s="7" t="n">
        <f aca="false">IFERROR(INDEX('Output Utente'!$A$2:$A$492,MATCH(108,'Output Utente'!$Q$2:$Q$492,0)),"")</f>
        <v>6530</v>
      </c>
      <c r="C111" s="7" t="str">
        <f aca="false">IFERROR(INDEX('Output Utente'!$B$2:$B$492,MATCH(108,'Output Utente'!$Q$2:$Q$492,0)),"")</f>
        <v>A</v>
      </c>
      <c r="D111" s="7" t="str">
        <f aca="false">IFERROR(INDEX('Output Utente'!$C$2:$C$492,MATCH(108,'Output Utente'!$Q$2:$Q$492,0)),"")</f>
        <v>Ghedjemis</v>
      </c>
      <c r="E111" s="7" t="str">
        <f aca="false">IFERROR(INDEX('Input Giocatori 2026_27'!$D$3:$D$493,MATCH($B111,'Input Giocatori 2026_27'!$A$3:$A$493,0)),"")</f>
        <v>Frosinone</v>
      </c>
      <c r="F111" s="50" t="n">
        <f aca="false">IFERROR(INDEX('Output Utente'!$N$2:$N$492,MATCH(108,'Output Utente'!$Q$2:$Q$492,0)),"")</f>
        <v>9</v>
      </c>
      <c r="G111" s="50" t="n">
        <f aca="false">IFERROR(INDEX('Output Utente'!$O$2:$O$492,MATCH(108,'Output Utente'!$Q$2:$Q$492,0)),"")</f>
        <v>30</v>
      </c>
      <c r="H111" s="7" t="str">
        <f aca="false">IFERROR(INDEX('Output Utente'!$P$2:$P$492,MATCH(108,'Output Utente'!$Q$2:$Q$492,0)),"")</f>
        <v>Nella Media</v>
      </c>
      <c r="I111" s="50" t="n">
        <f aca="false">IFERROR(INDEX('Output Utente'!$F$2:$F$492,MATCH(108,'Output Utente'!$Q$2:$Q$492,0)),"")</f>
        <v>27</v>
      </c>
      <c r="J111" s="50" t="n">
        <f aca="false">IFERROR(INDEX('Output Utente'!$G$2:$G$492,MATCH(108,'Output Utente'!$Q$2:$Q$492,0)),"")</f>
        <v>17</v>
      </c>
      <c r="K111" s="50" t="n">
        <f aca="false">IFERROR(INDEX('Output Utente'!$H$2:$H$492,MATCH(108,'Output Utente'!$Q$2:$Q$492,0)),"")</f>
        <v>31</v>
      </c>
      <c r="L111" s="7" t="str">
        <f aca="false">IFERROR(INDEX('Output Utente'!$E$2:$E$492,MATCH(108,'Output Utente'!$Q$2:$Q$492,0)),"")</f>
        <v>NO</v>
      </c>
      <c r="M111" s="7" t="str">
        <f aca="false">IFERROR(INDEX('Output Utente'!$U$2:$U$492,MATCH(108,'Output Utente'!$Q$2:$Q$492,0)),"")</f>
        <v>OK</v>
      </c>
      <c r="N111" s="7" t="str">
        <f aca="false">IFERROR(INDEX('Output Utente'!$AE$2:$AE$492,MATCH(108,'Output Utente'!$Q$2:$Q$492,0)),"")</f>
        <v>🔴 Non aspettare</v>
      </c>
    </row>
    <row r="112" customFormat="false" ht="15" hidden="false" customHeight="true" outlineLevel="0" collapsed="false">
      <c r="A112" s="49" t="n">
        <v>109</v>
      </c>
      <c r="B112" s="7" t="n">
        <f aca="false">IFERROR(INDEX('Output Utente'!$A$2:$A$492,MATCH(109,'Output Utente'!$Q$2:$Q$492,0)),"")</f>
        <v>6462</v>
      </c>
      <c r="C112" s="7" t="str">
        <f aca="false">IFERROR(INDEX('Output Utente'!$B$2:$B$492,MATCH(109,'Output Utente'!$Q$2:$Q$492,0)),"")</f>
        <v>P</v>
      </c>
      <c r="D112" s="7" t="str">
        <f aca="false">IFERROR(INDEX('Output Utente'!$C$2:$C$492,MATCH(109,'Output Utente'!$Q$2:$Q$492,0)),"")</f>
        <v>Okoye</v>
      </c>
      <c r="E112" s="7" t="str">
        <f aca="false">IFERROR(INDEX('Input Giocatori 2026_27'!$D$3:$D$493,MATCH($B112,'Input Giocatori 2026_27'!$A$3:$A$493,0)),"")</f>
        <v>Udinese</v>
      </c>
      <c r="F112" s="50" t="n">
        <f aca="false">IFERROR(INDEX('Output Utente'!$N$2:$N$492,MATCH(109,'Output Utente'!$Q$2:$Q$492,0)),"")</f>
        <v>9</v>
      </c>
      <c r="G112" s="50" t="n">
        <f aca="false">IFERROR(INDEX('Output Utente'!$O$2:$O$492,MATCH(109,'Output Utente'!$Q$2:$Q$492,0)),"")</f>
        <v>29</v>
      </c>
      <c r="H112" s="7" t="str">
        <f aca="false">IFERROR(INDEX('Output Utente'!$P$2:$P$492,MATCH(109,'Output Utente'!$Q$2:$Q$492,0)),"")</f>
        <v>Buono</v>
      </c>
      <c r="I112" s="50" t="n">
        <f aca="false">IFERROR(INDEX('Output Utente'!$F$2:$F$492,MATCH(109,'Output Utente'!$Q$2:$Q$492,0)),"")</f>
        <v>33</v>
      </c>
      <c r="J112" s="50" t="n">
        <f aca="false">IFERROR(INDEX('Output Utente'!$G$2:$G$492,MATCH(109,'Output Utente'!$Q$2:$Q$492,0)),"")</f>
        <v>27</v>
      </c>
      <c r="K112" s="50" t="n">
        <f aca="false">IFERROR(INDEX('Output Utente'!$H$2:$H$492,MATCH(109,'Output Utente'!$Q$2:$Q$492,0)),"")</f>
        <v>36</v>
      </c>
      <c r="L112" s="7" t="str">
        <f aca="false">IFERROR(INDEX('Output Utente'!$E$2:$E$492,MATCH(109,'Output Utente'!$Q$2:$Q$492,0)),"")</f>
        <v>NO</v>
      </c>
      <c r="M112" s="7" t="str">
        <f aca="false">IFERROR(INDEX('Output Utente'!$U$2:$U$492,MATCH(109,'Output Utente'!$Q$2:$Q$492,0)),"")</f>
        <v>OK</v>
      </c>
      <c r="N112" s="7" t="str">
        <f aca="false">IFERROR(INDEX('Output Utente'!$AE$2:$AE$492,MATCH(109,'Output Utente'!$Q$2:$Q$492,0)),"")</f>
        <v>🟡 Attesa rischiosa</v>
      </c>
    </row>
    <row r="113" customFormat="false" ht="15" hidden="false" customHeight="true" outlineLevel="0" collapsed="false">
      <c r="A113" s="49" t="n">
        <v>110</v>
      </c>
      <c r="B113" s="7" t="n">
        <f aca="false">IFERROR(INDEX('Output Utente'!$A$2:$A$492,MATCH(110,'Output Utente'!$Q$2:$Q$492,0)),"")</f>
        <v>779</v>
      </c>
      <c r="C113" s="7" t="str">
        <f aca="false">IFERROR(INDEX('Output Utente'!$B$2:$B$492,MATCH(110,'Output Utente'!$Q$2:$Q$492,0)),"")</f>
        <v>C</v>
      </c>
      <c r="D113" s="7" t="str">
        <f aca="false">IFERROR(INDEX('Output Utente'!$C$2:$C$492,MATCH(110,'Output Utente'!$Q$2:$Q$492,0)),"")</f>
        <v>Cristante</v>
      </c>
      <c r="E113" s="7" t="str">
        <f aca="false">IFERROR(INDEX('Input Giocatori 2026_27'!$D$3:$D$493,MATCH($B113,'Input Giocatori 2026_27'!$A$3:$A$493,0)),"")</f>
        <v>Roma</v>
      </c>
      <c r="F113" s="50" t="n">
        <f aca="false">IFERROR(INDEX('Output Utente'!$N$2:$N$492,MATCH(110,'Output Utente'!$Q$2:$Q$492,0)),"")</f>
        <v>8</v>
      </c>
      <c r="G113" s="50" t="n">
        <f aca="false">IFERROR(INDEX('Output Utente'!$O$2:$O$492,MATCH(110,'Output Utente'!$Q$2:$Q$492,0)),"")</f>
        <v>29</v>
      </c>
      <c r="H113" s="7" t="str">
        <f aca="false">IFERROR(INDEX('Output Utente'!$P$2:$P$492,MATCH(110,'Output Utente'!$Q$2:$Q$492,0)),"")</f>
        <v>Buono</v>
      </c>
      <c r="I113" s="50" t="n">
        <f aca="false">IFERROR(INDEX('Output Utente'!$F$2:$F$492,MATCH(110,'Output Utente'!$Q$2:$Q$492,0)),"")</f>
        <v>16</v>
      </c>
      <c r="J113" s="50" t="n">
        <f aca="false">IFERROR(INDEX('Output Utente'!$G$2:$G$492,MATCH(110,'Output Utente'!$Q$2:$Q$492,0)),"")</f>
        <v>11</v>
      </c>
      <c r="K113" s="50" t="n">
        <f aca="false">IFERROR(INDEX('Output Utente'!$H$2:$H$492,MATCH(110,'Output Utente'!$Q$2:$Q$492,0)),"")</f>
        <v>18</v>
      </c>
      <c r="L113" s="7" t="str">
        <f aca="false">IFERROR(INDEX('Output Utente'!$E$2:$E$492,MATCH(110,'Output Utente'!$Q$2:$Q$492,0)),"")</f>
        <v>NO</v>
      </c>
      <c r="M113" s="7" t="str">
        <f aca="false">IFERROR(INDEX('Output Utente'!$U$2:$U$492,MATCH(110,'Output Utente'!$Q$2:$Q$492,0)),"")</f>
        <v>OK</v>
      </c>
      <c r="N113" s="7" t="str">
        <f aca="false">IFERROR(INDEX('Output Utente'!$AE$2:$AE$492,MATCH(110,'Output Utente'!$Q$2:$Q$492,0)),"")</f>
        <v>🟡 Attesa rischiosa</v>
      </c>
    </row>
    <row r="114" customFormat="false" ht="15" hidden="false" customHeight="true" outlineLevel="0" collapsed="false">
      <c r="A114" s="49" t="n">
        <v>111</v>
      </c>
      <c r="B114" s="7" t="n">
        <f aca="false">IFERROR(INDEX('Output Utente'!$A$2:$A$492,MATCH(111,'Output Utente'!$Q$2:$Q$492,0)),"")</f>
        <v>5526</v>
      </c>
      <c r="C114" s="7" t="str">
        <f aca="false">IFERROR(INDEX('Output Utente'!$B$2:$B$492,MATCH(111,'Output Utente'!$Q$2:$Q$492,0)),"")</f>
        <v>D</v>
      </c>
      <c r="D114" s="7" t="str">
        <f aca="false">IFERROR(INDEX('Output Utente'!$C$2:$C$492,MATCH(111,'Output Utente'!$Q$2:$Q$492,0)),"")</f>
        <v>Scalvini</v>
      </c>
      <c r="E114" s="7" t="str">
        <f aca="false">IFERROR(INDEX('Input Giocatori 2026_27'!$D$3:$D$493,MATCH($B114,'Input Giocatori 2026_27'!$A$3:$A$493,0)),"")</f>
        <v>Atalanta</v>
      </c>
      <c r="F114" s="50" t="n">
        <f aca="false">IFERROR(INDEX('Output Utente'!$N$2:$N$492,MATCH(111,'Output Utente'!$Q$2:$Q$492,0)),"")</f>
        <v>10</v>
      </c>
      <c r="G114" s="50" t="n">
        <f aca="false">IFERROR(INDEX('Output Utente'!$O$2:$O$492,MATCH(111,'Output Utente'!$Q$2:$Q$492,0)),"")</f>
        <v>28</v>
      </c>
      <c r="H114" s="7" t="str">
        <f aca="false">IFERROR(INDEX('Output Utente'!$P$2:$P$492,MATCH(111,'Output Utente'!$Q$2:$Q$492,0)),"")</f>
        <v>Top</v>
      </c>
      <c r="I114" s="50" t="n">
        <f aca="false">IFERROR(INDEX('Output Utente'!$F$2:$F$492,MATCH(111,'Output Utente'!$Q$2:$Q$492,0)),"")</f>
        <v>14</v>
      </c>
      <c r="J114" s="50" t="n">
        <f aca="false">IFERROR(INDEX('Output Utente'!$G$2:$G$492,MATCH(111,'Output Utente'!$Q$2:$Q$492,0)),"")</f>
        <v>10</v>
      </c>
      <c r="K114" s="50" t="n">
        <f aca="false">IFERROR(INDEX('Output Utente'!$H$2:$H$492,MATCH(111,'Output Utente'!$Q$2:$Q$492,0)),"")</f>
        <v>15</v>
      </c>
      <c r="L114" s="7" t="str">
        <f aca="false">IFERROR(INDEX('Output Utente'!$E$2:$E$492,MATCH(111,'Output Utente'!$Q$2:$Q$492,0)),"")</f>
        <v>NO</v>
      </c>
      <c r="M114" s="7" t="str">
        <f aca="false">IFERROR(INDEX('Output Utente'!$U$2:$U$492,MATCH(111,'Output Utente'!$Q$2:$Q$492,0)),"")</f>
        <v>OK</v>
      </c>
      <c r="N114" s="7" t="str">
        <f aca="false">IFERROR(INDEX('Output Utente'!$AE$2:$AE$492,MATCH(111,'Output Utente'!$Q$2:$Q$492,0)),"")</f>
        <v>🟡 Attesa rischiosa</v>
      </c>
    </row>
    <row r="115" customFormat="false" ht="15" hidden="false" customHeight="true" outlineLevel="0" collapsed="false">
      <c r="A115" s="49" t="n">
        <v>112</v>
      </c>
      <c r="B115" s="7" t="n">
        <f aca="false">IFERROR(INDEX('Output Utente'!$A$2:$A$492,MATCH(112,'Output Utente'!$Q$2:$Q$492,0)),"")</f>
        <v>1933</v>
      </c>
      <c r="C115" s="7" t="str">
        <f aca="false">IFERROR(INDEX('Output Utente'!$B$2:$B$492,MATCH(112,'Output Utente'!$Q$2:$Q$492,0)),"")</f>
        <v>C</v>
      </c>
      <c r="D115" s="7" t="str">
        <f aca="false">IFERROR(INDEX('Output Utente'!$C$2:$C$492,MATCH(112,'Output Utente'!$Q$2:$Q$492,0)),"")</f>
        <v>Mandragora</v>
      </c>
      <c r="E115" s="7" t="str">
        <f aca="false">IFERROR(INDEX('Input Giocatori 2026_27'!$D$3:$D$493,MATCH($B115,'Input Giocatori 2026_27'!$A$3:$A$493,0)),"")</f>
        <v>Fiorentina</v>
      </c>
      <c r="F115" s="50" t="n">
        <f aca="false">IFERROR(INDEX('Output Utente'!$N$2:$N$492,MATCH(112,'Output Utente'!$Q$2:$Q$492,0)),"")</f>
        <v>9</v>
      </c>
      <c r="G115" s="50" t="n">
        <f aca="false">IFERROR(INDEX('Output Utente'!$O$2:$O$492,MATCH(112,'Output Utente'!$Q$2:$Q$492,0)),"")</f>
        <v>28</v>
      </c>
      <c r="H115" s="7" t="str">
        <f aca="false">IFERROR(INDEX('Output Utente'!$P$2:$P$492,MATCH(112,'Output Utente'!$Q$2:$Q$492,0)),"")</f>
        <v>Buono</v>
      </c>
      <c r="I115" s="50" t="n">
        <f aca="false">IFERROR(INDEX('Output Utente'!$F$2:$F$492,MATCH(112,'Output Utente'!$Q$2:$Q$492,0)),"")</f>
        <v>16</v>
      </c>
      <c r="J115" s="50" t="n">
        <f aca="false">IFERROR(INDEX('Output Utente'!$G$2:$G$492,MATCH(112,'Output Utente'!$Q$2:$Q$492,0)),"")</f>
        <v>11</v>
      </c>
      <c r="K115" s="50" t="n">
        <f aca="false">IFERROR(INDEX('Output Utente'!$H$2:$H$492,MATCH(112,'Output Utente'!$Q$2:$Q$492,0)),"")</f>
        <v>18</v>
      </c>
      <c r="L115" s="7" t="str">
        <f aca="false">IFERROR(INDEX('Output Utente'!$E$2:$E$492,MATCH(112,'Output Utente'!$Q$2:$Q$492,0)),"")</f>
        <v>NO</v>
      </c>
      <c r="M115" s="7" t="str">
        <f aca="false">IFERROR(INDEX('Output Utente'!$U$2:$U$492,MATCH(112,'Output Utente'!$Q$2:$Q$492,0)),"")</f>
        <v>OK</v>
      </c>
      <c r="N115" s="7" t="str">
        <f aca="false">IFERROR(INDEX('Output Utente'!$AE$2:$AE$492,MATCH(112,'Output Utente'!$Q$2:$Q$492,0)),"")</f>
        <v>🟡 Attesa rischiosa</v>
      </c>
    </row>
    <row r="116" customFormat="false" ht="15" hidden="false" customHeight="true" outlineLevel="0" collapsed="false">
      <c r="A116" s="49" t="n">
        <v>113</v>
      </c>
      <c r="B116" s="7" t="n">
        <f aca="false">IFERROR(INDEX('Output Utente'!$A$2:$A$492,MATCH(113,'Output Utente'!$Q$2:$Q$492,0)),"")</f>
        <v>5500</v>
      </c>
      <c r="C116" s="7" t="str">
        <f aca="false">IFERROR(INDEX('Output Utente'!$B$2:$B$492,MATCH(113,'Output Utente'!$Q$2:$Q$492,0)),"")</f>
        <v>C</v>
      </c>
      <c r="D116" s="7" t="str">
        <f aca="false">IFERROR(INDEX('Output Utente'!$C$2:$C$492,MATCH(113,'Output Utente'!$Q$2:$Q$492,0)),"")</f>
        <v>Cancellieri</v>
      </c>
      <c r="E116" s="7" t="str">
        <f aca="false">IFERROR(INDEX('Input Giocatori 2026_27'!$D$3:$D$493,MATCH($B116,'Input Giocatori 2026_27'!$A$3:$A$493,0)),"")</f>
        <v>Lazio</v>
      </c>
      <c r="F116" s="50" t="n">
        <f aca="false">IFERROR(INDEX('Output Utente'!$N$2:$N$492,MATCH(113,'Output Utente'!$Q$2:$Q$492,0)),"")</f>
        <v>9</v>
      </c>
      <c r="G116" s="50" t="n">
        <f aca="false">IFERROR(INDEX('Output Utente'!$O$2:$O$492,MATCH(113,'Output Utente'!$Q$2:$Q$492,0)),"")</f>
        <v>28</v>
      </c>
      <c r="H116" s="7" t="str">
        <f aca="false">IFERROR(INDEX('Output Utente'!$P$2:$P$492,MATCH(113,'Output Utente'!$Q$2:$Q$492,0)),"")</f>
        <v>Buono</v>
      </c>
      <c r="I116" s="50" t="n">
        <f aca="false">IFERROR(INDEX('Output Utente'!$F$2:$F$492,MATCH(113,'Output Utente'!$Q$2:$Q$492,0)),"")</f>
        <v>15</v>
      </c>
      <c r="J116" s="50" t="n">
        <f aca="false">IFERROR(INDEX('Output Utente'!$G$2:$G$492,MATCH(113,'Output Utente'!$Q$2:$Q$492,0)),"")</f>
        <v>10</v>
      </c>
      <c r="K116" s="50" t="n">
        <f aca="false">IFERROR(INDEX('Output Utente'!$H$2:$H$492,MATCH(113,'Output Utente'!$Q$2:$Q$492,0)),"")</f>
        <v>17</v>
      </c>
      <c r="L116" s="7" t="str">
        <f aca="false">IFERROR(INDEX('Output Utente'!$E$2:$E$492,MATCH(113,'Output Utente'!$Q$2:$Q$492,0)),"")</f>
        <v>NO</v>
      </c>
      <c r="M116" s="7" t="str">
        <f aca="false">IFERROR(INDEX('Output Utente'!$U$2:$U$492,MATCH(113,'Output Utente'!$Q$2:$Q$492,0)),"")</f>
        <v>OK</v>
      </c>
      <c r="N116" s="7" t="str">
        <f aca="false">IFERROR(INDEX('Output Utente'!$AE$2:$AE$492,MATCH(113,'Output Utente'!$Q$2:$Q$492,0)),"")</f>
        <v>🟡 Attesa rischiosa</v>
      </c>
    </row>
    <row r="117" customFormat="false" ht="15" hidden="false" customHeight="true" outlineLevel="0" collapsed="false">
      <c r="A117" s="49" t="n">
        <v>114</v>
      </c>
      <c r="B117" s="7" t="n">
        <f aca="false">IFERROR(INDEX('Output Utente'!$A$2:$A$492,MATCH(114,'Output Utente'!$Q$2:$Q$492,0)),"")</f>
        <v>6904</v>
      </c>
      <c r="C117" s="7" t="str">
        <f aca="false">IFERROR(INDEX('Output Utente'!$B$2:$B$492,MATCH(114,'Output Utente'!$Q$2:$Q$492,0)),"")</f>
        <v>A</v>
      </c>
      <c r="D117" s="7" t="str">
        <f aca="false">IFERROR(INDEX('Output Utente'!$C$2:$C$492,MATCH(114,'Output Utente'!$Q$2:$Q$492,0)),"")</f>
        <v>Yeboah J.</v>
      </c>
      <c r="E117" s="7" t="str">
        <f aca="false">IFERROR(INDEX('Input Giocatori 2026_27'!$D$3:$D$493,MATCH($B117,'Input Giocatori 2026_27'!$A$3:$A$493,0)),"")</f>
        <v>Venezia</v>
      </c>
      <c r="F117" s="50" t="n">
        <f aca="false">IFERROR(INDEX('Output Utente'!$N$2:$N$492,MATCH(114,'Output Utente'!$Q$2:$Q$492,0)),"")</f>
        <v>8</v>
      </c>
      <c r="G117" s="50" t="n">
        <f aca="false">IFERROR(INDEX('Output Utente'!$O$2:$O$492,MATCH(114,'Output Utente'!$Q$2:$Q$492,0)),"")</f>
        <v>28</v>
      </c>
      <c r="H117" s="7" t="str">
        <f aca="false">IFERROR(INDEX('Output Utente'!$P$2:$P$492,MATCH(114,'Output Utente'!$Q$2:$Q$492,0)),"")</f>
        <v>Nella Media</v>
      </c>
      <c r="I117" s="50" t="n">
        <f aca="false">IFERROR(INDEX('Output Utente'!$F$2:$F$492,MATCH(114,'Output Utente'!$Q$2:$Q$492,0)),"")</f>
        <v>25</v>
      </c>
      <c r="J117" s="50" t="n">
        <f aca="false">IFERROR(INDEX('Output Utente'!$G$2:$G$492,MATCH(114,'Output Utente'!$Q$2:$Q$492,0)),"")</f>
        <v>16</v>
      </c>
      <c r="K117" s="50" t="n">
        <f aca="false">IFERROR(INDEX('Output Utente'!$H$2:$H$492,MATCH(114,'Output Utente'!$Q$2:$Q$492,0)),"")</f>
        <v>29</v>
      </c>
      <c r="L117" s="7" t="str">
        <f aca="false">IFERROR(INDEX('Output Utente'!$E$2:$E$492,MATCH(114,'Output Utente'!$Q$2:$Q$492,0)),"")</f>
        <v>NO</v>
      </c>
      <c r="M117" s="7" t="str">
        <f aca="false">IFERROR(INDEX('Output Utente'!$U$2:$U$492,MATCH(114,'Output Utente'!$Q$2:$Q$492,0)),"")</f>
        <v>OK</v>
      </c>
      <c r="N117" s="7" t="str">
        <f aca="false">IFERROR(INDEX('Output Utente'!$AE$2:$AE$492,MATCH(114,'Output Utente'!$Q$2:$Q$492,0)),"")</f>
        <v>🔴 Non aspettare</v>
      </c>
    </row>
    <row r="118" customFormat="false" ht="15" hidden="false" customHeight="true" outlineLevel="0" collapsed="false">
      <c r="A118" s="49" t="n">
        <v>115</v>
      </c>
      <c r="B118" s="7" t="n">
        <f aca="false">IFERROR(INDEX('Output Utente'!$A$2:$A$492,MATCH(115,'Output Utente'!$Q$2:$Q$492,0)),"")</f>
        <v>4360</v>
      </c>
      <c r="C118" s="7" t="str">
        <f aca="false">IFERROR(INDEX('Output Utente'!$B$2:$B$492,MATCH(115,'Output Utente'!$Q$2:$Q$492,0)),"")</f>
        <v>P</v>
      </c>
      <c r="D118" s="7" t="str">
        <f aca="false">IFERROR(INDEX('Output Utente'!$C$2:$C$492,MATCH(115,'Output Utente'!$Q$2:$Q$492,0)),"")</f>
        <v>Caprile</v>
      </c>
      <c r="E118" s="7" t="str">
        <f aca="false">IFERROR(INDEX('Input Giocatori 2026_27'!$D$3:$D$493,MATCH($B118,'Input Giocatori 2026_27'!$A$3:$A$493,0)),"")</f>
        <v>Cagliari</v>
      </c>
      <c r="F118" s="50" t="n">
        <f aca="false">IFERROR(INDEX('Output Utente'!$N$2:$N$492,MATCH(115,'Output Utente'!$Q$2:$Q$492,0)),"")</f>
        <v>9</v>
      </c>
      <c r="G118" s="50" t="n">
        <f aca="false">IFERROR(INDEX('Output Utente'!$O$2:$O$492,MATCH(115,'Output Utente'!$Q$2:$Q$492,0)),"")</f>
        <v>27</v>
      </c>
      <c r="H118" s="7" t="str">
        <f aca="false">IFERROR(INDEX('Output Utente'!$P$2:$P$492,MATCH(115,'Output Utente'!$Q$2:$Q$492,0)),"")</f>
        <v>Buono</v>
      </c>
      <c r="I118" s="50" t="n">
        <f aca="false">IFERROR(INDEX('Output Utente'!$F$2:$F$492,MATCH(115,'Output Utente'!$Q$2:$Q$492,0)),"")</f>
        <v>31</v>
      </c>
      <c r="J118" s="50" t="n">
        <f aca="false">IFERROR(INDEX('Output Utente'!$G$2:$G$492,MATCH(115,'Output Utente'!$Q$2:$Q$492,0)),"")</f>
        <v>25</v>
      </c>
      <c r="K118" s="50" t="n">
        <f aca="false">IFERROR(INDEX('Output Utente'!$H$2:$H$492,MATCH(115,'Output Utente'!$Q$2:$Q$492,0)),"")</f>
        <v>33</v>
      </c>
      <c r="L118" s="7" t="str">
        <f aca="false">IFERROR(INDEX('Output Utente'!$E$2:$E$492,MATCH(115,'Output Utente'!$Q$2:$Q$492,0)),"")</f>
        <v>NO</v>
      </c>
      <c r="M118" s="7" t="str">
        <f aca="false">IFERROR(INDEX('Output Utente'!$U$2:$U$492,MATCH(115,'Output Utente'!$Q$2:$Q$492,0)),"")</f>
        <v>OK</v>
      </c>
      <c r="N118" s="7" t="str">
        <f aca="false">IFERROR(INDEX('Output Utente'!$AE$2:$AE$492,MATCH(115,'Output Utente'!$Q$2:$Q$492,0)),"")</f>
        <v>🟡 Attesa rischiosa</v>
      </c>
    </row>
    <row r="119" customFormat="false" ht="15" hidden="false" customHeight="true" outlineLevel="0" collapsed="false">
      <c r="A119" s="49" t="n">
        <v>116</v>
      </c>
      <c r="B119" s="7" t="n">
        <f aca="false">IFERROR(INDEX('Output Utente'!$A$2:$A$492,MATCH(116,'Output Utente'!$Q$2:$Q$492,0)),"")</f>
        <v>5520</v>
      </c>
      <c r="C119" s="7" t="str">
        <f aca="false">IFERROR(INDEX('Output Utente'!$B$2:$B$492,MATCH(116,'Output Utente'!$Q$2:$Q$492,0)),"")</f>
        <v>D</v>
      </c>
      <c r="D119" s="7" t="str">
        <f aca="false">IFERROR(INDEX('Output Utente'!$C$2:$C$492,MATCH(116,'Output Utente'!$Q$2:$Q$492,0)),"")</f>
        <v>Cambiaso</v>
      </c>
      <c r="E119" s="7" t="str">
        <f aca="false">IFERROR(INDEX('Input Giocatori 2026_27'!$D$3:$D$493,MATCH($B119,'Input Giocatori 2026_27'!$A$3:$A$493,0)),"")</f>
        <v>Juventus</v>
      </c>
      <c r="F119" s="50" t="n">
        <f aca="false">IFERROR(INDEX('Output Utente'!$N$2:$N$492,MATCH(116,'Output Utente'!$Q$2:$Q$492,0)),"")</f>
        <v>9</v>
      </c>
      <c r="G119" s="50" t="n">
        <f aca="false">IFERROR(INDEX('Output Utente'!$O$2:$O$492,MATCH(116,'Output Utente'!$Q$2:$Q$492,0)),"")</f>
        <v>27</v>
      </c>
      <c r="H119" s="7" t="str">
        <f aca="false">IFERROR(INDEX('Output Utente'!$P$2:$P$492,MATCH(116,'Output Utente'!$Q$2:$Q$492,0)),"")</f>
        <v>Top</v>
      </c>
      <c r="I119" s="50" t="n">
        <f aca="false">IFERROR(INDEX('Output Utente'!$F$2:$F$492,MATCH(116,'Output Utente'!$Q$2:$Q$492,0)),"")</f>
        <v>13</v>
      </c>
      <c r="J119" s="50" t="n">
        <f aca="false">IFERROR(INDEX('Output Utente'!$G$2:$G$492,MATCH(116,'Output Utente'!$Q$2:$Q$492,0)),"")</f>
        <v>10</v>
      </c>
      <c r="K119" s="50" t="n">
        <f aca="false">IFERROR(INDEX('Output Utente'!$H$2:$H$492,MATCH(116,'Output Utente'!$Q$2:$Q$492,0)),"")</f>
        <v>14</v>
      </c>
      <c r="L119" s="7" t="str">
        <f aca="false">IFERROR(INDEX('Output Utente'!$E$2:$E$492,MATCH(116,'Output Utente'!$Q$2:$Q$492,0)),"")</f>
        <v>NO</v>
      </c>
      <c r="M119" s="7" t="str">
        <f aca="false">IFERROR(INDEX('Output Utente'!$U$2:$U$492,MATCH(116,'Output Utente'!$Q$2:$Q$492,0)),"")</f>
        <v>OK</v>
      </c>
      <c r="N119" s="7" t="str">
        <f aca="false">IFERROR(INDEX('Output Utente'!$AE$2:$AE$492,MATCH(116,'Output Utente'!$Q$2:$Q$492,0)),"")</f>
        <v>🟡 Attesa rischiosa</v>
      </c>
    </row>
    <row r="120" customFormat="false" ht="15" hidden="false" customHeight="true" outlineLevel="0" collapsed="false">
      <c r="A120" s="49" t="n">
        <v>117</v>
      </c>
      <c r="B120" s="7" t="n">
        <f aca="false">IFERROR(INDEX('Output Utente'!$A$2:$A$492,MATCH(117,'Output Utente'!$Q$2:$Q$492,0)),"")</f>
        <v>5365</v>
      </c>
      <c r="C120" s="7" t="str">
        <f aca="false">IFERROR(INDEX('Output Utente'!$B$2:$B$492,MATCH(117,'Output Utente'!$Q$2:$Q$492,0)),"")</f>
        <v>D</v>
      </c>
      <c r="D120" s="7" t="str">
        <f aca="false">IFERROR(INDEX('Output Utente'!$C$2:$C$492,MATCH(117,'Output Utente'!$Q$2:$Q$492,0)),"")</f>
        <v>Dragusin</v>
      </c>
      <c r="E120" s="7" t="str">
        <f aca="false">IFERROR(INDEX('Input Giocatori 2026_27'!$D$3:$D$493,MATCH($B120,'Input Giocatori 2026_27'!$A$3:$A$493,0)),"")</f>
        <v>Fiorentina</v>
      </c>
      <c r="F120" s="50" t="n">
        <f aca="false">IFERROR(INDEX('Output Utente'!$N$2:$N$492,MATCH(117,'Output Utente'!$Q$2:$Q$492,0)),"")</f>
        <v>8</v>
      </c>
      <c r="G120" s="50" t="n">
        <f aca="false">IFERROR(INDEX('Output Utente'!$O$2:$O$492,MATCH(117,'Output Utente'!$Q$2:$Q$492,0)),"")</f>
        <v>27</v>
      </c>
      <c r="H120" s="7" t="str">
        <f aca="false">IFERROR(INDEX('Output Utente'!$P$2:$P$492,MATCH(117,'Output Utente'!$Q$2:$Q$492,0)),"")</f>
        <v>Top</v>
      </c>
      <c r="I120" s="50" t="n">
        <f aca="false">IFERROR(INDEX('Output Utente'!$F$2:$F$492,MATCH(117,'Output Utente'!$Q$2:$Q$492,0)),"")</f>
        <v>13</v>
      </c>
      <c r="J120" s="50" t="n">
        <f aca="false">IFERROR(INDEX('Output Utente'!$G$2:$G$492,MATCH(117,'Output Utente'!$Q$2:$Q$492,0)),"")</f>
        <v>10</v>
      </c>
      <c r="K120" s="50" t="n">
        <f aca="false">IFERROR(INDEX('Output Utente'!$H$2:$H$492,MATCH(117,'Output Utente'!$Q$2:$Q$492,0)),"")</f>
        <v>14</v>
      </c>
      <c r="L120" s="7" t="str">
        <f aca="false">IFERROR(INDEX('Output Utente'!$E$2:$E$492,MATCH(117,'Output Utente'!$Q$2:$Q$492,0)),"")</f>
        <v>NO</v>
      </c>
      <c r="M120" s="7" t="str">
        <f aca="false">IFERROR(INDEX('Output Utente'!$U$2:$U$492,MATCH(117,'Output Utente'!$Q$2:$Q$492,0)),"")</f>
        <v>OK</v>
      </c>
      <c r="N120" s="7" t="str">
        <f aca="false">IFERROR(INDEX('Output Utente'!$AE$2:$AE$492,MATCH(117,'Output Utente'!$Q$2:$Q$492,0)),"")</f>
        <v>🟡 Attesa rischiosa</v>
      </c>
    </row>
    <row r="121" customFormat="false" ht="15" hidden="false" customHeight="true" outlineLevel="0" collapsed="false">
      <c r="A121" s="49" t="n">
        <v>118</v>
      </c>
      <c r="B121" s="7" t="n">
        <f aca="false">IFERROR(INDEX('Output Utente'!$A$2:$A$492,MATCH(118,'Output Utente'!$Q$2:$Q$492,0)),"")</f>
        <v>5877</v>
      </c>
      <c r="C121" s="7" t="str">
        <f aca="false">IFERROR(INDEX('Output Utente'!$B$2:$B$492,MATCH(118,'Output Utente'!$Q$2:$Q$492,0)),"")</f>
        <v>D</v>
      </c>
      <c r="D121" s="7" t="str">
        <f aca="false">IFERROR(INDEX('Output Utente'!$C$2:$C$492,MATCH(118,'Output Utente'!$Q$2:$Q$492,0)),"")</f>
        <v>Carlos Augusto</v>
      </c>
      <c r="E121" s="7" t="str">
        <f aca="false">IFERROR(INDEX('Input Giocatori 2026_27'!$D$3:$D$493,MATCH($B121,'Input Giocatori 2026_27'!$A$3:$A$493,0)),"")</f>
        <v>Inter</v>
      </c>
      <c r="F121" s="50" t="n">
        <f aca="false">IFERROR(INDEX('Output Utente'!$N$2:$N$492,MATCH(118,'Output Utente'!$Q$2:$Q$492,0)),"")</f>
        <v>7</v>
      </c>
      <c r="G121" s="50" t="n">
        <f aca="false">IFERROR(INDEX('Output Utente'!$O$2:$O$492,MATCH(118,'Output Utente'!$Q$2:$Q$492,0)),"")</f>
        <v>27</v>
      </c>
      <c r="H121" s="7" t="str">
        <f aca="false">IFERROR(INDEX('Output Utente'!$P$2:$P$492,MATCH(118,'Output Utente'!$Q$2:$Q$492,0)),"")</f>
        <v>Top</v>
      </c>
      <c r="I121" s="50" t="n">
        <f aca="false">IFERROR(INDEX('Output Utente'!$F$2:$F$492,MATCH(118,'Output Utente'!$Q$2:$Q$492,0)),"")</f>
        <v>13</v>
      </c>
      <c r="J121" s="50" t="n">
        <f aca="false">IFERROR(INDEX('Output Utente'!$G$2:$G$492,MATCH(118,'Output Utente'!$Q$2:$Q$492,0)),"")</f>
        <v>10</v>
      </c>
      <c r="K121" s="50" t="n">
        <f aca="false">IFERROR(INDEX('Output Utente'!$H$2:$H$492,MATCH(118,'Output Utente'!$Q$2:$Q$492,0)),"")</f>
        <v>14</v>
      </c>
      <c r="L121" s="7" t="str">
        <f aca="false">IFERROR(INDEX('Output Utente'!$E$2:$E$492,MATCH(118,'Output Utente'!$Q$2:$Q$492,0)),"")</f>
        <v>NO</v>
      </c>
      <c r="M121" s="7" t="str">
        <f aca="false">IFERROR(INDEX('Output Utente'!$U$2:$U$492,MATCH(118,'Output Utente'!$Q$2:$Q$492,0)),"")</f>
        <v>OK</v>
      </c>
      <c r="N121" s="7" t="str">
        <f aca="false">IFERROR(INDEX('Output Utente'!$AE$2:$AE$492,MATCH(118,'Output Utente'!$Q$2:$Q$492,0)),"")</f>
        <v>🟡 Attesa rischiosa</v>
      </c>
    </row>
    <row r="122" customFormat="false" ht="15" hidden="false" customHeight="true" outlineLevel="0" collapsed="false">
      <c r="A122" s="49" t="n">
        <v>119</v>
      </c>
      <c r="B122" s="7" t="n">
        <f aca="false">IFERROR(INDEX('Output Utente'!$A$2:$A$492,MATCH(119,'Output Utente'!$Q$2:$Q$492,0)),"")</f>
        <v>6218</v>
      </c>
      <c r="C122" s="7" t="str">
        <f aca="false">IFERROR(INDEX('Output Utente'!$B$2:$B$492,MATCH(119,'Output Utente'!$Q$2:$Q$492,0)),"")</f>
        <v>C</v>
      </c>
      <c r="D122" s="7" t="str">
        <f aca="false">IFERROR(INDEX('Output Utente'!$C$2:$C$492,MATCH(119,'Output Utente'!$Q$2:$Q$492,0)),"")</f>
        <v>Oristanio</v>
      </c>
      <c r="E122" s="7" t="str">
        <f aca="false">IFERROR(INDEX('Input Giocatori 2026_27'!$D$3:$D$493,MATCH($B122,'Input Giocatori 2026_27'!$A$3:$A$493,0)),"")</f>
        <v>Torino</v>
      </c>
      <c r="F122" s="50" t="n">
        <f aca="false">IFERROR(INDEX('Output Utente'!$N$2:$N$492,MATCH(119,'Output Utente'!$Q$2:$Q$492,0)),"")</f>
        <v>7</v>
      </c>
      <c r="G122" s="50" t="n">
        <f aca="false">IFERROR(INDEX('Output Utente'!$O$2:$O$492,MATCH(119,'Output Utente'!$Q$2:$Q$492,0)),"")</f>
        <v>27</v>
      </c>
      <c r="H122" s="7" t="str">
        <f aca="false">IFERROR(INDEX('Output Utente'!$P$2:$P$492,MATCH(119,'Output Utente'!$Q$2:$Q$492,0)),"")</f>
        <v>Buono</v>
      </c>
      <c r="I122" s="50" t="n">
        <f aca="false">IFERROR(INDEX('Output Utente'!$F$2:$F$492,MATCH(119,'Output Utente'!$Q$2:$Q$492,0)),"")</f>
        <v>15</v>
      </c>
      <c r="J122" s="50" t="n">
        <f aca="false">IFERROR(INDEX('Output Utente'!$G$2:$G$492,MATCH(119,'Output Utente'!$Q$2:$Q$492,0)),"")</f>
        <v>10</v>
      </c>
      <c r="K122" s="50" t="n">
        <f aca="false">IFERROR(INDEX('Output Utente'!$H$2:$H$492,MATCH(119,'Output Utente'!$Q$2:$Q$492,0)),"")</f>
        <v>17</v>
      </c>
      <c r="L122" s="7" t="str">
        <f aca="false">IFERROR(INDEX('Output Utente'!$E$2:$E$492,MATCH(119,'Output Utente'!$Q$2:$Q$492,0)),"")</f>
        <v>NO</v>
      </c>
      <c r="M122" s="7" t="str">
        <f aca="false">IFERROR(INDEX('Output Utente'!$U$2:$U$492,MATCH(119,'Output Utente'!$Q$2:$Q$492,0)),"")</f>
        <v>OK</v>
      </c>
      <c r="N122" s="7" t="str">
        <f aca="false">IFERROR(INDEX('Output Utente'!$AE$2:$AE$492,MATCH(119,'Output Utente'!$Q$2:$Q$492,0)),"")</f>
        <v>🟡 Attesa rischiosa</v>
      </c>
    </row>
    <row r="123" customFormat="false" ht="15" hidden="false" customHeight="true" outlineLevel="0" collapsed="false">
      <c r="A123" s="49" t="n">
        <v>120</v>
      </c>
      <c r="B123" s="7" t="n">
        <f aca="false">IFERROR(INDEX('Output Utente'!$A$2:$A$492,MATCH(120,'Output Utente'!$Q$2:$Q$492,0)),"")</f>
        <v>4807</v>
      </c>
      <c r="C123" s="7" t="str">
        <f aca="false">IFERROR(INDEX('Output Utente'!$B$2:$B$492,MATCH(120,'Output Utente'!$Q$2:$Q$492,0)),"")</f>
        <v>D</v>
      </c>
      <c r="D123" s="7" t="str">
        <f aca="false">IFERROR(INDEX('Output Utente'!$C$2:$C$492,MATCH(120,'Output Utente'!$Q$2:$Q$492,0)),"")</f>
        <v>Hermoso</v>
      </c>
      <c r="E123" s="7" t="str">
        <f aca="false">IFERROR(INDEX('Input Giocatori 2026_27'!$D$3:$D$493,MATCH($B123,'Input Giocatori 2026_27'!$A$3:$A$493,0)),"")</f>
        <v>Roma</v>
      </c>
      <c r="F123" s="50" t="n">
        <f aca="false">IFERROR(INDEX('Output Utente'!$N$2:$N$492,MATCH(120,'Output Utente'!$Q$2:$Q$492,0)),"")</f>
        <v>10</v>
      </c>
      <c r="G123" s="50" t="n">
        <f aca="false">IFERROR(INDEX('Output Utente'!$O$2:$O$492,MATCH(120,'Output Utente'!$Q$2:$Q$492,0)),"")</f>
        <v>26</v>
      </c>
      <c r="H123" s="7" t="str">
        <f aca="false">IFERROR(INDEX('Output Utente'!$P$2:$P$492,MATCH(120,'Output Utente'!$Q$2:$Q$492,0)),"")</f>
        <v>Top</v>
      </c>
      <c r="I123" s="50" t="n">
        <f aca="false">IFERROR(INDEX('Output Utente'!$F$2:$F$492,MATCH(120,'Output Utente'!$Q$2:$Q$492,0)),"")</f>
        <v>13</v>
      </c>
      <c r="J123" s="50" t="n">
        <f aca="false">IFERROR(INDEX('Output Utente'!$G$2:$G$492,MATCH(120,'Output Utente'!$Q$2:$Q$492,0)),"")</f>
        <v>9</v>
      </c>
      <c r="K123" s="50" t="n">
        <f aca="false">IFERROR(INDEX('Output Utente'!$H$2:$H$492,MATCH(120,'Output Utente'!$Q$2:$Q$492,0)),"")</f>
        <v>14</v>
      </c>
      <c r="L123" s="7" t="str">
        <f aca="false">IFERROR(INDEX('Output Utente'!$E$2:$E$492,MATCH(120,'Output Utente'!$Q$2:$Q$492,0)),"")</f>
        <v>NO</v>
      </c>
      <c r="M123" s="7" t="str">
        <f aca="false">IFERROR(INDEX('Output Utente'!$U$2:$U$492,MATCH(120,'Output Utente'!$Q$2:$Q$492,0)),"")</f>
        <v>OK</v>
      </c>
      <c r="N123" s="7" t="str">
        <f aca="false">IFERROR(INDEX('Output Utente'!$AE$2:$AE$492,MATCH(120,'Output Utente'!$Q$2:$Q$492,0)),"")</f>
        <v>🟡 Attesa rischiosa</v>
      </c>
    </row>
    <row r="124" customFormat="false" ht="15" hidden="false" customHeight="true" outlineLevel="0" collapsed="false">
      <c r="A124" s="49" t="n">
        <v>121</v>
      </c>
      <c r="B124" s="7" t="n">
        <f aca="false">IFERROR(INDEX('Output Utente'!$A$2:$A$492,MATCH(121,'Output Utente'!$Q$2:$Q$492,0)),"")</f>
        <v>7070</v>
      </c>
      <c r="C124" s="7" t="str">
        <f aca="false">IFERROR(INDEX('Output Utente'!$B$2:$B$492,MATCH(121,'Output Utente'!$Q$2:$Q$492,0)),"")</f>
        <v>C</v>
      </c>
      <c r="D124" s="7" t="str">
        <f aca="false">IFERROR(INDEX('Output Utente'!$C$2:$C$492,MATCH(121,'Output Utente'!$Q$2:$Q$492,0)),"")</f>
        <v>Sucic P.</v>
      </c>
      <c r="E124" s="7" t="str">
        <f aca="false">IFERROR(INDEX('Input Giocatori 2026_27'!$D$3:$D$493,MATCH($B124,'Input Giocatori 2026_27'!$A$3:$A$493,0)),"")</f>
        <v>Inter</v>
      </c>
      <c r="F124" s="50" t="n">
        <f aca="false">IFERROR(INDEX('Output Utente'!$N$2:$N$492,MATCH(121,'Output Utente'!$Q$2:$Q$492,0)),"")</f>
        <v>8</v>
      </c>
      <c r="G124" s="50" t="n">
        <f aca="false">IFERROR(INDEX('Output Utente'!$O$2:$O$492,MATCH(121,'Output Utente'!$Q$2:$Q$492,0)),"")</f>
        <v>26</v>
      </c>
      <c r="H124" s="7" t="str">
        <f aca="false">IFERROR(INDEX('Output Utente'!$P$2:$P$492,MATCH(121,'Output Utente'!$Q$2:$Q$492,0)),"")</f>
        <v>Buono</v>
      </c>
      <c r="I124" s="50" t="n">
        <f aca="false">IFERROR(INDEX('Output Utente'!$F$2:$F$492,MATCH(121,'Output Utente'!$Q$2:$Q$492,0)),"")</f>
        <v>14</v>
      </c>
      <c r="J124" s="50" t="n">
        <f aca="false">IFERROR(INDEX('Output Utente'!$G$2:$G$492,MATCH(121,'Output Utente'!$Q$2:$Q$492,0)),"")</f>
        <v>10</v>
      </c>
      <c r="K124" s="50" t="n">
        <f aca="false">IFERROR(INDEX('Output Utente'!$H$2:$H$492,MATCH(121,'Output Utente'!$Q$2:$Q$492,0)),"")</f>
        <v>16</v>
      </c>
      <c r="L124" s="7" t="str">
        <f aca="false">IFERROR(INDEX('Output Utente'!$E$2:$E$492,MATCH(121,'Output Utente'!$Q$2:$Q$492,0)),"")</f>
        <v>NO</v>
      </c>
      <c r="M124" s="7" t="str">
        <f aca="false">IFERROR(INDEX('Output Utente'!$U$2:$U$492,MATCH(121,'Output Utente'!$Q$2:$Q$492,0)),"")</f>
        <v>OK</v>
      </c>
      <c r="N124" s="7" t="str">
        <f aca="false">IFERROR(INDEX('Output Utente'!$AE$2:$AE$492,MATCH(121,'Output Utente'!$Q$2:$Q$492,0)),"")</f>
        <v>🟡 Attesa rischiosa</v>
      </c>
    </row>
    <row r="125" customFormat="false" ht="15" hidden="false" customHeight="true" outlineLevel="0" collapsed="false">
      <c r="A125" s="49" t="n">
        <v>122</v>
      </c>
      <c r="B125" s="7" t="n">
        <f aca="false">IFERROR(INDEX('Output Utente'!$A$2:$A$492,MATCH(122,'Output Utente'!$Q$2:$Q$492,0)),"")</f>
        <v>2134</v>
      </c>
      <c r="C125" s="7" t="str">
        <f aca="false">IFERROR(INDEX('Output Utente'!$B$2:$B$492,MATCH(122,'Output Utente'!$Q$2:$Q$492,0)),"")</f>
        <v>P</v>
      </c>
      <c r="D125" s="7" t="str">
        <f aca="false">IFERROR(INDEX('Output Utente'!$C$2:$C$492,MATCH(122,'Output Utente'!$Q$2:$Q$492,0)),"")</f>
        <v>Falcone</v>
      </c>
      <c r="E125" s="7" t="str">
        <f aca="false">IFERROR(INDEX('Input Giocatori 2026_27'!$D$3:$D$493,MATCH($B125,'Input Giocatori 2026_27'!$A$3:$A$493,0)),"")</f>
        <v>Lecce</v>
      </c>
      <c r="F125" s="50" t="n">
        <f aca="false">IFERROR(INDEX('Output Utente'!$N$2:$N$492,MATCH(122,'Output Utente'!$Q$2:$Q$492,0)),"")</f>
        <v>8</v>
      </c>
      <c r="G125" s="50" t="n">
        <f aca="false">IFERROR(INDEX('Output Utente'!$O$2:$O$492,MATCH(122,'Output Utente'!$Q$2:$Q$492,0)),"")</f>
        <v>25</v>
      </c>
      <c r="H125" s="7" t="str">
        <f aca="false">IFERROR(INDEX('Output Utente'!$P$2:$P$492,MATCH(122,'Output Utente'!$Q$2:$Q$492,0)),"")</f>
        <v>Buono</v>
      </c>
      <c r="I125" s="50" t="n">
        <f aca="false">IFERROR(INDEX('Output Utente'!$F$2:$F$492,MATCH(122,'Output Utente'!$Q$2:$Q$492,0)),"")</f>
        <v>29</v>
      </c>
      <c r="J125" s="50" t="n">
        <f aca="false">IFERROR(INDEX('Output Utente'!$G$2:$G$492,MATCH(122,'Output Utente'!$Q$2:$Q$492,0)),"")</f>
        <v>23</v>
      </c>
      <c r="K125" s="50" t="n">
        <f aca="false">IFERROR(INDEX('Output Utente'!$H$2:$H$492,MATCH(122,'Output Utente'!$Q$2:$Q$492,0)),"")</f>
        <v>31</v>
      </c>
      <c r="L125" s="7" t="str">
        <f aca="false">IFERROR(INDEX('Output Utente'!$E$2:$E$492,MATCH(122,'Output Utente'!$Q$2:$Q$492,0)),"")</f>
        <v>NO</v>
      </c>
      <c r="M125" s="7" t="str">
        <f aca="false">IFERROR(INDEX('Output Utente'!$U$2:$U$492,MATCH(122,'Output Utente'!$Q$2:$Q$492,0)),"")</f>
        <v>OK</v>
      </c>
      <c r="N125" s="7" t="str">
        <f aca="false">IFERROR(INDEX('Output Utente'!$AE$2:$AE$492,MATCH(122,'Output Utente'!$Q$2:$Q$492,0)),"")</f>
        <v>🟡 Attesa rischiosa</v>
      </c>
    </row>
    <row r="126" customFormat="false" ht="15" hidden="false" customHeight="true" outlineLevel="0" collapsed="false">
      <c r="A126" s="49" t="n">
        <v>123</v>
      </c>
      <c r="B126" s="7" t="n">
        <f aca="false">IFERROR(INDEX('Output Utente'!$A$2:$A$492,MATCH(123,'Output Utente'!$Q$2:$Q$492,0)),"")</f>
        <v>6496</v>
      </c>
      <c r="C126" s="7" t="str">
        <f aca="false">IFERROR(INDEX('Output Utente'!$B$2:$B$492,MATCH(123,'Output Utente'!$Q$2:$Q$492,0)),"")</f>
        <v>D</v>
      </c>
      <c r="D126" s="7" t="str">
        <f aca="false">IFERROR(INDEX('Output Utente'!$C$2:$C$492,MATCH(123,'Output Utente'!$Q$2:$Q$492,0)),"")</f>
        <v>Bartesaghi</v>
      </c>
      <c r="E126" s="7" t="str">
        <f aca="false">IFERROR(INDEX('Input Giocatori 2026_27'!$D$3:$D$493,MATCH($B126,'Input Giocatori 2026_27'!$A$3:$A$493,0)),"")</f>
        <v>Milan</v>
      </c>
      <c r="F126" s="50" t="n">
        <f aca="false">IFERROR(INDEX('Output Utente'!$N$2:$N$492,MATCH(123,'Output Utente'!$Q$2:$Q$492,0)),"")</f>
        <v>8</v>
      </c>
      <c r="G126" s="50" t="n">
        <f aca="false">IFERROR(INDEX('Output Utente'!$O$2:$O$492,MATCH(123,'Output Utente'!$Q$2:$Q$492,0)),"")</f>
        <v>25</v>
      </c>
      <c r="H126" s="7" t="str">
        <f aca="false">IFERROR(INDEX('Output Utente'!$P$2:$P$492,MATCH(123,'Output Utente'!$Q$2:$Q$492,0)),"")</f>
        <v>Top</v>
      </c>
      <c r="I126" s="50" t="n">
        <f aca="false">IFERROR(INDEX('Output Utente'!$F$2:$F$492,MATCH(123,'Output Utente'!$Q$2:$Q$492,0)),"")</f>
        <v>12</v>
      </c>
      <c r="J126" s="50" t="n">
        <f aca="false">IFERROR(INDEX('Output Utente'!$G$2:$G$492,MATCH(123,'Output Utente'!$Q$2:$Q$492,0)),"")</f>
        <v>9</v>
      </c>
      <c r="K126" s="50" t="n">
        <f aca="false">IFERROR(INDEX('Output Utente'!$H$2:$H$492,MATCH(123,'Output Utente'!$Q$2:$Q$492,0)),"")</f>
        <v>13</v>
      </c>
      <c r="L126" s="7" t="str">
        <f aca="false">IFERROR(INDEX('Output Utente'!$E$2:$E$492,MATCH(123,'Output Utente'!$Q$2:$Q$492,0)),"")</f>
        <v>NO</v>
      </c>
      <c r="M126" s="7" t="str">
        <f aca="false">IFERROR(INDEX('Output Utente'!$U$2:$U$492,MATCH(123,'Output Utente'!$Q$2:$Q$492,0)),"")</f>
        <v>OK</v>
      </c>
      <c r="N126" s="7" t="str">
        <f aca="false">IFERROR(INDEX('Output Utente'!$AE$2:$AE$492,MATCH(123,'Output Utente'!$Q$2:$Q$492,0)),"")</f>
        <v>🟡 Attesa rischiosa</v>
      </c>
    </row>
    <row r="127" customFormat="false" ht="15" hidden="false" customHeight="true" outlineLevel="0" collapsed="false">
      <c r="A127" s="49" t="n">
        <v>124</v>
      </c>
      <c r="B127" s="7" t="n">
        <f aca="false">IFERROR(INDEX('Output Utente'!$A$2:$A$492,MATCH(124,'Output Utente'!$Q$2:$Q$492,0)),"")</f>
        <v>6398</v>
      </c>
      <c r="C127" s="7" t="str">
        <f aca="false">IFERROR(INDEX('Output Utente'!$B$2:$B$492,MATCH(124,'Output Utente'!$Q$2:$Q$492,0)),"")</f>
        <v>C</v>
      </c>
      <c r="D127" s="7" t="str">
        <f aca="false">IFERROR(INDEX('Output Utente'!$C$2:$C$492,MATCH(124,'Output Utente'!$Q$2:$Q$492,0)),"")</f>
        <v>Isaksen</v>
      </c>
      <c r="E127" s="7" t="str">
        <f aca="false">IFERROR(INDEX('Input Giocatori 2026_27'!$D$3:$D$493,MATCH($B127,'Input Giocatori 2026_27'!$A$3:$A$493,0)),"")</f>
        <v>Lazio</v>
      </c>
      <c r="F127" s="50" t="n">
        <f aca="false">IFERROR(INDEX('Output Utente'!$N$2:$N$492,MATCH(124,'Output Utente'!$Q$2:$Q$492,0)),"")</f>
        <v>9</v>
      </c>
      <c r="G127" s="50" t="n">
        <f aca="false">IFERROR(INDEX('Output Utente'!$O$2:$O$492,MATCH(124,'Output Utente'!$Q$2:$Q$492,0)),"")</f>
        <v>25</v>
      </c>
      <c r="H127" s="7" t="str">
        <f aca="false">IFERROR(INDEX('Output Utente'!$P$2:$P$492,MATCH(124,'Output Utente'!$Q$2:$Q$492,0)),"")</f>
        <v>Buono</v>
      </c>
      <c r="I127" s="50" t="n">
        <f aca="false">IFERROR(INDEX('Output Utente'!$F$2:$F$492,MATCH(124,'Output Utente'!$Q$2:$Q$492,0)),"")</f>
        <v>14</v>
      </c>
      <c r="J127" s="50" t="n">
        <f aca="false">IFERROR(INDEX('Output Utente'!$G$2:$G$492,MATCH(124,'Output Utente'!$Q$2:$Q$492,0)),"")</f>
        <v>9</v>
      </c>
      <c r="K127" s="50" t="n">
        <f aca="false">IFERROR(INDEX('Output Utente'!$H$2:$H$492,MATCH(124,'Output Utente'!$Q$2:$Q$492,0)),"")</f>
        <v>16</v>
      </c>
      <c r="L127" s="7" t="str">
        <f aca="false">IFERROR(INDEX('Output Utente'!$E$2:$E$492,MATCH(124,'Output Utente'!$Q$2:$Q$492,0)),"")</f>
        <v>NO</v>
      </c>
      <c r="M127" s="7" t="str">
        <f aca="false">IFERROR(INDEX('Output Utente'!$U$2:$U$492,MATCH(124,'Output Utente'!$Q$2:$Q$492,0)),"")</f>
        <v>OK</v>
      </c>
      <c r="N127" s="7" t="str">
        <f aca="false">IFERROR(INDEX('Output Utente'!$AE$2:$AE$492,MATCH(124,'Output Utente'!$Q$2:$Q$492,0)),"")</f>
        <v>🟡 Attesa rischiosa</v>
      </c>
    </row>
    <row r="128" customFormat="false" ht="15" hidden="false" customHeight="true" outlineLevel="0" collapsed="false">
      <c r="A128" s="49" t="n">
        <v>125</v>
      </c>
      <c r="B128" s="7" t="n">
        <f aca="false">IFERROR(INDEX('Output Utente'!$A$2:$A$492,MATCH(125,'Output Utente'!$Q$2:$Q$492,0)),"")</f>
        <v>4436</v>
      </c>
      <c r="C128" s="7" t="str">
        <f aca="false">IFERROR(INDEX('Output Utente'!$B$2:$B$492,MATCH(125,'Output Utente'!$Q$2:$Q$492,0)),"")</f>
        <v>C</v>
      </c>
      <c r="D128" s="7" t="str">
        <f aca="false">IFERROR(INDEX('Output Utente'!$C$2:$C$492,MATCH(125,'Output Utente'!$Q$2:$Q$492,0)),"")</f>
        <v>Cambiaghi</v>
      </c>
      <c r="E128" s="7" t="str">
        <f aca="false">IFERROR(INDEX('Input Giocatori 2026_27'!$D$3:$D$493,MATCH($B128,'Input Giocatori 2026_27'!$A$3:$A$493,0)),"")</f>
        <v>Bologna</v>
      </c>
      <c r="F128" s="50" t="n">
        <f aca="false">IFERROR(INDEX('Output Utente'!$N$2:$N$492,MATCH(125,'Output Utente'!$Q$2:$Q$492,0)),"")</f>
        <v>8</v>
      </c>
      <c r="G128" s="50" t="n">
        <f aca="false">IFERROR(INDEX('Output Utente'!$O$2:$O$492,MATCH(125,'Output Utente'!$Q$2:$Q$492,0)),"")</f>
        <v>25</v>
      </c>
      <c r="H128" s="7" t="str">
        <f aca="false">IFERROR(INDEX('Output Utente'!$P$2:$P$492,MATCH(125,'Output Utente'!$Q$2:$Q$492,0)),"")</f>
        <v>Buono</v>
      </c>
      <c r="I128" s="50" t="n">
        <f aca="false">IFERROR(INDEX('Output Utente'!$F$2:$F$492,MATCH(125,'Output Utente'!$Q$2:$Q$492,0)),"")</f>
        <v>14</v>
      </c>
      <c r="J128" s="50" t="n">
        <f aca="false">IFERROR(INDEX('Output Utente'!$G$2:$G$492,MATCH(125,'Output Utente'!$Q$2:$Q$492,0)),"")</f>
        <v>9</v>
      </c>
      <c r="K128" s="50" t="n">
        <f aca="false">IFERROR(INDEX('Output Utente'!$H$2:$H$492,MATCH(125,'Output Utente'!$Q$2:$Q$492,0)),"")</f>
        <v>16</v>
      </c>
      <c r="L128" s="7" t="str">
        <f aca="false">IFERROR(INDEX('Output Utente'!$E$2:$E$492,MATCH(125,'Output Utente'!$Q$2:$Q$492,0)),"")</f>
        <v>NO</v>
      </c>
      <c r="M128" s="7" t="str">
        <f aca="false">IFERROR(INDEX('Output Utente'!$U$2:$U$492,MATCH(125,'Output Utente'!$Q$2:$Q$492,0)),"")</f>
        <v>OK</v>
      </c>
      <c r="N128" s="7" t="str">
        <f aca="false">IFERROR(INDEX('Output Utente'!$AE$2:$AE$492,MATCH(125,'Output Utente'!$Q$2:$Q$492,0)),"")</f>
        <v>🟡 Attesa rischiosa</v>
      </c>
    </row>
    <row r="129" customFormat="false" ht="15" hidden="false" customHeight="true" outlineLevel="0" collapsed="false">
      <c r="A129" s="49" t="n">
        <v>126</v>
      </c>
      <c r="B129" s="7" t="n">
        <f aca="false">IFERROR(INDEX('Output Utente'!$A$2:$A$492,MATCH(126,'Output Utente'!$Q$2:$Q$492,0)),"")</f>
        <v>6294</v>
      </c>
      <c r="C129" s="7" t="str">
        <f aca="false">IFERROR(INDEX('Output Utente'!$B$2:$B$492,MATCH(126,'Output Utente'!$Q$2:$Q$492,0)),"")</f>
        <v>C</v>
      </c>
      <c r="D129" s="7" t="str">
        <f aca="false">IFERROR(INDEX('Output Utente'!$C$2:$C$492,MATCH(126,'Output Utente'!$Q$2:$Q$492,0)),"")</f>
        <v>Ndour</v>
      </c>
      <c r="E129" s="7" t="str">
        <f aca="false">IFERROR(INDEX('Input Giocatori 2026_27'!$D$3:$D$493,MATCH($B129,'Input Giocatori 2026_27'!$A$3:$A$493,0)),"")</f>
        <v>Fiorentina</v>
      </c>
      <c r="F129" s="50" t="n">
        <f aca="false">IFERROR(INDEX('Output Utente'!$N$2:$N$492,MATCH(126,'Output Utente'!$Q$2:$Q$492,0)),"")</f>
        <v>8</v>
      </c>
      <c r="G129" s="50" t="n">
        <f aca="false">IFERROR(INDEX('Output Utente'!$O$2:$O$492,MATCH(126,'Output Utente'!$Q$2:$Q$492,0)),"")</f>
        <v>25</v>
      </c>
      <c r="H129" s="7" t="str">
        <f aca="false">IFERROR(INDEX('Output Utente'!$P$2:$P$492,MATCH(126,'Output Utente'!$Q$2:$Q$492,0)),"")</f>
        <v>Buono</v>
      </c>
      <c r="I129" s="50" t="n">
        <f aca="false">IFERROR(INDEX('Output Utente'!$F$2:$F$492,MATCH(126,'Output Utente'!$Q$2:$Q$492,0)),"")</f>
        <v>13</v>
      </c>
      <c r="J129" s="50" t="n">
        <f aca="false">IFERROR(INDEX('Output Utente'!$G$2:$G$492,MATCH(126,'Output Utente'!$Q$2:$Q$492,0)),"")</f>
        <v>9</v>
      </c>
      <c r="K129" s="50" t="n">
        <f aca="false">IFERROR(INDEX('Output Utente'!$H$2:$H$492,MATCH(126,'Output Utente'!$Q$2:$Q$492,0)),"")</f>
        <v>15</v>
      </c>
      <c r="L129" s="7" t="str">
        <f aca="false">IFERROR(INDEX('Output Utente'!$E$2:$E$492,MATCH(126,'Output Utente'!$Q$2:$Q$492,0)),"")</f>
        <v>NO</v>
      </c>
      <c r="M129" s="7" t="str">
        <f aca="false">IFERROR(INDEX('Output Utente'!$U$2:$U$492,MATCH(126,'Output Utente'!$Q$2:$Q$492,0)),"")</f>
        <v>OK</v>
      </c>
      <c r="N129" s="7" t="str">
        <f aca="false">IFERROR(INDEX('Output Utente'!$AE$2:$AE$492,MATCH(126,'Output Utente'!$Q$2:$Q$492,0)),"")</f>
        <v>🟡 Attesa rischiosa</v>
      </c>
    </row>
    <row r="130" customFormat="false" ht="15" hidden="false" customHeight="true" outlineLevel="0" collapsed="false">
      <c r="A130" s="49" t="n">
        <v>127</v>
      </c>
      <c r="B130" s="7" t="n">
        <f aca="false">IFERROR(INDEX('Output Utente'!$A$2:$A$492,MATCH(127,'Output Utente'!$Q$2:$Q$492,0)),"")</f>
        <v>5878</v>
      </c>
      <c r="C130" s="7" t="str">
        <f aca="false">IFERROR(INDEX('Output Utente'!$B$2:$B$492,MATCH(127,'Output Utente'!$Q$2:$Q$492,0)),"")</f>
        <v>C</v>
      </c>
      <c r="D130" s="7" t="str">
        <f aca="false">IFERROR(INDEX('Output Utente'!$C$2:$C$492,MATCH(127,'Output Utente'!$Q$2:$Q$492,0)),"")</f>
        <v>Colpani</v>
      </c>
      <c r="E130" s="7" t="str">
        <f aca="false">IFERROR(INDEX('Input Giocatori 2026_27'!$D$3:$D$493,MATCH($B130,'Input Giocatori 2026_27'!$A$3:$A$493,0)),"")</f>
        <v>Monza</v>
      </c>
      <c r="F130" s="50" t="n">
        <f aca="false">IFERROR(INDEX('Output Utente'!$N$2:$N$492,MATCH(127,'Output Utente'!$Q$2:$Q$492,0)),"")</f>
        <v>8</v>
      </c>
      <c r="G130" s="50" t="n">
        <f aca="false">IFERROR(INDEX('Output Utente'!$O$2:$O$492,MATCH(127,'Output Utente'!$Q$2:$Q$492,0)),"")</f>
        <v>25</v>
      </c>
      <c r="H130" s="7" t="str">
        <f aca="false">IFERROR(INDEX('Output Utente'!$P$2:$P$492,MATCH(127,'Output Utente'!$Q$2:$Q$492,0)),"")</f>
        <v>Buono</v>
      </c>
      <c r="I130" s="50" t="n">
        <f aca="false">IFERROR(INDEX('Output Utente'!$F$2:$F$492,MATCH(127,'Output Utente'!$Q$2:$Q$492,0)),"")</f>
        <v>14</v>
      </c>
      <c r="J130" s="50" t="n">
        <f aca="false">IFERROR(INDEX('Output Utente'!$G$2:$G$492,MATCH(127,'Output Utente'!$Q$2:$Q$492,0)),"")</f>
        <v>9</v>
      </c>
      <c r="K130" s="50" t="n">
        <f aca="false">IFERROR(INDEX('Output Utente'!$H$2:$H$492,MATCH(127,'Output Utente'!$Q$2:$Q$492,0)),"")</f>
        <v>16</v>
      </c>
      <c r="L130" s="7" t="str">
        <f aca="false">IFERROR(INDEX('Output Utente'!$E$2:$E$492,MATCH(127,'Output Utente'!$Q$2:$Q$492,0)),"")</f>
        <v>NO</v>
      </c>
      <c r="M130" s="7" t="str">
        <f aca="false">IFERROR(INDEX('Output Utente'!$U$2:$U$492,MATCH(127,'Output Utente'!$Q$2:$Q$492,0)),"")</f>
        <v>OK</v>
      </c>
      <c r="N130" s="7" t="str">
        <f aca="false">IFERROR(INDEX('Output Utente'!$AE$2:$AE$492,MATCH(127,'Output Utente'!$Q$2:$Q$492,0)),"")</f>
        <v>🟡 Attesa rischiosa</v>
      </c>
    </row>
    <row r="131" customFormat="false" ht="15" hidden="false" customHeight="true" outlineLevel="0" collapsed="false">
      <c r="A131" s="49" t="n">
        <v>128</v>
      </c>
      <c r="B131" s="7" t="n">
        <f aca="false">IFERROR(INDEX('Output Utente'!$A$2:$A$492,MATCH(128,'Output Utente'!$Q$2:$Q$492,0)),"")</f>
        <v>7472</v>
      </c>
      <c r="C131" s="7" t="str">
        <f aca="false">IFERROR(INDEX('Output Utente'!$B$2:$B$492,MATCH(128,'Output Utente'!$Q$2:$Q$492,0)),"")</f>
        <v>C</v>
      </c>
      <c r="D131" s="7" t="str">
        <f aca="false">IFERROR(INDEX('Output Utente'!$C$2:$C$492,MATCH(128,'Output Utente'!$Q$2:$Q$492,0)),"")</f>
        <v>Calò</v>
      </c>
      <c r="E131" s="7" t="str">
        <f aca="false">IFERROR(INDEX('Input Giocatori 2026_27'!$D$3:$D$493,MATCH($B131,'Input Giocatori 2026_27'!$A$3:$A$493,0)),"")</f>
        <v>Frosinone</v>
      </c>
      <c r="F131" s="50" t="n">
        <f aca="false">IFERROR(INDEX('Output Utente'!$N$2:$N$492,MATCH(128,'Output Utente'!$Q$2:$Q$492,0)),"")</f>
        <v>7</v>
      </c>
      <c r="G131" s="50" t="n">
        <f aca="false">IFERROR(INDEX('Output Utente'!$O$2:$O$492,MATCH(128,'Output Utente'!$Q$2:$Q$492,0)),"")</f>
        <v>25</v>
      </c>
      <c r="H131" s="7" t="str">
        <f aca="false">IFERROR(INDEX('Output Utente'!$P$2:$P$492,MATCH(128,'Output Utente'!$Q$2:$Q$492,0)),"")</f>
        <v>Buono</v>
      </c>
      <c r="I131" s="50" t="n">
        <f aca="false">IFERROR(INDEX('Output Utente'!$F$2:$F$492,MATCH(128,'Output Utente'!$Q$2:$Q$492,0)),"")</f>
        <v>14</v>
      </c>
      <c r="J131" s="50" t="n">
        <f aca="false">IFERROR(INDEX('Output Utente'!$G$2:$G$492,MATCH(128,'Output Utente'!$Q$2:$Q$492,0)),"")</f>
        <v>9</v>
      </c>
      <c r="K131" s="50" t="n">
        <f aca="false">IFERROR(INDEX('Output Utente'!$H$2:$H$492,MATCH(128,'Output Utente'!$Q$2:$Q$492,0)),"")</f>
        <v>16</v>
      </c>
      <c r="L131" s="7" t="str">
        <f aca="false">IFERROR(INDEX('Output Utente'!$E$2:$E$492,MATCH(128,'Output Utente'!$Q$2:$Q$492,0)),"")</f>
        <v>NO</v>
      </c>
      <c r="M131" s="7" t="str">
        <f aca="false">IFERROR(INDEX('Output Utente'!$U$2:$U$492,MATCH(128,'Output Utente'!$Q$2:$Q$492,0)),"")</f>
        <v>OK</v>
      </c>
      <c r="N131" s="7" t="str">
        <f aca="false">IFERROR(INDEX('Output Utente'!$AE$2:$AE$492,MATCH(128,'Output Utente'!$Q$2:$Q$492,0)),"")</f>
        <v>🟡 Attesa rischiosa</v>
      </c>
    </row>
    <row r="132" customFormat="false" ht="15" hidden="false" customHeight="true" outlineLevel="0" collapsed="false">
      <c r="A132" s="49" t="n">
        <v>129</v>
      </c>
      <c r="B132" s="7" t="n">
        <f aca="false">IFERROR(INDEX('Output Utente'!$A$2:$A$492,MATCH(129,'Output Utente'!$Q$2:$Q$492,0)),"")</f>
        <v>5029</v>
      </c>
      <c r="C132" s="7" t="str">
        <f aca="false">IFERROR(INDEX('Output Utente'!$B$2:$B$492,MATCH(129,'Output Utente'!$Q$2:$Q$492,0)),"")</f>
        <v>A</v>
      </c>
      <c r="D132" s="7" t="str">
        <f aca="false">IFERROR(INDEX('Output Utente'!$C$2:$C$492,MATCH(129,'Output Utente'!$Q$2:$Q$492,0)),"")</f>
        <v>Geubbels</v>
      </c>
      <c r="E132" s="7" t="str">
        <f aca="false">IFERROR(INDEX('Input Giocatori 2026_27'!$D$3:$D$493,MATCH($B132,'Input Giocatori 2026_27'!$A$3:$A$493,0)),"")</f>
        <v>Lecce</v>
      </c>
      <c r="F132" s="50" t="n">
        <f aca="false">IFERROR(INDEX('Output Utente'!$N$2:$N$492,MATCH(129,'Output Utente'!$Q$2:$Q$492,0)),"")</f>
        <v>9</v>
      </c>
      <c r="G132" s="50" t="n">
        <f aca="false">IFERROR(INDEX('Output Utente'!$O$2:$O$492,MATCH(129,'Output Utente'!$Q$2:$Q$492,0)),"")</f>
        <v>25</v>
      </c>
      <c r="H132" s="7" t="str">
        <f aca="false">IFERROR(INDEX('Output Utente'!$P$2:$P$492,MATCH(129,'Output Utente'!$Q$2:$Q$492,0)),"")</f>
        <v>Nella Media</v>
      </c>
      <c r="I132" s="50" t="n">
        <f aca="false">IFERROR(INDEX('Output Utente'!$F$2:$F$492,MATCH(129,'Output Utente'!$Q$2:$Q$492,0)),"")</f>
        <v>22</v>
      </c>
      <c r="J132" s="50" t="n">
        <f aca="false">IFERROR(INDEX('Output Utente'!$G$2:$G$492,MATCH(129,'Output Utente'!$Q$2:$Q$492,0)),"")</f>
        <v>14</v>
      </c>
      <c r="K132" s="50" t="n">
        <f aca="false">IFERROR(INDEX('Output Utente'!$H$2:$H$492,MATCH(129,'Output Utente'!$Q$2:$Q$492,0)),"")</f>
        <v>26</v>
      </c>
      <c r="L132" s="7" t="str">
        <f aca="false">IFERROR(INDEX('Output Utente'!$E$2:$E$492,MATCH(129,'Output Utente'!$Q$2:$Q$492,0)),"")</f>
        <v>NO</v>
      </c>
      <c r="M132" s="7" t="str">
        <f aca="false">IFERROR(INDEX('Output Utente'!$U$2:$U$492,MATCH(129,'Output Utente'!$Q$2:$Q$492,0)),"")</f>
        <v>OK</v>
      </c>
      <c r="N132" s="7" t="str">
        <f aca="false">IFERROR(INDEX('Output Utente'!$AE$2:$AE$492,MATCH(129,'Output Utente'!$Q$2:$Q$492,0)),"")</f>
        <v>🔴 Non aspettare</v>
      </c>
    </row>
    <row r="133" customFormat="false" ht="15" hidden="false" customHeight="true" outlineLevel="0" collapsed="false">
      <c r="A133" s="49" t="n">
        <v>130</v>
      </c>
      <c r="B133" s="7" t="n">
        <f aca="false">IFERROR(INDEX('Output Utente'!$A$2:$A$492,MATCH(130,'Output Utente'!$Q$2:$Q$492,0)),"")</f>
        <v>2832</v>
      </c>
      <c r="C133" s="7" t="str">
        <f aca="false">IFERROR(INDEX('Output Utente'!$B$2:$B$492,MATCH(130,'Output Utente'!$Q$2:$Q$492,0)),"")</f>
        <v>A</v>
      </c>
      <c r="D133" s="7" t="str">
        <f aca="false">IFERROR(INDEX('Output Utente'!$C$2:$C$492,MATCH(130,'Output Utente'!$Q$2:$Q$492,0)),"")</f>
        <v>Boga</v>
      </c>
      <c r="E133" s="7" t="str">
        <f aca="false">IFERROR(INDEX('Input Giocatori 2026_27'!$D$3:$D$493,MATCH($B133,'Input Giocatori 2026_27'!$A$3:$A$493,0)),"")</f>
        <v>Juventus</v>
      </c>
      <c r="F133" s="50" t="n">
        <f aca="false">IFERROR(INDEX('Output Utente'!$N$2:$N$492,MATCH(130,'Output Utente'!$Q$2:$Q$492,0)),"")</f>
        <v>6</v>
      </c>
      <c r="G133" s="50" t="n">
        <f aca="false">IFERROR(INDEX('Output Utente'!$O$2:$O$492,MATCH(130,'Output Utente'!$Q$2:$Q$492,0)),"")</f>
        <v>25</v>
      </c>
      <c r="H133" s="7" t="str">
        <f aca="false">IFERROR(INDEX('Output Utente'!$P$2:$P$492,MATCH(130,'Output Utente'!$Q$2:$Q$492,0)),"")</f>
        <v>Nella Media</v>
      </c>
      <c r="I133" s="50" t="n">
        <f aca="false">IFERROR(INDEX('Output Utente'!$F$2:$F$492,MATCH(130,'Output Utente'!$Q$2:$Q$492,0)),"")</f>
        <v>22</v>
      </c>
      <c r="J133" s="50" t="n">
        <f aca="false">IFERROR(INDEX('Output Utente'!$G$2:$G$492,MATCH(130,'Output Utente'!$Q$2:$Q$492,0)),"")</f>
        <v>14</v>
      </c>
      <c r="K133" s="50" t="n">
        <f aca="false">IFERROR(INDEX('Output Utente'!$H$2:$H$492,MATCH(130,'Output Utente'!$Q$2:$Q$492,0)),"")</f>
        <v>26</v>
      </c>
      <c r="L133" s="7" t="str">
        <f aca="false">IFERROR(INDEX('Output Utente'!$E$2:$E$492,MATCH(130,'Output Utente'!$Q$2:$Q$492,0)),"")</f>
        <v>NO</v>
      </c>
      <c r="M133" s="7" t="str">
        <f aca="false">IFERROR(INDEX('Output Utente'!$U$2:$U$492,MATCH(130,'Output Utente'!$Q$2:$Q$492,0)),"")</f>
        <v>OK</v>
      </c>
      <c r="N133" s="7" t="str">
        <f aca="false">IFERROR(INDEX('Output Utente'!$AE$2:$AE$492,MATCH(130,'Output Utente'!$Q$2:$Q$492,0)),"")</f>
        <v>🔴 Non aspettare</v>
      </c>
    </row>
    <row r="134" customFormat="false" ht="15" hidden="false" customHeight="true" outlineLevel="0" collapsed="false">
      <c r="A134" s="49" t="n">
        <v>131</v>
      </c>
      <c r="B134" s="7" t="n">
        <f aca="false">IFERROR(INDEX('Output Utente'!$A$2:$A$492,MATCH(131,'Output Utente'!$Q$2:$Q$492,0)),"")</f>
        <v>554</v>
      </c>
      <c r="C134" s="7" t="str">
        <f aca="false">IFERROR(INDEX('Output Utente'!$B$2:$B$492,MATCH(131,'Output Utente'!$Q$2:$Q$492,0)),"")</f>
        <v>D</v>
      </c>
      <c r="D134" s="7" t="str">
        <f aca="false">IFERROR(INDEX('Output Utente'!$C$2:$C$492,MATCH(131,'Output Utente'!$Q$2:$Q$492,0)),"")</f>
        <v>Zappacosta</v>
      </c>
      <c r="E134" s="7" t="str">
        <f aca="false">IFERROR(INDEX('Input Giocatori 2026_27'!$D$3:$D$493,MATCH($B134,'Input Giocatori 2026_27'!$A$3:$A$493,0)),"")</f>
        <v>Atalanta</v>
      </c>
      <c r="F134" s="50" t="n">
        <f aca="false">IFERROR(INDEX('Output Utente'!$N$2:$N$492,MATCH(131,'Output Utente'!$Q$2:$Q$492,0)),"")</f>
        <v>8</v>
      </c>
      <c r="G134" s="50" t="n">
        <f aca="false">IFERROR(INDEX('Output Utente'!$O$2:$O$492,MATCH(131,'Output Utente'!$Q$2:$Q$492,0)),"")</f>
        <v>24</v>
      </c>
      <c r="H134" s="7" t="str">
        <f aca="false">IFERROR(INDEX('Output Utente'!$P$2:$P$492,MATCH(131,'Output Utente'!$Q$2:$Q$492,0)),"")</f>
        <v>Top</v>
      </c>
      <c r="I134" s="50" t="n">
        <f aca="false">IFERROR(INDEX('Output Utente'!$F$2:$F$492,MATCH(131,'Output Utente'!$Q$2:$Q$492,0)),"")</f>
        <v>12</v>
      </c>
      <c r="J134" s="50" t="n">
        <f aca="false">IFERROR(INDEX('Output Utente'!$G$2:$G$492,MATCH(131,'Output Utente'!$Q$2:$Q$492,0)),"")</f>
        <v>9</v>
      </c>
      <c r="K134" s="50" t="n">
        <f aca="false">IFERROR(INDEX('Output Utente'!$H$2:$H$492,MATCH(131,'Output Utente'!$Q$2:$Q$492,0)),"")</f>
        <v>13</v>
      </c>
      <c r="L134" s="7" t="str">
        <f aca="false">IFERROR(INDEX('Output Utente'!$E$2:$E$492,MATCH(131,'Output Utente'!$Q$2:$Q$492,0)),"")</f>
        <v>NO</v>
      </c>
      <c r="M134" s="7" t="str">
        <f aca="false">IFERROR(INDEX('Output Utente'!$U$2:$U$492,MATCH(131,'Output Utente'!$Q$2:$Q$492,0)),"")</f>
        <v>OK</v>
      </c>
      <c r="N134" s="7" t="str">
        <f aca="false">IFERROR(INDEX('Output Utente'!$AE$2:$AE$492,MATCH(131,'Output Utente'!$Q$2:$Q$492,0)),"")</f>
        <v>🟡 Attesa rischiosa</v>
      </c>
    </row>
    <row r="135" customFormat="false" ht="15" hidden="false" customHeight="true" outlineLevel="0" collapsed="false">
      <c r="A135" s="49" t="n">
        <v>132</v>
      </c>
      <c r="B135" s="7" t="n">
        <f aca="false">IFERROR(INDEX('Output Utente'!$A$2:$A$492,MATCH(132,'Output Utente'!$Q$2:$Q$492,0)),"")</f>
        <v>4734</v>
      </c>
      <c r="C135" s="7" t="str">
        <f aca="false">IFERROR(INDEX('Output Utente'!$B$2:$B$492,MATCH(132,'Output Utente'!$Q$2:$Q$492,0)),"")</f>
        <v>D</v>
      </c>
      <c r="D135" s="7" t="str">
        <f aca="false">IFERROR(INDEX('Output Utente'!$C$2:$C$492,MATCH(132,'Output Utente'!$Q$2:$Q$492,0)),"")</f>
        <v>Miranda J.</v>
      </c>
      <c r="E135" s="7" t="str">
        <f aca="false">IFERROR(INDEX('Input Giocatori 2026_27'!$D$3:$D$493,MATCH($B135,'Input Giocatori 2026_27'!$A$3:$A$493,0)),"")</f>
        <v>Bologna</v>
      </c>
      <c r="F135" s="50" t="n">
        <f aca="false">IFERROR(INDEX('Output Utente'!$N$2:$N$492,MATCH(132,'Output Utente'!$Q$2:$Q$492,0)),"")</f>
        <v>8</v>
      </c>
      <c r="G135" s="50" t="n">
        <f aca="false">IFERROR(INDEX('Output Utente'!$O$2:$O$492,MATCH(132,'Output Utente'!$Q$2:$Q$492,0)),"")</f>
        <v>24</v>
      </c>
      <c r="H135" s="7" t="str">
        <f aca="false">IFERROR(INDEX('Output Utente'!$P$2:$P$492,MATCH(132,'Output Utente'!$Q$2:$Q$492,0)),"")</f>
        <v>Top</v>
      </c>
      <c r="I135" s="50" t="n">
        <f aca="false">IFERROR(INDEX('Output Utente'!$F$2:$F$492,MATCH(132,'Output Utente'!$Q$2:$Q$492,0)),"")</f>
        <v>12</v>
      </c>
      <c r="J135" s="50" t="n">
        <f aca="false">IFERROR(INDEX('Output Utente'!$G$2:$G$492,MATCH(132,'Output Utente'!$Q$2:$Q$492,0)),"")</f>
        <v>9</v>
      </c>
      <c r="K135" s="50" t="n">
        <f aca="false">IFERROR(INDEX('Output Utente'!$H$2:$H$492,MATCH(132,'Output Utente'!$Q$2:$Q$492,0)),"")</f>
        <v>13</v>
      </c>
      <c r="L135" s="7" t="str">
        <f aca="false">IFERROR(INDEX('Output Utente'!$E$2:$E$492,MATCH(132,'Output Utente'!$Q$2:$Q$492,0)),"")</f>
        <v>NO</v>
      </c>
      <c r="M135" s="7" t="str">
        <f aca="false">IFERROR(INDEX('Output Utente'!$U$2:$U$492,MATCH(132,'Output Utente'!$Q$2:$Q$492,0)),"")</f>
        <v>OK</v>
      </c>
      <c r="N135" s="7" t="str">
        <f aca="false">IFERROR(INDEX('Output Utente'!$AE$2:$AE$492,MATCH(132,'Output Utente'!$Q$2:$Q$492,0)),"")</f>
        <v>🟡 Attesa rischiosa</v>
      </c>
    </row>
    <row r="136" customFormat="false" ht="15" hidden="false" customHeight="true" outlineLevel="0" collapsed="false">
      <c r="A136" s="49" t="n">
        <v>133</v>
      </c>
      <c r="B136" s="7" t="n">
        <f aca="false">IFERROR(INDEX('Output Utente'!$A$2:$A$492,MATCH(133,'Output Utente'!$Q$2:$Q$492,0)),"")</f>
        <v>1852</v>
      </c>
      <c r="C136" s="7" t="str">
        <f aca="false">IFERROR(INDEX('Output Utente'!$B$2:$B$492,MATCH(133,'Output Utente'!$Q$2:$Q$492,0)),"")</f>
        <v>D</v>
      </c>
      <c r="D136" s="7" t="str">
        <f aca="false">IFERROR(INDEX('Output Utente'!$C$2:$C$492,MATCH(133,'Output Utente'!$Q$2:$Q$492,0)),"")</f>
        <v>Spinazzola</v>
      </c>
      <c r="E136" s="7" t="str">
        <f aca="false">IFERROR(INDEX('Input Giocatori 2026_27'!$D$3:$D$493,MATCH($B136,'Input Giocatori 2026_27'!$A$3:$A$493,0)),"")</f>
        <v>Napoli</v>
      </c>
      <c r="F136" s="50" t="n">
        <f aca="false">IFERROR(INDEX('Output Utente'!$N$2:$N$492,MATCH(133,'Output Utente'!$Q$2:$Q$492,0)),"")</f>
        <v>8</v>
      </c>
      <c r="G136" s="50" t="n">
        <f aca="false">IFERROR(INDEX('Output Utente'!$O$2:$O$492,MATCH(133,'Output Utente'!$Q$2:$Q$492,0)),"")</f>
        <v>24</v>
      </c>
      <c r="H136" s="7" t="str">
        <f aca="false">IFERROR(INDEX('Output Utente'!$P$2:$P$492,MATCH(133,'Output Utente'!$Q$2:$Q$492,0)),"")</f>
        <v>Top</v>
      </c>
      <c r="I136" s="50" t="n">
        <f aca="false">IFERROR(INDEX('Output Utente'!$F$2:$F$492,MATCH(133,'Output Utente'!$Q$2:$Q$492,0)),"")</f>
        <v>12</v>
      </c>
      <c r="J136" s="50" t="n">
        <f aca="false">IFERROR(INDEX('Output Utente'!$G$2:$G$492,MATCH(133,'Output Utente'!$Q$2:$Q$492,0)),"")</f>
        <v>9</v>
      </c>
      <c r="K136" s="50" t="n">
        <f aca="false">IFERROR(INDEX('Output Utente'!$H$2:$H$492,MATCH(133,'Output Utente'!$Q$2:$Q$492,0)),"")</f>
        <v>13</v>
      </c>
      <c r="L136" s="7" t="str">
        <f aca="false">IFERROR(INDEX('Output Utente'!$E$2:$E$492,MATCH(133,'Output Utente'!$Q$2:$Q$492,0)),"")</f>
        <v>NO</v>
      </c>
      <c r="M136" s="7" t="str">
        <f aca="false">IFERROR(INDEX('Output Utente'!$U$2:$U$492,MATCH(133,'Output Utente'!$Q$2:$Q$492,0)),"")</f>
        <v>OK</v>
      </c>
      <c r="N136" s="7" t="str">
        <f aca="false">IFERROR(INDEX('Output Utente'!$AE$2:$AE$492,MATCH(133,'Output Utente'!$Q$2:$Q$492,0)),"")</f>
        <v>🟡 Attesa rischiosa</v>
      </c>
    </row>
    <row r="137" customFormat="false" ht="15" hidden="false" customHeight="true" outlineLevel="0" collapsed="false">
      <c r="A137" s="49" t="n">
        <v>134</v>
      </c>
      <c r="B137" s="7" t="n">
        <f aca="false">IFERROR(INDEX('Output Utente'!$A$2:$A$492,MATCH(134,'Output Utente'!$Q$2:$Q$492,0)),"")</f>
        <v>5862</v>
      </c>
      <c r="C137" s="7" t="str">
        <f aca="false">IFERROR(INDEX('Output Utente'!$B$2:$B$492,MATCH(134,'Output Utente'!$Q$2:$Q$492,0)),"")</f>
        <v>D</v>
      </c>
      <c r="D137" s="7" t="str">
        <f aca="false">IFERROR(INDEX('Output Utente'!$C$2:$C$492,MATCH(134,'Output Utente'!$Q$2:$Q$492,0)),"")</f>
        <v>Valeri</v>
      </c>
      <c r="E137" s="7" t="str">
        <f aca="false">IFERROR(INDEX('Input Giocatori 2026_27'!$D$3:$D$493,MATCH($B137,'Input Giocatori 2026_27'!$A$3:$A$493,0)),"")</f>
        <v>Parma</v>
      </c>
      <c r="F137" s="50" t="n">
        <f aca="false">IFERROR(INDEX('Output Utente'!$N$2:$N$492,MATCH(134,'Output Utente'!$Q$2:$Q$492,0)),"")</f>
        <v>8</v>
      </c>
      <c r="G137" s="50" t="n">
        <f aca="false">IFERROR(INDEX('Output Utente'!$O$2:$O$492,MATCH(134,'Output Utente'!$Q$2:$Q$492,0)),"")</f>
        <v>24</v>
      </c>
      <c r="H137" s="7" t="str">
        <f aca="false">IFERROR(INDEX('Output Utente'!$P$2:$P$492,MATCH(134,'Output Utente'!$Q$2:$Q$492,0)),"")</f>
        <v>Top</v>
      </c>
      <c r="I137" s="50" t="n">
        <f aca="false">IFERROR(INDEX('Output Utente'!$F$2:$F$492,MATCH(134,'Output Utente'!$Q$2:$Q$492,0)),"")</f>
        <v>12</v>
      </c>
      <c r="J137" s="50" t="n">
        <f aca="false">IFERROR(INDEX('Output Utente'!$G$2:$G$492,MATCH(134,'Output Utente'!$Q$2:$Q$492,0)),"")</f>
        <v>9</v>
      </c>
      <c r="K137" s="50" t="n">
        <f aca="false">IFERROR(INDEX('Output Utente'!$H$2:$H$492,MATCH(134,'Output Utente'!$Q$2:$Q$492,0)),"")</f>
        <v>13</v>
      </c>
      <c r="L137" s="7" t="str">
        <f aca="false">IFERROR(INDEX('Output Utente'!$E$2:$E$492,MATCH(134,'Output Utente'!$Q$2:$Q$492,0)),"")</f>
        <v>NO</v>
      </c>
      <c r="M137" s="7" t="str">
        <f aca="false">IFERROR(INDEX('Output Utente'!$U$2:$U$492,MATCH(134,'Output Utente'!$Q$2:$Q$492,0)),"")</f>
        <v>OK</v>
      </c>
      <c r="N137" s="7" t="str">
        <f aca="false">IFERROR(INDEX('Output Utente'!$AE$2:$AE$492,MATCH(134,'Output Utente'!$Q$2:$Q$492,0)),"")</f>
        <v>🟡 Attesa rischiosa</v>
      </c>
    </row>
    <row r="138" customFormat="false" ht="15" hidden="false" customHeight="true" outlineLevel="0" collapsed="false">
      <c r="A138" s="49" t="n">
        <v>135</v>
      </c>
      <c r="B138" s="7" t="n">
        <f aca="false">IFERROR(INDEX('Output Utente'!$A$2:$A$492,MATCH(135,'Output Utente'!$Q$2:$Q$492,0)),"")</f>
        <v>460</v>
      </c>
      <c r="C138" s="7" t="str">
        <f aca="false">IFERROR(INDEX('Output Utente'!$B$2:$B$492,MATCH(135,'Output Utente'!$Q$2:$Q$492,0)),"")</f>
        <v>D</v>
      </c>
      <c r="D138" s="7" t="str">
        <f aca="false">IFERROR(INDEX('Output Utente'!$C$2:$C$492,MATCH(135,'Output Utente'!$Q$2:$Q$492,0)),"")</f>
        <v>Romagnoli</v>
      </c>
      <c r="E138" s="7" t="str">
        <f aca="false">IFERROR(INDEX('Input Giocatori 2026_27'!$D$3:$D$493,MATCH($B138,'Input Giocatori 2026_27'!$A$3:$A$493,0)),"")</f>
        <v>Lazio</v>
      </c>
      <c r="F138" s="50" t="n">
        <f aca="false">IFERROR(INDEX('Output Utente'!$N$2:$N$492,MATCH(135,'Output Utente'!$Q$2:$Q$492,0)),"")</f>
        <v>7</v>
      </c>
      <c r="G138" s="50" t="n">
        <f aca="false">IFERROR(INDEX('Output Utente'!$O$2:$O$492,MATCH(135,'Output Utente'!$Q$2:$Q$492,0)),"")</f>
        <v>24</v>
      </c>
      <c r="H138" s="7" t="str">
        <f aca="false">IFERROR(INDEX('Output Utente'!$P$2:$P$492,MATCH(135,'Output Utente'!$Q$2:$Q$492,0)),"")</f>
        <v>Top</v>
      </c>
      <c r="I138" s="50" t="n">
        <f aca="false">IFERROR(INDEX('Output Utente'!$F$2:$F$492,MATCH(135,'Output Utente'!$Q$2:$Q$492,0)),"")</f>
        <v>12</v>
      </c>
      <c r="J138" s="50" t="n">
        <f aca="false">IFERROR(INDEX('Output Utente'!$G$2:$G$492,MATCH(135,'Output Utente'!$Q$2:$Q$492,0)),"")</f>
        <v>8</v>
      </c>
      <c r="K138" s="50" t="n">
        <f aca="false">IFERROR(INDEX('Output Utente'!$H$2:$H$492,MATCH(135,'Output Utente'!$Q$2:$Q$492,0)),"")</f>
        <v>13</v>
      </c>
      <c r="L138" s="7" t="str">
        <f aca="false">IFERROR(INDEX('Output Utente'!$E$2:$E$492,MATCH(135,'Output Utente'!$Q$2:$Q$492,0)),"")</f>
        <v>NO</v>
      </c>
      <c r="M138" s="7" t="str">
        <f aca="false">IFERROR(INDEX('Output Utente'!$U$2:$U$492,MATCH(135,'Output Utente'!$Q$2:$Q$492,0)),"")</f>
        <v>OK</v>
      </c>
      <c r="N138" s="7" t="str">
        <f aca="false">IFERROR(INDEX('Output Utente'!$AE$2:$AE$492,MATCH(135,'Output Utente'!$Q$2:$Q$492,0)),"")</f>
        <v>🟡 Attesa rischiosa</v>
      </c>
    </row>
    <row r="139" customFormat="false" ht="15" hidden="false" customHeight="true" outlineLevel="0" collapsed="false">
      <c r="A139" s="49" t="n">
        <v>136</v>
      </c>
      <c r="B139" s="7" t="n">
        <f aca="false">IFERROR(INDEX('Output Utente'!$A$2:$A$492,MATCH(136,'Output Utente'!$Q$2:$Q$492,0)),"")</f>
        <v>4364</v>
      </c>
      <c r="C139" s="7" t="str">
        <f aca="false">IFERROR(INDEX('Output Utente'!$B$2:$B$492,MATCH(136,'Output Utente'!$Q$2:$Q$492,0)),"")</f>
        <v>C</v>
      </c>
      <c r="D139" s="7" t="str">
        <f aca="false">IFERROR(INDEX('Output Utente'!$C$2:$C$492,MATCH(136,'Output Utente'!$Q$2:$Q$492,0)),"")</f>
        <v>Gaetano</v>
      </c>
      <c r="E139" s="7" t="str">
        <f aca="false">IFERROR(INDEX('Input Giocatori 2026_27'!$D$3:$D$493,MATCH($B139,'Input Giocatori 2026_27'!$A$3:$A$493,0)),"")</f>
        <v>Atalanta</v>
      </c>
      <c r="F139" s="50" t="n">
        <f aca="false">IFERROR(INDEX('Output Utente'!$N$2:$N$492,MATCH(136,'Output Utente'!$Q$2:$Q$492,0)),"")</f>
        <v>7</v>
      </c>
      <c r="G139" s="50" t="n">
        <f aca="false">IFERROR(INDEX('Output Utente'!$O$2:$O$492,MATCH(136,'Output Utente'!$Q$2:$Q$492,0)),"")</f>
        <v>24</v>
      </c>
      <c r="H139" s="7" t="str">
        <f aca="false">IFERROR(INDEX('Output Utente'!$P$2:$P$492,MATCH(136,'Output Utente'!$Q$2:$Q$492,0)),"")</f>
        <v>Buono</v>
      </c>
      <c r="I139" s="50" t="n">
        <f aca="false">IFERROR(INDEX('Output Utente'!$F$2:$F$492,MATCH(136,'Output Utente'!$Q$2:$Q$492,0)),"")</f>
        <v>13</v>
      </c>
      <c r="J139" s="50" t="n">
        <f aca="false">IFERROR(INDEX('Output Utente'!$G$2:$G$492,MATCH(136,'Output Utente'!$Q$2:$Q$492,0)),"")</f>
        <v>9</v>
      </c>
      <c r="K139" s="50" t="n">
        <f aca="false">IFERROR(INDEX('Output Utente'!$H$2:$H$492,MATCH(136,'Output Utente'!$Q$2:$Q$492,0)),"")</f>
        <v>15</v>
      </c>
      <c r="L139" s="7" t="str">
        <f aca="false">IFERROR(INDEX('Output Utente'!$E$2:$E$492,MATCH(136,'Output Utente'!$Q$2:$Q$492,0)),"")</f>
        <v>NO</v>
      </c>
      <c r="M139" s="7" t="str">
        <f aca="false">IFERROR(INDEX('Output Utente'!$U$2:$U$492,MATCH(136,'Output Utente'!$Q$2:$Q$492,0)),"")</f>
        <v>OK</v>
      </c>
      <c r="N139" s="7" t="str">
        <f aca="false">IFERROR(INDEX('Output Utente'!$AE$2:$AE$492,MATCH(136,'Output Utente'!$Q$2:$Q$492,0)),"")</f>
        <v>🟡 Attesa rischiosa</v>
      </c>
    </row>
    <row r="140" customFormat="false" ht="15" hidden="false" customHeight="true" outlineLevel="0" collapsed="false">
      <c r="A140" s="49" t="n">
        <v>137</v>
      </c>
      <c r="B140" s="7" t="n">
        <f aca="false">IFERROR(INDEX('Output Utente'!$A$2:$A$492,MATCH(137,'Output Utente'!$Q$2:$Q$492,0)),"")</f>
        <v>4359</v>
      </c>
      <c r="C140" s="7" t="str">
        <f aca="false">IFERROR(INDEX('Output Utente'!$B$2:$B$492,MATCH(137,'Output Utente'!$Q$2:$Q$492,0)),"")</f>
        <v>A</v>
      </c>
      <c r="D140" s="7" t="str">
        <f aca="false">IFERROR(INDEX('Output Utente'!$C$2:$C$492,MATCH(137,'Output Utente'!$Q$2:$Q$492,0)),"")</f>
        <v>Piccoli</v>
      </c>
      <c r="E140" s="7" t="str">
        <f aca="false">IFERROR(INDEX('Input Giocatori 2026_27'!$D$3:$D$493,MATCH($B140,'Input Giocatori 2026_27'!$A$3:$A$493,0)),"")</f>
        <v>Fiorentina</v>
      </c>
      <c r="F140" s="50" t="n">
        <f aca="false">IFERROR(INDEX('Output Utente'!$N$2:$N$492,MATCH(137,'Output Utente'!$Q$2:$Q$492,0)),"")</f>
        <v>8</v>
      </c>
      <c r="G140" s="50" t="n">
        <f aca="false">IFERROR(INDEX('Output Utente'!$O$2:$O$492,MATCH(137,'Output Utente'!$Q$2:$Q$492,0)),"")</f>
        <v>24</v>
      </c>
      <c r="H140" s="7" t="str">
        <f aca="false">IFERROR(INDEX('Output Utente'!$P$2:$P$492,MATCH(137,'Output Utente'!$Q$2:$Q$492,0)),"")</f>
        <v>Nella Media</v>
      </c>
      <c r="I140" s="50" t="n">
        <f aca="false">IFERROR(INDEX('Output Utente'!$F$2:$F$492,MATCH(137,'Output Utente'!$Q$2:$Q$492,0)),"")</f>
        <v>21</v>
      </c>
      <c r="J140" s="50" t="n">
        <f aca="false">IFERROR(INDEX('Output Utente'!$G$2:$G$492,MATCH(137,'Output Utente'!$Q$2:$Q$492,0)),"")</f>
        <v>13</v>
      </c>
      <c r="K140" s="50" t="n">
        <f aca="false">IFERROR(INDEX('Output Utente'!$H$2:$H$492,MATCH(137,'Output Utente'!$Q$2:$Q$492,0)),"")</f>
        <v>24</v>
      </c>
      <c r="L140" s="7" t="str">
        <f aca="false">IFERROR(INDEX('Output Utente'!$E$2:$E$492,MATCH(137,'Output Utente'!$Q$2:$Q$492,0)),"")</f>
        <v>NO</v>
      </c>
      <c r="M140" s="7" t="str">
        <f aca="false">IFERROR(INDEX('Output Utente'!$U$2:$U$492,MATCH(137,'Output Utente'!$Q$2:$Q$492,0)),"")</f>
        <v>OK</v>
      </c>
      <c r="N140" s="7" t="str">
        <f aca="false">IFERROR(INDEX('Output Utente'!$AE$2:$AE$492,MATCH(137,'Output Utente'!$Q$2:$Q$492,0)),"")</f>
        <v>🔴 Non aspettare</v>
      </c>
    </row>
    <row r="141" customFormat="false" ht="15" hidden="false" customHeight="true" outlineLevel="0" collapsed="false">
      <c r="A141" s="49" t="n">
        <v>138</v>
      </c>
      <c r="B141" s="7" t="n">
        <f aca="false">IFERROR(INDEX('Output Utente'!$A$2:$A$492,MATCH(138,'Output Utente'!$Q$2:$Q$492,0)),"")</f>
        <v>5436</v>
      </c>
      <c r="C141" s="7" t="str">
        <f aca="false">IFERROR(INDEX('Output Utente'!$B$2:$B$492,MATCH(138,'Output Utente'!$Q$2:$Q$492,0)),"")</f>
        <v>A</v>
      </c>
      <c r="D141" s="7" t="str">
        <f aca="false">IFERROR(INDEX('Output Utente'!$C$2:$C$492,MATCH(138,'Output Utente'!$Q$2:$Q$492,0)),"")</f>
        <v>Raimondo</v>
      </c>
      <c r="E141" s="7" t="str">
        <f aca="false">IFERROR(INDEX('Input Giocatori 2026_27'!$D$3:$D$493,MATCH($B141,'Input Giocatori 2026_27'!$A$3:$A$493,0)),"")</f>
        <v>Frosinone</v>
      </c>
      <c r="F141" s="50" t="n">
        <f aca="false">IFERROR(INDEX('Output Utente'!$N$2:$N$492,MATCH(138,'Output Utente'!$Q$2:$Q$492,0)),"")</f>
        <v>7</v>
      </c>
      <c r="G141" s="50" t="n">
        <f aca="false">IFERROR(INDEX('Output Utente'!$O$2:$O$492,MATCH(138,'Output Utente'!$Q$2:$Q$492,0)),"")</f>
        <v>24</v>
      </c>
      <c r="H141" s="7" t="str">
        <f aca="false">IFERROR(INDEX('Output Utente'!$P$2:$P$492,MATCH(138,'Output Utente'!$Q$2:$Q$492,0)),"")</f>
        <v>Nella Media</v>
      </c>
      <c r="I141" s="50" t="n">
        <f aca="false">IFERROR(INDEX('Output Utente'!$F$2:$F$492,MATCH(138,'Output Utente'!$Q$2:$Q$492,0)),"")</f>
        <v>21</v>
      </c>
      <c r="J141" s="50" t="n">
        <f aca="false">IFERROR(INDEX('Output Utente'!$G$2:$G$492,MATCH(138,'Output Utente'!$Q$2:$Q$492,0)),"")</f>
        <v>13</v>
      </c>
      <c r="K141" s="50" t="n">
        <f aca="false">IFERROR(INDEX('Output Utente'!$H$2:$H$492,MATCH(138,'Output Utente'!$Q$2:$Q$492,0)),"")</f>
        <v>25</v>
      </c>
      <c r="L141" s="7" t="str">
        <f aca="false">IFERROR(INDEX('Output Utente'!$E$2:$E$492,MATCH(138,'Output Utente'!$Q$2:$Q$492,0)),"")</f>
        <v>NO</v>
      </c>
      <c r="M141" s="7" t="str">
        <f aca="false">IFERROR(INDEX('Output Utente'!$U$2:$U$492,MATCH(138,'Output Utente'!$Q$2:$Q$492,0)),"")</f>
        <v>OK</v>
      </c>
      <c r="N141" s="7" t="str">
        <f aca="false">IFERROR(INDEX('Output Utente'!$AE$2:$AE$492,MATCH(138,'Output Utente'!$Q$2:$Q$492,0)),"")</f>
        <v>🔴 Non aspettare</v>
      </c>
    </row>
    <row r="142" customFormat="false" ht="15" hidden="false" customHeight="true" outlineLevel="0" collapsed="false">
      <c r="A142" s="49" t="n">
        <v>139</v>
      </c>
      <c r="B142" s="7" t="n">
        <f aca="false">IFERROR(INDEX('Output Utente'!$A$2:$A$492,MATCH(139,'Output Utente'!$Q$2:$Q$492,0)),"")</f>
        <v>6531</v>
      </c>
      <c r="C142" s="7" t="str">
        <f aca="false">IFERROR(INDEX('Output Utente'!$B$2:$B$492,MATCH(139,'Output Utente'!$Q$2:$Q$492,0)),"")</f>
        <v>D</v>
      </c>
      <c r="D142" s="7" t="str">
        <f aca="false">IFERROR(INDEX('Output Utente'!$C$2:$C$492,MATCH(139,'Output Utente'!$Q$2:$Q$492,0)),"")</f>
        <v>Jimenez A.</v>
      </c>
      <c r="E142" s="7" t="str">
        <f aca="false">IFERROR(INDEX('Input Giocatori 2026_27'!$D$3:$D$493,MATCH($B142,'Input Giocatori 2026_27'!$A$3:$A$493,0)),"")</f>
        <v>Fiorentina</v>
      </c>
      <c r="F142" s="50" t="n">
        <f aca="false">IFERROR(INDEX('Output Utente'!$N$2:$N$492,MATCH(139,'Output Utente'!$Q$2:$Q$492,0)),"")</f>
        <v>8</v>
      </c>
      <c r="G142" s="50" t="n">
        <f aca="false">IFERROR(INDEX('Output Utente'!$O$2:$O$492,MATCH(139,'Output Utente'!$Q$2:$Q$492,0)),"")</f>
        <v>23</v>
      </c>
      <c r="H142" s="7" t="str">
        <f aca="false">IFERROR(INDEX('Output Utente'!$P$2:$P$492,MATCH(139,'Output Utente'!$Q$2:$Q$492,0)),"")</f>
        <v>Buono</v>
      </c>
      <c r="I142" s="50" t="n">
        <f aca="false">IFERROR(INDEX('Output Utente'!$F$2:$F$492,MATCH(139,'Output Utente'!$Q$2:$Q$492,0)),"")</f>
        <v>11</v>
      </c>
      <c r="J142" s="50" t="n">
        <f aca="false">IFERROR(INDEX('Output Utente'!$G$2:$G$492,MATCH(139,'Output Utente'!$Q$2:$Q$492,0)),"")</f>
        <v>8</v>
      </c>
      <c r="K142" s="50" t="n">
        <f aca="false">IFERROR(INDEX('Output Utente'!$H$2:$H$492,MATCH(139,'Output Utente'!$Q$2:$Q$492,0)),"")</f>
        <v>12</v>
      </c>
      <c r="L142" s="7" t="str">
        <f aca="false">IFERROR(INDEX('Output Utente'!$E$2:$E$492,MATCH(139,'Output Utente'!$Q$2:$Q$492,0)),"")</f>
        <v>NO</v>
      </c>
      <c r="M142" s="7" t="str">
        <f aca="false">IFERROR(INDEX('Output Utente'!$U$2:$U$492,MATCH(139,'Output Utente'!$Q$2:$Q$492,0)),"")</f>
        <v>OK</v>
      </c>
      <c r="N142" s="7" t="str">
        <f aca="false">IFERROR(INDEX('Output Utente'!$AE$2:$AE$492,MATCH(139,'Output Utente'!$Q$2:$Q$492,0)),"")</f>
        <v>🟡 Attesa rischiosa</v>
      </c>
    </row>
    <row r="143" customFormat="false" ht="15" hidden="false" customHeight="true" outlineLevel="0" collapsed="false">
      <c r="A143" s="49" t="n">
        <v>140</v>
      </c>
      <c r="B143" s="7" t="n">
        <f aca="false">IFERROR(INDEX('Output Utente'!$A$2:$A$492,MATCH(140,'Output Utente'!$Q$2:$Q$492,0)),"")</f>
        <v>7414</v>
      </c>
      <c r="C143" s="7" t="str">
        <f aca="false">IFERROR(INDEX('Output Utente'!$B$2:$B$492,MATCH(140,'Output Utente'!$Q$2:$Q$492,0)),"")</f>
        <v>D</v>
      </c>
      <c r="D143" s="7" t="str">
        <f aca="false">IFERROR(INDEX('Output Utente'!$C$2:$C$492,MATCH(140,'Output Utente'!$Q$2:$Q$492,0)),"")</f>
        <v>Kaiki</v>
      </c>
      <c r="E143" s="7" t="str">
        <f aca="false">IFERROR(INDEX('Input Giocatori 2026_27'!$D$3:$D$493,MATCH($B143,'Input Giocatori 2026_27'!$A$3:$A$493,0)),"")</f>
        <v>Como</v>
      </c>
      <c r="F143" s="50" t="n">
        <f aca="false">IFERROR(INDEX('Output Utente'!$N$2:$N$492,MATCH(140,'Output Utente'!$Q$2:$Q$492,0)),"")</f>
        <v>7</v>
      </c>
      <c r="G143" s="50" t="n">
        <f aca="false">IFERROR(INDEX('Output Utente'!$O$2:$O$492,MATCH(140,'Output Utente'!$Q$2:$Q$492,0)),"")</f>
        <v>23</v>
      </c>
      <c r="H143" s="7" t="str">
        <f aca="false">IFERROR(INDEX('Output Utente'!$P$2:$P$492,MATCH(140,'Output Utente'!$Q$2:$Q$492,0)),"")</f>
        <v>Buono</v>
      </c>
      <c r="I143" s="50" t="n">
        <f aca="false">IFERROR(INDEX('Output Utente'!$F$2:$F$492,MATCH(140,'Output Utente'!$Q$2:$Q$492,0)),"")</f>
        <v>11</v>
      </c>
      <c r="J143" s="50" t="n">
        <f aca="false">IFERROR(INDEX('Output Utente'!$G$2:$G$492,MATCH(140,'Output Utente'!$Q$2:$Q$492,0)),"")</f>
        <v>8</v>
      </c>
      <c r="K143" s="50" t="n">
        <f aca="false">IFERROR(INDEX('Output Utente'!$H$2:$H$492,MATCH(140,'Output Utente'!$Q$2:$Q$492,0)),"")</f>
        <v>12</v>
      </c>
      <c r="L143" s="7" t="str">
        <f aca="false">IFERROR(INDEX('Output Utente'!$E$2:$E$492,MATCH(140,'Output Utente'!$Q$2:$Q$492,0)),"")</f>
        <v>NO</v>
      </c>
      <c r="M143" s="7" t="str">
        <f aca="false">IFERROR(INDEX('Output Utente'!$U$2:$U$492,MATCH(140,'Output Utente'!$Q$2:$Q$492,0)),"")</f>
        <v>OK</v>
      </c>
      <c r="N143" s="7" t="str">
        <f aca="false">IFERROR(INDEX('Output Utente'!$AE$2:$AE$492,MATCH(140,'Output Utente'!$Q$2:$Q$492,0)),"")</f>
        <v>🟡 Attesa rischiosa</v>
      </c>
    </row>
    <row r="144" customFormat="false" ht="15" hidden="false" customHeight="true" outlineLevel="0" collapsed="false">
      <c r="A144" s="49" t="n">
        <v>141</v>
      </c>
      <c r="B144" s="7" t="n">
        <f aca="false">IFERROR(INDEX('Output Utente'!$A$2:$A$492,MATCH(141,'Output Utente'!$Q$2:$Q$492,0)),"")</f>
        <v>4401</v>
      </c>
      <c r="C144" s="7" t="str">
        <f aca="false">IFERROR(INDEX('Output Utente'!$B$2:$B$492,MATCH(141,'Output Utente'!$Q$2:$Q$492,0)),"")</f>
        <v>D</v>
      </c>
      <c r="D144" s="7" t="str">
        <f aca="false">IFERROR(INDEX('Output Utente'!$C$2:$C$492,MATCH(141,'Output Utente'!$Q$2:$Q$492,0)),"")</f>
        <v>Gabbia</v>
      </c>
      <c r="E144" s="7" t="str">
        <f aca="false">IFERROR(INDEX('Input Giocatori 2026_27'!$D$3:$D$493,MATCH($B144,'Input Giocatori 2026_27'!$A$3:$A$493,0)),"")</f>
        <v>Milan</v>
      </c>
      <c r="F144" s="50" t="n">
        <f aca="false">IFERROR(INDEX('Output Utente'!$N$2:$N$492,MATCH(141,'Output Utente'!$Q$2:$Q$492,0)),"")</f>
        <v>7</v>
      </c>
      <c r="G144" s="50" t="n">
        <f aca="false">IFERROR(INDEX('Output Utente'!$O$2:$O$492,MATCH(141,'Output Utente'!$Q$2:$Q$492,0)),"")</f>
        <v>23</v>
      </c>
      <c r="H144" s="7" t="str">
        <f aca="false">IFERROR(INDEX('Output Utente'!$P$2:$P$492,MATCH(141,'Output Utente'!$Q$2:$Q$492,0)),"")</f>
        <v>Buono</v>
      </c>
      <c r="I144" s="50" t="n">
        <f aca="false">IFERROR(INDEX('Output Utente'!$F$2:$F$492,MATCH(141,'Output Utente'!$Q$2:$Q$492,0)),"")</f>
        <v>11</v>
      </c>
      <c r="J144" s="50" t="n">
        <f aca="false">IFERROR(INDEX('Output Utente'!$G$2:$G$492,MATCH(141,'Output Utente'!$Q$2:$Q$492,0)),"")</f>
        <v>8</v>
      </c>
      <c r="K144" s="50" t="n">
        <f aca="false">IFERROR(INDEX('Output Utente'!$H$2:$H$492,MATCH(141,'Output Utente'!$Q$2:$Q$492,0)),"")</f>
        <v>12</v>
      </c>
      <c r="L144" s="7" t="str">
        <f aca="false">IFERROR(INDEX('Output Utente'!$E$2:$E$492,MATCH(141,'Output Utente'!$Q$2:$Q$492,0)),"")</f>
        <v>NO</v>
      </c>
      <c r="M144" s="7" t="str">
        <f aca="false">IFERROR(INDEX('Output Utente'!$U$2:$U$492,MATCH(141,'Output Utente'!$Q$2:$Q$492,0)),"")</f>
        <v>OK</v>
      </c>
      <c r="N144" s="7" t="str">
        <f aca="false">IFERROR(INDEX('Output Utente'!$AE$2:$AE$492,MATCH(141,'Output Utente'!$Q$2:$Q$492,0)),"")</f>
        <v>🟡 Attesa rischiosa</v>
      </c>
    </row>
    <row r="145" customFormat="false" ht="15" hidden="false" customHeight="true" outlineLevel="0" collapsed="false">
      <c r="A145" s="49" t="n">
        <v>142</v>
      </c>
      <c r="B145" s="7" t="n">
        <f aca="false">IFERROR(INDEX('Output Utente'!$A$2:$A$492,MATCH(142,'Output Utente'!$Q$2:$Q$492,0)),"")</f>
        <v>4465</v>
      </c>
      <c r="C145" s="7" t="str">
        <f aca="false">IFERROR(INDEX('Output Utente'!$B$2:$B$492,MATCH(142,'Output Utente'!$Q$2:$Q$492,0)),"")</f>
        <v>C</v>
      </c>
      <c r="D145" s="7" t="str">
        <f aca="false">IFERROR(INDEX('Output Utente'!$C$2:$C$492,MATCH(142,'Output Utente'!$Q$2:$Q$492,0)),"")</f>
        <v>Fagioli</v>
      </c>
      <c r="E145" s="7" t="str">
        <f aca="false">IFERROR(INDEX('Input Giocatori 2026_27'!$D$3:$D$493,MATCH($B145,'Input Giocatori 2026_27'!$A$3:$A$493,0)),"")</f>
        <v>Fiorentina</v>
      </c>
      <c r="F145" s="50" t="n">
        <f aca="false">IFERROR(INDEX('Output Utente'!$N$2:$N$492,MATCH(142,'Output Utente'!$Q$2:$Q$492,0)),"")</f>
        <v>8</v>
      </c>
      <c r="G145" s="50" t="n">
        <f aca="false">IFERROR(INDEX('Output Utente'!$O$2:$O$492,MATCH(142,'Output Utente'!$Q$2:$Q$492,0)),"")</f>
        <v>23</v>
      </c>
      <c r="H145" s="7" t="str">
        <f aca="false">IFERROR(INDEX('Output Utente'!$P$2:$P$492,MATCH(142,'Output Utente'!$Q$2:$Q$492,0)),"")</f>
        <v>Buono</v>
      </c>
      <c r="I145" s="50" t="n">
        <f aca="false">IFERROR(INDEX('Output Utente'!$F$2:$F$492,MATCH(142,'Output Utente'!$Q$2:$Q$492,0)),"")</f>
        <v>13</v>
      </c>
      <c r="J145" s="50" t="n">
        <f aca="false">IFERROR(INDEX('Output Utente'!$G$2:$G$492,MATCH(142,'Output Utente'!$Q$2:$Q$492,0)),"")</f>
        <v>9</v>
      </c>
      <c r="K145" s="50" t="n">
        <f aca="false">IFERROR(INDEX('Output Utente'!$H$2:$H$492,MATCH(142,'Output Utente'!$Q$2:$Q$492,0)),"")</f>
        <v>14</v>
      </c>
      <c r="L145" s="7" t="str">
        <f aca="false">IFERROR(INDEX('Output Utente'!$E$2:$E$492,MATCH(142,'Output Utente'!$Q$2:$Q$492,0)),"")</f>
        <v>NO</v>
      </c>
      <c r="M145" s="7" t="str">
        <f aca="false">IFERROR(INDEX('Output Utente'!$U$2:$U$492,MATCH(142,'Output Utente'!$Q$2:$Q$492,0)),"")</f>
        <v>OK</v>
      </c>
      <c r="N145" s="7" t="str">
        <f aca="false">IFERROR(INDEX('Output Utente'!$AE$2:$AE$492,MATCH(142,'Output Utente'!$Q$2:$Q$492,0)),"")</f>
        <v>🟡 Attesa rischiosa</v>
      </c>
    </row>
    <row r="146" customFormat="false" ht="15" hidden="false" customHeight="true" outlineLevel="0" collapsed="false">
      <c r="A146" s="49" t="n">
        <v>143</v>
      </c>
      <c r="B146" s="7" t="n">
        <f aca="false">IFERROR(INDEX('Output Utente'!$A$2:$A$492,MATCH(143,'Output Utente'!$Q$2:$Q$492,0)),"")</f>
        <v>5735</v>
      </c>
      <c r="C146" s="7" t="str">
        <f aca="false">IFERROR(INDEX('Output Utente'!$B$2:$B$492,MATCH(143,'Output Utente'!$Q$2:$Q$492,0)),"")</f>
        <v>C</v>
      </c>
      <c r="D146" s="7" t="str">
        <f aca="false">IFERROR(INDEX('Output Utente'!$C$2:$C$492,MATCH(143,'Output Utente'!$Q$2:$Q$492,0)),"")</f>
        <v>Volpato</v>
      </c>
      <c r="E146" s="7" t="str">
        <f aca="false">IFERROR(INDEX('Input Giocatori 2026_27'!$D$3:$D$493,MATCH($B146,'Input Giocatori 2026_27'!$A$3:$A$493,0)),"")</f>
        <v>Sassuolo</v>
      </c>
      <c r="F146" s="50" t="n">
        <f aca="false">IFERROR(INDEX('Output Utente'!$N$2:$N$492,MATCH(143,'Output Utente'!$Q$2:$Q$492,0)),"")</f>
        <v>7</v>
      </c>
      <c r="G146" s="50" t="n">
        <f aca="false">IFERROR(INDEX('Output Utente'!$O$2:$O$492,MATCH(143,'Output Utente'!$Q$2:$Q$492,0)),"")</f>
        <v>23</v>
      </c>
      <c r="H146" s="7" t="str">
        <f aca="false">IFERROR(INDEX('Output Utente'!$P$2:$P$492,MATCH(143,'Output Utente'!$Q$2:$Q$492,0)),"")</f>
        <v>Buono</v>
      </c>
      <c r="I146" s="50" t="n">
        <f aca="false">IFERROR(INDEX('Output Utente'!$F$2:$F$492,MATCH(143,'Output Utente'!$Q$2:$Q$492,0)),"")</f>
        <v>13</v>
      </c>
      <c r="J146" s="50" t="n">
        <f aca="false">IFERROR(INDEX('Output Utente'!$G$2:$G$492,MATCH(143,'Output Utente'!$Q$2:$Q$492,0)),"")</f>
        <v>9</v>
      </c>
      <c r="K146" s="50" t="n">
        <f aca="false">IFERROR(INDEX('Output Utente'!$H$2:$H$492,MATCH(143,'Output Utente'!$Q$2:$Q$492,0)),"")</f>
        <v>14</v>
      </c>
      <c r="L146" s="7" t="str">
        <f aca="false">IFERROR(INDEX('Output Utente'!$E$2:$E$492,MATCH(143,'Output Utente'!$Q$2:$Q$492,0)),"")</f>
        <v>NO</v>
      </c>
      <c r="M146" s="7" t="str">
        <f aca="false">IFERROR(INDEX('Output Utente'!$U$2:$U$492,MATCH(143,'Output Utente'!$Q$2:$Q$492,0)),"")</f>
        <v>OK</v>
      </c>
      <c r="N146" s="7" t="str">
        <f aca="false">IFERROR(INDEX('Output Utente'!$AE$2:$AE$492,MATCH(143,'Output Utente'!$Q$2:$Q$492,0)),"")</f>
        <v>🟡 Attesa rischiosa</v>
      </c>
    </row>
    <row r="147" customFormat="false" ht="15" hidden="false" customHeight="true" outlineLevel="0" collapsed="false">
      <c r="A147" s="49" t="n">
        <v>144</v>
      </c>
      <c r="B147" s="7" t="n">
        <f aca="false">IFERROR(INDEX('Output Utente'!$A$2:$A$492,MATCH(144,'Output Utente'!$Q$2:$Q$492,0)),"")</f>
        <v>6783</v>
      </c>
      <c r="C147" s="7" t="str">
        <f aca="false">IFERROR(INDEX('Output Utente'!$B$2:$B$492,MATCH(144,'Output Utente'!$Q$2:$Q$492,0)),"")</f>
        <v>C</v>
      </c>
      <c r="D147" s="7" t="str">
        <f aca="false">IFERROR(INDEX('Output Utente'!$C$2:$C$492,MATCH(144,'Output Utente'!$Q$2:$Q$492,0)),"")</f>
        <v>Unai Gomez</v>
      </c>
      <c r="E147" s="7" t="str">
        <f aca="false">IFERROR(INDEX('Input Giocatori 2026_27'!$D$3:$D$493,MATCH($B147,'Input Giocatori 2026_27'!$A$3:$A$493,0)),"")</f>
        <v>Udinese</v>
      </c>
      <c r="F147" s="50" t="n">
        <f aca="false">IFERROR(INDEX('Output Utente'!$N$2:$N$492,MATCH(144,'Output Utente'!$Q$2:$Q$492,0)),"")</f>
        <v>7</v>
      </c>
      <c r="G147" s="50" t="n">
        <f aca="false">IFERROR(INDEX('Output Utente'!$O$2:$O$492,MATCH(144,'Output Utente'!$Q$2:$Q$492,0)),"")</f>
        <v>23</v>
      </c>
      <c r="H147" s="7" t="str">
        <f aca="false">IFERROR(INDEX('Output Utente'!$P$2:$P$492,MATCH(144,'Output Utente'!$Q$2:$Q$492,0)),"")</f>
        <v>Buono</v>
      </c>
      <c r="I147" s="50" t="n">
        <f aca="false">IFERROR(INDEX('Output Utente'!$F$2:$F$492,MATCH(144,'Output Utente'!$Q$2:$Q$492,0)),"")</f>
        <v>13</v>
      </c>
      <c r="J147" s="50" t="n">
        <f aca="false">IFERROR(INDEX('Output Utente'!$G$2:$G$492,MATCH(144,'Output Utente'!$Q$2:$Q$492,0)),"")</f>
        <v>9</v>
      </c>
      <c r="K147" s="50" t="n">
        <f aca="false">IFERROR(INDEX('Output Utente'!$H$2:$H$492,MATCH(144,'Output Utente'!$Q$2:$Q$492,0)),"")</f>
        <v>14</v>
      </c>
      <c r="L147" s="7" t="str">
        <f aca="false">IFERROR(INDEX('Output Utente'!$E$2:$E$492,MATCH(144,'Output Utente'!$Q$2:$Q$492,0)),"")</f>
        <v>NO</v>
      </c>
      <c r="M147" s="7" t="str">
        <f aca="false">IFERROR(INDEX('Output Utente'!$U$2:$U$492,MATCH(144,'Output Utente'!$Q$2:$Q$492,0)),"")</f>
        <v>OK</v>
      </c>
      <c r="N147" s="7" t="str">
        <f aca="false">IFERROR(INDEX('Output Utente'!$AE$2:$AE$492,MATCH(144,'Output Utente'!$Q$2:$Q$492,0)),"")</f>
        <v>🟡 Attesa rischiosa</v>
      </c>
    </row>
    <row r="148" customFormat="false" ht="15" hidden="false" customHeight="true" outlineLevel="0" collapsed="false">
      <c r="A148" s="49" t="n">
        <v>145</v>
      </c>
      <c r="B148" s="7" t="n">
        <f aca="false">IFERROR(INDEX('Output Utente'!$A$2:$A$492,MATCH(145,'Output Utente'!$Q$2:$Q$492,0)),"")</f>
        <v>4686</v>
      </c>
      <c r="C148" s="7" t="str">
        <f aca="false">IFERROR(INDEX('Output Utente'!$B$2:$B$492,MATCH(145,'Output Utente'!$Q$2:$Q$492,0)),"")</f>
        <v>C</v>
      </c>
      <c r="D148" s="7" t="str">
        <f aca="false">IFERROR(INDEX('Output Utente'!$C$2:$C$492,MATCH(145,'Output Utente'!$Q$2:$Q$492,0)),"")</f>
        <v>Fofana Y.</v>
      </c>
      <c r="E148" s="7" t="str">
        <f aca="false">IFERROR(INDEX('Input Giocatori 2026_27'!$D$3:$D$493,MATCH($B148,'Input Giocatori 2026_27'!$A$3:$A$493,0)),"")</f>
        <v>Milan</v>
      </c>
      <c r="F148" s="50" t="n">
        <f aca="false">IFERROR(INDEX('Output Utente'!$N$2:$N$492,MATCH(145,'Output Utente'!$Q$2:$Q$492,0)),"")</f>
        <v>5</v>
      </c>
      <c r="G148" s="50" t="n">
        <f aca="false">IFERROR(INDEX('Output Utente'!$O$2:$O$492,MATCH(145,'Output Utente'!$Q$2:$Q$492,0)),"")</f>
        <v>23</v>
      </c>
      <c r="H148" s="7" t="str">
        <f aca="false">IFERROR(INDEX('Output Utente'!$P$2:$P$492,MATCH(145,'Output Utente'!$Q$2:$Q$492,0)),"")</f>
        <v>Buono</v>
      </c>
      <c r="I148" s="50" t="n">
        <f aca="false">IFERROR(INDEX('Output Utente'!$F$2:$F$492,MATCH(145,'Output Utente'!$Q$2:$Q$492,0)),"")</f>
        <v>13</v>
      </c>
      <c r="J148" s="50" t="n">
        <f aca="false">IFERROR(INDEX('Output Utente'!$G$2:$G$492,MATCH(145,'Output Utente'!$Q$2:$Q$492,0)),"")</f>
        <v>9</v>
      </c>
      <c r="K148" s="50" t="n">
        <f aca="false">IFERROR(INDEX('Output Utente'!$H$2:$H$492,MATCH(145,'Output Utente'!$Q$2:$Q$492,0)),"")</f>
        <v>14</v>
      </c>
      <c r="L148" s="7" t="str">
        <f aca="false">IFERROR(INDEX('Output Utente'!$E$2:$E$492,MATCH(145,'Output Utente'!$Q$2:$Q$492,0)),"")</f>
        <v>NO</v>
      </c>
      <c r="M148" s="7" t="str">
        <f aca="false">IFERROR(INDEX('Output Utente'!$U$2:$U$492,MATCH(145,'Output Utente'!$Q$2:$Q$492,0)),"")</f>
        <v>OK</v>
      </c>
      <c r="N148" s="7" t="str">
        <f aca="false">IFERROR(INDEX('Output Utente'!$AE$2:$AE$492,MATCH(145,'Output Utente'!$Q$2:$Q$492,0)),"")</f>
        <v>🟡 Attesa rischiosa</v>
      </c>
    </row>
    <row r="149" customFormat="false" ht="15" hidden="false" customHeight="true" outlineLevel="0" collapsed="false">
      <c r="A149" s="49" t="n">
        <v>146</v>
      </c>
      <c r="B149" s="7" t="n">
        <f aca="false">IFERROR(INDEX('Output Utente'!$A$2:$A$492,MATCH(146,'Output Utente'!$Q$2:$Q$492,0)),"")</f>
        <v>6643</v>
      </c>
      <c r="C149" s="7" t="str">
        <f aca="false">IFERROR(INDEX('Output Utente'!$B$2:$B$492,MATCH(146,'Output Utente'!$Q$2:$Q$492,0)),"")</f>
        <v>A</v>
      </c>
      <c r="D149" s="7" t="str">
        <f aca="false">IFERROR(INDEX('Output Utente'!$C$2:$C$492,MATCH(146,'Output Utente'!$Q$2:$Q$492,0)),"")</f>
        <v>Dallinga</v>
      </c>
      <c r="E149" s="7" t="str">
        <f aca="false">IFERROR(INDEX('Input Giocatori 2026_27'!$D$3:$D$493,MATCH($B149,'Input Giocatori 2026_27'!$A$3:$A$493,0)),"")</f>
        <v>Bologna</v>
      </c>
      <c r="F149" s="50" t="n">
        <f aca="false">IFERROR(INDEX('Output Utente'!$N$2:$N$492,MATCH(146,'Output Utente'!$Q$2:$Q$492,0)),"")</f>
        <v>8</v>
      </c>
      <c r="G149" s="50" t="n">
        <f aca="false">IFERROR(INDEX('Output Utente'!$O$2:$O$492,MATCH(146,'Output Utente'!$Q$2:$Q$492,0)),"")</f>
        <v>23</v>
      </c>
      <c r="H149" s="7" t="str">
        <f aca="false">IFERROR(INDEX('Output Utente'!$P$2:$P$492,MATCH(146,'Output Utente'!$Q$2:$Q$492,0)),"")</f>
        <v>Nella Media</v>
      </c>
      <c r="I149" s="50" t="n">
        <f aca="false">IFERROR(INDEX('Output Utente'!$F$2:$F$492,MATCH(146,'Output Utente'!$Q$2:$Q$492,0)),"")</f>
        <v>20</v>
      </c>
      <c r="J149" s="50" t="n">
        <f aca="false">IFERROR(INDEX('Output Utente'!$G$2:$G$492,MATCH(146,'Output Utente'!$Q$2:$Q$492,0)),"")</f>
        <v>13</v>
      </c>
      <c r="K149" s="50" t="n">
        <f aca="false">IFERROR(INDEX('Output Utente'!$H$2:$H$492,MATCH(146,'Output Utente'!$Q$2:$Q$492,0)),"")</f>
        <v>23</v>
      </c>
      <c r="L149" s="7" t="str">
        <f aca="false">IFERROR(INDEX('Output Utente'!$E$2:$E$492,MATCH(146,'Output Utente'!$Q$2:$Q$492,0)),"")</f>
        <v>NO</v>
      </c>
      <c r="M149" s="7" t="str">
        <f aca="false">IFERROR(INDEX('Output Utente'!$U$2:$U$492,MATCH(146,'Output Utente'!$Q$2:$Q$492,0)),"")</f>
        <v>OK</v>
      </c>
      <c r="N149" s="7" t="str">
        <f aca="false">IFERROR(INDEX('Output Utente'!$AE$2:$AE$492,MATCH(146,'Output Utente'!$Q$2:$Q$492,0)),"")</f>
        <v>🔴 Non aspettare</v>
      </c>
    </row>
    <row r="150" customFormat="false" ht="15" hidden="false" customHeight="true" outlineLevel="0" collapsed="false">
      <c r="A150" s="49" t="n">
        <v>147</v>
      </c>
      <c r="B150" s="7" t="n">
        <f aca="false">IFERROR(INDEX('Output Utente'!$A$2:$A$492,MATCH(147,'Output Utente'!$Q$2:$Q$492,0)),"")</f>
        <v>6814</v>
      </c>
      <c r="C150" s="7" t="str">
        <f aca="false">IFERROR(INDEX('Output Utente'!$B$2:$B$492,MATCH(147,'Output Utente'!$Q$2:$Q$492,0)),"")</f>
        <v>D</v>
      </c>
      <c r="D150" s="7" t="str">
        <f aca="false">IFERROR(INDEX('Output Utente'!$C$2:$C$492,MATCH(147,'Output Utente'!$Q$2:$Q$492,0)),"")</f>
        <v>Norton-Cuffy</v>
      </c>
      <c r="E150" s="7" t="str">
        <f aca="false">IFERROR(INDEX('Input Giocatori 2026_27'!$D$3:$D$493,MATCH($B150,'Input Giocatori 2026_27'!$A$3:$A$493,0)),"")</f>
        <v>Genoa</v>
      </c>
      <c r="F150" s="50" t="n">
        <f aca="false">IFERROR(INDEX('Output Utente'!$N$2:$N$492,MATCH(147,'Output Utente'!$Q$2:$Q$492,0)),"")</f>
        <v>8</v>
      </c>
      <c r="G150" s="50" t="n">
        <f aca="false">IFERROR(INDEX('Output Utente'!$O$2:$O$492,MATCH(147,'Output Utente'!$Q$2:$Q$492,0)),"")</f>
        <v>22</v>
      </c>
      <c r="H150" s="7" t="str">
        <f aca="false">IFERROR(INDEX('Output Utente'!$P$2:$P$492,MATCH(147,'Output Utente'!$Q$2:$Q$492,0)),"")</f>
        <v>Buono</v>
      </c>
      <c r="I150" s="50" t="n">
        <f aca="false">IFERROR(INDEX('Output Utente'!$F$2:$F$492,MATCH(147,'Output Utente'!$Q$2:$Q$492,0)),"")</f>
        <v>11</v>
      </c>
      <c r="J150" s="50" t="n">
        <f aca="false">IFERROR(INDEX('Output Utente'!$G$2:$G$492,MATCH(147,'Output Utente'!$Q$2:$Q$492,0)),"")</f>
        <v>8</v>
      </c>
      <c r="K150" s="50" t="n">
        <f aca="false">IFERROR(INDEX('Output Utente'!$H$2:$H$492,MATCH(147,'Output Utente'!$Q$2:$Q$492,0)),"")</f>
        <v>12</v>
      </c>
      <c r="L150" s="7" t="str">
        <f aca="false">IFERROR(INDEX('Output Utente'!$E$2:$E$492,MATCH(147,'Output Utente'!$Q$2:$Q$492,0)),"")</f>
        <v>NO</v>
      </c>
      <c r="M150" s="7" t="str">
        <f aca="false">IFERROR(INDEX('Output Utente'!$U$2:$U$492,MATCH(147,'Output Utente'!$Q$2:$Q$492,0)),"")</f>
        <v>OK</v>
      </c>
      <c r="N150" s="7" t="str">
        <f aca="false">IFERROR(INDEX('Output Utente'!$AE$2:$AE$492,MATCH(147,'Output Utente'!$Q$2:$Q$492,0)),"")</f>
        <v>🟡 Attesa rischiosa</v>
      </c>
    </row>
    <row r="151" customFormat="false" ht="15" hidden="false" customHeight="true" outlineLevel="0" collapsed="false">
      <c r="A151" s="49" t="n">
        <v>148</v>
      </c>
      <c r="B151" s="7" t="n">
        <f aca="false">IFERROR(INDEX('Output Utente'!$A$2:$A$492,MATCH(148,'Output Utente'!$Q$2:$Q$492,0)),"")</f>
        <v>6320</v>
      </c>
      <c r="C151" s="7" t="str">
        <f aca="false">IFERROR(INDEX('Output Utente'!$B$2:$B$492,MATCH(148,'Output Utente'!$Q$2:$Q$492,0)),"")</f>
        <v>D</v>
      </c>
      <c r="D151" s="7" t="str">
        <f aca="false">IFERROR(INDEX('Output Utente'!$C$2:$C$492,MATCH(148,'Output Utente'!$Q$2:$Q$492,0)),"")</f>
        <v>Doekhi</v>
      </c>
      <c r="E151" s="7" t="str">
        <f aca="false">IFERROR(INDEX('Input Giocatori 2026_27'!$D$3:$D$493,MATCH($B151,'Input Giocatori 2026_27'!$A$3:$A$493,0)),"")</f>
        <v>Lazio</v>
      </c>
      <c r="F151" s="50" t="n">
        <f aca="false">IFERROR(INDEX('Output Utente'!$N$2:$N$492,MATCH(148,'Output Utente'!$Q$2:$Q$492,0)),"")</f>
        <v>7</v>
      </c>
      <c r="G151" s="50" t="n">
        <f aca="false">IFERROR(INDEX('Output Utente'!$O$2:$O$492,MATCH(148,'Output Utente'!$Q$2:$Q$492,0)),"")</f>
        <v>22</v>
      </c>
      <c r="H151" s="7" t="str">
        <f aca="false">IFERROR(INDEX('Output Utente'!$P$2:$P$492,MATCH(148,'Output Utente'!$Q$2:$Q$492,0)),"")</f>
        <v>Buono</v>
      </c>
      <c r="I151" s="50" t="n">
        <f aca="false">IFERROR(INDEX('Output Utente'!$F$2:$F$492,MATCH(148,'Output Utente'!$Q$2:$Q$492,0)),"")</f>
        <v>11</v>
      </c>
      <c r="J151" s="50" t="n">
        <f aca="false">IFERROR(INDEX('Output Utente'!$G$2:$G$492,MATCH(148,'Output Utente'!$Q$2:$Q$492,0)),"")</f>
        <v>8</v>
      </c>
      <c r="K151" s="50" t="n">
        <f aca="false">IFERROR(INDEX('Output Utente'!$H$2:$H$492,MATCH(148,'Output Utente'!$Q$2:$Q$492,0)),"")</f>
        <v>12</v>
      </c>
      <c r="L151" s="7" t="str">
        <f aca="false">IFERROR(INDEX('Output Utente'!$E$2:$E$492,MATCH(148,'Output Utente'!$Q$2:$Q$492,0)),"")</f>
        <v>NO</v>
      </c>
      <c r="M151" s="7" t="str">
        <f aca="false">IFERROR(INDEX('Output Utente'!$U$2:$U$492,MATCH(148,'Output Utente'!$Q$2:$Q$492,0)),"")</f>
        <v>OK</v>
      </c>
      <c r="N151" s="7" t="str">
        <f aca="false">IFERROR(INDEX('Output Utente'!$AE$2:$AE$492,MATCH(148,'Output Utente'!$Q$2:$Q$492,0)),"")</f>
        <v>🟡 Attesa rischiosa</v>
      </c>
    </row>
    <row r="152" customFormat="false" ht="15" hidden="false" customHeight="true" outlineLevel="0" collapsed="false">
      <c r="A152" s="49" t="n">
        <v>149</v>
      </c>
      <c r="B152" s="7" t="n">
        <f aca="false">IFERROR(INDEX('Output Utente'!$A$2:$A$492,MATCH(149,'Output Utente'!$Q$2:$Q$492,0)),"")</f>
        <v>2765</v>
      </c>
      <c r="C152" s="7" t="str">
        <f aca="false">IFERROR(INDEX('Output Utente'!$B$2:$B$492,MATCH(149,'Output Utente'!$Q$2:$Q$492,0)),"")</f>
        <v>C</v>
      </c>
      <c r="D152" s="7" t="str">
        <f aca="false">IFERROR(INDEX('Output Utente'!$C$2:$C$492,MATCH(149,'Output Utente'!$Q$2:$Q$492,0)),"")</f>
        <v>Odgaard</v>
      </c>
      <c r="E152" s="7" t="str">
        <f aca="false">IFERROR(INDEX('Input Giocatori 2026_27'!$D$3:$D$493,MATCH($B152,'Input Giocatori 2026_27'!$A$3:$A$493,0)),"")</f>
        <v>Bologna</v>
      </c>
      <c r="F152" s="50" t="n">
        <f aca="false">IFERROR(INDEX('Output Utente'!$N$2:$N$492,MATCH(149,'Output Utente'!$Q$2:$Q$492,0)),"")</f>
        <v>8</v>
      </c>
      <c r="G152" s="50" t="n">
        <f aca="false">IFERROR(INDEX('Output Utente'!$O$2:$O$492,MATCH(149,'Output Utente'!$Q$2:$Q$492,0)),"")</f>
        <v>22</v>
      </c>
      <c r="H152" s="7" t="str">
        <f aca="false">IFERROR(INDEX('Output Utente'!$P$2:$P$492,MATCH(149,'Output Utente'!$Q$2:$Q$492,0)),"")</f>
        <v>Buono</v>
      </c>
      <c r="I152" s="50" t="n">
        <f aca="false">IFERROR(INDEX('Output Utente'!$F$2:$F$492,MATCH(149,'Output Utente'!$Q$2:$Q$492,0)),"")</f>
        <v>12</v>
      </c>
      <c r="J152" s="50" t="n">
        <f aca="false">IFERROR(INDEX('Output Utente'!$G$2:$G$492,MATCH(149,'Output Utente'!$Q$2:$Q$492,0)),"")</f>
        <v>8</v>
      </c>
      <c r="K152" s="50" t="n">
        <f aca="false">IFERROR(INDEX('Output Utente'!$H$2:$H$492,MATCH(149,'Output Utente'!$Q$2:$Q$492,0)),"")</f>
        <v>14</v>
      </c>
      <c r="L152" s="7" t="str">
        <f aca="false">IFERROR(INDEX('Output Utente'!$E$2:$E$492,MATCH(149,'Output Utente'!$Q$2:$Q$492,0)),"")</f>
        <v>NO</v>
      </c>
      <c r="M152" s="7" t="str">
        <f aca="false">IFERROR(INDEX('Output Utente'!$U$2:$U$492,MATCH(149,'Output Utente'!$Q$2:$Q$492,0)),"")</f>
        <v>OK</v>
      </c>
      <c r="N152" s="7" t="str">
        <f aca="false">IFERROR(INDEX('Output Utente'!$AE$2:$AE$492,MATCH(149,'Output Utente'!$Q$2:$Q$492,0)),"")</f>
        <v>🟡 Attesa rischiosa</v>
      </c>
    </row>
    <row r="153" customFormat="false" ht="15" hidden="false" customHeight="true" outlineLevel="0" collapsed="false">
      <c r="A153" s="49" t="n">
        <v>150</v>
      </c>
      <c r="B153" s="7" t="n">
        <f aca="false">IFERROR(INDEX('Output Utente'!$A$2:$A$492,MATCH(150,'Output Utente'!$Q$2:$Q$492,0)),"")</f>
        <v>6678</v>
      </c>
      <c r="C153" s="7" t="str">
        <f aca="false">IFERROR(INDEX('Output Utente'!$B$2:$B$492,MATCH(150,'Output Utente'!$Q$2:$Q$492,0)),"")</f>
        <v>C</v>
      </c>
      <c r="D153" s="7" t="str">
        <f aca="false">IFERROR(INDEX('Output Utente'!$C$2:$C$492,MATCH(150,'Output Utente'!$Q$2:$Q$492,0)),"")</f>
        <v>Liberali</v>
      </c>
      <c r="E153" s="7" t="str">
        <f aca="false">IFERROR(INDEX('Input Giocatori 2026_27'!$D$3:$D$493,MATCH($B153,'Input Giocatori 2026_27'!$A$3:$A$493,0)),"")</f>
        <v>Como</v>
      </c>
      <c r="F153" s="50" t="n">
        <f aca="false">IFERROR(INDEX('Output Utente'!$N$2:$N$492,MATCH(150,'Output Utente'!$Q$2:$Q$492,0)),"")</f>
        <v>6</v>
      </c>
      <c r="G153" s="50" t="n">
        <f aca="false">IFERROR(INDEX('Output Utente'!$O$2:$O$492,MATCH(150,'Output Utente'!$Q$2:$Q$492,0)),"")</f>
        <v>22</v>
      </c>
      <c r="H153" s="7" t="str">
        <f aca="false">IFERROR(INDEX('Output Utente'!$P$2:$P$492,MATCH(150,'Output Utente'!$Q$2:$Q$492,0)),"")</f>
        <v>Buono</v>
      </c>
      <c r="I153" s="50" t="n">
        <f aca="false">IFERROR(INDEX('Output Utente'!$F$2:$F$492,MATCH(150,'Output Utente'!$Q$2:$Q$492,0)),"")</f>
        <v>12</v>
      </c>
      <c r="J153" s="50" t="n">
        <f aca="false">IFERROR(INDEX('Output Utente'!$G$2:$G$492,MATCH(150,'Output Utente'!$Q$2:$Q$492,0)),"")</f>
        <v>8</v>
      </c>
      <c r="K153" s="50" t="n">
        <f aca="false">IFERROR(INDEX('Output Utente'!$H$2:$H$492,MATCH(150,'Output Utente'!$Q$2:$Q$492,0)),"")</f>
        <v>14</v>
      </c>
      <c r="L153" s="7" t="str">
        <f aca="false">IFERROR(INDEX('Output Utente'!$E$2:$E$492,MATCH(150,'Output Utente'!$Q$2:$Q$492,0)),"")</f>
        <v>NO</v>
      </c>
      <c r="M153" s="7" t="str">
        <f aca="false">IFERROR(INDEX('Output Utente'!$U$2:$U$492,MATCH(150,'Output Utente'!$Q$2:$Q$492,0)),"")</f>
        <v>OK</v>
      </c>
      <c r="N153" s="7" t="str">
        <f aca="false">IFERROR(INDEX('Output Utente'!$AE$2:$AE$492,MATCH(150,'Output Utente'!$Q$2:$Q$492,0)),"")</f>
        <v>🟡 Attesa rischiosa</v>
      </c>
    </row>
    <row r="154" customFormat="false" ht="15" hidden="false" customHeight="true" outlineLevel="0" collapsed="false">
      <c r="A154" s="49" t="n">
        <v>151</v>
      </c>
      <c r="B154" s="7" t="n">
        <f aca="false">IFERROR(INDEX('Output Utente'!$A$2:$A$492,MATCH(151,'Output Utente'!$Q$2:$Q$492,0)),"")</f>
        <v>6831</v>
      </c>
      <c r="C154" s="7" t="str">
        <f aca="false">IFERROR(INDEX('Output Utente'!$B$2:$B$492,MATCH(151,'Output Utente'!$Q$2:$Q$492,0)),"")</f>
        <v>A</v>
      </c>
      <c r="D154" s="7" t="str">
        <f aca="false">IFERROR(INDEX('Output Utente'!$C$2:$C$492,MATCH(151,'Output Utente'!$Q$2:$Q$492,0)),"")</f>
        <v>Neres</v>
      </c>
      <c r="E154" s="7" t="str">
        <f aca="false">IFERROR(INDEX('Input Giocatori 2026_27'!$D$3:$D$493,MATCH($B154,'Input Giocatori 2026_27'!$A$3:$A$493,0)),"")</f>
        <v>Napoli</v>
      </c>
      <c r="F154" s="50" t="n">
        <f aca="false">IFERROR(INDEX('Output Utente'!$N$2:$N$492,MATCH(151,'Output Utente'!$Q$2:$Q$492,0)),"")</f>
        <v>6</v>
      </c>
      <c r="G154" s="50" t="n">
        <f aca="false">IFERROR(INDEX('Output Utente'!$O$2:$O$492,MATCH(151,'Output Utente'!$Q$2:$Q$492,0)),"")</f>
        <v>22</v>
      </c>
      <c r="H154" s="7" t="str">
        <f aca="false">IFERROR(INDEX('Output Utente'!$P$2:$P$492,MATCH(151,'Output Utente'!$Q$2:$Q$492,0)),"")</f>
        <v>Nella Media</v>
      </c>
      <c r="I154" s="50" t="n">
        <f aca="false">IFERROR(INDEX('Output Utente'!$F$2:$F$492,MATCH(151,'Output Utente'!$Q$2:$Q$492,0)),"")</f>
        <v>20</v>
      </c>
      <c r="J154" s="50" t="n">
        <f aca="false">IFERROR(INDEX('Output Utente'!$G$2:$G$492,MATCH(151,'Output Utente'!$Q$2:$Q$492,0)),"")</f>
        <v>12</v>
      </c>
      <c r="K154" s="50" t="n">
        <f aca="false">IFERROR(INDEX('Output Utente'!$H$2:$H$492,MATCH(151,'Output Utente'!$Q$2:$Q$492,0)),"")</f>
        <v>23</v>
      </c>
      <c r="L154" s="7" t="str">
        <f aca="false">IFERROR(INDEX('Output Utente'!$E$2:$E$492,MATCH(151,'Output Utente'!$Q$2:$Q$492,0)),"")</f>
        <v>NO</v>
      </c>
      <c r="M154" s="7" t="str">
        <f aca="false">IFERROR(INDEX('Output Utente'!$U$2:$U$492,MATCH(151,'Output Utente'!$Q$2:$Q$492,0)),"")</f>
        <v>OK</v>
      </c>
      <c r="N154" s="7" t="str">
        <f aca="false">IFERROR(INDEX('Output Utente'!$AE$2:$AE$492,MATCH(151,'Output Utente'!$Q$2:$Q$492,0)),"")</f>
        <v>🔴 Non aspettare</v>
      </c>
    </row>
    <row r="155" customFormat="false" ht="15" hidden="false" customHeight="true" outlineLevel="0" collapsed="false">
      <c r="A155" s="49" t="n">
        <v>152</v>
      </c>
      <c r="B155" s="7" t="n">
        <f aca="false">IFERROR(INDEX('Output Utente'!$A$2:$A$492,MATCH(152,'Output Utente'!$Q$2:$Q$492,0)),"")</f>
        <v>4657</v>
      </c>
      <c r="C155" s="7" t="str">
        <f aca="false">IFERROR(INDEX('Output Utente'!$B$2:$B$492,MATCH(152,'Output Utente'!$Q$2:$Q$492,0)),"")</f>
        <v>D</v>
      </c>
      <c r="D155" s="7" t="str">
        <f aca="false">IFERROR(INDEX('Output Utente'!$C$2:$C$492,MATCH(152,'Output Utente'!$Q$2:$Q$492,0)),"")</f>
        <v>Celik</v>
      </c>
      <c r="E155" s="7" t="str">
        <f aca="false">IFERROR(INDEX('Input Giocatori 2026_27'!$D$3:$D$493,MATCH($B155,'Input Giocatori 2026_27'!$A$3:$A$493,0)),"")</f>
        <v>Juventus</v>
      </c>
      <c r="F155" s="50" t="n">
        <f aca="false">IFERROR(INDEX('Output Utente'!$N$2:$N$492,MATCH(152,'Output Utente'!$Q$2:$Q$492,0)),"")</f>
        <v>8</v>
      </c>
      <c r="G155" s="50" t="n">
        <f aca="false">IFERROR(INDEX('Output Utente'!$O$2:$O$492,MATCH(152,'Output Utente'!$Q$2:$Q$492,0)),"")</f>
        <v>21</v>
      </c>
      <c r="H155" s="7" t="str">
        <f aca="false">IFERROR(INDEX('Output Utente'!$P$2:$P$492,MATCH(152,'Output Utente'!$Q$2:$Q$492,0)),"")</f>
        <v>Buono</v>
      </c>
      <c r="I155" s="50" t="n">
        <f aca="false">IFERROR(INDEX('Output Utente'!$F$2:$F$492,MATCH(152,'Output Utente'!$Q$2:$Q$492,0)),"")</f>
        <v>10</v>
      </c>
      <c r="J155" s="50" t="n">
        <f aca="false">IFERROR(INDEX('Output Utente'!$G$2:$G$492,MATCH(152,'Output Utente'!$Q$2:$Q$492,0)),"")</f>
        <v>8</v>
      </c>
      <c r="K155" s="50" t="n">
        <f aca="false">IFERROR(INDEX('Output Utente'!$H$2:$H$492,MATCH(152,'Output Utente'!$Q$2:$Q$492,0)),"")</f>
        <v>11</v>
      </c>
      <c r="L155" s="7" t="str">
        <f aca="false">IFERROR(INDEX('Output Utente'!$E$2:$E$492,MATCH(152,'Output Utente'!$Q$2:$Q$492,0)),"")</f>
        <v>NO</v>
      </c>
      <c r="M155" s="7" t="str">
        <f aca="false">IFERROR(INDEX('Output Utente'!$U$2:$U$492,MATCH(152,'Output Utente'!$Q$2:$Q$492,0)),"")</f>
        <v>OK</v>
      </c>
      <c r="N155" s="7" t="str">
        <f aca="false">IFERROR(INDEX('Output Utente'!$AE$2:$AE$492,MATCH(152,'Output Utente'!$Q$2:$Q$492,0)),"")</f>
        <v>🟡 Attesa rischiosa</v>
      </c>
    </row>
    <row r="156" customFormat="false" ht="15" hidden="false" customHeight="true" outlineLevel="0" collapsed="false">
      <c r="A156" s="49" t="n">
        <v>153</v>
      </c>
      <c r="B156" s="7" t="n">
        <f aca="false">IFERROR(INDEX('Output Utente'!$A$2:$A$492,MATCH(153,'Output Utente'!$Q$2:$Q$492,0)),"")</f>
        <v>6664</v>
      </c>
      <c r="C156" s="7" t="str">
        <f aca="false">IFERROR(INDEX('Output Utente'!$B$2:$B$492,MATCH(153,'Output Utente'!$Q$2:$Q$492,0)),"")</f>
        <v>D</v>
      </c>
      <c r="D156" s="7" t="str">
        <f aca="false">IFERROR(INDEX('Output Utente'!$C$2:$C$492,MATCH(153,'Output Utente'!$Q$2:$Q$492,0)),"")</f>
        <v>Delprato</v>
      </c>
      <c r="E156" s="7" t="str">
        <f aca="false">IFERROR(INDEX('Input Giocatori 2026_27'!$D$3:$D$493,MATCH($B156,'Input Giocatori 2026_27'!$A$3:$A$493,0)),"")</f>
        <v>Parma</v>
      </c>
      <c r="F156" s="50" t="n">
        <f aca="false">IFERROR(INDEX('Output Utente'!$N$2:$N$492,MATCH(153,'Output Utente'!$Q$2:$Q$492,0)),"")</f>
        <v>8</v>
      </c>
      <c r="G156" s="50" t="n">
        <f aca="false">IFERROR(INDEX('Output Utente'!$O$2:$O$492,MATCH(153,'Output Utente'!$Q$2:$Q$492,0)),"")</f>
        <v>21</v>
      </c>
      <c r="H156" s="7" t="str">
        <f aca="false">IFERROR(INDEX('Output Utente'!$P$2:$P$492,MATCH(153,'Output Utente'!$Q$2:$Q$492,0)),"")</f>
        <v>Buono</v>
      </c>
      <c r="I156" s="50" t="n">
        <f aca="false">IFERROR(INDEX('Output Utente'!$F$2:$F$492,MATCH(153,'Output Utente'!$Q$2:$Q$492,0)),"")</f>
        <v>10</v>
      </c>
      <c r="J156" s="50" t="n">
        <f aca="false">IFERROR(INDEX('Output Utente'!$G$2:$G$492,MATCH(153,'Output Utente'!$Q$2:$Q$492,0)),"")</f>
        <v>7</v>
      </c>
      <c r="K156" s="50" t="n">
        <f aca="false">IFERROR(INDEX('Output Utente'!$H$2:$H$492,MATCH(153,'Output Utente'!$Q$2:$Q$492,0)),"")</f>
        <v>11</v>
      </c>
      <c r="L156" s="7" t="str">
        <f aca="false">IFERROR(INDEX('Output Utente'!$E$2:$E$492,MATCH(153,'Output Utente'!$Q$2:$Q$492,0)),"")</f>
        <v>NO</v>
      </c>
      <c r="M156" s="7" t="str">
        <f aca="false">IFERROR(INDEX('Output Utente'!$U$2:$U$492,MATCH(153,'Output Utente'!$Q$2:$Q$492,0)),"")</f>
        <v>OK</v>
      </c>
      <c r="N156" s="7" t="str">
        <f aca="false">IFERROR(INDEX('Output Utente'!$AE$2:$AE$492,MATCH(153,'Output Utente'!$Q$2:$Q$492,0)),"")</f>
        <v>🟡 Attesa rischiosa</v>
      </c>
    </row>
    <row r="157" customFormat="false" ht="15" hidden="false" customHeight="true" outlineLevel="0" collapsed="false">
      <c r="A157" s="49" t="n">
        <v>154</v>
      </c>
      <c r="B157" s="7" t="n">
        <f aca="false">IFERROR(INDEX('Output Utente'!$A$2:$A$492,MATCH(154,'Output Utente'!$Q$2:$Q$492,0)),"")</f>
        <v>184</v>
      </c>
      <c r="C157" s="7" t="str">
        <f aca="false">IFERROR(INDEX('Output Utente'!$B$2:$B$492,MATCH(154,'Output Utente'!$Q$2:$Q$492,0)),"")</f>
        <v>C</v>
      </c>
      <c r="D157" s="7" t="str">
        <f aca="false">IFERROR(INDEX('Output Utente'!$C$2:$C$492,MATCH(154,'Output Utente'!$Q$2:$Q$492,0)),"")</f>
        <v>Bernardeschi</v>
      </c>
      <c r="E157" s="7" t="str">
        <f aca="false">IFERROR(INDEX('Input Giocatori 2026_27'!$D$3:$D$493,MATCH($B157,'Input Giocatori 2026_27'!$A$3:$A$493,0)),"")</f>
        <v>Bologna</v>
      </c>
      <c r="F157" s="50" t="n">
        <f aca="false">IFERROR(INDEX('Output Utente'!$N$2:$N$492,MATCH(154,'Output Utente'!$Q$2:$Q$492,0)),"")</f>
        <v>9</v>
      </c>
      <c r="G157" s="50" t="n">
        <f aca="false">IFERROR(INDEX('Output Utente'!$O$2:$O$492,MATCH(154,'Output Utente'!$Q$2:$Q$492,0)),"")</f>
        <v>21</v>
      </c>
      <c r="H157" s="7" t="str">
        <f aca="false">IFERROR(INDEX('Output Utente'!$P$2:$P$492,MATCH(154,'Output Utente'!$Q$2:$Q$492,0)),"")</f>
        <v>Buono</v>
      </c>
      <c r="I157" s="50" t="n">
        <f aca="false">IFERROR(INDEX('Output Utente'!$F$2:$F$492,MATCH(154,'Output Utente'!$Q$2:$Q$492,0)),"")</f>
        <v>12</v>
      </c>
      <c r="J157" s="50" t="n">
        <f aca="false">IFERROR(INDEX('Output Utente'!$G$2:$G$492,MATCH(154,'Output Utente'!$Q$2:$Q$492,0)),"")</f>
        <v>8</v>
      </c>
      <c r="K157" s="50" t="n">
        <f aca="false">IFERROR(INDEX('Output Utente'!$H$2:$H$492,MATCH(154,'Output Utente'!$Q$2:$Q$492,0)),"")</f>
        <v>13</v>
      </c>
      <c r="L157" s="7" t="str">
        <f aca="false">IFERROR(INDEX('Output Utente'!$E$2:$E$492,MATCH(154,'Output Utente'!$Q$2:$Q$492,0)),"")</f>
        <v>NO</v>
      </c>
      <c r="M157" s="7" t="str">
        <f aca="false">IFERROR(INDEX('Output Utente'!$U$2:$U$492,MATCH(154,'Output Utente'!$Q$2:$Q$492,0)),"")</f>
        <v>OK</v>
      </c>
      <c r="N157" s="7" t="str">
        <f aca="false">IFERROR(INDEX('Output Utente'!$AE$2:$AE$492,MATCH(154,'Output Utente'!$Q$2:$Q$492,0)),"")</f>
        <v>🟡 Attesa rischiosa</v>
      </c>
    </row>
    <row r="158" customFormat="false" ht="15" hidden="false" customHeight="true" outlineLevel="0" collapsed="false">
      <c r="A158" s="49" t="n">
        <v>155</v>
      </c>
      <c r="B158" s="7" t="n">
        <f aca="false">IFERROR(INDEX('Output Utente'!$A$2:$A$492,MATCH(155,'Output Utente'!$Q$2:$Q$492,0)),"")</f>
        <v>5422</v>
      </c>
      <c r="C158" s="7" t="str">
        <f aca="false">IFERROR(INDEX('Output Utente'!$B$2:$B$492,MATCH(155,'Output Utente'!$Q$2:$Q$492,0)),"")</f>
        <v>C</v>
      </c>
      <c r="D158" s="7" t="str">
        <f aca="false">IFERROR(INDEX('Output Utente'!$C$2:$C$492,MATCH(155,'Output Utente'!$Q$2:$Q$492,0)),"")</f>
        <v>Zalewski</v>
      </c>
      <c r="E158" s="7" t="str">
        <f aca="false">IFERROR(INDEX('Input Giocatori 2026_27'!$D$3:$D$493,MATCH($B158,'Input Giocatori 2026_27'!$A$3:$A$493,0)),"")</f>
        <v>Atalanta</v>
      </c>
      <c r="F158" s="50" t="n">
        <f aca="false">IFERROR(INDEX('Output Utente'!$N$2:$N$492,MATCH(155,'Output Utente'!$Q$2:$Q$492,0)),"")</f>
        <v>6</v>
      </c>
      <c r="G158" s="50" t="n">
        <f aca="false">IFERROR(INDEX('Output Utente'!$O$2:$O$492,MATCH(155,'Output Utente'!$Q$2:$Q$492,0)),"")</f>
        <v>21</v>
      </c>
      <c r="H158" s="7" t="str">
        <f aca="false">IFERROR(INDEX('Output Utente'!$P$2:$P$492,MATCH(155,'Output Utente'!$Q$2:$Q$492,0)),"")</f>
        <v>Buono</v>
      </c>
      <c r="I158" s="50" t="n">
        <f aca="false">IFERROR(INDEX('Output Utente'!$F$2:$F$492,MATCH(155,'Output Utente'!$Q$2:$Q$492,0)),"")</f>
        <v>12</v>
      </c>
      <c r="J158" s="50" t="n">
        <f aca="false">IFERROR(INDEX('Output Utente'!$G$2:$G$492,MATCH(155,'Output Utente'!$Q$2:$Q$492,0)),"")</f>
        <v>8</v>
      </c>
      <c r="K158" s="50" t="n">
        <f aca="false">IFERROR(INDEX('Output Utente'!$H$2:$H$492,MATCH(155,'Output Utente'!$Q$2:$Q$492,0)),"")</f>
        <v>13</v>
      </c>
      <c r="L158" s="7" t="str">
        <f aca="false">IFERROR(INDEX('Output Utente'!$E$2:$E$492,MATCH(155,'Output Utente'!$Q$2:$Q$492,0)),"")</f>
        <v>NO</v>
      </c>
      <c r="M158" s="7" t="str">
        <f aca="false">IFERROR(INDEX('Output Utente'!$U$2:$U$492,MATCH(155,'Output Utente'!$Q$2:$Q$492,0)),"")</f>
        <v>OK</v>
      </c>
      <c r="N158" s="7" t="str">
        <f aca="false">IFERROR(INDEX('Output Utente'!$AE$2:$AE$492,MATCH(155,'Output Utente'!$Q$2:$Q$492,0)),"")</f>
        <v>🟡 Attesa rischiosa</v>
      </c>
    </row>
    <row r="159" customFormat="false" ht="15" hidden="false" customHeight="true" outlineLevel="0" collapsed="false">
      <c r="A159" s="49" t="n">
        <v>156</v>
      </c>
      <c r="B159" s="7" t="n">
        <f aca="false">IFERROR(INDEX('Output Utente'!$A$2:$A$492,MATCH(156,'Output Utente'!$Q$2:$Q$492,0)),"")</f>
        <v>6669</v>
      </c>
      <c r="C159" s="7" t="str">
        <f aca="false">IFERROR(INDEX('Output Utente'!$B$2:$B$492,MATCH(156,'Output Utente'!$Q$2:$Q$492,0)),"")</f>
        <v>A</v>
      </c>
      <c r="D159" s="7" t="str">
        <f aca="false">IFERROR(INDEX('Output Utente'!$C$2:$C$492,MATCH(156,'Output Utente'!$Q$2:$Q$492,0)),"")</f>
        <v>Bonny</v>
      </c>
      <c r="E159" s="7" t="str">
        <f aca="false">IFERROR(INDEX('Input Giocatori 2026_27'!$D$3:$D$493,MATCH($B159,'Input Giocatori 2026_27'!$A$3:$A$493,0)),"")</f>
        <v>Inter</v>
      </c>
      <c r="F159" s="50" t="n">
        <f aca="false">IFERROR(INDEX('Output Utente'!$N$2:$N$492,MATCH(156,'Output Utente'!$Q$2:$Q$492,0)),"")</f>
        <v>7</v>
      </c>
      <c r="G159" s="50" t="n">
        <f aca="false">IFERROR(INDEX('Output Utente'!$O$2:$O$492,MATCH(156,'Output Utente'!$Q$2:$Q$492,0)),"")</f>
        <v>21</v>
      </c>
      <c r="H159" s="7" t="str">
        <f aca="false">IFERROR(INDEX('Output Utente'!$P$2:$P$492,MATCH(156,'Output Utente'!$Q$2:$Q$492,0)),"")</f>
        <v>Nella Media</v>
      </c>
      <c r="I159" s="50" t="n">
        <f aca="false">IFERROR(INDEX('Output Utente'!$F$2:$F$492,MATCH(156,'Output Utente'!$Q$2:$Q$492,0)),"")</f>
        <v>19</v>
      </c>
      <c r="J159" s="50" t="n">
        <f aca="false">IFERROR(INDEX('Output Utente'!$G$2:$G$492,MATCH(156,'Output Utente'!$Q$2:$Q$492,0)),"")</f>
        <v>12</v>
      </c>
      <c r="K159" s="50" t="n">
        <f aca="false">IFERROR(INDEX('Output Utente'!$H$2:$H$492,MATCH(156,'Output Utente'!$Q$2:$Q$492,0)),"")</f>
        <v>22</v>
      </c>
      <c r="L159" s="7" t="str">
        <f aca="false">IFERROR(INDEX('Output Utente'!$E$2:$E$492,MATCH(156,'Output Utente'!$Q$2:$Q$492,0)),"")</f>
        <v>NO</v>
      </c>
      <c r="M159" s="7" t="str">
        <f aca="false">IFERROR(INDEX('Output Utente'!$U$2:$U$492,MATCH(156,'Output Utente'!$Q$2:$Q$492,0)),"")</f>
        <v>OK</v>
      </c>
      <c r="N159" s="7" t="str">
        <f aca="false">IFERROR(INDEX('Output Utente'!$AE$2:$AE$492,MATCH(156,'Output Utente'!$Q$2:$Q$492,0)),"")</f>
        <v>🔴 Non aspettare</v>
      </c>
    </row>
    <row r="160" customFormat="false" ht="15" hidden="false" customHeight="true" outlineLevel="0" collapsed="false">
      <c r="A160" s="49" t="n">
        <v>157</v>
      </c>
      <c r="B160" s="7" t="n">
        <f aca="false">IFERROR(INDEX('Output Utente'!$A$2:$A$492,MATCH(157,'Output Utente'!$Q$2:$Q$492,0)),"")</f>
        <v>6641</v>
      </c>
      <c r="C160" s="7" t="str">
        <f aca="false">IFERROR(INDEX('Output Utente'!$B$2:$B$492,MATCH(157,'Output Utente'!$Q$2:$Q$492,0)),"")</f>
        <v>P</v>
      </c>
      <c r="D160" s="7" t="str">
        <f aca="false">IFERROR(INDEX('Output Utente'!$C$2:$C$492,MATCH(157,'Output Utente'!$Q$2:$Q$492,0)),"")</f>
        <v>Suzuki</v>
      </c>
      <c r="E160" s="7" t="str">
        <f aca="false">IFERROR(INDEX('Input Giocatori 2026_27'!$D$3:$D$493,MATCH($B160,'Input Giocatori 2026_27'!$A$3:$A$493,0)),"")</f>
        <v>Parma</v>
      </c>
      <c r="F160" s="50" t="n">
        <f aca="false">IFERROR(INDEX('Output Utente'!$N$2:$N$492,MATCH(157,'Output Utente'!$Q$2:$Q$492,0)),"")</f>
        <v>7</v>
      </c>
      <c r="G160" s="50" t="n">
        <f aca="false">IFERROR(INDEX('Output Utente'!$O$2:$O$492,MATCH(157,'Output Utente'!$Q$2:$Q$492,0)),"")</f>
        <v>20</v>
      </c>
      <c r="H160" s="7" t="str">
        <f aca="false">IFERROR(INDEX('Output Utente'!$P$2:$P$492,MATCH(157,'Output Utente'!$Q$2:$Q$492,0)),"")</f>
        <v>Buono</v>
      </c>
      <c r="I160" s="50" t="n">
        <f aca="false">IFERROR(INDEX('Output Utente'!$F$2:$F$492,MATCH(157,'Output Utente'!$Q$2:$Q$492,0)),"")</f>
        <v>22</v>
      </c>
      <c r="J160" s="50" t="n">
        <f aca="false">IFERROR(INDEX('Output Utente'!$G$2:$G$492,MATCH(157,'Output Utente'!$Q$2:$Q$492,0)),"")</f>
        <v>18</v>
      </c>
      <c r="K160" s="50" t="n">
        <f aca="false">IFERROR(INDEX('Output Utente'!$H$2:$H$492,MATCH(157,'Output Utente'!$Q$2:$Q$492,0)),"")</f>
        <v>24</v>
      </c>
      <c r="L160" s="7" t="str">
        <f aca="false">IFERROR(INDEX('Output Utente'!$E$2:$E$492,MATCH(157,'Output Utente'!$Q$2:$Q$492,0)),"")</f>
        <v>NO</v>
      </c>
      <c r="M160" s="7" t="str">
        <f aca="false">IFERROR(INDEX('Output Utente'!$U$2:$U$492,MATCH(157,'Output Utente'!$Q$2:$Q$492,0)),"")</f>
        <v>OK</v>
      </c>
      <c r="N160" s="7" t="str">
        <f aca="false">IFERROR(INDEX('Output Utente'!$AE$2:$AE$492,MATCH(157,'Output Utente'!$Q$2:$Q$492,0)),"")</f>
        <v>🟡 Attesa rischiosa</v>
      </c>
    </row>
    <row r="161" customFormat="false" ht="15" hidden="false" customHeight="true" outlineLevel="0" collapsed="false">
      <c r="A161" s="49" t="n">
        <v>158</v>
      </c>
      <c r="B161" s="7" t="n">
        <f aca="false">IFERROR(INDEX('Output Utente'!$A$2:$A$492,MATCH(158,'Output Utente'!$Q$2:$Q$492,0)),"")</f>
        <v>4210</v>
      </c>
      <c r="C161" s="7" t="str">
        <f aca="false">IFERROR(INDEX('Output Utente'!$B$2:$B$492,MATCH(158,'Output Utente'!$Q$2:$Q$492,0)),"")</f>
        <v>D</v>
      </c>
      <c r="D161" s="7" t="str">
        <f aca="false">IFERROR(INDEX('Output Utente'!$C$2:$C$492,MATCH(158,'Output Utente'!$Q$2:$Q$492,0)),"")</f>
        <v>Mina</v>
      </c>
      <c r="E161" s="7" t="str">
        <f aca="false">IFERROR(INDEX('Input Giocatori 2026_27'!$D$3:$D$493,MATCH($B161,'Input Giocatori 2026_27'!$A$3:$A$493,0)),"")</f>
        <v>Cagliari</v>
      </c>
      <c r="F161" s="50" t="n">
        <f aca="false">IFERROR(INDEX('Output Utente'!$N$2:$N$492,MATCH(158,'Output Utente'!$Q$2:$Q$492,0)),"")</f>
        <v>8</v>
      </c>
      <c r="G161" s="50" t="n">
        <f aca="false">IFERROR(INDEX('Output Utente'!$O$2:$O$492,MATCH(158,'Output Utente'!$Q$2:$Q$492,0)),"")</f>
        <v>20</v>
      </c>
      <c r="H161" s="7" t="str">
        <f aca="false">IFERROR(INDEX('Output Utente'!$P$2:$P$492,MATCH(158,'Output Utente'!$Q$2:$Q$492,0)),"")</f>
        <v>Buono</v>
      </c>
      <c r="I161" s="50" t="n">
        <f aca="false">IFERROR(INDEX('Output Utente'!$F$2:$F$492,MATCH(158,'Output Utente'!$Q$2:$Q$492,0)),"")</f>
        <v>10</v>
      </c>
      <c r="J161" s="50" t="n">
        <f aca="false">IFERROR(INDEX('Output Utente'!$G$2:$G$492,MATCH(158,'Output Utente'!$Q$2:$Q$492,0)),"")</f>
        <v>7</v>
      </c>
      <c r="K161" s="50" t="n">
        <f aca="false">IFERROR(INDEX('Output Utente'!$H$2:$H$492,MATCH(158,'Output Utente'!$Q$2:$Q$492,0)),"")</f>
        <v>11</v>
      </c>
      <c r="L161" s="7" t="str">
        <f aca="false">IFERROR(INDEX('Output Utente'!$E$2:$E$492,MATCH(158,'Output Utente'!$Q$2:$Q$492,0)),"")</f>
        <v>NO</v>
      </c>
      <c r="M161" s="7" t="str">
        <f aca="false">IFERROR(INDEX('Output Utente'!$U$2:$U$492,MATCH(158,'Output Utente'!$Q$2:$Q$492,0)),"")</f>
        <v>OK</v>
      </c>
      <c r="N161" s="7" t="str">
        <f aca="false">IFERROR(INDEX('Output Utente'!$AE$2:$AE$492,MATCH(158,'Output Utente'!$Q$2:$Q$492,0)),"")</f>
        <v>🟡 Attesa rischiosa</v>
      </c>
    </row>
    <row r="162" customFormat="false" ht="15" hidden="false" customHeight="true" outlineLevel="0" collapsed="false">
      <c r="A162" s="49" t="n">
        <v>159</v>
      </c>
      <c r="B162" s="7" t="n">
        <f aca="false">IFERROR(INDEX('Output Utente'!$A$2:$A$492,MATCH(159,'Output Utente'!$Q$2:$Q$492,0)),"")</f>
        <v>7529</v>
      </c>
      <c r="C162" s="7" t="str">
        <f aca="false">IFERROR(INDEX('Output Utente'!$B$2:$B$492,MATCH(159,'Output Utente'!$Q$2:$Q$492,0)),"")</f>
        <v>D</v>
      </c>
      <c r="D162" s="7" t="str">
        <f aca="false">IFERROR(INDEX('Output Utente'!$C$2:$C$492,MATCH(159,'Output Utente'!$Q$2:$Q$492,0)),"")</f>
        <v>Koulierakis</v>
      </c>
      <c r="E162" s="7" t="str">
        <f aca="false">IFERROR(INDEX('Input Giocatori 2026_27'!$D$3:$D$493,MATCH($B162,'Input Giocatori 2026_27'!$A$3:$A$493,0)),"")</f>
        <v>Roma</v>
      </c>
      <c r="F162" s="50" t="n">
        <f aca="false">IFERROR(INDEX('Output Utente'!$N$2:$N$492,MATCH(159,'Output Utente'!$Q$2:$Q$492,0)),"")</f>
        <v>8</v>
      </c>
      <c r="G162" s="50" t="n">
        <f aca="false">IFERROR(INDEX('Output Utente'!$O$2:$O$492,MATCH(159,'Output Utente'!$Q$2:$Q$492,0)),"")</f>
        <v>20</v>
      </c>
      <c r="H162" s="7" t="str">
        <f aca="false">IFERROR(INDEX('Output Utente'!$P$2:$P$492,MATCH(159,'Output Utente'!$Q$2:$Q$492,0)),"")</f>
        <v>Buono</v>
      </c>
      <c r="I162" s="50" t="n">
        <f aca="false">IFERROR(INDEX('Output Utente'!$F$2:$F$492,MATCH(159,'Output Utente'!$Q$2:$Q$492,0)),"")</f>
        <v>10</v>
      </c>
      <c r="J162" s="50" t="n">
        <f aca="false">IFERROR(INDEX('Output Utente'!$G$2:$G$492,MATCH(159,'Output Utente'!$Q$2:$Q$492,0)),"")</f>
        <v>7</v>
      </c>
      <c r="K162" s="50" t="n">
        <f aca="false">IFERROR(INDEX('Output Utente'!$H$2:$H$492,MATCH(159,'Output Utente'!$Q$2:$Q$492,0)),"")</f>
        <v>11</v>
      </c>
      <c r="L162" s="7" t="str">
        <f aca="false">IFERROR(INDEX('Output Utente'!$E$2:$E$492,MATCH(159,'Output Utente'!$Q$2:$Q$492,0)),"")</f>
        <v>NO</v>
      </c>
      <c r="M162" s="7" t="str">
        <f aca="false">IFERROR(INDEX('Output Utente'!$U$2:$U$492,MATCH(159,'Output Utente'!$Q$2:$Q$492,0)),"")</f>
        <v>OK</v>
      </c>
      <c r="N162" s="7" t="str">
        <f aca="false">IFERROR(INDEX('Output Utente'!$AE$2:$AE$492,MATCH(159,'Output Utente'!$Q$2:$Q$492,0)),"")</f>
        <v>🟡 Attesa rischiosa</v>
      </c>
    </row>
    <row r="163" customFormat="false" ht="15" hidden="false" customHeight="true" outlineLevel="0" collapsed="false">
      <c r="A163" s="49" t="n">
        <v>160</v>
      </c>
      <c r="B163" s="7" t="n">
        <f aca="false">IFERROR(INDEX('Output Utente'!$A$2:$A$492,MATCH(160,'Output Utente'!$Q$2:$Q$492,0)),"")</f>
        <v>4751</v>
      </c>
      <c r="C163" s="7" t="str">
        <f aca="false">IFERROR(INDEX('Output Utente'!$B$2:$B$492,MATCH(160,'Output Utente'!$Q$2:$Q$492,0)),"")</f>
        <v>D</v>
      </c>
      <c r="D163" s="7" t="str">
        <f aca="false">IFERROR(INDEX('Output Utente'!$C$2:$C$492,MATCH(160,'Output Utente'!$Q$2:$Q$492,0)),"")</f>
        <v>Tomori</v>
      </c>
      <c r="E163" s="7" t="str">
        <f aca="false">IFERROR(INDEX('Input Giocatori 2026_27'!$D$3:$D$493,MATCH($B163,'Input Giocatori 2026_27'!$A$3:$A$493,0)),"")</f>
        <v>Milan</v>
      </c>
      <c r="F163" s="50" t="n">
        <f aca="false">IFERROR(INDEX('Output Utente'!$N$2:$N$492,MATCH(160,'Output Utente'!$Q$2:$Q$492,0)),"")</f>
        <v>7</v>
      </c>
      <c r="G163" s="50" t="n">
        <f aca="false">IFERROR(INDEX('Output Utente'!$O$2:$O$492,MATCH(160,'Output Utente'!$Q$2:$Q$492,0)),"")</f>
        <v>20</v>
      </c>
      <c r="H163" s="7" t="str">
        <f aca="false">IFERROR(INDEX('Output Utente'!$P$2:$P$492,MATCH(160,'Output Utente'!$Q$2:$Q$492,0)),"")</f>
        <v>Buono</v>
      </c>
      <c r="I163" s="50" t="n">
        <f aca="false">IFERROR(INDEX('Output Utente'!$F$2:$F$492,MATCH(160,'Output Utente'!$Q$2:$Q$492,0)),"")</f>
        <v>10</v>
      </c>
      <c r="J163" s="50" t="n">
        <f aca="false">IFERROR(INDEX('Output Utente'!$G$2:$G$492,MATCH(160,'Output Utente'!$Q$2:$Q$492,0)),"")</f>
        <v>7</v>
      </c>
      <c r="K163" s="50" t="n">
        <f aca="false">IFERROR(INDEX('Output Utente'!$H$2:$H$492,MATCH(160,'Output Utente'!$Q$2:$Q$492,0)),"")</f>
        <v>11</v>
      </c>
      <c r="L163" s="7" t="str">
        <f aca="false">IFERROR(INDEX('Output Utente'!$E$2:$E$492,MATCH(160,'Output Utente'!$Q$2:$Q$492,0)),"")</f>
        <v>NO</v>
      </c>
      <c r="M163" s="7" t="str">
        <f aca="false">IFERROR(INDEX('Output Utente'!$U$2:$U$492,MATCH(160,'Output Utente'!$Q$2:$Q$492,0)),"")</f>
        <v>OK</v>
      </c>
      <c r="N163" s="7" t="str">
        <f aca="false">IFERROR(INDEX('Output Utente'!$AE$2:$AE$492,MATCH(160,'Output Utente'!$Q$2:$Q$492,0)),"")</f>
        <v>🟡 Attesa rischiosa</v>
      </c>
    </row>
    <row r="164" customFormat="false" ht="15" hidden="false" customHeight="true" outlineLevel="0" collapsed="false">
      <c r="A164" s="49" t="n">
        <v>161</v>
      </c>
      <c r="B164" s="7" t="n">
        <f aca="false">IFERROR(INDEX('Output Utente'!$A$2:$A$492,MATCH(161,'Output Utente'!$Q$2:$Q$492,0)),"")</f>
        <v>2188</v>
      </c>
      <c r="C164" s="7" t="str">
        <f aca="false">IFERROR(INDEX('Output Utente'!$B$2:$B$492,MATCH(161,'Output Utente'!$Q$2:$Q$492,0)),"")</f>
        <v>D</v>
      </c>
      <c r="D164" s="7" t="str">
        <f aca="false">IFERROR(INDEX('Output Utente'!$C$2:$C$492,MATCH(161,'Output Utente'!$Q$2:$Q$492,0)),"")</f>
        <v>Marusic</v>
      </c>
      <c r="E164" s="7" t="str">
        <f aca="false">IFERROR(INDEX('Input Giocatori 2026_27'!$D$3:$D$493,MATCH($B164,'Input Giocatori 2026_27'!$A$3:$A$493,0)),"")</f>
        <v>Lazio</v>
      </c>
      <c r="F164" s="50" t="n">
        <f aca="false">IFERROR(INDEX('Output Utente'!$N$2:$N$492,MATCH(161,'Output Utente'!$Q$2:$Q$492,0)),"")</f>
        <v>6</v>
      </c>
      <c r="G164" s="50" t="n">
        <f aca="false">IFERROR(INDEX('Output Utente'!$O$2:$O$492,MATCH(161,'Output Utente'!$Q$2:$Q$492,0)),"")</f>
        <v>20</v>
      </c>
      <c r="H164" s="7" t="str">
        <f aca="false">IFERROR(INDEX('Output Utente'!$P$2:$P$492,MATCH(161,'Output Utente'!$Q$2:$Q$492,0)),"")</f>
        <v>Buono</v>
      </c>
      <c r="I164" s="50" t="n">
        <f aca="false">IFERROR(INDEX('Output Utente'!$F$2:$F$492,MATCH(161,'Output Utente'!$Q$2:$Q$492,0)),"")</f>
        <v>10</v>
      </c>
      <c r="J164" s="50" t="n">
        <f aca="false">IFERROR(INDEX('Output Utente'!$G$2:$G$492,MATCH(161,'Output Utente'!$Q$2:$Q$492,0)),"")</f>
        <v>7</v>
      </c>
      <c r="K164" s="50" t="n">
        <f aca="false">IFERROR(INDEX('Output Utente'!$H$2:$H$492,MATCH(161,'Output Utente'!$Q$2:$Q$492,0)),"")</f>
        <v>11</v>
      </c>
      <c r="L164" s="7" t="str">
        <f aca="false">IFERROR(INDEX('Output Utente'!$E$2:$E$492,MATCH(161,'Output Utente'!$Q$2:$Q$492,0)),"")</f>
        <v>NO</v>
      </c>
      <c r="M164" s="7" t="str">
        <f aca="false">IFERROR(INDEX('Output Utente'!$U$2:$U$492,MATCH(161,'Output Utente'!$Q$2:$Q$492,0)),"")</f>
        <v>OK</v>
      </c>
      <c r="N164" s="7" t="str">
        <f aca="false">IFERROR(INDEX('Output Utente'!$AE$2:$AE$492,MATCH(161,'Output Utente'!$Q$2:$Q$492,0)),"")</f>
        <v>🟡 Attesa rischiosa</v>
      </c>
    </row>
    <row r="165" customFormat="false" ht="15" hidden="false" customHeight="true" outlineLevel="0" collapsed="false">
      <c r="A165" s="49" t="n">
        <v>162</v>
      </c>
      <c r="B165" s="7" t="n">
        <f aca="false">IFERROR(INDEX('Output Utente'!$A$2:$A$492,MATCH(162,'Output Utente'!$Q$2:$Q$492,0)),"")</f>
        <v>6717</v>
      </c>
      <c r="C165" s="7" t="str">
        <f aca="false">IFERROR(INDEX('Output Utente'!$B$2:$B$492,MATCH(162,'Output Utente'!$Q$2:$Q$492,0)),"")</f>
        <v>C</v>
      </c>
      <c r="D165" s="7" t="str">
        <f aca="false">IFERROR(INDEX('Output Utente'!$C$2:$C$492,MATCH(162,'Output Utente'!$Q$2:$Q$492,0)),"")</f>
        <v>Konè I.</v>
      </c>
      <c r="E165" s="7" t="str">
        <f aca="false">IFERROR(INDEX('Input Giocatori 2026_27'!$D$3:$D$493,MATCH($B165,'Input Giocatori 2026_27'!$A$3:$A$493,0)),"")</f>
        <v>Sassuolo</v>
      </c>
      <c r="F165" s="50" t="n">
        <f aca="false">IFERROR(INDEX('Output Utente'!$N$2:$N$492,MATCH(162,'Output Utente'!$Q$2:$Q$492,0)),"")</f>
        <v>9</v>
      </c>
      <c r="G165" s="50" t="n">
        <f aca="false">IFERROR(INDEX('Output Utente'!$O$2:$O$492,MATCH(162,'Output Utente'!$Q$2:$Q$492,0)),"")</f>
        <v>20</v>
      </c>
      <c r="H165" s="7" t="str">
        <f aca="false">IFERROR(INDEX('Output Utente'!$P$2:$P$492,MATCH(162,'Output Utente'!$Q$2:$Q$492,0)),"")</f>
        <v>Buono</v>
      </c>
      <c r="I165" s="50" t="n">
        <f aca="false">IFERROR(INDEX('Output Utente'!$F$2:$F$492,MATCH(162,'Output Utente'!$Q$2:$Q$492,0)),"")</f>
        <v>12</v>
      </c>
      <c r="J165" s="50" t="n">
        <f aca="false">IFERROR(INDEX('Output Utente'!$G$2:$G$492,MATCH(162,'Output Utente'!$Q$2:$Q$492,0)),"")</f>
        <v>8</v>
      </c>
      <c r="K165" s="50" t="n">
        <f aca="false">IFERROR(INDEX('Output Utente'!$H$2:$H$492,MATCH(162,'Output Utente'!$Q$2:$Q$492,0)),"")</f>
        <v>13</v>
      </c>
      <c r="L165" s="7" t="str">
        <f aca="false">IFERROR(INDEX('Output Utente'!$E$2:$E$492,MATCH(162,'Output Utente'!$Q$2:$Q$492,0)),"")</f>
        <v>NO</v>
      </c>
      <c r="M165" s="7" t="str">
        <f aca="false">IFERROR(INDEX('Output Utente'!$U$2:$U$492,MATCH(162,'Output Utente'!$Q$2:$Q$492,0)),"")</f>
        <v>OK</v>
      </c>
      <c r="N165" s="7" t="str">
        <f aca="false">IFERROR(INDEX('Output Utente'!$AE$2:$AE$492,MATCH(162,'Output Utente'!$Q$2:$Q$492,0)),"")</f>
        <v>🟡 Attesa rischiosa</v>
      </c>
    </row>
    <row r="166" customFormat="false" ht="15" hidden="false" customHeight="true" outlineLevel="0" collapsed="false">
      <c r="A166" s="49" t="n">
        <v>163</v>
      </c>
      <c r="B166" s="7" t="n">
        <f aca="false">IFERROR(INDEX('Output Utente'!$A$2:$A$492,MATCH(163,'Output Utente'!$Q$2:$Q$492,0)),"")</f>
        <v>2741</v>
      </c>
      <c r="C166" s="7" t="str">
        <f aca="false">IFERROR(INDEX('Output Utente'!$B$2:$B$492,MATCH(163,'Output Utente'!$Q$2:$Q$492,0)),"")</f>
        <v>C</v>
      </c>
      <c r="D166" s="7" t="str">
        <f aca="false">IFERROR(INDEX('Output Utente'!$C$2:$C$492,MATCH(163,'Output Utente'!$Q$2:$Q$492,0)),"")</f>
        <v>Pessina</v>
      </c>
      <c r="E166" s="7" t="str">
        <f aca="false">IFERROR(INDEX('Input Giocatori 2026_27'!$D$3:$D$493,MATCH($B166,'Input Giocatori 2026_27'!$A$3:$A$493,0)),"")</f>
        <v>Monza</v>
      </c>
      <c r="F166" s="50" t="n">
        <f aca="false">IFERROR(INDEX('Output Utente'!$N$2:$N$492,MATCH(163,'Output Utente'!$Q$2:$Q$492,0)),"")</f>
        <v>7</v>
      </c>
      <c r="G166" s="50" t="n">
        <f aca="false">IFERROR(INDEX('Output Utente'!$O$2:$O$492,MATCH(163,'Output Utente'!$Q$2:$Q$492,0)),"")</f>
        <v>20</v>
      </c>
      <c r="H166" s="7" t="str">
        <f aca="false">IFERROR(INDEX('Output Utente'!$P$2:$P$492,MATCH(163,'Output Utente'!$Q$2:$Q$492,0)),"")</f>
        <v>Buono</v>
      </c>
      <c r="I166" s="50" t="n">
        <f aca="false">IFERROR(INDEX('Output Utente'!$F$2:$F$492,MATCH(163,'Output Utente'!$Q$2:$Q$492,0)),"")</f>
        <v>11</v>
      </c>
      <c r="J166" s="50" t="n">
        <f aca="false">IFERROR(INDEX('Output Utente'!$G$2:$G$492,MATCH(163,'Output Utente'!$Q$2:$Q$492,0)),"")</f>
        <v>7</v>
      </c>
      <c r="K166" s="50" t="n">
        <f aca="false">IFERROR(INDEX('Output Utente'!$H$2:$H$492,MATCH(163,'Output Utente'!$Q$2:$Q$492,0)),"")</f>
        <v>12</v>
      </c>
      <c r="L166" s="7" t="str">
        <f aca="false">IFERROR(INDEX('Output Utente'!$E$2:$E$492,MATCH(163,'Output Utente'!$Q$2:$Q$492,0)),"")</f>
        <v>NO</v>
      </c>
      <c r="M166" s="7" t="str">
        <f aca="false">IFERROR(INDEX('Output Utente'!$U$2:$U$492,MATCH(163,'Output Utente'!$Q$2:$Q$492,0)),"")</f>
        <v>OK</v>
      </c>
      <c r="N166" s="7" t="str">
        <f aca="false">IFERROR(INDEX('Output Utente'!$AE$2:$AE$492,MATCH(163,'Output Utente'!$Q$2:$Q$492,0)),"")</f>
        <v>🟡 Attesa rischiosa</v>
      </c>
    </row>
    <row r="167" customFormat="false" ht="15" hidden="false" customHeight="true" outlineLevel="0" collapsed="false">
      <c r="A167" s="49" t="n">
        <v>164</v>
      </c>
      <c r="B167" s="7" t="n">
        <f aca="false">IFERROR(INDEX('Output Utente'!$A$2:$A$492,MATCH(164,'Output Utente'!$Q$2:$Q$492,0)),"")</f>
        <v>4287</v>
      </c>
      <c r="C167" s="7" t="str">
        <f aca="false">IFERROR(INDEX('Output Utente'!$B$2:$B$492,MATCH(164,'Output Utente'!$Q$2:$Q$492,0)),"")</f>
        <v>C</v>
      </c>
      <c r="D167" s="7" t="str">
        <f aca="false">IFERROR(INDEX('Output Utente'!$C$2:$C$492,MATCH(164,'Output Utente'!$Q$2:$Q$492,0)),"")</f>
        <v>Lobotka</v>
      </c>
      <c r="E167" s="7" t="str">
        <f aca="false">IFERROR(INDEX('Input Giocatori 2026_27'!$D$3:$D$493,MATCH($B167,'Input Giocatori 2026_27'!$A$3:$A$493,0)),"")</f>
        <v>Napoli</v>
      </c>
      <c r="F167" s="50" t="n">
        <f aca="false">IFERROR(INDEX('Output Utente'!$N$2:$N$492,MATCH(164,'Output Utente'!$Q$2:$Q$492,0)),"")</f>
        <v>7</v>
      </c>
      <c r="G167" s="50" t="n">
        <f aca="false">IFERROR(INDEX('Output Utente'!$O$2:$O$492,MATCH(164,'Output Utente'!$Q$2:$Q$492,0)),"")</f>
        <v>20</v>
      </c>
      <c r="H167" s="7" t="str">
        <f aca="false">IFERROR(INDEX('Output Utente'!$P$2:$P$492,MATCH(164,'Output Utente'!$Q$2:$Q$492,0)),"")</f>
        <v>Buono</v>
      </c>
      <c r="I167" s="50" t="n">
        <f aca="false">IFERROR(INDEX('Output Utente'!$F$2:$F$492,MATCH(164,'Output Utente'!$Q$2:$Q$492,0)),"")</f>
        <v>11</v>
      </c>
      <c r="J167" s="50" t="n">
        <f aca="false">IFERROR(INDEX('Output Utente'!$G$2:$G$492,MATCH(164,'Output Utente'!$Q$2:$Q$492,0)),"")</f>
        <v>7</v>
      </c>
      <c r="K167" s="50" t="n">
        <f aca="false">IFERROR(INDEX('Output Utente'!$H$2:$H$492,MATCH(164,'Output Utente'!$Q$2:$Q$492,0)),"")</f>
        <v>12</v>
      </c>
      <c r="L167" s="7" t="str">
        <f aca="false">IFERROR(INDEX('Output Utente'!$E$2:$E$492,MATCH(164,'Output Utente'!$Q$2:$Q$492,0)),"")</f>
        <v>NO</v>
      </c>
      <c r="M167" s="7" t="str">
        <f aca="false">IFERROR(INDEX('Output Utente'!$U$2:$U$492,MATCH(164,'Output Utente'!$Q$2:$Q$492,0)),"")</f>
        <v>OK</v>
      </c>
      <c r="N167" s="7" t="str">
        <f aca="false">IFERROR(INDEX('Output Utente'!$AE$2:$AE$492,MATCH(164,'Output Utente'!$Q$2:$Q$492,0)),"")</f>
        <v>🟡 Attesa rischiosa</v>
      </c>
    </row>
    <row r="168" customFormat="false" ht="15" hidden="false" customHeight="true" outlineLevel="0" collapsed="false">
      <c r="A168" s="49" t="n">
        <v>165</v>
      </c>
      <c r="B168" s="7" t="n">
        <f aca="false">IFERROR(INDEX('Output Utente'!$A$2:$A$492,MATCH(165,'Output Utente'!$Q$2:$Q$492,0)),"")</f>
        <v>5036</v>
      </c>
      <c r="C168" s="7" t="str">
        <f aca="false">IFERROR(INDEX('Output Utente'!$B$2:$B$492,MATCH(165,'Output Utente'!$Q$2:$Q$492,0)),"")</f>
        <v>C</v>
      </c>
      <c r="D168" s="7" t="str">
        <f aca="false">IFERROR(INDEX('Output Utente'!$C$2:$C$492,MATCH(165,'Output Utente'!$Q$2:$Q$492,0)),"")</f>
        <v>Caqueret</v>
      </c>
      <c r="E168" s="7" t="str">
        <f aca="false">IFERROR(INDEX('Input Giocatori 2026_27'!$D$3:$D$493,MATCH($B168,'Input Giocatori 2026_27'!$A$3:$A$493,0)),"")</f>
        <v>Como</v>
      </c>
      <c r="F168" s="50" t="n">
        <f aca="false">IFERROR(INDEX('Output Utente'!$N$2:$N$492,MATCH(165,'Output Utente'!$Q$2:$Q$492,0)),"")</f>
        <v>6</v>
      </c>
      <c r="G168" s="50" t="n">
        <f aca="false">IFERROR(INDEX('Output Utente'!$O$2:$O$492,MATCH(165,'Output Utente'!$Q$2:$Q$492,0)),"")</f>
        <v>20</v>
      </c>
      <c r="H168" s="7" t="str">
        <f aca="false">IFERROR(INDEX('Output Utente'!$P$2:$P$492,MATCH(165,'Output Utente'!$Q$2:$Q$492,0)),"")</f>
        <v>Buono</v>
      </c>
      <c r="I168" s="50" t="n">
        <f aca="false">IFERROR(INDEX('Output Utente'!$F$2:$F$492,MATCH(165,'Output Utente'!$Q$2:$Q$492,0)),"")</f>
        <v>12</v>
      </c>
      <c r="J168" s="50" t="n">
        <f aca="false">IFERROR(INDEX('Output Utente'!$G$2:$G$492,MATCH(165,'Output Utente'!$Q$2:$Q$492,0)),"")</f>
        <v>8</v>
      </c>
      <c r="K168" s="50" t="n">
        <f aca="false">IFERROR(INDEX('Output Utente'!$H$2:$H$492,MATCH(165,'Output Utente'!$Q$2:$Q$492,0)),"")</f>
        <v>13</v>
      </c>
      <c r="L168" s="7" t="str">
        <f aca="false">IFERROR(INDEX('Output Utente'!$E$2:$E$492,MATCH(165,'Output Utente'!$Q$2:$Q$492,0)),"")</f>
        <v>NO</v>
      </c>
      <c r="M168" s="7" t="str">
        <f aca="false">IFERROR(INDEX('Output Utente'!$U$2:$U$492,MATCH(165,'Output Utente'!$Q$2:$Q$492,0)),"")</f>
        <v>OK</v>
      </c>
      <c r="N168" s="7" t="str">
        <f aca="false">IFERROR(INDEX('Output Utente'!$AE$2:$AE$492,MATCH(165,'Output Utente'!$Q$2:$Q$492,0)),"")</f>
        <v>🟡 Attesa rischiosa</v>
      </c>
    </row>
    <row r="169" customFormat="false" ht="15" hidden="false" customHeight="true" outlineLevel="0" collapsed="false">
      <c r="A169" s="49" t="n">
        <v>166</v>
      </c>
      <c r="B169" s="7" t="n">
        <f aca="false">IFERROR(INDEX('Output Utente'!$A$2:$A$492,MATCH(166,'Output Utente'!$Q$2:$Q$492,0)),"")</f>
        <v>7464</v>
      </c>
      <c r="C169" s="7" t="str">
        <f aca="false">IFERROR(INDEX('Output Utente'!$B$2:$B$492,MATCH(166,'Output Utente'!$Q$2:$Q$492,0)),"")</f>
        <v>C</v>
      </c>
      <c r="D169" s="7" t="str">
        <f aca="false">IFERROR(INDEX('Output Utente'!$C$2:$C$492,MATCH(166,'Output Utente'!$Q$2:$Q$492,0)),"")</f>
        <v>Oulai</v>
      </c>
      <c r="E169" s="7" t="str">
        <f aca="false">IFERROR(INDEX('Input Giocatori 2026_27'!$D$3:$D$493,MATCH($B169,'Input Giocatori 2026_27'!$A$3:$A$493,0)),"")</f>
        <v>Fiorentina</v>
      </c>
      <c r="F169" s="50" t="n">
        <f aca="false">IFERROR(INDEX('Output Utente'!$N$2:$N$492,MATCH(166,'Output Utente'!$Q$2:$Q$492,0)),"")</f>
        <v>6</v>
      </c>
      <c r="G169" s="50" t="n">
        <f aca="false">IFERROR(INDEX('Output Utente'!$O$2:$O$492,MATCH(166,'Output Utente'!$Q$2:$Q$492,0)),"")</f>
        <v>20</v>
      </c>
      <c r="H169" s="7" t="str">
        <f aca="false">IFERROR(INDEX('Output Utente'!$P$2:$P$492,MATCH(166,'Output Utente'!$Q$2:$Q$492,0)),"")</f>
        <v>Buono</v>
      </c>
      <c r="I169" s="50" t="n">
        <f aca="false">IFERROR(INDEX('Output Utente'!$F$2:$F$492,MATCH(166,'Output Utente'!$Q$2:$Q$492,0)),"")</f>
        <v>11</v>
      </c>
      <c r="J169" s="50" t="n">
        <f aca="false">IFERROR(INDEX('Output Utente'!$G$2:$G$492,MATCH(166,'Output Utente'!$Q$2:$Q$492,0)),"")</f>
        <v>7</v>
      </c>
      <c r="K169" s="50" t="n">
        <f aca="false">IFERROR(INDEX('Output Utente'!$H$2:$H$492,MATCH(166,'Output Utente'!$Q$2:$Q$492,0)),"")</f>
        <v>12</v>
      </c>
      <c r="L169" s="7" t="str">
        <f aca="false">IFERROR(INDEX('Output Utente'!$E$2:$E$492,MATCH(166,'Output Utente'!$Q$2:$Q$492,0)),"")</f>
        <v>NO</v>
      </c>
      <c r="M169" s="7" t="str">
        <f aca="false">IFERROR(INDEX('Output Utente'!$U$2:$U$492,MATCH(166,'Output Utente'!$Q$2:$Q$492,0)),"")</f>
        <v>OK</v>
      </c>
      <c r="N169" s="7" t="str">
        <f aca="false">IFERROR(INDEX('Output Utente'!$AE$2:$AE$492,MATCH(166,'Output Utente'!$Q$2:$Q$492,0)),"")</f>
        <v>🟡 Attesa rischiosa</v>
      </c>
    </row>
    <row r="170" customFormat="false" ht="15" hidden="false" customHeight="true" outlineLevel="0" collapsed="false">
      <c r="A170" s="49" t="n">
        <v>167</v>
      </c>
      <c r="B170" s="7" t="n">
        <f aca="false">IFERROR(INDEX('Output Utente'!$A$2:$A$492,MATCH(167,'Output Utente'!$Q$2:$Q$492,0)),"")</f>
        <v>6680</v>
      </c>
      <c r="C170" s="7" t="str">
        <f aca="false">IFERROR(INDEX('Output Utente'!$B$2:$B$492,MATCH(167,'Output Utente'!$Q$2:$Q$492,0)),"")</f>
        <v>C</v>
      </c>
      <c r="D170" s="7" t="str">
        <f aca="false">IFERROR(INDEX('Output Utente'!$C$2:$C$492,MATCH(167,'Output Utente'!$Q$2:$Q$492,0)),"")</f>
        <v>Karlstrom</v>
      </c>
      <c r="E170" s="7" t="str">
        <f aca="false">IFERROR(INDEX('Input Giocatori 2026_27'!$D$3:$D$493,MATCH($B170,'Input Giocatori 2026_27'!$A$3:$A$493,0)),"")</f>
        <v>Udinese</v>
      </c>
      <c r="F170" s="50" t="n">
        <f aca="false">IFERROR(INDEX('Output Utente'!$N$2:$N$492,MATCH(167,'Output Utente'!$Q$2:$Q$492,0)),"")</f>
        <v>6</v>
      </c>
      <c r="G170" s="50" t="n">
        <f aca="false">IFERROR(INDEX('Output Utente'!$O$2:$O$492,MATCH(167,'Output Utente'!$Q$2:$Q$492,0)),"")</f>
        <v>20</v>
      </c>
      <c r="H170" s="7" t="str">
        <f aca="false">IFERROR(INDEX('Output Utente'!$P$2:$P$492,MATCH(167,'Output Utente'!$Q$2:$Q$492,0)),"")</f>
        <v>Buono</v>
      </c>
      <c r="I170" s="50" t="n">
        <f aca="false">IFERROR(INDEX('Output Utente'!$F$2:$F$492,MATCH(167,'Output Utente'!$Q$2:$Q$492,0)),"")</f>
        <v>11</v>
      </c>
      <c r="J170" s="50" t="n">
        <f aca="false">IFERROR(INDEX('Output Utente'!$G$2:$G$492,MATCH(167,'Output Utente'!$Q$2:$Q$492,0)),"")</f>
        <v>7</v>
      </c>
      <c r="K170" s="50" t="n">
        <f aca="false">IFERROR(INDEX('Output Utente'!$H$2:$H$492,MATCH(167,'Output Utente'!$Q$2:$Q$492,0)),"")</f>
        <v>12</v>
      </c>
      <c r="L170" s="7" t="str">
        <f aca="false">IFERROR(INDEX('Output Utente'!$E$2:$E$492,MATCH(167,'Output Utente'!$Q$2:$Q$492,0)),"")</f>
        <v>NO</v>
      </c>
      <c r="M170" s="7" t="str">
        <f aca="false">IFERROR(INDEX('Output Utente'!$U$2:$U$492,MATCH(167,'Output Utente'!$Q$2:$Q$492,0)),"")</f>
        <v>OK</v>
      </c>
      <c r="N170" s="7" t="str">
        <f aca="false">IFERROR(INDEX('Output Utente'!$AE$2:$AE$492,MATCH(167,'Output Utente'!$Q$2:$Q$492,0)),"")</f>
        <v>🟡 Attesa rischiosa</v>
      </c>
    </row>
    <row r="171" customFormat="false" ht="15" hidden="false" customHeight="true" outlineLevel="0" collapsed="false">
      <c r="A171" s="49" t="n">
        <v>168</v>
      </c>
      <c r="B171" s="7" t="n">
        <f aca="false">IFERROR(INDEX('Output Utente'!$A$2:$A$492,MATCH(168,'Output Utente'!$Q$2:$Q$492,0)),"")</f>
        <v>6164</v>
      </c>
      <c r="C171" s="7" t="str">
        <f aca="false">IFERROR(INDEX('Output Utente'!$B$2:$B$492,MATCH(168,'Output Utente'!$Q$2:$Q$492,0)),"")</f>
        <v>A</v>
      </c>
      <c r="D171" s="7" t="str">
        <f aca="false">IFERROR(INDEX('Output Utente'!$C$2:$C$492,MATCH(168,'Output Utente'!$Q$2:$Q$492,0)),"")</f>
        <v>Vitinha O.</v>
      </c>
      <c r="E171" s="7" t="str">
        <f aca="false">IFERROR(INDEX('Input Giocatori 2026_27'!$D$3:$D$493,MATCH($B171,'Input Giocatori 2026_27'!$A$3:$A$493,0)),"")</f>
        <v>Genoa</v>
      </c>
      <c r="F171" s="50" t="n">
        <f aca="false">IFERROR(INDEX('Output Utente'!$N$2:$N$492,MATCH(168,'Output Utente'!$Q$2:$Q$492,0)),"")</f>
        <v>8</v>
      </c>
      <c r="G171" s="50" t="n">
        <f aca="false">IFERROR(INDEX('Output Utente'!$O$2:$O$492,MATCH(168,'Output Utente'!$Q$2:$Q$492,0)),"")</f>
        <v>20</v>
      </c>
      <c r="H171" s="7" t="str">
        <f aca="false">IFERROR(INDEX('Output Utente'!$P$2:$P$492,MATCH(168,'Output Utente'!$Q$2:$Q$492,0)),"")</f>
        <v>Nella Media</v>
      </c>
      <c r="I171" s="50" t="n">
        <f aca="false">IFERROR(INDEX('Output Utente'!$F$2:$F$492,MATCH(168,'Output Utente'!$Q$2:$Q$492,0)),"")</f>
        <v>17</v>
      </c>
      <c r="J171" s="50" t="n">
        <f aca="false">IFERROR(INDEX('Output Utente'!$G$2:$G$492,MATCH(168,'Output Utente'!$Q$2:$Q$492,0)),"")</f>
        <v>11</v>
      </c>
      <c r="K171" s="50" t="n">
        <f aca="false">IFERROR(INDEX('Output Utente'!$H$2:$H$492,MATCH(168,'Output Utente'!$Q$2:$Q$492,0)),"")</f>
        <v>20</v>
      </c>
      <c r="L171" s="7" t="str">
        <f aca="false">IFERROR(INDEX('Output Utente'!$E$2:$E$492,MATCH(168,'Output Utente'!$Q$2:$Q$492,0)),"")</f>
        <v>NO</v>
      </c>
      <c r="M171" s="7" t="str">
        <f aca="false">IFERROR(INDEX('Output Utente'!$U$2:$U$492,MATCH(168,'Output Utente'!$Q$2:$Q$492,0)),"")</f>
        <v>OK</v>
      </c>
      <c r="N171" s="7" t="str">
        <f aca="false">IFERROR(INDEX('Output Utente'!$AE$2:$AE$492,MATCH(168,'Output Utente'!$Q$2:$Q$492,0)),"")</f>
        <v>🔴 Non aspettare</v>
      </c>
    </row>
    <row r="172" customFormat="false" ht="15" hidden="false" customHeight="true" outlineLevel="0" collapsed="false">
      <c r="A172" s="49" t="n">
        <v>169</v>
      </c>
      <c r="B172" s="7" t="n">
        <f aca="false">IFERROR(INDEX('Output Utente'!$A$2:$A$492,MATCH(169,'Output Utente'!$Q$2:$Q$492,0)),"")</f>
        <v>7449</v>
      </c>
      <c r="C172" s="7" t="str">
        <f aca="false">IFERROR(INDEX('Output Utente'!$B$2:$B$492,MATCH(169,'Output Utente'!$Q$2:$Q$492,0)),"")</f>
        <v>A</v>
      </c>
      <c r="D172" s="7" t="str">
        <f aca="false">IFERROR(INDEX('Output Utente'!$C$2:$C$492,MATCH(169,'Output Utente'!$Q$2:$Q$492,0)),"")</f>
        <v>Rrahmani Al.</v>
      </c>
      <c r="E172" s="7" t="str">
        <f aca="false">IFERROR(INDEX('Input Giocatori 2026_27'!$D$3:$D$493,MATCH($B172,'Input Giocatori 2026_27'!$A$3:$A$493,0)),"")</f>
        <v>Venezia</v>
      </c>
      <c r="F172" s="50" t="n">
        <f aca="false">IFERROR(INDEX('Output Utente'!$N$2:$N$492,MATCH(169,'Output Utente'!$Q$2:$Q$492,0)),"")</f>
        <v>8</v>
      </c>
      <c r="G172" s="50" t="n">
        <f aca="false">IFERROR(INDEX('Output Utente'!$O$2:$O$492,MATCH(169,'Output Utente'!$Q$2:$Q$492,0)),"")</f>
        <v>20</v>
      </c>
      <c r="H172" s="7" t="str">
        <f aca="false">IFERROR(INDEX('Output Utente'!$P$2:$P$492,MATCH(169,'Output Utente'!$Q$2:$Q$492,0)),"")</f>
        <v>Nella Media</v>
      </c>
      <c r="I172" s="50" t="n">
        <f aca="false">IFERROR(INDEX('Output Utente'!$F$2:$F$492,MATCH(169,'Output Utente'!$Q$2:$Q$492,0)),"")</f>
        <v>18</v>
      </c>
      <c r="J172" s="50" t="n">
        <f aca="false">IFERROR(INDEX('Output Utente'!$G$2:$G$492,MATCH(169,'Output Utente'!$Q$2:$Q$492,0)),"")</f>
        <v>11</v>
      </c>
      <c r="K172" s="50" t="n">
        <f aca="false">IFERROR(INDEX('Output Utente'!$H$2:$H$492,MATCH(169,'Output Utente'!$Q$2:$Q$492,0)),"")</f>
        <v>21</v>
      </c>
      <c r="L172" s="7" t="str">
        <f aca="false">IFERROR(INDEX('Output Utente'!$E$2:$E$492,MATCH(169,'Output Utente'!$Q$2:$Q$492,0)),"")</f>
        <v>NO</v>
      </c>
      <c r="M172" s="7" t="str">
        <f aca="false">IFERROR(INDEX('Output Utente'!$U$2:$U$492,MATCH(169,'Output Utente'!$Q$2:$Q$492,0)),"")</f>
        <v>OK</v>
      </c>
      <c r="N172" s="7" t="str">
        <f aca="false">IFERROR(INDEX('Output Utente'!$AE$2:$AE$492,MATCH(169,'Output Utente'!$Q$2:$Q$492,0)),"")</f>
        <v>🔴 Non aspettare</v>
      </c>
    </row>
    <row r="173" customFormat="false" ht="15" hidden="false" customHeight="true" outlineLevel="0" collapsed="false">
      <c r="A173" s="49" t="n">
        <v>170</v>
      </c>
      <c r="B173" s="7" t="n">
        <f aca="false">IFERROR(INDEX('Output Utente'!$A$2:$A$492,MATCH(170,'Output Utente'!$Q$2:$Q$492,0)),"")</f>
        <v>4994</v>
      </c>
      <c r="C173" s="7" t="str">
        <f aca="false">IFERROR(INDEX('Output Utente'!$B$2:$B$492,MATCH(170,'Output Utente'!$Q$2:$Q$492,0)),"")</f>
        <v>D</v>
      </c>
      <c r="D173" s="7" t="str">
        <f aca="false">IFERROR(INDEX('Output Utente'!$C$2:$C$492,MATCH(170,'Output Utente'!$Q$2:$Q$492,0)),"")</f>
        <v>Vojvoda</v>
      </c>
      <c r="E173" s="7" t="str">
        <f aca="false">IFERROR(INDEX('Input Giocatori 2026_27'!$D$3:$D$493,MATCH($B173,'Input Giocatori 2026_27'!$A$3:$A$493,0)),"")</f>
        <v>Udinese</v>
      </c>
      <c r="F173" s="50" t="n">
        <f aca="false">IFERROR(INDEX('Output Utente'!$N$2:$N$492,MATCH(170,'Output Utente'!$Q$2:$Q$492,0)),"")</f>
        <v>8</v>
      </c>
      <c r="G173" s="50" t="n">
        <f aca="false">IFERROR(INDEX('Output Utente'!$O$2:$O$492,MATCH(170,'Output Utente'!$Q$2:$Q$492,0)),"")</f>
        <v>19</v>
      </c>
      <c r="H173" s="7" t="str">
        <f aca="false">IFERROR(INDEX('Output Utente'!$P$2:$P$492,MATCH(170,'Output Utente'!$Q$2:$Q$492,0)),"")</f>
        <v>Buono</v>
      </c>
      <c r="I173" s="50" t="n">
        <f aca="false">IFERROR(INDEX('Output Utente'!$F$2:$F$492,MATCH(170,'Output Utente'!$Q$2:$Q$492,0)),"")</f>
        <v>9</v>
      </c>
      <c r="J173" s="50" t="n">
        <f aca="false">IFERROR(INDEX('Output Utente'!$G$2:$G$492,MATCH(170,'Output Utente'!$Q$2:$Q$492,0)),"")</f>
        <v>7</v>
      </c>
      <c r="K173" s="50" t="n">
        <f aca="false">IFERROR(INDEX('Output Utente'!$H$2:$H$492,MATCH(170,'Output Utente'!$Q$2:$Q$492,0)),"")</f>
        <v>10</v>
      </c>
      <c r="L173" s="7" t="str">
        <f aca="false">IFERROR(INDEX('Output Utente'!$E$2:$E$492,MATCH(170,'Output Utente'!$Q$2:$Q$492,0)),"")</f>
        <v>NO</v>
      </c>
      <c r="M173" s="7" t="str">
        <f aca="false">IFERROR(INDEX('Output Utente'!$U$2:$U$492,MATCH(170,'Output Utente'!$Q$2:$Q$492,0)),"")</f>
        <v>OK</v>
      </c>
      <c r="N173" s="7" t="str">
        <f aca="false">IFERROR(INDEX('Output Utente'!$AE$2:$AE$492,MATCH(170,'Output Utente'!$Q$2:$Q$492,0)),"")</f>
        <v>🟡 Attesa rischiosa</v>
      </c>
    </row>
    <row r="174" customFormat="false" ht="15" hidden="false" customHeight="true" outlineLevel="0" collapsed="false">
      <c r="A174" s="49" t="n">
        <v>171</v>
      </c>
      <c r="B174" s="7" t="n">
        <f aca="false">IFERROR(INDEX('Output Utente'!$A$2:$A$492,MATCH(171,'Output Utente'!$Q$2:$Q$492,0)),"")</f>
        <v>4433</v>
      </c>
      <c r="C174" s="7" t="str">
        <f aca="false">IFERROR(INDEX('Output Utente'!$B$2:$B$492,MATCH(171,'Output Utente'!$Q$2:$Q$492,0)),"")</f>
        <v>D</v>
      </c>
      <c r="D174" s="7" t="str">
        <f aca="false">IFERROR(INDEX('Output Utente'!$C$2:$C$492,MATCH(171,'Output Utente'!$Q$2:$Q$492,0)),"")</f>
        <v>Zortea</v>
      </c>
      <c r="E174" s="7" t="str">
        <f aca="false">IFERROR(INDEX('Input Giocatori 2026_27'!$D$3:$D$493,MATCH($B174,'Input Giocatori 2026_27'!$A$3:$A$493,0)),"")</f>
        <v>Bologna</v>
      </c>
      <c r="F174" s="50" t="n">
        <f aca="false">IFERROR(INDEX('Output Utente'!$N$2:$N$492,MATCH(171,'Output Utente'!$Q$2:$Q$492,0)),"")</f>
        <v>6</v>
      </c>
      <c r="G174" s="50" t="n">
        <f aca="false">IFERROR(INDEX('Output Utente'!$O$2:$O$492,MATCH(171,'Output Utente'!$Q$2:$Q$492,0)),"")</f>
        <v>19</v>
      </c>
      <c r="H174" s="7" t="str">
        <f aca="false">IFERROR(INDEX('Output Utente'!$P$2:$P$492,MATCH(171,'Output Utente'!$Q$2:$Q$492,0)),"")</f>
        <v>Buono</v>
      </c>
      <c r="I174" s="50" t="n">
        <f aca="false">IFERROR(INDEX('Output Utente'!$F$2:$F$492,MATCH(171,'Output Utente'!$Q$2:$Q$492,0)),"")</f>
        <v>9</v>
      </c>
      <c r="J174" s="50" t="n">
        <f aca="false">IFERROR(INDEX('Output Utente'!$G$2:$G$492,MATCH(171,'Output Utente'!$Q$2:$Q$492,0)),"")</f>
        <v>7</v>
      </c>
      <c r="K174" s="50" t="n">
        <f aca="false">IFERROR(INDEX('Output Utente'!$H$2:$H$492,MATCH(171,'Output Utente'!$Q$2:$Q$492,0)),"")</f>
        <v>10</v>
      </c>
      <c r="L174" s="7" t="str">
        <f aca="false">IFERROR(INDEX('Output Utente'!$E$2:$E$492,MATCH(171,'Output Utente'!$Q$2:$Q$492,0)),"")</f>
        <v>NO</v>
      </c>
      <c r="M174" s="7" t="str">
        <f aca="false">IFERROR(INDEX('Output Utente'!$U$2:$U$492,MATCH(171,'Output Utente'!$Q$2:$Q$492,0)),"")</f>
        <v>OK</v>
      </c>
      <c r="N174" s="7" t="str">
        <f aca="false">IFERROR(INDEX('Output Utente'!$AE$2:$AE$492,MATCH(171,'Output Utente'!$Q$2:$Q$492,0)),"")</f>
        <v>🟡 Attesa rischiosa</v>
      </c>
    </row>
    <row r="175" customFormat="false" ht="15" hidden="false" customHeight="true" outlineLevel="0" collapsed="false">
      <c r="A175" s="49" t="n">
        <v>172</v>
      </c>
      <c r="B175" s="7" t="n">
        <f aca="false">IFERROR(INDEX('Output Utente'!$A$2:$A$492,MATCH(172,'Output Utente'!$Q$2:$Q$492,0)),"")</f>
        <v>7410</v>
      </c>
      <c r="C175" s="7" t="str">
        <f aca="false">IFERROR(INDEX('Output Utente'!$B$2:$B$492,MATCH(172,'Output Utente'!$Q$2:$Q$492,0)),"")</f>
        <v>D</v>
      </c>
      <c r="D175" s="7" t="str">
        <f aca="false">IFERROR(INDEX('Output Utente'!$C$2:$C$492,MATCH(172,'Output Utente'!$Q$2:$Q$492,0)),"")</f>
        <v>Viery</v>
      </c>
      <c r="E175" s="7" t="str">
        <f aca="false">IFERROR(INDEX('Input Giocatori 2026_27'!$D$3:$D$493,MATCH($B175,'Input Giocatori 2026_27'!$A$3:$A$493,0)),"")</f>
        <v>Fiorentina</v>
      </c>
      <c r="F175" s="50" t="n">
        <f aca="false">IFERROR(INDEX('Output Utente'!$N$2:$N$492,MATCH(172,'Output Utente'!$Q$2:$Q$492,0)),"")</f>
        <v>6</v>
      </c>
      <c r="G175" s="50" t="n">
        <f aca="false">IFERROR(INDEX('Output Utente'!$O$2:$O$492,MATCH(172,'Output Utente'!$Q$2:$Q$492,0)),"")</f>
        <v>19</v>
      </c>
      <c r="H175" s="7" t="str">
        <f aca="false">IFERROR(INDEX('Output Utente'!$P$2:$P$492,MATCH(172,'Output Utente'!$Q$2:$Q$492,0)),"")</f>
        <v>Buono</v>
      </c>
      <c r="I175" s="50" t="n">
        <f aca="false">IFERROR(INDEX('Output Utente'!$F$2:$F$492,MATCH(172,'Output Utente'!$Q$2:$Q$492,0)),"")</f>
        <v>9</v>
      </c>
      <c r="J175" s="50" t="n">
        <f aca="false">IFERROR(INDEX('Output Utente'!$G$2:$G$492,MATCH(172,'Output Utente'!$Q$2:$Q$492,0)),"")</f>
        <v>7</v>
      </c>
      <c r="K175" s="50" t="n">
        <f aca="false">IFERROR(INDEX('Output Utente'!$H$2:$H$492,MATCH(172,'Output Utente'!$Q$2:$Q$492,0)),"")</f>
        <v>10</v>
      </c>
      <c r="L175" s="7" t="str">
        <f aca="false">IFERROR(INDEX('Output Utente'!$E$2:$E$492,MATCH(172,'Output Utente'!$Q$2:$Q$492,0)),"")</f>
        <v>NO</v>
      </c>
      <c r="M175" s="7" t="str">
        <f aca="false">IFERROR(INDEX('Output Utente'!$U$2:$U$492,MATCH(172,'Output Utente'!$Q$2:$Q$492,0)),"")</f>
        <v>OK</v>
      </c>
      <c r="N175" s="7" t="str">
        <f aca="false">IFERROR(INDEX('Output Utente'!$AE$2:$AE$492,MATCH(172,'Output Utente'!$Q$2:$Q$492,0)),"")</f>
        <v>🟡 Attesa rischiosa</v>
      </c>
    </row>
    <row r="176" customFormat="false" ht="15" hidden="false" customHeight="true" outlineLevel="0" collapsed="false">
      <c r="A176" s="49" t="n">
        <v>173</v>
      </c>
      <c r="B176" s="7" t="n">
        <f aca="false">IFERROR(INDEX('Output Utente'!$A$2:$A$492,MATCH(173,'Output Utente'!$Q$2:$Q$492,0)),"")</f>
        <v>6010</v>
      </c>
      <c r="C176" s="7" t="str">
        <f aca="false">IFERROR(INDEX('Output Utente'!$B$2:$B$492,MATCH(173,'Output Utente'!$Q$2:$Q$492,0)),"")</f>
        <v>C</v>
      </c>
      <c r="D176" s="7" t="str">
        <f aca="false">IFERROR(INDEX('Output Utente'!$C$2:$C$492,MATCH(173,'Output Utente'!$Q$2:$Q$492,0)),"")</f>
        <v>Fazzini</v>
      </c>
      <c r="E176" s="7" t="str">
        <f aca="false">IFERROR(INDEX('Input Giocatori 2026_27'!$D$3:$D$493,MATCH($B176,'Input Giocatori 2026_27'!$A$3:$A$493,0)),"")</f>
        <v>Cagliari</v>
      </c>
      <c r="F176" s="50" t="n">
        <f aca="false">IFERROR(INDEX('Output Utente'!$N$2:$N$492,MATCH(173,'Output Utente'!$Q$2:$Q$492,0)),"")</f>
        <v>7</v>
      </c>
      <c r="G176" s="50" t="n">
        <f aca="false">IFERROR(INDEX('Output Utente'!$O$2:$O$492,MATCH(173,'Output Utente'!$Q$2:$Q$492,0)),"")</f>
        <v>19</v>
      </c>
      <c r="H176" s="7" t="str">
        <f aca="false">IFERROR(INDEX('Output Utente'!$P$2:$P$492,MATCH(173,'Output Utente'!$Q$2:$Q$492,0)),"")</f>
        <v>Buono</v>
      </c>
      <c r="I176" s="50" t="n">
        <f aca="false">IFERROR(INDEX('Output Utente'!$F$2:$F$492,MATCH(173,'Output Utente'!$Q$2:$Q$492,0)),"")</f>
        <v>11</v>
      </c>
      <c r="J176" s="50" t="n">
        <f aca="false">IFERROR(INDEX('Output Utente'!$G$2:$G$492,MATCH(173,'Output Utente'!$Q$2:$Q$492,0)),"")</f>
        <v>7</v>
      </c>
      <c r="K176" s="50" t="n">
        <f aca="false">IFERROR(INDEX('Output Utente'!$H$2:$H$492,MATCH(173,'Output Utente'!$Q$2:$Q$492,0)),"")</f>
        <v>12</v>
      </c>
      <c r="L176" s="7" t="str">
        <f aca="false">IFERROR(INDEX('Output Utente'!$E$2:$E$492,MATCH(173,'Output Utente'!$Q$2:$Q$492,0)),"")</f>
        <v>NO</v>
      </c>
      <c r="M176" s="7" t="str">
        <f aca="false">IFERROR(INDEX('Output Utente'!$U$2:$U$492,MATCH(173,'Output Utente'!$Q$2:$Q$492,0)),"")</f>
        <v>OK</v>
      </c>
      <c r="N176" s="7" t="str">
        <f aca="false">IFERROR(INDEX('Output Utente'!$AE$2:$AE$492,MATCH(173,'Output Utente'!$Q$2:$Q$492,0)),"")</f>
        <v>🟡 Attesa rischiosa</v>
      </c>
    </row>
    <row r="177" customFormat="false" ht="15" hidden="false" customHeight="true" outlineLevel="0" collapsed="false">
      <c r="A177" s="49" t="n">
        <v>174</v>
      </c>
      <c r="B177" s="7" t="n">
        <f aca="false">IFERROR(INDEX('Output Utente'!$A$2:$A$492,MATCH(174,'Output Utente'!$Q$2:$Q$492,0)),"")</f>
        <v>5791</v>
      </c>
      <c r="C177" s="7" t="str">
        <f aca="false">IFERROR(INDEX('Output Utente'!$B$2:$B$492,MATCH(174,'Output Utente'!$Q$2:$Q$492,0)),"")</f>
        <v>C</v>
      </c>
      <c r="D177" s="7" t="str">
        <f aca="false">IFERROR(INDEX('Output Utente'!$C$2:$C$492,MATCH(174,'Output Utente'!$Q$2:$Q$492,0)),"")</f>
        <v>Frendrup</v>
      </c>
      <c r="E177" s="7" t="str">
        <f aca="false">IFERROR(INDEX('Input Giocatori 2026_27'!$D$3:$D$493,MATCH($B177,'Input Giocatori 2026_27'!$A$3:$A$493,0)),"")</f>
        <v>Genoa</v>
      </c>
      <c r="F177" s="50" t="n">
        <f aca="false">IFERROR(INDEX('Output Utente'!$N$2:$N$492,MATCH(174,'Output Utente'!$Q$2:$Q$492,0)),"")</f>
        <v>7</v>
      </c>
      <c r="G177" s="50" t="n">
        <f aca="false">IFERROR(INDEX('Output Utente'!$O$2:$O$492,MATCH(174,'Output Utente'!$Q$2:$Q$492,0)),"")</f>
        <v>19</v>
      </c>
      <c r="H177" s="7" t="str">
        <f aca="false">IFERROR(INDEX('Output Utente'!$P$2:$P$492,MATCH(174,'Output Utente'!$Q$2:$Q$492,0)),"")</f>
        <v>Buono</v>
      </c>
      <c r="I177" s="50" t="n">
        <f aca="false">IFERROR(INDEX('Output Utente'!$F$2:$F$492,MATCH(174,'Output Utente'!$Q$2:$Q$492,0)),"")</f>
        <v>11</v>
      </c>
      <c r="J177" s="50" t="n">
        <f aca="false">IFERROR(INDEX('Output Utente'!$G$2:$G$492,MATCH(174,'Output Utente'!$Q$2:$Q$492,0)),"")</f>
        <v>7</v>
      </c>
      <c r="K177" s="50" t="n">
        <f aca="false">IFERROR(INDEX('Output Utente'!$H$2:$H$492,MATCH(174,'Output Utente'!$Q$2:$Q$492,0)),"")</f>
        <v>12</v>
      </c>
      <c r="L177" s="7" t="str">
        <f aca="false">IFERROR(INDEX('Output Utente'!$E$2:$E$492,MATCH(174,'Output Utente'!$Q$2:$Q$492,0)),"")</f>
        <v>NO</v>
      </c>
      <c r="M177" s="7" t="str">
        <f aca="false">IFERROR(INDEX('Output Utente'!$U$2:$U$492,MATCH(174,'Output Utente'!$Q$2:$Q$492,0)),"")</f>
        <v>OK</v>
      </c>
      <c r="N177" s="7" t="str">
        <f aca="false">IFERROR(INDEX('Output Utente'!$AE$2:$AE$492,MATCH(174,'Output Utente'!$Q$2:$Q$492,0)),"")</f>
        <v>🟡 Attesa rischiosa</v>
      </c>
    </row>
    <row r="178" customFormat="false" ht="15" hidden="false" customHeight="true" outlineLevel="0" collapsed="false">
      <c r="A178" s="49" t="n">
        <v>175</v>
      </c>
      <c r="B178" s="7" t="n">
        <f aca="false">IFERROR(INDEX('Output Utente'!$A$2:$A$492,MATCH(175,'Output Utente'!$Q$2:$Q$492,0)),"")</f>
        <v>6549</v>
      </c>
      <c r="C178" s="7" t="str">
        <f aca="false">IFERROR(INDEX('Output Utente'!$B$2:$B$492,MATCH(175,'Output Utente'!$Q$2:$Q$492,0)),"")</f>
        <v>C</v>
      </c>
      <c r="D178" s="7" t="str">
        <f aca="false">IFERROR(INDEX('Output Utente'!$C$2:$C$492,MATCH(175,'Output Utente'!$Q$2:$Q$492,0)),"")</f>
        <v>Pierotti</v>
      </c>
      <c r="E178" s="7" t="str">
        <f aca="false">IFERROR(INDEX('Input Giocatori 2026_27'!$D$3:$D$493,MATCH($B178,'Input Giocatori 2026_27'!$A$3:$A$493,0)),"")</f>
        <v>Lecce</v>
      </c>
      <c r="F178" s="50" t="n">
        <f aca="false">IFERROR(INDEX('Output Utente'!$N$2:$N$492,MATCH(175,'Output Utente'!$Q$2:$Q$492,0)),"")</f>
        <v>6</v>
      </c>
      <c r="G178" s="50" t="n">
        <f aca="false">IFERROR(INDEX('Output Utente'!$O$2:$O$492,MATCH(175,'Output Utente'!$Q$2:$Q$492,0)),"")</f>
        <v>19</v>
      </c>
      <c r="H178" s="7" t="str">
        <f aca="false">IFERROR(INDEX('Output Utente'!$P$2:$P$492,MATCH(175,'Output Utente'!$Q$2:$Q$492,0)),"")</f>
        <v>Buono</v>
      </c>
      <c r="I178" s="50" t="n">
        <f aca="false">IFERROR(INDEX('Output Utente'!$F$2:$F$492,MATCH(175,'Output Utente'!$Q$2:$Q$492,0)),"")</f>
        <v>11</v>
      </c>
      <c r="J178" s="50" t="n">
        <f aca="false">IFERROR(INDEX('Output Utente'!$G$2:$G$492,MATCH(175,'Output Utente'!$Q$2:$Q$492,0)),"")</f>
        <v>7</v>
      </c>
      <c r="K178" s="50" t="n">
        <f aca="false">IFERROR(INDEX('Output Utente'!$H$2:$H$492,MATCH(175,'Output Utente'!$Q$2:$Q$492,0)),"")</f>
        <v>12</v>
      </c>
      <c r="L178" s="7" t="str">
        <f aca="false">IFERROR(INDEX('Output Utente'!$E$2:$E$492,MATCH(175,'Output Utente'!$Q$2:$Q$492,0)),"")</f>
        <v>NO</v>
      </c>
      <c r="M178" s="7" t="str">
        <f aca="false">IFERROR(INDEX('Output Utente'!$U$2:$U$492,MATCH(175,'Output Utente'!$Q$2:$Q$492,0)),"")</f>
        <v>OK</v>
      </c>
      <c r="N178" s="7" t="str">
        <f aca="false">IFERROR(INDEX('Output Utente'!$AE$2:$AE$492,MATCH(175,'Output Utente'!$Q$2:$Q$492,0)),"")</f>
        <v>🟡 Attesa rischiosa</v>
      </c>
    </row>
    <row r="179" customFormat="false" ht="15" hidden="false" customHeight="true" outlineLevel="0" collapsed="false">
      <c r="A179" s="49" t="n">
        <v>176</v>
      </c>
      <c r="B179" s="7" t="n">
        <f aca="false">IFERROR(INDEX('Output Utente'!$A$2:$A$492,MATCH(176,'Output Utente'!$Q$2:$Q$492,0)),"")</f>
        <v>5674</v>
      </c>
      <c r="C179" s="7" t="str">
        <f aca="false">IFERROR(INDEX('Output Utente'!$B$2:$B$492,MATCH(176,'Output Utente'!$Q$2:$Q$492,0)),"")</f>
        <v>C</v>
      </c>
      <c r="D179" s="7" t="str">
        <f aca="false">IFERROR(INDEX('Output Utente'!$C$2:$C$492,MATCH(176,'Output Utente'!$Q$2:$Q$492,0)),"")</f>
        <v>Basic</v>
      </c>
      <c r="E179" s="7" t="str">
        <f aca="false">IFERROR(INDEX('Input Giocatori 2026_27'!$D$3:$D$493,MATCH($B179,'Input Giocatori 2026_27'!$A$3:$A$493,0)),"")</f>
        <v>Venezia</v>
      </c>
      <c r="F179" s="50" t="n">
        <f aca="false">IFERROR(INDEX('Output Utente'!$N$2:$N$492,MATCH(176,'Output Utente'!$Q$2:$Q$492,0)),"")</f>
        <v>6</v>
      </c>
      <c r="G179" s="50" t="n">
        <f aca="false">IFERROR(INDEX('Output Utente'!$O$2:$O$492,MATCH(176,'Output Utente'!$Q$2:$Q$492,0)),"")</f>
        <v>19</v>
      </c>
      <c r="H179" s="7" t="str">
        <f aca="false">IFERROR(INDEX('Output Utente'!$P$2:$P$492,MATCH(176,'Output Utente'!$Q$2:$Q$492,0)),"")</f>
        <v>Buono</v>
      </c>
      <c r="I179" s="50" t="n">
        <f aca="false">IFERROR(INDEX('Output Utente'!$F$2:$F$492,MATCH(176,'Output Utente'!$Q$2:$Q$492,0)),"")</f>
        <v>11</v>
      </c>
      <c r="J179" s="50" t="n">
        <f aca="false">IFERROR(INDEX('Output Utente'!$G$2:$G$492,MATCH(176,'Output Utente'!$Q$2:$Q$492,0)),"")</f>
        <v>7</v>
      </c>
      <c r="K179" s="50" t="n">
        <f aca="false">IFERROR(INDEX('Output Utente'!$H$2:$H$492,MATCH(176,'Output Utente'!$Q$2:$Q$492,0)),"")</f>
        <v>12</v>
      </c>
      <c r="L179" s="7" t="str">
        <f aca="false">IFERROR(INDEX('Output Utente'!$E$2:$E$492,MATCH(176,'Output Utente'!$Q$2:$Q$492,0)),"")</f>
        <v>NO</v>
      </c>
      <c r="M179" s="7" t="str">
        <f aca="false">IFERROR(INDEX('Output Utente'!$U$2:$U$492,MATCH(176,'Output Utente'!$Q$2:$Q$492,0)),"")</f>
        <v>OK</v>
      </c>
      <c r="N179" s="7" t="str">
        <f aca="false">IFERROR(INDEX('Output Utente'!$AE$2:$AE$492,MATCH(176,'Output Utente'!$Q$2:$Q$492,0)),"")</f>
        <v>🟡 Attesa rischiosa</v>
      </c>
    </row>
    <row r="180" customFormat="false" ht="15" hidden="false" customHeight="true" outlineLevel="0" collapsed="false">
      <c r="A180" s="49" t="n">
        <v>177</v>
      </c>
      <c r="B180" s="7" t="n">
        <f aca="false">IFERROR(INDEX('Output Utente'!$A$2:$A$492,MATCH(177,'Output Utente'!$Q$2:$Q$492,0)),"")</f>
        <v>2529</v>
      </c>
      <c r="C180" s="7" t="str">
        <f aca="false">IFERROR(INDEX('Output Utente'!$B$2:$B$492,MATCH(177,'Output Utente'!$Q$2:$Q$492,0)),"")</f>
        <v>C</v>
      </c>
      <c r="D180" s="7" t="str">
        <f aca="false">IFERROR(INDEX('Output Utente'!$C$2:$C$492,MATCH(177,'Output Utente'!$Q$2:$Q$492,0)),"")</f>
        <v>Mkhitaryan</v>
      </c>
      <c r="E180" s="7" t="str">
        <f aca="false">IFERROR(INDEX('Input Giocatori 2026_27'!$D$3:$D$493,MATCH($B180,'Input Giocatori 2026_27'!$A$3:$A$493,0)),"")</f>
        <v>Inter</v>
      </c>
      <c r="F180" s="50" t="n">
        <f aca="false">IFERROR(INDEX('Output Utente'!$N$2:$N$492,MATCH(177,'Output Utente'!$Q$2:$Q$492,0)),"")</f>
        <v>5</v>
      </c>
      <c r="G180" s="50" t="n">
        <f aca="false">IFERROR(INDEX('Output Utente'!$O$2:$O$492,MATCH(177,'Output Utente'!$Q$2:$Q$492,0)),"")</f>
        <v>19</v>
      </c>
      <c r="H180" s="7" t="str">
        <f aca="false">IFERROR(INDEX('Output Utente'!$P$2:$P$492,MATCH(177,'Output Utente'!$Q$2:$Q$492,0)),"")</f>
        <v>Buono</v>
      </c>
      <c r="I180" s="50" t="n">
        <f aca="false">IFERROR(INDEX('Output Utente'!$F$2:$F$492,MATCH(177,'Output Utente'!$Q$2:$Q$492,0)),"")</f>
        <v>11</v>
      </c>
      <c r="J180" s="50" t="n">
        <f aca="false">IFERROR(INDEX('Output Utente'!$G$2:$G$492,MATCH(177,'Output Utente'!$Q$2:$Q$492,0)),"")</f>
        <v>7</v>
      </c>
      <c r="K180" s="50" t="n">
        <f aca="false">IFERROR(INDEX('Output Utente'!$H$2:$H$492,MATCH(177,'Output Utente'!$Q$2:$Q$492,0)),"")</f>
        <v>12</v>
      </c>
      <c r="L180" s="7" t="str">
        <f aca="false">IFERROR(INDEX('Output Utente'!$E$2:$E$492,MATCH(177,'Output Utente'!$Q$2:$Q$492,0)),"")</f>
        <v>NO</v>
      </c>
      <c r="M180" s="7" t="str">
        <f aca="false">IFERROR(INDEX('Output Utente'!$U$2:$U$492,MATCH(177,'Output Utente'!$Q$2:$Q$492,0)),"")</f>
        <v>OK</v>
      </c>
      <c r="N180" s="7" t="str">
        <f aca="false">IFERROR(INDEX('Output Utente'!$AE$2:$AE$492,MATCH(177,'Output Utente'!$Q$2:$Q$492,0)),"")</f>
        <v>🟡 Attesa rischiosa</v>
      </c>
    </row>
    <row r="181" customFormat="false" ht="15" hidden="false" customHeight="true" outlineLevel="0" collapsed="false">
      <c r="A181" s="49" t="n">
        <v>178</v>
      </c>
      <c r="B181" s="7" t="n">
        <f aca="false">IFERROR(INDEX('Output Utente'!$A$2:$A$492,MATCH(178,'Output Utente'!$Q$2:$Q$492,0)),"")</f>
        <v>6598</v>
      </c>
      <c r="C181" s="7" t="str">
        <f aca="false">IFERROR(INDEX('Output Utente'!$B$2:$B$492,MATCH(178,'Output Utente'!$Q$2:$Q$492,0)),"")</f>
        <v>A</v>
      </c>
      <c r="D181" s="7" t="str">
        <f aca="false">IFERROR(INDEX('Output Utente'!$C$2:$C$492,MATCH(178,'Output Utente'!$Q$2:$Q$492,0)),"")</f>
        <v>Mutandwa</v>
      </c>
      <c r="E181" s="7" t="str">
        <f aca="false">IFERROR(INDEX('Input Giocatori 2026_27'!$D$3:$D$493,MATCH($B181,'Input Giocatori 2026_27'!$A$3:$A$493,0)),"")</f>
        <v>Cagliari</v>
      </c>
      <c r="F181" s="50" t="n">
        <f aca="false">IFERROR(INDEX('Output Utente'!$N$2:$N$492,MATCH(178,'Output Utente'!$Q$2:$Q$492,0)),"")</f>
        <v>6</v>
      </c>
      <c r="G181" s="50" t="n">
        <f aca="false">IFERROR(INDEX('Output Utente'!$O$2:$O$492,MATCH(178,'Output Utente'!$Q$2:$Q$492,0)),"")</f>
        <v>19</v>
      </c>
      <c r="H181" s="7" t="str">
        <f aca="false">IFERROR(INDEX('Output Utente'!$P$2:$P$492,MATCH(178,'Output Utente'!$Q$2:$Q$492,0)),"")</f>
        <v>Nella Media</v>
      </c>
      <c r="I181" s="50" t="n">
        <f aca="false">IFERROR(INDEX('Output Utente'!$F$2:$F$492,MATCH(178,'Output Utente'!$Q$2:$Q$492,0)),"")</f>
        <v>17</v>
      </c>
      <c r="J181" s="50" t="n">
        <f aca="false">IFERROR(INDEX('Output Utente'!$G$2:$G$492,MATCH(178,'Output Utente'!$Q$2:$Q$492,0)),"")</f>
        <v>11</v>
      </c>
      <c r="K181" s="50" t="n">
        <f aca="false">IFERROR(INDEX('Output Utente'!$H$2:$H$492,MATCH(178,'Output Utente'!$Q$2:$Q$492,0)),"")</f>
        <v>20</v>
      </c>
      <c r="L181" s="7" t="str">
        <f aca="false">IFERROR(INDEX('Output Utente'!$E$2:$E$492,MATCH(178,'Output Utente'!$Q$2:$Q$492,0)),"")</f>
        <v>NO</v>
      </c>
      <c r="M181" s="7" t="str">
        <f aca="false">IFERROR(INDEX('Output Utente'!$U$2:$U$492,MATCH(178,'Output Utente'!$Q$2:$Q$492,0)),"")</f>
        <v>OK</v>
      </c>
      <c r="N181" s="7" t="str">
        <f aca="false">IFERROR(INDEX('Output Utente'!$AE$2:$AE$492,MATCH(178,'Output Utente'!$Q$2:$Q$492,0)),"")</f>
        <v>🔴 Non aspettare</v>
      </c>
    </row>
    <row r="182" customFormat="false" ht="15" hidden="false" customHeight="true" outlineLevel="0" collapsed="false">
      <c r="A182" s="49" t="n">
        <v>179</v>
      </c>
      <c r="B182" s="7" t="n">
        <f aca="false">IFERROR(INDEX('Output Utente'!$A$2:$A$492,MATCH(179,'Output Utente'!$Q$2:$Q$492,0)),"")</f>
        <v>7332</v>
      </c>
      <c r="C182" s="7" t="str">
        <f aca="false">IFERROR(INDEX('Output Utente'!$B$2:$B$492,MATCH(179,'Output Utente'!$Q$2:$Q$492,0)),"")</f>
        <v>P</v>
      </c>
      <c r="D182" s="7" t="str">
        <f aca="false">IFERROR(INDEX('Output Utente'!$C$2:$C$492,MATCH(179,'Output Utente'!$Q$2:$Q$492,0)),"")</f>
        <v>Bijlow</v>
      </c>
      <c r="E182" s="7" t="str">
        <f aca="false">IFERROR(INDEX('Input Giocatori 2026_27'!$D$3:$D$493,MATCH($B182,'Input Giocatori 2026_27'!$A$3:$A$493,0)),"")</f>
        <v>Genoa</v>
      </c>
      <c r="F182" s="50" t="n">
        <f aca="false">IFERROR(INDEX('Output Utente'!$N$2:$N$492,MATCH(179,'Output Utente'!$Q$2:$Q$492,0)),"")</f>
        <v>8</v>
      </c>
      <c r="G182" s="50" t="n">
        <f aca="false">IFERROR(INDEX('Output Utente'!$O$2:$O$492,MATCH(179,'Output Utente'!$Q$2:$Q$492,0)),"")</f>
        <v>18</v>
      </c>
      <c r="H182" s="7" t="str">
        <f aca="false">IFERROR(INDEX('Output Utente'!$P$2:$P$492,MATCH(179,'Output Utente'!$Q$2:$Q$492,0)),"")</f>
        <v>Buono</v>
      </c>
      <c r="I182" s="50" t="n">
        <f aca="false">IFERROR(INDEX('Output Utente'!$F$2:$F$492,MATCH(179,'Output Utente'!$Q$2:$Q$492,0)),"")</f>
        <v>20</v>
      </c>
      <c r="J182" s="50" t="n">
        <f aca="false">IFERROR(INDEX('Output Utente'!$G$2:$G$492,MATCH(179,'Output Utente'!$Q$2:$Q$492,0)),"")</f>
        <v>16</v>
      </c>
      <c r="K182" s="50" t="n">
        <f aca="false">IFERROR(INDEX('Output Utente'!$H$2:$H$492,MATCH(179,'Output Utente'!$Q$2:$Q$492,0)),"")</f>
        <v>22</v>
      </c>
      <c r="L182" s="7" t="str">
        <f aca="false">IFERROR(INDEX('Output Utente'!$E$2:$E$492,MATCH(179,'Output Utente'!$Q$2:$Q$492,0)),"")</f>
        <v>NO</v>
      </c>
      <c r="M182" s="7" t="str">
        <f aca="false">IFERROR(INDEX('Output Utente'!$U$2:$U$492,MATCH(179,'Output Utente'!$Q$2:$Q$492,0)),"")</f>
        <v>OK</v>
      </c>
      <c r="N182" s="7" t="str">
        <f aca="false">IFERROR(INDEX('Output Utente'!$AE$2:$AE$492,MATCH(179,'Output Utente'!$Q$2:$Q$492,0)),"")</f>
        <v>🟡 Attesa rischiosa</v>
      </c>
    </row>
    <row r="183" customFormat="false" ht="15" hidden="false" customHeight="true" outlineLevel="0" collapsed="false">
      <c r="A183" s="49" t="n">
        <v>180</v>
      </c>
      <c r="B183" s="7" t="n">
        <f aca="false">IFERROR(INDEX('Output Utente'!$A$2:$A$492,MATCH(180,'Output Utente'!$Q$2:$Q$492,0)),"")</f>
        <v>6042</v>
      </c>
      <c r="C183" s="7" t="str">
        <f aca="false">IFERROR(INDEX('Output Utente'!$B$2:$B$492,MATCH(180,'Output Utente'!$Q$2:$Q$492,0)),"")</f>
        <v>D</v>
      </c>
      <c r="D183" s="7" t="str">
        <f aca="false">IFERROR(INDEX('Output Utente'!$C$2:$C$492,MATCH(180,'Output Utente'!$Q$2:$Q$492,0)),"")</f>
        <v>Lucumì</v>
      </c>
      <c r="E183" s="7" t="str">
        <f aca="false">IFERROR(INDEX('Input Giocatori 2026_27'!$D$3:$D$493,MATCH($B183,'Input Giocatori 2026_27'!$A$3:$A$493,0)),"")</f>
        <v>Bologna</v>
      </c>
      <c r="F183" s="50" t="n">
        <f aca="false">IFERROR(INDEX('Output Utente'!$N$2:$N$492,MATCH(180,'Output Utente'!$Q$2:$Q$492,0)),"")</f>
        <v>8</v>
      </c>
      <c r="G183" s="50" t="n">
        <f aca="false">IFERROR(INDEX('Output Utente'!$O$2:$O$492,MATCH(180,'Output Utente'!$Q$2:$Q$492,0)),"")</f>
        <v>18</v>
      </c>
      <c r="H183" s="7" t="str">
        <f aca="false">IFERROR(INDEX('Output Utente'!$P$2:$P$492,MATCH(180,'Output Utente'!$Q$2:$Q$492,0)),"")</f>
        <v>Buono</v>
      </c>
      <c r="I183" s="50" t="n">
        <f aca="false">IFERROR(INDEX('Output Utente'!$F$2:$F$492,MATCH(180,'Output Utente'!$Q$2:$Q$492,0)),"")</f>
        <v>9</v>
      </c>
      <c r="J183" s="50" t="n">
        <f aca="false">IFERROR(INDEX('Output Utente'!$G$2:$G$492,MATCH(180,'Output Utente'!$Q$2:$Q$492,0)),"")</f>
        <v>6</v>
      </c>
      <c r="K183" s="50" t="n">
        <f aca="false">IFERROR(INDEX('Output Utente'!$H$2:$H$492,MATCH(180,'Output Utente'!$Q$2:$Q$492,0)),"")</f>
        <v>10</v>
      </c>
      <c r="L183" s="7" t="str">
        <f aca="false">IFERROR(INDEX('Output Utente'!$E$2:$E$492,MATCH(180,'Output Utente'!$Q$2:$Q$492,0)),"")</f>
        <v>NO</v>
      </c>
      <c r="M183" s="7" t="str">
        <f aca="false">IFERROR(INDEX('Output Utente'!$U$2:$U$492,MATCH(180,'Output Utente'!$Q$2:$Q$492,0)),"")</f>
        <v>OK</v>
      </c>
      <c r="N183" s="7" t="str">
        <f aca="false">IFERROR(INDEX('Output Utente'!$AE$2:$AE$492,MATCH(180,'Output Utente'!$Q$2:$Q$492,0)),"")</f>
        <v>🟡 Attesa rischiosa</v>
      </c>
    </row>
    <row r="184" customFormat="false" ht="15" hidden="false" customHeight="true" outlineLevel="0" collapsed="false">
      <c r="A184" s="49" t="n">
        <v>181</v>
      </c>
      <c r="B184" s="7" t="n">
        <f aca="false">IFERROR(INDEX('Output Utente'!$A$2:$A$492,MATCH(181,'Output Utente'!$Q$2:$Q$492,0)),"")</f>
        <v>2724</v>
      </c>
      <c r="C184" s="7" t="str">
        <f aca="false">IFERROR(INDEX('Output Utente'!$B$2:$B$492,MATCH(181,'Output Utente'!$Q$2:$Q$492,0)),"")</f>
        <v>D</v>
      </c>
      <c r="D184" s="7" t="str">
        <f aca="false">IFERROR(INDEX('Output Utente'!$C$2:$C$492,MATCH(181,'Output Utente'!$Q$2:$Q$492,0)),"")</f>
        <v>Buongiorno</v>
      </c>
      <c r="E184" s="7" t="str">
        <f aca="false">IFERROR(INDEX('Input Giocatori 2026_27'!$D$3:$D$493,MATCH($B184,'Input Giocatori 2026_27'!$A$3:$A$493,0)),"")</f>
        <v>Napoli</v>
      </c>
      <c r="F184" s="50" t="n">
        <f aca="false">IFERROR(INDEX('Output Utente'!$N$2:$N$492,MATCH(181,'Output Utente'!$Q$2:$Q$492,0)),"")</f>
        <v>7</v>
      </c>
      <c r="G184" s="50" t="n">
        <f aca="false">IFERROR(INDEX('Output Utente'!$O$2:$O$492,MATCH(181,'Output Utente'!$Q$2:$Q$492,0)),"")</f>
        <v>18</v>
      </c>
      <c r="H184" s="7" t="str">
        <f aca="false">IFERROR(INDEX('Output Utente'!$P$2:$P$492,MATCH(181,'Output Utente'!$Q$2:$Q$492,0)),"")</f>
        <v>Buono</v>
      </c>
      <c r="I184" s="50" t="n">
        <f aca="false">IFERROR(INDEX('Output Utente'!$F$2:$F$492,MATCH(181,'Output Utente'!$Q$2:$Q$492,0)),"")</f>
        <v>9</v>
      </c>
      <c r="J184" s="50" t="n">
        <f aca="false">IFERROR(INDEX('Output Utente'!$G$2:$G$492,MATCH(181,'Output Utente'!$Q$2:$Q$492,0)),"")</f>
        <v>6</v>
      </c>
      <c r="K184" s="50" t="n">
        <f aca="false">IFERROR(INDEX('Output Utente'!$H$2:$H$492,MATCH(181,'Output Utente'!$Q$2:$Q$492,0)),"")</f>
        <v>10</v>
      </c>
      <c r="L184" s="7" t="str">
        <f aca="false">IFERROR(INDEX('Output Utente'!$E$2:$E$492,MATCH(181,'Output Utente'!$Q$2:$Q$492,0)),"")</f>
        <v>NO</v>
      </c>
      <c r="M184" s="7" t="str">
        <f aca="false">IFERROR(INDEX('Output Utente'!$U$2:$U$492,MATCH(181,'Output Utente'!$Q$2:$Q$492,0)),"")</f>
        <v>OK</v>
      </c>
      <c r="N184" s="7" t="str">
        <f aca="false">IFERROR(INDEX('Output Utente'!$AE$2:$AE$492,MATCH(181,'Output Utente'!$Q$2:$Q$492,0)),"")</f>
        <v>🟡 Attesa rischiosa</v>
      </c>
    </row>
    <row r="185" customFormat="false" ht="15" hidden="false" customHeight="true" outlineLevel="0" collapsed="false">
      <c r="A185" s="49" t="n">
        <v>182</v>
      </c>
      <c r="B185" s="7" t="n">
        <f aca="false">IFERROR(INDEX('Output Utente'!$A$2:$A$492,MATCH(182,'Output Utente'!$Q$2:$Q$492,0)),"")</f>
        <v>6642</v>
      </c>
      <c r="C185" s="7" t="str">
        <f aca="false">IFERROR(INDEX('Output Utente'!$B$2:$B$492,MATCH(182,'Output Utente'!$Q$2:$Q$492,0)),"")</f>
        <v>D</v>
      </c>
      <c r="D185" s="7" t="str">
        <f aca="false">IFERROR(INDEX('Output Utente'!$C$2:$C$492,MATCH(182,'Output Utente'!$Q$2:$Q$492,0)),"")</f>
        <v>Coco</v>
      </c>
      <c r="E185" s="7" t="str">
        <f aca="false">IFERROR(INDEX('Input Giocatori 2026_27'!$D$3:$D$493,MATCH($B185,'Input Giocatori 2026_27'!$A$3:$A$493,0)),"")</f>
        <v>Torino</v>
      </c>
      <c r="F185" s="50" t="n">
        <f aca="false">IFERROR(INDEX('Output Utente'!$N$2:$N$492,MATCH(182,'Output Utente'!$Q$2:$Q$492,0)),"")</f>
        <v>7</v>
      </c>
      <c r="G185" s="50" t="n">
        <f aca="false">IFERROR(INDEX('Output Utente'!$O$2:$O$492,MATCH(182,'Output Utente'!$Q$2:$Q$492,0)),"")</f>
        <v>18</v>
      </c>
      <c r="H185" s="7" t="str">
        <f aca="false">IFERROR(INDEX('Output Utente'!$P$2:$P$492,MATCH(182,'Output Utente'!$Q$2:$Q$492,0)),"")</f>
        <v>Buono</v>
      </c>
      <c r="I185" s="50" t="n">
        <f aca="false">IFERROR(INDEX('Output Utente'!$F$2:$F$492,MATCH(182,'Output Utente'!$Q$2:$Q$492,0)),"")</f>
        <v>9</v>
      </c>
      <c r="J185" s="50" t="n">
        <f aca="false">IFERROR(INDEX('Output Utente'!$G$2:$G$492,MATCH(182,'Output Utente'!$Q$2:$Q$492,0)),"")</f>
        <v>6</v>
      </c>
      <c r="K185" s="50" t="n">
        <f aca="false">IFERROR(INDEX('Output Utente'!$H$2:$H$492,MATCH(182,'Output Utente'!$Q$2:$Q$492,0)),"")</f>
        <v>10</v>
      </c>
      <c r="L185" s="7" t="str">
        <f aca="false">IFERROR(INDEX('Output Utente'!$E$2:$E$492,MATCH(182,'Output Utente'!$Q$2:$Q$492,0)),"")</f>
        <v>NO</v>
      </c>
      <c r="M185" s="7" t="str">
        <f aca="false">IFERROR(INDEX('Output Utente'!$U$2:$U$492,MATCH(182,'Output Utente'!$Q$2:$Q$492,0)),"")</f>
        <v>OK</v>
      </c>
      <c r="N185" s="7" t="str">
        <f aca="false">IFERROR(INDEX('Output Utente'!$AE$2:$AE$492,MATCH(182,'Output Utente'!$Q$2:$Q$492,0)),"")</f>
        <v>🟡 Attesa rischiosa</v>
      </c>
    </row>
    <row r="186" customFormat="false" ht="15" hidden="false" customHeight="true" outlineLevel="0" collapsed="false">
      <c r="A186" s="49" t="n">
        <v>183</v>
      </c>
      <c r="B186" s="7" t="n">
        <f aca="false">IFERROR(INDEX('Output Utente'!$A$2:$A$492,MATCH(183,'Output Utente'!$Q$2:$Q$492,0)),"")</f>
        <v>5010</v>
      </c>
      <c r="C186" s="7" t="str">
        <f aca="false">IFERROR(INDEX('Output Utente'!$B$2:$B$492,MATCH(183,'Output Utente'!$Q$2:$Q$492,0)),"")</f>
        <v>D</v>
      </c>
      <c r="D186" s="7" t="str">
        <f aca="false">IFERROR(INDEX('Output Utente'!$C$2:$C$492,MATCH(183,'Output Utente'!$Q$2:$Q$492,0)),"")</f>
        <v>Ismajli</v>
      </c>
      <c r="E186" s="7" t="str">
        <f aca="false">IFERROR(INDEX('Input Giocatori 2026_27'!$D$3:$D$493,MATCH($B186,'Input Giocatori 2026_27'!$A$3:$A$493,0)),"")</f>
        <v>Torino</v>
      </c>
      <c r="F186" s="50" t="n">
        <f aca="false">IFERROR(INDEX('Output Utente'!$N$2:$N$492,MATCH(183,'Output Utente'!$Q$2:$Q$492,0)),"")</f>
        <v>7</v>
      </c>
      <c r="G186" s="50" t="n">
        <f aca="false">IFERROR(INDEX('Output Utente'!$O$2:$O$492,MATCH(183,'Output Utente'!$Q$2:$Q$492,0)),"")</f>
        <v>18</v>
      </c>
      <c r="H186" s="7" t="str">
        <f aca="false">IFERROR(INDEX('Output Utente'!$P$2:$P$492,MATCH(183,'Output Utente'!$Q$2:$Q$492,0)),"")</f>
        <v>Buono</v>
      </c>
      <c r="I186" s="50" t="n">
        <f aca="false">IFERROR(INDEX('Output Utente'!$F$2:$F$492,MATCH(183,'Output Utente'!$Q$2:$Q$492,0)),"")</f>
        <v>9</v>
      </c>
      <c r="J186" s="50" t="n">
        <f aca="false">IFERROR(INDEX('Output Utente'!$G$2:$G$492,MATCH(183,'Output Utente'!$Q$2:$Q$492,0)),"")</f>
        <v>6</v>
      </c>
      <c r="K186" s="50" t="n">
        <f aca="false">IFERROR(INDEX('Output Utente'!$H$2:$H$492,MATCH(183,'Output Utente'!$Q$2:$Q$492,0)),"")</f>
        <v>10</v>
      </c>
      <c r="L186" s="7" t="str">
        <f aca="false">IFERROR(INDEX('Output Utente'!$E$2:$E$492,MATCH(183,'Output Utente'!$Q$2:$Q$492,0)),"")</f>
        <v>NO</v>
      </c>
      <c r="M186" s="7" t="str">
        <f aca="false">IFERROR(INDEX('Output Utente'!$U$2:$U$492,MATCH(183,'Output Utente'!$Q$2:$Q$492,0)),"")</f>
        <v>OK</v>
      </c>
      <c r="N186" s="7" t="str">
        <f aca="false">IFERROR(INDEX('Output Utente'!$AE$2:$AE$492,MATCH(183,'Output Utente'!$Q$2:$Q$492,0)),"")</f>
        <v>🟡 Attesa rischiosa</v>
      </c>
    </row>
    <row r="187" customFormat="false" ht="15" hidden="false" customHeight="true" outlineLevel="0" collapsed="false">
      <c r="A187" s="49" t="n">
        <v>184</v>
      </c>
      <c r="B187" s="7" t="n">
        <f aca="false">IFERROR(INDEX('Output Utente'!$A$2:$A$492,MATCH(184,'Output Utente'!$Q$2:$Q$492,0)),"")</f>
        <v>6867</v>
      </c>
      <c r="C187" s="7" t="str">
        <f aca="false">IFERROR(INDEX('Output Utente'!$B$2:$B$492,MATCH(184,'Output Utente'!$Q$2:$Q$492,0)),"")</f>
        <v>D</v>
      </c>
      <c r="D187" s="7" t="str">
        <f aca="false">IFERROR(INDEX('Output Utente'!$C$2:$C$492,MATCH(184,'Output Utente'!$Q$2:$Q$492,0)),"")</f>
        <v>Valle</v>
      </c>
      <c r="E187" s="7" t="str">
        <f aca="false">IFERROR(INDEX('Input Giocatori 2026_27'!$D$3:$D$493,MATCH($B187,'Input Giocatori 2026_27'!$A$3:$A$493,0)),"")</f>
        <v>Como</v>
      </c>
      <c r="F187" s="50" t="n">
        <f aca="false">IFERROR(INDEX('Output Utente'!$N$2:$N$492,MATCH(184,'Output Utente'!$Q$2:$Q$492,0)),"")</f>
        <v>6</v>
      </c>
      <c r="G187" s="50" t="n">
        <f aca="false">IFERROR(INDEX('Output Utente'!$O$2:$O$492,MATCH(184,'Output Utente'!$Q$2:$Q$492,0)),"")</f>
        <v>18</v>
      </c>
      <c r="H187" s="7" t="str">
        <f aca="false">IFERROR(INDEX('Output Utente'!$P$2:$P$492,MATCH(184,'Output Utente'!$Q$2:$Q$492,0)),"")</f>
        <v>Buono</v>
      </c>
      <c r="I187" s="50" t="n">
        <f aca="false">IFERROR(INDEX('Output Utente'!$F$2:$F$492,MATCH(184,'Output Utente'!$Q$2:$Q$492,0)),"")</f>
        <v>9</v>
      </c>
      <c r="J187" s="50" t="n">
        <f aca="false">IFERROR(INDEX('Output Utente'!$G$2:$G$492,MATCH(184,'Output Utente'!$Q$2:$Q$492,0)),"")</f>
        <v>6</v>
      </c>
      <c r="K187" s="50" t="n">
        <f aca="false">IFERROR(INDEX('Output Utente'!$H$2:$H$492,MATCH(184,'Output Utente'!$Q$2:$Q$492,0)),"")</f>
        <v>10</v>
      </c>
      <c r="L187" s="7" t="str">
        <f aca="false">IFERROR(INDEX('Output Utente'!$E$2:$E$492,MATCH(184,'Output Utente'!$Q$2:$Q$492,0)),"")</f>
        <v>NO</v>
      </c>
      <c r="M187" s="7" t="str">
        <f aca="false">IFERROR(INDEX('Output Utente'!$U$2:$U$492,MATCH(184,'Output Utente'!$Q$2:$Q$492,0)),"")</f>
        <v>OK</v>
      </c>
      <c r="N187" s="7" t="str">
        <f aca="false">IFERROR(INDEX('Output Utente'!$AE$2:$AE$492,MATCH(184,'Output Utente'!$Q$2:$Q$492,0)),"")</f>
        <v>🟡 Attesa rischiosa</v>
      </c>
    </row>
    <row r="188" customFormat="false" ht="15" hidden="false" customHeight="true" outlineLevel="0" collapsed="false">
      <c r="A188" s="49" t="n">
        <v>185</v>
      </c>
      <c r="B188" s="7" t="n">
        <f aca="false">IFERROR(INDEX('Output Utente'!$A$2:$A$492,MATCH(185,'Output Utente'!$Q$2:$Q$492,0)),"")</f>
        <v>7294</v>
      </c>
      <c r="C188" s="7" t="str">
        <f aca="false">IFERROR(INDEX('Output Utente'!$B$2:$B$492,MATCH(185,'Output Utente'!$Q$2:$Q$492,0)),"")</f>
        <v>D</v>
      </c>
      <c r="D188" s="7" t="str">
        <f aca="false">IFERROR(INDEX('Output Utente'!$C$2:$C$492,MATCH(185,'Output Utente'!$Q$2:$Q$492,0)),"")</f>
        <v>Valdepenas</v>
      </c>
      <c r="E188" s="7" t="str">
        <f aca="false">IFERROR(INDEX('Input Giocatori 2026_27'!$D$3:$D$493,MATCH($B188,'Input Giocatori 2026_27'!$A$3:$A$493,0)),"")</f>
        <v>Fiorentina</v>
      </c>
      <c r="F188" s="50" t="n">
        <f aca="false">IFERROR(INDEX('Output Utente'!$N$2:$N$492,MATCH(185,'Output Utente'!$Q$2:$Q$492,0)),"")</f>
        <v>6</v>
      </c>
      <c r="G188" s="50" t="n">
        <f aca="false">IFERROR(INDEX('Output Utente'!$O$2:$O$492,MATCH(185,'Output Utente'!$Q$2:$Q$492,0)),"")</f>
        <v>18</v>
      </c>
      <c r="H188" s="7" t="str">
        <f aca="false">IFERROR(INDEX('Output Utente'!$P$2:$P$492,MATCH(185,'Output Utente'!$Q$2:$Q$492,0)),"")</f>
        <v>Buono</v>
      </c>
      <c r="I188" s="50" t="n">
        <f aca="false">IFERROR(INDEX('Output Utente'!$F$2:$F$492,MATCH(185,'Output Utente'!$Q$2:$Q$492,0)),"")</f>
        <v>9</v>
      </c>
      <c r="J188" s="50" t="n">
        <f aca="false">IFERROR(INDEX('Output Utente'!$G$2:$G$492,MATCH(185,'Output Utente'!$Q$2:$Q$492,0)),"")</f>
        <v>6</v>
      </c>
      <c r="K188" s="50" t="n">
        <f aca="false">IFERROR(INDEX('Output Utente'!$H$2:$H$492,MATCH(185,'Output Utente'!$Q$2:$Q$492,0)),"")</f>
        <v>10</v>
      </c>
      <c r="L188" s="7" t="str">
        <f aca="false">IFERROR(INDEX('Output Utente'!$E$2:$E$492,MATCH(185,'Output Utente'!$Q$2:$Q$492,0)),"")</f>
        <v>NO</v>
      </c>
      <c r="M188" s="7" t="str">
        <f aca="false">IFERROR(INDEX('Output Utente'!$U$2:$U$492,MATCH(185,'Output Utente'!$Q$2:$Q$492,0)),"")</f>
        <v>OK</v>
      </c>
      <c r="N188" s="7" t="str">
        <f aca="false">IFERROR(INDEX('Output Utente'!$AE$2:$AE$492,MATCH(185,'Output Utente'!$Q$2:$Q$492,0)),"")</f>
        <v>🟡 Attesa rischiosa</v>
      </c>
    </row>
    <row r="189" customFormat="false" ht="15" hidden="false" customHeight="true" outlineLevel="0" collapsed="false">
      <c r="A189" s="49" t="n">
        <v>186</v>
      </c>
      <c r="B189" s="7" t="n">
        <f aca="false">IFERROR(INDEX('Output Utente'!$A$2:$A$492,MATCH(186,'Output Utente'!$Q$2:$Q$492,0)),"")</f>
        <v>4177</v>
      </c>
      <c r="C189" s="7" t="str">
        <f aca="false">IFERROR(INDEX('Output Utente'!$B$2:$B$492,MATCH(186,'Output Utente'!$Q$2:$Q$492,0)),"")</f>
        <v>D</v>
      </c>
      <c r="D189" s="7" t="str">
        <f aca="false">IFERROR(INDEX('Output Utente'!$C$2:$C$492,MATCH(186,'Output Utente'!$Q$2:$Q$492,0)),"")</f>
        <v>Pavard</v>
      </c>
      <c r="E189" s="7" t="str">
        <f aca="false">IFERROR(INDEX('Input Giocatori 2026_27'!$D$3:$D$493,MATCH($B189,'Input Giocatori 2026_27'!$A$3:$A$493,0)),"")</f>
        <v>Inter</v>
      </c>
      <c r="F189" s="50" t="n">
        <f aca="false">IFERROR(INDEX('Output Utente'!$N$2:$N$492,MATCH(186,'Output Utente'!$Q$2:$Q$492,0)),"")</f>
        <v>6</v>
      </c>
      <c r="G189" s="50" t="n">
        <f aca="false">IFERROR(INDEX('Output Utente'!$O$2:$O$492,MATCH(186,'Output Utente'!$Q$2:$Q$492,0)),"")</f>
        <v>18</v>
      </c>
      <c r="H189" s="7" t="str">
        <f aca="false">IFERROR(INDEX('Output Utente'!$P$2:$P$492,MATCH(186,'Output Utente'!$Q$2:$Q$492,0)),"")</f>
        <v>Buono</v>
      </c>
      <c r="I189" s="50" t="n">
        <f aca="false">IFERROR(INDEX('Output Utente'!$F$2:$F$492,MATCH(186,'Output Utente'!$Q$2:$Q$492,0)),"")</f>
        <v>9</v>
      </c>
      <c r="J189" s="50" t="n">
        <f aca="false">IFERROR(INDEX('Output Utente'!$G$2:$G$492,MATCH(186,'Output Utente'!$Q$2:$Q$492,0)),"")</f>
        <v>6</v>
      </c>
      <c r="K189" s="50" t="n">
        <f aca="false">IFERROR(INDEX('Output Utente'!$H$2:$H$492,MATCH(186,'Output Utente'!$Q$2:$Q$492,0)),"")</f>
        <v>10</v>
      </c>
      <c r="L189" s="7" t="str">
        <f aca="false">IFERROR(INDEX('Output Utente'!$E$2:$E$492,MATCH(186,'Output Utente'!$Q$2:$Q$492,0)),"")</f>
        <v>NO</v>
      </c>
      <c r="M189" s="7" t="str">
        <f aca="false">IFERROR(INDEX('Output Utente'!$U$2:$U$492,MATCH(186,'Output Utente'!$Q$2:$Q$492,0)),"")</f>
        <v>OK</v>
      </c>
      <c r="N189" s="7" t="str">
        <f aca="false">IFERROR(INDEX('Output Utente'!$AE$2:$AE$492,MATCH(186,'Output Utente'!$Q$2:$Q$492,0)),"")</f>
        <v>🟡 Attesa rischiosa</v>
      </c>
    </row>
    <row r="190" customFormat="false" ht="15" hidden="false" customHeight="true" outlineLevel="0" collapsed="false">
      <c r="A190" s="49" t="n">
        <v>187</v>
      </c>
      <c r="B190" s="7" t="n">
        <f aca="false">IFERROR(INDEX('Output Utente'!$A$2:$A$492,MATCH(187,'Output Utente'!$Q$2:$Q$492,0)),"")</f>
        <v>6663</v>
      </c>
      <c r="C190" s="7" t="str">
        <f aca="false">IFERROR(INDEX('Output Utente'!$B$2:$B$492,MATCH(187,'Output Utente'!$Q$2:$Q$492,0)),"")</f>
        <v>D</v>
      </c>
      <c r="D190" s="7" t="str">
        <f aca="false">IFERROR(INDEX('Output Utente'!$C$2:$C$492,MATCH(187,'Output Utente'!$Q$2:$Q$492,0)),"")</f>
        <v>Circati</v>
      </c>
      <c r="E190" s="7" t="str">
        <f aca="false">IFERROR(INDEX('Input Giocatori 2026_27'!$D$3:$D$493,MATCH($B190,'Input Giocatori 2026_27'!$A$3:$A$493,0)),"")</f>
        <v>Parma</v>
      </c>
      <c r="F190" s="50" t="n">
        <f aca="false">IFERROR(INDEX('Output Utente'!$N$2:$N$492,MATCH(187,'Output Utente'!$Q$2:$Q$492,0)),"")</f>
        <v>6</v>
      </c>
      <c r="G190" s="50" t="n">
        <f aca="false">IFERROR(INDEX('Output Utente'!$O$2:$O$492,MATCH(187,'Output Utente'!$Q$2:$Q$492,0)),"")</f>
        <v>18</v>
      </c>
      <c r="H190" s="7" t="str">
        <f aca="false">IFERROR(INDEX('Output Utente'!$P$2:$P$492,MATCH(187,'Output Utente'!$Q$2:$Q$492,0)),"")</f>
        <v>Buono</v>
      </c>
      <c r="I190" s="50" t="n">
        <f aca="false">IFERROR(INDEX('Output Utente'!$F$2:$F$492,MATCH(187,'Output Utente'!$Q$2:$Q$492,0)),"")</f>
        <v>9</v>
      </c>
      <c r="J190" s="50" t="n">
        <f aca="false">IFERROR(INDEX('Output Utente'!$G$2:$G$492,MATCH(187,'Output Utente'!$Q$2:$Q$492,0)),"")</f>
        <v>6</v>
      </c>
      <c r="K190" s="50" t="n">
        <f aca="false">IFERROR(INDEX('Output Utente'!$H$2:$H$492,MATCH(187,'Output Utente'!$Q$2:$Q$492,0)),"")</f>
        <v>10</v>
      </c>
      <c r="L190" s="7" t="str">
        <f aca="false">IFERROR(INDEX('Output Utente'!$E$2:$E$492,MATCH(187,'Output Utente'!$Q$2:$Q$492,0)),"")</f>
        <v>NO</v>
      </c>
      <c r="M190" s="7" t="str">
        <f aca="false">IFERROR(INDEX('Output Utente'!$U$2:$U$492,MATCH(187,'Output Utente'!$Q$2:$Q$492,0)),"")</f>
        <v>OK</v>
      </c>
      <c r="N190" s="7" t="str">
        <f aca="false">IFERROR(INDEX('Output Utente'!$AE$2:$AE$492,MATCH(187,'Output Utente'!$Q$2:$Q$492,0)),"")</f>
        <v>🟡 Attesa rischiosa</v>
      </c>
    </row>
    <row r="191" customFormat="false" ht="15" hidden="false" customHeight="true" outlineLevel="0" collapsed="false">
      <c r="A191" s="49" t="n">
        <v>188</v>
      </c>
      <c r="B191" s="7" t="n">
        <f aca="false">IFERROR(INDEX('Output Utente'!$A$2:$A$492,MATCH(188,'Output Utente'!$Q$2:$Q$492,0)),"")</f>
        <v>5858</v>
      </c>
      <c r="C191" s="7" t="str">
        <f aca="false">IFERROR(INDEX('Output Utente'!$B$2:$B$492,MATCH(188,'Output Utente'!$Q$2:$Q$492,0)),"")</f>
        <v>C</v>
      </c>
      <c r="D191" s="7" t="str">
        <f aca="false">IFERROR(INDEX('Output Utente'!$C$2:$C$492,MATCH(188,'Output Utente'!$Q$2:$Q$492,0)),"")</f>
        <v>Ferguson</v>
      </c>
      <c r="E191" s="7" t="str">
        <f aca="false">IFERROR(INDEX('Input Giocatori 2026_27'!$D$3:$D$493,MATCH($B191,'Input Giocatori 2026_27'!$A$3:$A$493,0)),"")</f>
        <v>Bologna</v>
      </c>
      <c r="F191" s="50" t="n">
        <f aca="false">IFERROR(INDEX('Output Utente'!$N$2:$N$492,MATCH(188,'Output Utente'!$Q$2:$Q$492,0)),"")</f>
        <v>7</v>
      </c>
      <c r="G191" s="50" t="n">
        <f aca="false">IFERROR(INDEX('Output Utente'!$O$2:$O$492,MATCH(188,'Output Utente'!$Q$2:$Q$492,0)),"")</f>
        <v>18</v>
      </c>
      <c r="H191" s="7" t="str">
        <f aca="false">IFERROR(INDEX('Output Utente'!$P$2:$P$492,MATCH(188,'Output Utente'!$Q$2:$Q$492,0)),"")</f>
        <v>Nella Media</v>
      </c>
      <c r="I191" s="50" t="n">
        <f aca="false">IFERROR(INDEX('Output Utente'!$F$2:$F$492,MATCH(188,'Output Utente'!$Q$2:$Q$492,0)),"")</f>
        <v>10</v>
      </c>
      <c r="J191" s="50" t="n">
        <f aca="false">IFERROR(INDEX('Output Utente'!$G$2:$G$492,MATCH(188,'Output Utente'!$Q$2:$Q$492,0)),"")</f>
        <v>7</v>
      </c>
      <c r="K191" s="50" t="n">
        <f aca="false">IFERROR(INDEX('Output Utente'!$H$2:$H$492,MATCH(188,'Output Utente'!$Q$2:$Q$492,0)),"")</f>
        <v>11</v>
      </c>
      <c r="L191" s="7" t="str">
        <f aca="false">IFERROR(INDEX('Output Utente'!$E$2:$E$492,MATCH(188,'Output Utente'!$Q$2:$Q$492,0)),"")</f>
        <v>NO</v>
      </c>
      <c r="M191" s="7" t="str">
        <f aca="false">IFERROR(INDEX('Output Utente'!$U$2:$U$492,MATCH(188,'Output Utente'!$Q$2:$Q$492,0)),"")</f>
        <v>OK</v>
      </c>
      <c r="N191" s="7" t="str">
        <f aca="false">IFERROR(INDEX('Output Utente'!$AE$2:$AE$492,MATCH(188,'Output Utente'!$Q$2:$Q$492,0)),"")</f>
        <v>🟡 Attesa rischiosa</v>
      </c>
    </row>
    <row r="192" customFormat="false" ht="15" hidden="false" customHeight="true" outlineLevel="0" collapsed="false">
      <c r="A192" s="49" t="n">
        <v>189</v>
      </c>
      <c r="B192" s="7" t="n">
        <f aca="false">IFERROR(INDEX('Output Utente'!$A$2:$A$492,MATCH(189,'Output Utente'!$Q$2:$Q$492,0)),"")</f>
        <v>6020</v>
      </c>
      <c r="C192" s="7" t="str">
        <f aca="false">IFERROR(INDEX('Output Utente'!$B$2:$B$492,MATCH(189,'Output Utente'!$Q$2:$Q$492,0)),"")</f>
        <v>C</v>
      </c>
      <c r="D192" s="7" t="str">
        <f aca="false">IFERROR(INDEX('Output Utente'!$C$2:$C$492,MATCH(189,'Output Utente'!$Q$2:$Q$492,0)),"")</f>
        <v>Ellertsson</v>
      </c>
      <c r="E192" s="7" t="str">
        <f aca="false">IFERROR(INDEX('Input Giocatori 2026_27'!$D$3:$D$493,MATCH($B192,'Input Giocatori 2026_27'!$A$3:$A$493,0)),"")</f>
        <v>Genoa</v>
      </c>
      <c r="F192" s="50" t="n">
        <f aca="false">IFERROR(INDEX('Output Utente'!$N$2:$N$492,MATCH(189,'Output Utente'!$Q$2:$Q$492,0)),"")</f>
        <v>6</v>
      </c>
      <c r="G192" s="50" t="n">
        <f aca="false">IFERROR(INDEX('Output Utente'!$O$2:$O$492,MATCH(189,'Output Utente'!$Q$2:$Q$492,0)),"")</f>
        <v>18</v>
      </c>
      <c r="H192" s="7" t="str">
        <f aca="false">IFERROR(INDEX('Output Utente'!$P$2:$P$492,MATCH(189,'Output Utente'!$Q$2:$Q$492,0)),"")</f>
        <v>Nella Media</v>
      </c>
      <c r="I192" s="50" t="n">
        <f aca="false">IFERROR(INDEX('Output Utente'!$F$2:$F$492,MATCH(189,'Output Utente'!$Q$2:$Q$492,0)),"")</f>
        <v>10</v>
      </c>
      <c r="J192" s="50" t="n">
        <f aca="false">IFERROR(INDEX('Output Utente'!$G$2:$G$492,MATCH(189,'Output Utente'!$Q$2:$Q$492,0)),"")</f>
        <v>7</v>
      </c>
      <c r="K192" s="50" t="n">
        <f aca="false">IFERROR(INDEX('Output Utente'!$H$2:$H$492,MATCH(189,'Output Utente'!$Q$2:$Q$492,0)),"")</f>
        <v>11</v>
      </c>
      <c r="L192" s="7" t="str">
        <f aca="false">IFERROR(INDEX('Output Utente'!$E$2:$E$492,MATCH(189,'Output Utente'!$Q$2:$Q$492,0)),"")</f>
        <v>NO</v>
      </c>
      <c r="M192" s="7" t="str">
        <f aca="false">IFERROR(INDEX('Output Utente'!$U$2:$U$492,MATCH(189,'Output Utente'!$Q$2:$Q$492,0)),"")</f>
        <v>OK</v>
      </c>
      <c r="N192" s="7" t="str">
        <f aca="false">IFERROR(INDEX('Output Utente'!$AE$2:$AE$492,MATCH(189,'Output Utente'!$Q$2:$Q$492,0)),"")</f>
        <v>🟡 Attesa rischiosa</v>
      </c>
    </row>
    <row r="193" customFormat="false" ht="15" hidden="false" customHeight="true" outlineLevel="0" collapsed="false">
      <c r="A193" s="49" t="n">
        <v>190</v>
      </c>
      <c r="B193" s="7" t="n">
        <f aca="false">IFERROR(INDEX('Output Utente'!$A$2:$A$492,MATCH(190,'Output Utente'!$Q$2:$Q$492,0)),"")</f>
        <v>5761</v>
      </c>
      <c r="C193" s="7" t="str">
        <f aca="false">IFERROR(INDEX('Output Utente'!$B$2:$B$492,MATCH(190,'Output Utente'!$Q$2:$Q$492,0)),"")</f>
        <v>C</v>
      </c>
      <c r="D193" s="7" t="str">
        <f aca="false">IFERROR(INDEX('Output Utente'!$C$2:$C$492,MATCH(190,'Output Utente'!$Q$2:$Q$492,0)),"")</f>
        <v>Zhegrova</v>
      </c>
      <c r="E193" s="7" t="str">
        <f aca="false">IFERROR(INDEX('Input Giocatori 2026_27'!$D$3:$D$493,MATCH($B193,'Input Giocatori 2026_27'!$A$3:$A$493,0)),"")</f>
        <v>Juventus</v>
      </c>
      <c r="F193" s="50" t="n">
        <f aca="false">IFERROR(INDEX('Output Utente'!$N$2:$N$492,MATCH(190,'Output Utente'!$Q$2:$Q$492,0)),"")</f>
        <v>6</v>
      </c>
      <c r="G193" s="50" t="n">
        <f aca="false">IFERROR(INDEX('Output Utente'!$O$2:$O$492,MATCH(190,'Output Utente'!$Q$2:$Q$492,0)),"")</f>
        <v>18</v>
      </c>
      <c r="H193" s="7" t="str">
        <f aca="false">IFERROR(INDEX('Output Utente'!$P$2:$P$492,MATCH(190,'Output Utente'!$Q$2:$Q$492,0)),"")</f>
        <v>Nella Media</v>
      </c>
      <c r="I193" s="50" t="n">
        <f aca="false">IFERROR(INDEX('Output Utente'!$F$2:$F$492,MATCH(190,'Output Utente'!$Q$2:$Q$492,0)),"")</f>
        <v>10</v>
      </c>
      <c r="J193" s="50" t="n">
        <f aca="false">IFERROR(INDEX('Output Utente'!$G$2:$G$492,MATCH(190,'Output Utente'!$Q$2:$Q$492,0)),"")</f>
        <v>7</v>
      </c>
      <c r="K193" s="50" t="n">
        <f aca="false">IFERROR(INDEX('Output Utente'!$H$2:$H$492,MATCH(190,'Output Utente'!$Q$2:$Q$492,0)),"")</f>
        <v>11</v>
      </c>
      <c r="L193" s="7" t="str">
        <f aca="false">IFERROR(INDEX('Output Utente'!$E$2:$E$492,MATCH(190,'Output Utente'!$Q$2:$Q$492,0)),"")</f>
        <v>NO</v>
      </c>
      <c r="M193" s="7" t="str">
        <f aca="false">IFERROR(INDEX('Output Utente'!$U$2:$U$492,MATCH(190,'Output Utente'!$Q$2:$Q$492,0)),"")</f>
        <v>OK</v>
      </c>
      <c r="N193" s="7" t="str">
        <f aca="false">IFERROR(INDEX('Output Utente'!$AE$2:$AE$492,MATCH(190,'Output Utente'!$Q$2:$Q$492,0)),"")</f>
        <v>🟡 Attesa rischiosa</v>
      </c>
    </row>
    <row r="194" customFormat="false" ht="15" hidden="false" customHeight="true" outlineLevel="0" collapsed="false">
      <c r="A194" s="49" t="n">
        <v>191</v>
      </c>
      <c r="B194" s="7" t="n">
        <f aca="false">IFERROR(INDEX('Output Utente'!$A$2:$A$492,MATCH(191,'Output Utente'!$Q$2:$Q$492,0)),"")</f>
        <v>4349</v>
      </c>
      <c r="C194" s="7" t="str">
        <f aca="false">IFERROR(INDEX('Output Utente'!$B$2:$B$492,MATCH(191,'Output Utente'!$Q$2:$Q$492,0)),"")</f>
        <v>C</v>
      </c>
      <c r="D194" s="7" t="str">
        <f aca="false">IFERROR(INDEX('Output Utente'!$C$2:$C$492,MATCH(191,'Output Utente'!$Q$2:$Q$492,0)),"")</f>
        <v>Nicolussi Caviglia</v>
      </c>
      <c r="E194" s="7" t="str">
        <f aca="false">IFERROR(INDEX('Input Giocatori 2026_27'!$D$3:$D$493,MATCH($B194,'Input Giocatori 2026_27'!$A$3:$A$493,0)),"")</f>
        <v>Parma</v>
      </c>
      <c r="F194" s="50" t="n">
        <f aca="false">IFERROR(INDEX('Output Utente'!$N$2:$N$492,MATCH(191,'Output Utente'!$Q$2:$Q$492,0)),"")</f>
        <v>6</v>
      </c>
      <c r="G194" s="50" t="n">
        <f aca="false">IFERROR(INDEX('Output Utente'!$O$2:$O$492,MATCH(191,'Output Utente'!$Q$2:$Q$492,0)),"")</f>
        <v>18</v>
      </c>
      <c r="H194" s="7" t="str">
        <f aca="false">IFERROR(INDEX('Output Utente'!$P$2:$P$492,MATCH(191,'Output Utente'!$Q$2:$Q$492,0)),"")</f>
        <v>Nella Media</v>
      </c>
      <c r="I194" s="50" t="n">
        <f aca="false">IFERROR(INDEX('Output Utente'!$F$2:$F$492,MATCH(191,'Output Utente'!$Q$2:$Q$492,0)),"")</f>
        <v>10</v>
      </c>
      <c r="J194" s="50" t="n">
        <f aca="false">IFERROR(INDEX('Output Utente'!$G$2:$G$492,MATCH(191,'Output Utente'!$Q$2:$Q$492,0)),"")</f>
        <v>7</v>
      </c>
      <c r="K194" s="50" t="n">
        <f aca="false">IFERROR(INDEX('Output Utente'!$H$2:$H$492,MATCH(191,'Output Utente'!$Q$2:$Q$492,0)),"")</f>
        <v>11</v>
      </c>
      <c r="L194" s="7" t="str">
        <f aca="false">IFERROR(INDEX('Output Utente'!$E$2:$E$492,MATCH(191,'Output Utente'!$Q$2:$Q$492,0)),"")</f>
        <v>NO</v>
      </c>
      <c r="M194" s="7" t="str">
        <f aca="false">IFERROR(INDEX('Output Utente'!$U$2:$U$492,MATCH(191,'Output Utente'!$Q$2:$Q$492,0)),"")</f>
        <v>OK</v>
      </c>
      <c r="N194" s="7" t="str">
        <f aca="false">IFERROR(INDEX('Output Utente'!$AE$2:$AE$492,MATCH(191,'Output Utente'!$Q$2:$Q$492,0)),"")</f>
        <v>🟡 Attesa rischiosa</v>
      </c>
    </row>
    <row r="195" customFormat="false" ht="15" hidden="false" customHeight="true" outlineLevel="0" collapsed="false">
      <c r="A195" s="49" t="n">
        <v>192</v>
      </c>
      <c r="B195" s="7" t="n">
        <f aca="false">IFERROR(INDEX('Output Utente'!$A$2:$A$492,MATCH(192,'Output Utente'!$Q$2:$Q$492,0)),"")</f>
        <v>6984</v>
      </c>
      <c r="C195" s="7" t="str">
        <f aca="false">IFERROR(INDEX('Output Utente'!$B$2:$B$492,MATCH(192,'Output Utente'!$Q$2:$Q$492,0)),"")</f>
        <v>C</v>
      </c>
      <c r="D195" s="7" t="str">
        <f aca="false">IFERROR(INDEX('Output Utente'!$C$2:$C$492,MATCH(192,'Output Utente'!$Q$2:$Q$492,0)),"")</f>
        <v>Ondrejka</v>
      </c>
      <c r="E195" s="7" t="str">
        <f aca="false">IFERROR(INDEX('Input Giocatori 2026_27'!$D$3:$D$493,MATCH($B195,'Input Giocatori 2026_27'!$A$3:$A$493,0)),"")</f>
        <v>Parma</v>
      </c>
      <c r="F195" s="50" t="n">
        <f aca="false">IFERROR(INDEX('Output Utente'!$N$2:$N$492,MATCH(192,'Output Utente'!$Q$2:$Q$492,0)),"")</f>
        <v>5</v>
      </c>
      <c r="G195" s="50" t="n">
        <f aca="false">IFERROR(INDEX('Output Utente'!$O$2:$O$492,MATCH(192,'Output Utente'!$Q$2:$Q$492,0)),"")</f>
        <v>18</v>
      </c>
      <c r="H195" s="7" t="str">
        <f aca="false">IFERROR(INDEX('Output Utente'!$P$2:$P$492,MATCH(192,'Output Utente'!$Q$2:$Q$492,0)),"")</f>
        <v>Nella Media</v>
      </c>
      <c r="I195" s="50" t="n">
        <f aca="false">IFERROR(INDEX('Output Utente'!$F$2:$F$492,MATCH(192,'Output Utente'!$Q$2:$Q$492,0)),"")</f>
        <v>10</v>
      </c>
      <c r="J195" s="50" t="n">
        <f aca="false">IFERROR(INDEX('Output Utente'!$G$2:$G$492,MATCH(192,'Output Utente'!$Q$2:$Q$492,0)),"")</f>
        <v>7</v>
      </c>
      <c r="K195" s="50" t="n">
        <f aca="false">IFERROR(INDEX('Output Utente'!$H$2:$H$492,MATCH(192,'Output Utente'!$Q$2:$Q$492,0)),"")</f>
        <v>11</v>
      </c>
      <c r="L195" s="7" t="str">
        <f aca="false">IFERROR(INDEX('Output Utente'!$E$2:$E$492,MATCH(192,'Output Utente'!$Q$2:$Q$492,0)),"")</f>
        <v>NO</v>
      </c>
      <c r="M195" s="7" t="str">
        <f aca="false">IFERROR(INDEX('Output Utente'!$U$2:$U$492,MATCH(192,'Output Utente'!$Q$2:$Q$492,0)),"")</f>
        <v>OK</v>
      </c>
      <c r="N195" s="7" t="str">
        <f aca="false">IFERROR(INDEX('Output Utente'!$AE$2:$AE$492,MATCH(192,'Output Utente'!$Q$2:$Q$492,0)),"")</f>
        <v>🟡 Attesa rischiosa</v>
      </c>
    </row>
    <row r="196" customFormat="false" ht="15" hidden="false" customHeight="true" outlineLevel="0" collapsed="false">
      <c r="A196" s="49" t="n">
        <v>193</v>
      </c>
      <c r="B196" s="7" t="n">
        <f aca="false">IFERROR(INDEX('Output Utente'!$A$2:$A$492,MATCH(193,'Output Utente'!$Q$2:$Q$492,0)),"")</f>
        <v>7060</v>
      </c>
      <c r="C196" s="7" t="str">
        <f aca="false">IFERROR(INDEX('Output Utente'!$B$2:$B$492,MATCH(193,'Output Utente'!$Q$2:$Q$492,0)),"")</f>
        <v>C</v>
      </c>
      <c r="D196" s="7" t="str">
        <f aca="false">IFERROR(INDEX('Output Utente'!$C$2:$C$492,MATCH(193,'Output Utente'!$Q$2:$Q$492,0)),"")</f>
        <v>Cacciamani</v>
      </c>
      <c r="E196" s="7" t="str">
        <f aca="false">IFERROR(INDEX('Input Giocatori 2026_27'!$D$3:$D$493,MATCH($B196,'Input Giocatori 2026_27'!$A$3:$A$493,0)),"")</f>
        <v>Torino</v>
      </c>
      <c r="F196" s="50" t="n">
        <f aca="false">IFERROR(INDEX('Output Utente'!$N$2:$N$492,MATCH(193,'Output Utente'!$Q$2:$Q$492,0)),"")</f>
        <v>5</v>
      </c>
      <c r="G196" s="50" t="n">
        <f aca="false">IFERROR(INDEX('Output Utente'!$O$2:$O$492,MATCH(193,'Output Utente'!$Q$2:$Q$492,0)),"")</f>
        <v>18</v>
      </c>
      <c r="H196" s="7" t="str">
        <f aca="false">IFERROR(INDEX('Output Utente'!$P$2:$P$492,MATCH(193,'Output Utente'!$Q$2:$Q$492,0)),"")</f>
        <v>Nella Media</v>
      </c>
      <c r="I196" s="50" t="n">
        <f aca="false">IFERROR(INDEX('Output Utente'!$F$2:$F$492,MATCH(193,'Output Utente'!$Q$2:$Q$492,0)),"")</f>
        <v>10</v>
      </c>
      <c r="J196" s="50" t="n">
        <f aca="false">IFERROR(INDEX('Output Utente'!$G$2:$G$492,MATCH(193,'Output Utente'!$Q$2:$Q$492,0)),"")</f>
        <v>7</v>
      </c>
      <c r="K196" s="50" t="n">
        <f aca="false">IFERROR(INDEX('Output Utente'!$H$2:$H$492,MATCH(193,'Output Utente'!$Q$2:$Q$492,0)),"")</f>
        <v>11</v>
      </c>
      <c r="L196" s="7" t="str">
        <f aca="false">IFERROR(INDEX('Output Utente'!$E$2:$E$492,MATCH(193,'Output Utente'!$Q$2:$Q$492,0)),"")</f>
        <v>NO</v>
      </c>
      <c r="M196" s="7" t="str">
        <f aca="false">IFERROR(INDEX('Output Utente'!$U$2:$U$492,MATCH(193,'Output Utente'!$Q$2:$Q$492,0)),"")</f>
        <v>OK</v>
      </c>
      <c r="N196" s="7" t="str">
        <f aca="false">IFERROR(INDEX('Output Utente'!$AE$2:$AE$492,MATCH(193,'Output Utente'!$Q$2:$Q$492,0)),"")</f>
        <v>🟡 Attesa rischiosa</v>
      </c>
    </row>
    <row r="197" customFormat="false" ht="15" hidden="false" customHeight="true" outlineLevel="0" collapsed="false">
      <c r="A197" s="49" t="n">
        <v>194</v>
      </c>
      <c r="B197" s="7" t="n">
        <f aca="false">IFERROR(INDEX('Output Utente'!$A$2:$A$492,MATCH(194,'Output Utente'!$Q$2:$Q$492,0)),"")</f>
        <v>6271</v>
      </c>
      <c r="C197" s="7" t="str">
        <f aca="false">IFERROR(INDEX('Output Utente'!$B$2:$B$492,MATCH(194,'Output Utente'!$Q$2:$Q$492,0)),"")</f>
        <v>C</v>
      </c>
      <c r="D197" s="7" t="str">
        <f aca="false">IFERROR(INDEX('Output Utente'!$C$2:$C$492,MATCH(194,'Output Utente'!$Q$2:$Q$492,0)),"")</f>
        <v>El Aynaoui</v>
      </c>
      <c r="E197" s="7" t="str">
        <f aca="false">IFERROR(INDEX('Input Giocatori 2026_27'!$D$3:$D$493,MATCH($B197,'Input Giocatori 2026_27'!$A$3:$A$493,0)),"")</f>
        <v>Roma</v>
      </c>
      <c r="F197" s="50" t="n">
        <f aca="false">IFERROR(INDEX('Output Utente'!$N$2:$N$492,MATCH(194,'Output Utente'!$Q$2:$Q$492,0)),"")</f>
        <v>4</v>
      </c>
      <c r="G197" s="50" t="n">
        <f aca="false">IFERROR(INDEX('Output Utente'!$O$2:$O$492,MATCH(194,'Output Utente'!$Q$2:$Q$492,0)),"")</f>
        <v>18</v>
      </c>
      <c r="H197" s="7" t="str">
        <f aca="false">IFERROR(INDEX('Output Utente'!$P$2:$P$492,MATCH(194,'Output Utente'!$Q$2:$Q$492,0)),"")</f>
        <v>Nella Media</v>
      </c>
      <c r="I197" s="50" t="n">
        <f aca="false">IFERROR(INDEX('Output Utente'!$F$2:$F$492,MATCH(194,'Output Utente'!$Q$2:$Q$492,0)),"")</f>
        <v>10</v>
      </c>
      <c r="J197" s="50" t="n">
        <f aca="false">IFERROR(INDEX('Output Utente'!$G$2:$G$492,MATCH(194,'Output Utente'!$Q$2:$Q$492,0)),"")</f>
        <v>7</v>
      </c>
      <c r="K197" s="50" t="n">
        <f aca="false">IFERROR(INDEX('Output Utente'!$H$2:$H$492,MATCH(194,'Output Utente'!$Q$2:$Q$492,0)),"")</f>
        <v>11</v>
      </c>
      <c r="L197" s="7" t="str">
        <f aca="false">IFERROR(INDEX('Output Utente'!$E$2:$E$492,MATCH(194,'Output Utente'!$Q$2:$Q$492,0)),"")</f>
        <v>NO</v>
      </c>
      <c r="M197" s="7" t="str">
        <f aca="false">IFERROR(INDEX('Output Utente'!$U$2:$U$492,MATCH(194,'Output Utente'!$Q$2:$Q$492,0)),"")</f>
        <v>OK</v>
      </c>
      <c r="N197" s="7" t="str">
        <f aca="false">IFERROR(INDEX('Output Utente'!$AE$2:$AE$492,MATCH(194,'Output Utente'!$Q$2:$Q$492,0)),"")</f>
        <v>🟡 Attesa rischiosa</v>
      </c>
    </row>
    <row r="198" customFormat="false" ht="15" hidden="false" customHeight="true" outlineLevel="0" collapsed="false">
      <c r="A198" s="49" t="n">
        <v>195</v>
      </c>
      <c r="B198" s="7" t="n">
        <f aca="false">IFERROR(INDEX('Output Utente'!$A$2:$A$492,MATCH(195,'Output Utente'!$Q$2:$Q$492,0)),"")</f>
        <v>7252</v>
      </c>
      <c r="C198" s="7" t="str">
        <f aca="false">IFERROR(INDEX('Output Utente'!$B$2:$B$492,MATCH(195,'Output Utente'!$Q$2:$Q$492,0)),"")</f>
        <v>A</v>
      </c>
      <c r="D198" s="7" t="str">
        <f aca="false">IFERROR(INDEX('Output Utente'!$C$2:$C$492,MATCH(195,'Output Utente'!$Q$2:$Q$492,0)),"")</f>
        <v>Stulic</v>
      </c>
      <c r="E198" s="7" t="str">
        <f aca="false">IFERROR(INDEX('Input Giocatori 2026_27'!$D$3:$D$493,MATCH($B198,'Input Giocatori 2026_27'!$A$3:$A$493,0)),"")</f>
        <v>Lecce</v>
      </c>
      <c r="F198" s="50" t="n">
        <f aca="false">IFERROR(INDEX('Output Utente'!$N$2:$N$492,MATCH(195,'Output Utente'!$Q$2:$Q$492,0)),"")</f>
        <v>7</v>
      </c>
      <c r="G198" s="50" t="n">
        <f aca="false">IFERROR(INDEX('Output Utente'!$O$2:$O$492,MATCH(195,'Output Utente'!$Q$2:$Q$492,0)),"")</f>
        <v>18</v>
      </c>
      <c r="H198" s="7" t="str">
        <f aca="false">IFERROR(INDEX('Output Utente'!$P$2:$P$492,MATCH(195,'Output Utente'!$Q$2:$Q$492,0)),"")</f>
        <v>Nella Media</v>
      </c>
      <c r="I198" s="50" t="n">
        <f aca="false">IFERROR(INDEX('Output Utente'!$F$2:$F$492,MATCH(195,'Output Utente'!$Q$2:$Q$492,0)),"")</f>
        <v>16</v>
      </c>
      <c r="J198" s="50" t="n">
        <f aca="false">IFERROR(INDEX('Output Utente'!$G$2:$G$492,MATCH(195,'Output Utente'!$Q$2:$Q$492,0)),"")</f>
        <v>10</v>
      </c>
      <c r="K198" s="50" t="n">
        <f aca="false">IFERROR(INDEX('Output Utente'!$H$2:$H$492,MATCH(195,'Output Utente'!$Q$2:$Q$492,0)),"")</f>
        <v>18</v>
      </c>
      <c r="L198" s="7" t="str">
        <f aca="false">IFERROR(INDEX('Output Utente'!$E$2:$E$492,MATCH(195,'Output Utente'!$Q$2:$Q$492,0)),"")</f>
        <v>NO</v>
      </c>
      <c r="M198" s="7" t="str">
        <f aca="false">IFERROR(INDEX('Output Utente'!$U$2:$U$492,MATCH(195,'Output Utente'!$Q$2:$Q$492,0)),"")</f>
        <v>OK</v>
      </c>
      <c r="N198" s="7" t="str">
        <f aca="false">IFERROR(INDEX('Output Utente'!$AE$2:$AE$492,MATCH(195,'Output Utente'!$Q$2:$Q$492,0)),"")</f>
        <v>🔴 Non aspettare</v>
      </c>
    </row>
    <row r="199" customFormat="false" ht="15" hidden="false" customHeight="true" outlineLevel="0" collapsed="false">
      <c r="A199" s="49" t="n">
        <v>196</v>
      </c>
      <c r="B199" s="7" t="n">
        <f aca="false">IFERROR(INDEX('Output Utente'!$A$2:$A$492,MATCH(196,'Output Utente'!$Q$2:$Q$492,0)),"")</f>
        <v>608</v>
      </c>
      <c r="C199" s="7" t="str">
        <f aca="false">IFERROR(INDEX('Output Utente'!$B$2:$B$492,MATCH(196,'Output Utente'!$Q$2:$Q$492,0)),"")</f>
        <v>A</v>
      </c>
      <c r="D199" s="7" t="str">
        <f aca="false">IFERROR(INDEX('Output Utente'!$C$2:$C$492,MATCH(196,'Output Utente'!$Q$2:$Q$492,0)),"")</f>
        <v>Zapata D.</v>
      </c>
      <c r="E199" s="7" t="str">
        <f aca="false">IFERROR(INDEX('Input Giocatori 2026_27'!$D$3:$D$493,MATCH($B199,'Input Giocatori 2026_27'!$A$3:$A$493,0)),"")</f>
        <v>Torino</v>
      </c>
      <c r="F199" s="50" t="n">
        <f aca="false">IFERROR(INDEX('Output Utente'!$N$2:$N$492,MATCH(196,'Output Utente'!$Q$2:$Q$492,0)),"")</f>
        <v>7</v>
      </c>
      <c r="G199" s="50" t="n">
        <f aca="false">IFERROR(INDEX('Output Utente'!$O$2:$O$492,MATCH(196,'Output Utente'!$Q$2:$Q$492,0)),"")</f>
        <v>18</v>
      </c>
      <c r="H199" s="7" t="str">
        <f aca="false">IFERROR(INDEX('Output Utente'!$P$2:$P$492,MATCH(196,'Output Utente'!$Q$2:$Q$492,0)),"")</f>
        <v>Nella Media</v>
      </c>
      <c r="I199" s="50" t="n">
        <f aca="false">IFERROR(INDEX('Output Utente'!$F$2:$F$492,MATCH(196,'Output Utente'!$Q$2:$Q$492,0)),"")</f>
        <v>16</v>
      </c>
      <c r="J199" s="50" t="n">
        <f aca="false">IFERROR(INDEX('Output Utente'!$G$2:$G$492,MATCH(196,'Output Utente'!$Q$2:$Q$492,0)),"")</f>
        <v>10</v>
      </c>
      <c r="K199" s="50" t="n">
        <f aca="false">IFERROR(INDEX('Output Utente'!$H$2:$H$492,MATCH(196,'Output Utente'!$Q$2:$Q$492,0)),"")</f>
        <v>18</v>
      </c>
      <c r="L199" s="7" t="str">
        <f aca="false">IFERROR(INDEX('Output Utente'!$E$2:$E$492,MATCH(196,'Output Utente'!$Q$2:$Q$492,0)),"")</f>
        <v>NO</v>
      </c>
      <c r="M199" s="7" t="str">
        <f aca="false">IFERROR(INDEX('Output Utente'!$U$2:$U$492,MATCH(196,'Output Utente'!$Q$2:$Q$492,0)),"")</f>
        <v>OK</v>
      </c>
      <c r="N199" s="7" t="str">
        <f aca="false">IFERROR(INDEX('Output Utente'!$AE$2:$AE$492,MATCH(196,'Output Utente'!$Q$2:$Q$492,0)),"")</f>
        <v>🔴 Non aspettare</v>
      </c>
    </row>
    <row r="200" customFormat="false" ht="15" hidden="false" customHeight="true" outlineLevel="0" collapsed="false">
      <c r="A200" s="49" t="n">
        <v>197</v>
      </c>
      <c r="B200" s="7" t="n">
        <f aca="false">IFERROR(INDEX('Output Utente'!$A$2:$A$492,MATCH(197,'Output Utente'!$Q$2:$Q$492,0)),"")</f>
        <v>6519</v>
      </c>
      <c r="C200" s="7" t="str">
        <f aca="false">IFERROR(INDEX('Output Utente'!$B$2:$B$492,MATCH(197,'Output Utente'!$Q$2:$Q$492,0)),"")</f>
        <v>A</v>
      </c>
      <c r="D200" s="7" t="str">
        <f aca="false">IFERROR(INDEX('Output Utente'!$C$2:$C$492,MATCH(197,'Output Utente'!$Q$2:$Q$492,0)),"")</f>
        <v>Camarda</v>
      </c>
      <c r="E200" s="7" t="str">
        <f aca="false">IFERROR(INDEX('Input Giocatori 2026_27'!$D$3:$D$493,MATCH($B200,'Input Giocatori 2026_27'!$A$3:$A$493,0)),"")</f>
        <v>Milan</v>
      </c>
      <c r="F200" s="50" t="n">
        <f aca="false">IFERROR(INDEX('Output Utente'!$N$2:$N$492,MATCH(197,'Output Utente'!$Q$2:$Q$492,0)),"")</f>
        <v>5</v>
      </c>
      <c r="G200" s="50" t="n">
        <f aca="false">IFERROR(INDEX('Output Utente'!$O$2:$O$492,MATCH(197,'Output Utente'!$Q$2:$Q$492,0)),"")</f>
        <v>18</v>
      </c>
      <c r="H200" s="7" t="str">
        <f aca="false">IFERROR(INDEX('Output Utente'!$P$2:$P$492,MATCH(197,'Output Utente'!$Q$2:$Q$492,0)),"")</f>
        <v>Nella Media</v>
      </c>
      <c r="I200" s="50" t="n">
        <f aca="false">IFERROR(INDEX('Output Utente'!$F$2:$F$492,MATCH(197,'Output Utente'!$Q$2:$Q$492,0)),"")</f>
        <v>16</v>
      </c>
      <c r="J200" s="50" t="n">
        <f aca="false">IFERROR(INDEX('Output Utente'!$G$2:$G$492,MATCH(197,'Output Utente'!$Q$2:$Q$492,0)),"")</f>
        <v>10</v>
      </c>
      <c r="K200" s="50" t="n">
        <f aca="false">IFERROR(INDEX('Output Utente'!$H$2:$H$492,MATCH(197,'Output Utente'!$Q$2:$Q$492,0)),"")</f>
        <v>18</v>
      </c>
      <c r="L200" s="7" t="str">
        <f aca="false">IFERROR(INDEX('Output Utente'!$E$2:$E$492,MATCH(197,'Output Utente'!$Q$2:$Q$492,0)),"")</f>
        <v>NO</v>
      </c>
      <c r="M200" s="7" t="str">
        <f aca="false">IFERROR(INDEX('Output Utente'!$U$2:$U$492,MATCH(197,'Output Utente'!$Q$2:$Q$492,0)),"")</f>
        <v>OK</v>
      </c>
      <c r="N200" s="7" t="str">
        <f aca="false">IFERROR(INDEX('Output Utente'!$AE$2:$AE$492,MATCH(197,'Output Utente'!$Q$2:$Q$492,0)),"")</f>
        <v>🔴 Non aspettare</v>
      </c>
    </row>
    <row r="201" customFormat="false" ht="15" hidden="false" customHeight="true" outlineLevel="0" collapsed="false">
      <c r="A201" s="49" t="n">
        <v>198</v>
      </c>
      <c r="B201" s="7" t="n">
        <f aca="false">IFERROR(INDEX('Output Utente'!$A$2:$A$492,MATCH(198,'Output Utente'!$Q$2:$Q$492,0)),"")</f>
        <v>5882</v>
      </c>
      <c r="C201" s="7" t="str">
        <f aca="false">IFERROR(INDEX('Output Utente'!$B$2:$B$492,MATCH(198,'Output Utente'!$Q$2:$Q$492,0)),"")</f>
        <v>A</v>
      </c>
      <c r="D201" s="7" t="str">
        <f aca="false">IFERROR(INDEX('Output Utente'!$C$2:$C$492,MATCH(198,'Output Utente'!$Q$2:$Q$492,0)),"")</f>
        <v>Mota</v>
      </c>
      <c r="E201" s="7" t="str">
        <f aca="false">IFERROR(INDEX('Input Giocatori 2026_27'!$D$3:$D$493,MATCH($B201,'Input Giocatori 2026_27'!$A$3:$A$493,0)),"")</f>
        <v>Monza</v>
      </c>
      <c r="F201" s="50" t="n">
        <f aca="false">IFERROR(INDEX('Output Utente'!$N$2:$N$492,MATCH(198,'Output Utente'!$Q$2:$Q$492,0)),"")</f>
        <v>5</v>
      </c>
      <c r="G201" s="50" t="n">
        <f aca="false">IFERROR(INDEX('Output Utente'!$O$2:$O$492,MATCH(198,'Output Utente'!$Q$2:$Q$492,0)),"")</f>
        <v>18</v>
      </c>
      <c r="H201" s="7" t="str">
        <f aca="false">IFERROR(INDEX('Output Utente'!$P$2:$P$492,MATCH(198,'Output Utente'!$Q$2:$Q$492,0)),"")</f>
        <v>Nella Media</v>
      </c>
      <c r="I201" s="50" t="n">
        <f aca="false">IFERROR(INDEX('Output Utente'!$F$2:$F$492,MATCH(198,'Output Utente'!$Q$2:$Q$492,0)),"")</f>
        <v>16</v>
      </c>
      <c r="J201" s="50" t="n">
        <f aca="false">IFERROR(INDEX('Output Utente'!$G$2:$G$492,MATCH(198,'Output Utente'!$Q$2:$Q$492,0)),"")</f>
        <v>10</v>
      </c>
      <c r="K201" s="50" t="n">
        <f aca="false">IFERROR(INDEX('Output Utente'!$H$2:$H$492,MATCH(198,'Output Utente'!$Q$2:$Q$492,0)),"")</f>
        <v>19</v>
      </c>
      <c r="L201" s="7" t="str">
        <f aca="false">IFERROR(INDEX('Output Utente'!$E$2:$E$492,MATCH(198,'Output Utente'!$Q$2:$Q$492,0)),"")</f>
        <v>NO</v>
      </c>
      <c r="M201" s="7" t="str">
        <f aca="false">IFERROR(INDEX('Output Utente'!$U$2:$U$492,MATCH(198,'Output Utente'!$Q$2:$Q$492,0)),"")</f>
        <v>OK</v>
      </c>
      <c r="N201" s="7" t="str">
        <f aca="false">IFERROR(INDEX('Output Utente'!$AE$2:$AE$492,MATCH(198,'Output Utente'!$Q$2:$Q$492,0)),"")</f>
        <v>🔴 Non aspettare</v>
      </c>
    </row>
    <row r="202" customFormat="false" ht="15" hidden="false" customHeight="true" outlineLevel="0" collapsed="false">
      <c r="A202" s="49" t="n">
        <v>199</v>
      </c>
      <c r="B202" s="7" t="n">
        <f aca="false">IFERROR(INDEX('Output Utente'!$A$2:$A$492,MATCH(199,'Output Utente'!$Q$2:$Q$492,0)),"")</f>
        <v>6989</v>
      </c>
      <c r="C202" s="7" t="str">
        <f aca="false">IFERROR(INDEX('Output Utente'!$B$2:$B$492,MATCH(199,'Output Utente'!$Q$2:$Q$492,0)),"")</f>
        <v>D</v>
      </c>
      <c r="D202" s="7" t="str">
        <f aca="false">IFERROR(INDEX('Output Utente'!$C$2:$C$492,MATCH(199,'Output Utente'!$Q$2:$Q$492,0)),"")</f>
        <v>Tiago Gabriel</v>
      </c>
      <c r="E202" s="7" t="str">
        <f aca="false">IFERROR(INDEX('Input Giocatori 2026_27'!$D$3:$D$493,MATCH($B202,'Input Giocatori 2026_27'!$A$3:$A$493,0)),"")</f>
        <v>Lecce</v>
      </c>
      <c r="F202" s="50" t="n">
        <f aca="false">IFERROR(INDEX('Output Utente'!$N$2:$N$492,MATCH(199,'Output Utente'!$Q$2:$Q$492,0)),"")</f>
        <v>7</v>
      </c>
      <c r="G202" s="50" t="n">
        <f aca="false">IFERROR(INDEX('Output Utente'!$O$2:$O$492,MATCH(199,'Output Utente'!$Q$2:$Q$492,0)),"")</f>
        <v>17</v>
      </c>
      <c r="H202" s="7" t="str">
        <f aca="false">IFERROR(INDEX('Output Utente'!$P$2:$P$492,MATCH(199,'Output Utente'!$Q$2:$Q$492,0)),"")</f>
        <v>Buono</v>
      </c>
      <c r="I202" s="50" t="n">
        <f aca="false">IFERROR(INDEX('Output Utente'!$F$2:$F$492,MATCH(199,'Output Utente'!$Q$2:$Q$492,0)),"")</f>
        <v>8</v>
      </c>
      <c r="J202" s="50" t="n">
        <f aca="false">IFERROR(INDEX('Output Utente'!$G$2:$G$492,MATCH(199,'Output Utente'!$Q$2:$Q$492,0)),"")</f>
        <v>6</v>
      </c>
      <c r="K202" s="50" t="n">
        <f aca="false">IFERROR(INDEX('Output Utente'!$H$2:$H$492,MATCH(199,'Output Utente'!$Q$2:$Q$492,0)),"")</f>
        <v>9</v>
      </c>
      <c r="L202" s="7" t="str">
        <f aca="false">IFERROR(INDEX('Output Utente'!$E$2:$E$492,MATCH(199,'Output Utente'!$Q$2:$Q$492,0)),"")</f>
        <v>NO</v>
      </c>
      <c r="M202" s="7" t="str">
        <f aca="false">IFERROR(INDEX('Output Utente'!$U$2:$U$492,MATCH(199,'Output Utente'!$Q$2:$Q$492,0)),"")</f>
        <v>OK</v>
      </c>
      <c r="N202" s="7" t="str">
        <f aca="false">IFERROR(INDEX('Output Utente'!$AE$2:$AE$492,MATCH(199,'Output Utente'!$Q$2:$Q$492,0)),"")</f>
        <v>🟡 Attesa rischiosa</v>
      </c>
    </row>
    <row r="203" customFormat="false" ht="15" hidden="false" customHeight="true" outlineLevel="0" collapsed="false">
      <c r="A203" s="49" t="n">
        <v>200</v>
      </c>
      <c r="B203" s="7" t="n">
        <f aca="false">IFERROR(INDEX('Output Utente'!$A$2:$A$492,MATCH(200,'Output Utente'!$Q$2:$Q$492,0)),"")</f>
        <v>7219</v>
      </c>
      <c r="C203" s="7" t="str">
        <f aca="false">IFERROR(INDEX('Output Utente'!$B$2:$B$492,MATCH(200,'Output Utente'!$Q$2:$Q$492,0)),"")</f>
        <v>D</v>
      </c>
      <c r="D203" s="7" t="str">
        <f aca="false">IFERROR(INDEX('Output Utente'!$C$2:$C$492,MATCH(200,'Output Utente'!$Q$2:$Q$492,0)),"")</f>
        <v>Bernasconi</v>
      </c>
      <c r="E203" s="7" t="str">
        <f aca="false">IFERROR(INDEX('Input Giocatori 2026_27'!$D$3:$D$493,MATCH($B203,'Input Giocatori 2026_27'!$A$3:$A$493,0)),"")</f>
        <v>Atalanta</v>
      </c>
      <c r="F203" s="50" t="n">
        <f aca="false">IFERROR(INDEX('Output Utente'!$N$2:$N$492,MATCH(200,'Output Utente'!$Q$2:$Q$492,0)),"")</f>
        <v>6</v>
      </c>
      <c r="G203" s="50" t="n">
        <f aca="false">IFERROR(INDEX('Output Utente'!$O$2:$O$492,MATCH(200,'Output Utente'!$Q$2:$Q$492,0)),"")</f>
        <v>17</v>
      </c>
      <c r="H203" s="7" t="str">
        <f aca="false">IFERROR(INDEX('Output Utente'!$P$2:$P$492,MATCH(200,'Output Utente'!$Q$2:$Q$492,0)),"")</f>
        <v>Buono</v>
      </c>
      <c r="I203" s="50" t="n">
        <f aca="false">IFERROR(INDEX('Output Utente'!$F$2:$F$492,MATCH(200,'Output Utente'!$Q$2:$Q$492,0)),"")</f>
        <v>8</v>
      </c>
      <c r="J203" s="50" t="n">
        <f aca="false">IFERROR(INDEX('Output Utente'!$G$2:$G$492,MATCH(200,'Output Utente'!$Q$2:$Q$492,0)),"")</f>
        <v>6</v>
      </c>
      <c r="K203" s="50" t="n">
        <f aca="false">IFERROR(INDEX('Output Utente'!$H$2:$H$492,MATCH(200,'Output Utente'!$Q$2:$Q$492,0)),"")</f>
        <v>9</v>
      </c>
      <c r="L203" s="7" t="str">
        <f aca="false">IFERROR(INDEX('Output Utente'!$E$2:$E$492,MATCH(200,'Output Utente'!$Q$2:$Q$492,0)),"")</f>
        <v>NO</v>
      </c>
      <c r="M203" s="7" t="str">
        <f aca="false">IFERROR(INDEX('Output Utente'!$U$2:$U$492,MATCH(200,'Output Utente'!$Q$2:$Q$492,0)),"")</f>
        <v>OK</v>
      </c>
      <c r="N203" s="7" t="str">
        <f aca="false">IFERROR(INDEX('Output Utente'!$AE$2:$AE$492,MATCH(200,'Output Utente'!$Q$2:$Q$492,0)),"")</f>
        <v>🟡 Attesa rischiosa</v>
      </c>
    </row>
    <row r="204" customFormat="false" ht="15" hidden="false" customHeight="true" outlineLevel="0" collapsed="false">
      <c r="A204" s="49" t="n">
        <v>201</v>
      </c>
      <c r="B204" s="7" t="n">
        <f aca="false">IFERROR(INDEX('Output Utente'!$A$2:$A$492,MATCH(201,'Output Utente'!$Q$2:$Q$492,0)),"")</f>
        <v>5620</v>
      </c>
      <c r="C204" s="7" t="str">
        <f aca="false">IFERROR(INDEX('Output Utente'!$B$2:$B$492,MATCH(201,'Output Utente'!$Q$2:$Q$492,0)),"")</f>
        <v>D</v>
      </c>
      <c r="D204" s="7" t="str">
        <f aca="false">IFERROR(INDEX('Output Utente'!$C$2:$C$492,MATCH(201,'Output Utente'!$Q$2:$Q$492,0)),"")</f>
        <v>Tavares N.</v>
      </c>
      <c r="E204" s="7" t="str">
        <f aca="false">IFERROR(INDEX('Input Giocatori 2026_27'!$D$3:$D$493,MATCH($B204,'Input Giocatori 2026_27'!$A$3:$A$493,0)),"")</f>
        <v>Lazio</v>
      </c>
      <c r="F204" s="50" t="n">
        <f aca="false">IFERROR(INDEX('Output Utente'!$N$2:$N$492,MATCH(201,'Output Utente'!$Q$2:$Q$492,0)),"")</f>
        <v>6</v>
      </c>
      <c r="G204" s="50" t="n">
        <f aca="false">IFERROR(INDEX('Output Utente'!$O$2:$O$492,MATCH(201,'Output Utente'!$Q$2:$Q$492,0)),"")</f>
        <v>17</v>
      </c>
      <c r="H204" s="7" t="str">
        <f aca="false">IFERROR(INDEX('Output Utente'!$P$2:$P$492,MATCH(201,'Output Utente'!$Q$2:$Q$492,0)),"")</f>
        <v>Buono</v>
      </c>
      <c r="I204" s="50" t="n">
        <f aca="false">IFERROR(INDEX('Output Utente'!$F$2:$F$492,MATCH(201,'Output Utente'!$Q$2:$Q$492,0)),"")</f>
        <v>8</v>
      </c>
      <c r="J204" s="50" t="n">
        <f aca="false">IFERROR(INDEX('Output Utente'!$G$2:$G$492,MATCH(201,'Output Utente'!$Q$2:$Q$492,0)),"")</f>
        <v>6</v>
      </c>
      <c r="K204" s="50" t="n">
        <f aca="false">IFERROR(INDEX('Output Utente'!$H$2:$H$492,MATCH(201,'Output Utente'!$Q$2:$Q$492,0)),"")</f>
        <v>9</v>
      </c>
      <c r="L204" s="7" t="str">
        <f aca="false">IFERROR(INDEX('Output Utente'!$E$2:$E$492,MATCH(201,'Output Utente'!$Q$2:$Q$492,0)),"")</f>
        <v>NO</v>
      </c>
      <c r="M204" s="7" t="str">
        <f aca="false">IFERROR(INDEX('Output Utente'!$U$2:$U$492,MATCH(201,'Output Utente'!$Q$2:$Q$492,0)),"")</f>
        <v>OK</v>
      </c>
      <c r="N204" s="7" t="str">
        <f aca="false">IFERROR(INDEX('Output Utente'!$AE$2:$AE$492,MATCH(201,'Output Utente'!$Q$2:$Q$492,0)),"")</f>
        <v>🟡 Attesa rischiosa</v>
      </c>
    </row>
    <row r="205" customFormat="false" ht="15" hidden="false" customHeight="true" outlineLevel="0" collapsed="false">
      <c r="A205" s="49" t="n">
        <v>202</v>
      </c>
      <c r="B205" s="7" t="n">
        <f aca="false">IFERROR(INDEX('Output Utente'!$A$2:$A$492,MATCH(202,'Output Utente'!$Q$2:$Q$492,0)),"")</f>
        <v>6190</v>
      </c>
      <c r="C205" s="7" t="str">
        <f aca="false">IFERROR(INDEX('Output Utente'!$B$2:$B$492,MATCH(202,'Output Utente'!$Q$2:$Q$492,0)),"")</f>
        <v>C</v>
      </c>
      <c r="D205" s="7" t="str">
        <f aca="false">IFERROR(INDEX('Output Utente'!$C$2:$C$492,MATCH(202,'Output Utente'!$Q$2:$Q$492,0)),"")</f>
        <v>Pisilli</v>
      </c>
      <c r="E205" s="7" t="str">
        <f aca="false">IFERROR(INDEX('Input Giocatori 2026_27'!$D$3:$D$493,MATCH($B205,'Input Giocatori 2026_27'!$A$3:$A$493,0)),"")</f>
        <v>Roma</v>
      </c>
      <c r="F205" s="50" t="n">
        <f aca="false">IFERROR(INDEX('Output Utente'!$N$2:$N$492,MATCH(202,'Output Utente'!$Q$2:$Q$492,0)),"")</f>
        <v>5</v>
      </c>
      <c r="G205" s="50" t="n">
        <f aca="false">IFERROR(INDEX('Output Utente'!$O$2:$O$492,MATCH(202,'Output Utente'!$Q$2:$Q$492,0)),"")</f>
        <v>17</v>
      </c>
      <c r="H205" s="7" t="str">
        <f aca="false">IFERROR(INDEX('Output Utente'!$P$2:$P$492,MATCH(202,'Output Utente'!$Q$2:$Q$492,0)),"")</f>
        <v>Nella Media</v>
      </c>
      <c r="I205" s="50" t="n">
        <f aca="false">IFERROR(INDEX('Output Utente'!$F$2:$F$492,MATCH(202,'Output Utente'!$Q$2:$Q$492,0)),"")</f>
        <v>10</v>
      </c>
      <c r="J205" s="50" t="n">
        <f aca="false">IFERROR(INDEX('Output Utente'!$G$2:$G$492,MATCH(202,'Output Utente'!$Q$2:$Q$492,0)),"")</f>
        <v>6</v>
      </c>
      <c r="K205" s="50" t="n">
        <f aca="false">IFERROR(INDEX('Output Utente'!$H$2:$H$492,MATCH(202,'Output Utente'!$Q$2:$Q$492,0)),"")</f>
        <v>11</v>
      </c>
      <c r="L205" s="7" t="str">
        <f aca="false">IFERROR(INDEX('Output Utente'!$E$2:$E$492,MATCH(202,'Output Utente'!$Q$2:$Q$492,0)),"")</f>
        <v>NO</v>
      </c>
      <c r="M205" s="7" t="str">
        <f aca="false">IFERROR(INDEX('Output Utente'!$U$2:$U$492,MATCH(202,'Output Utente'!$Q$2:$Q$492,0)),"")</f>
        <v>OK</v>
      </c>
      <c r="N205" s="7" t="str">
        <f aca="false">IFERROR(INDEX('Output Utente'!$AE$2:$AE$492,MATCH(202,'Output Utente'!$Q$2:$Q$492,0)),"")</f>
        <v>🟡 Attesa rischiosa</v>
      </c>
    </row>
    <row r="206" customFormat="false" ht="15" hidden="false" customHeight="true" outlineLevel="0" collapsed="false">
      <c r="A206" s="49" t="n">
        <v>203</v>
      </c>
      <c r="B206" s="7" t="n">
        <f aca="false">IFERROR(INDEX('Output Utente'!$A$2:$A$492,MATCH(203,'Output Utente'!$Q$2:$Q$492,0)),"")</f>
        <v>6556</v>
      </c>
      <c r="C206" s="7" t="str">
        <f aca="false">IFERROR(INDEX('Output Utente'!$B$2:$B$492,MATCH(203,'Output Utente'!$Q$2:$Q$492,0)),"")</f>
        <v>A</v>
      </c>
      <c r="D206" s="7" t="str">
        <f aca="false">IFERROR(INDEX('Output Utente'!$C$2:$C$492,MATCH(203,'Output Utente'!$Q$2:$Q$492,0)),"")</f>
        <v>Noslin</v>
      </c>
      <c r="E206" s="7" t="str">
        <f aca="false">IFERROR(INDEX('Input Giocatori 2026_27'!$D$3:$D$493,MATCH($B206,'Input Giocatori 2026_27'!$A$3:$A$493,0)),"")</f>
        <v>Lazio</v>
      </c>
      <c r="F206" s="50" t="n">
        <f aca="false">IFERROR(INDEX('Output Utente'!$N$2:$N$492,MATCH(203,'Output Utente'!$Q$2:$Q$492,0)),"")</f>
        <v>6</v>
      </c>
      <c r="G206" s="50" t="n">
        <f aca="false">IFERROR(INDEX('Output Utente'!$O$2:$O$492,MATCH(203,'Output Utente'!$Q$2:$Q$492,0)),"")</f>
        <v>17</v>
      </c>
      <c r="H206" s="7" t="str">
        <f aca="false">IFERROR(INDEX('Output Utente'!$P$2:$P$492,MATCH(203,'Output Utente'!$Q$2:$Q$492,0)),"")</f>
        <v>Nella Media</v>
      </c>
      <c r="I206" s="50" t="n">
        <f aca="false">IFERROR(INDEX('Output Utente'!$F$2:$F$492,MATCH(203,'Output Utente'!$Q$2:$Q$492,0)),"")</f>
        <v>15</v>
      </c>
      <c r="J206" s="50" t="n">
        <f aca="false">IFERROR(INDEX('Output Utente'!$G$2:$G$492,MATCH(203,'Output Utente'!$Q$2:$Q$492,0)),"")</f>
        <v>9</v>
      </c>
      <c r="K206" s="50" t="n">
        <f aca="false">IFERROR(INDEX('Output Utente'!$H$2:$H$492,MATCH(203,'Output Utente'!$Q$2:$Q$492,0)),"")</f>
        <v>17</v>
      </c>
      <c r="L206" s="7" t="str">
        <f aca="false">IFERROR(INDEX('Output Utente'!$E$2:$E$492,MATCH(203,'Output Utente'!$Q$2:$Q$492,0)),"")</f>
        <v>NO</v>
      </c>
      <c r="M206" s="7" t="str">
        <f aca="false">IFERROR(INDEX('Output Utente'!$U$2:$U$492,MATCH(203,'Output Utente'!$Q$2:$Q$492,0)),"")</f>
        <v>OK</v>
      </c>
      <c r="N206" s="7" t="str">
        <f aca="false">IFERROR(INDEX('Output Utente'!$AE$2:$AE$492,MATCH(203,'Output Utente'!$Q$2:$Q$492,0)),"")</f>
        <v>🔴 Non aspettare</v>
      </c>
    </row>
    <row r="207" customFormat="false" ht="15" hidden="false" customHeight="true" outlineLevel="0" collapsed="false">
      <c r="A207" s="49" t="n">
        <v>204</v>
      </c>
      <c r="B207" s="7" t="n">
        <f aca="false">IFERROR(INDEX('Output Utente'!$A$2:$A$492,MATCH(204,'Output Utente'!$Q$2:$Q$492,0)),"")</f>
        <v>6046</v>
      </c>
      <c r="C207" s="7" t="str">
        <f aca="false">IFERROR(INDEX('Output Utente'!$B$2:$B$492,MATCH(204,'Output Utente'!$Q$2:$Q$492,0)),"")</f>
        <v>D</v>
      </c>
      <c r="D207" s="7" t="str">
        <f aca="false">IFERROR(INDEX('Output Utente'!$C$2:$C$492,MATCH(204,'Output Utente'!$Q$2:$Q$492,0)),"")</f>
        <v>Hien</v>
      </c>
      <c r="E207" s="7" t="str">
        <f aca="false">IFERROR(INDEX('Input Giocatori 2026_27'!$D$3:$D$493,MATCH($B207,'Input Giocatori 2026_27'!$A$3:$A$493,0)),"")</f>
        <v>Atalanta</v>
      </c>
      <c r="F207" s="50" t="n">
        <f aca="false">IFERROR(INDEX('Output Utente'!$N$2:$N$492,MATCH(204,'Output Utente'!$Q$2:$Q$492,0)),"")</f>
        <v>8</v>
      </c>
      <c r="G207" s="50" t="n">
        <f aca="false">IFERROR(INDEX('Output Utente'!$O$2:$O$492,MATCH(204,'Output Utente'!$Q$2:$Q$492,0)),"")</f>
        <v>16</v>
      </c>
      <c r="H207" s="7" t="str">
        <f aca="false">IFERROR(INDEX('Output Utente'!$P$2:$P$492,MATCH(204,'Output Utente'!$Q$2:$Q$492,0)),"")</f>
        <v>Buono</v>
      </c>
      <c r="I207" s="50" t="n">
        <f aca="false">IFERROR(INDEX('Output Utente'!$F$2:$F$492,MATCH(204,'Output Utente'!$Q$2:$Q$492,0)),"")</f>
        <v>7</v>
      </c>
      <c r="J207" s="50" t="n">
        <f aca="false">IFERROR(INDEX('Output Utente'!$G$2:$G$492,MATCH(204,'Output Utente'!$Q$2:$Q$492,0)),"")</f>
        <v>6</v>
      </c>
      <c r="K207" s="50" t="n">
        <f aca="false">IFERROR(INDEX('Output Utente'!$H$2:$H$492,MATCH(204,'Output Utente'!$Q$2:$Q$492,0)),"")</f>
        <v>8</v>
      </c>
      <c r="L207" s="7" t="str">
        <f aca="false">IFERROR(INDEX('Output Utente'!$E$2:$E$492,MATCH(204,'Output Utente'!$Q$2:$Q$492,0)),"")</f>
        <v>NO</v>
      </c>
      <c r="M207" s="7" t="str">
        <f aca="false">IFERROR(INDEX('Output Utente'!$U$2:$U$492,MATCH(204,'Output Utente'!$Q$2:$Q$492,0)),"")</f>
        <v>OK</v>
      </c>
      <c r="N207" s="7" t="str">
        <f aca="false">IFERROR(INDEX('Output Utente'!$AE$2:$AE$492,MATCH(204,'Output Utente'!$Q$2:$Q$492,0)),"")</f>
        <v>🟡 Attesa rischiosa</v>
      </c>
    </row>
    <row r="208" customFormat="false" ht="15" hidden="false" customHeight="true" outlineLevel="0" collapsed="false">
      <c r="A208" s="49" t="n">
        <v>205</v>
      </c>
      <c r="B208" s="7" t="n">
        <f aca="false">IFERROR(INDEX('Output Utente'!$A$2:$A$492,MATCH(205,'Output Utente'!$Q$2:$Q$492,0)),"")</f>
        <v>787</v>
      </c>
      <c r="C208" s="7" t="str">
        <f aca="false">IFERROR(INDEX('Output Utente'!$B$2:$B$492,MATCH(205,'Output Utente'!$Q$2:$Q$492,0)),"")</f>
        <v>D</v>
      </c>
      <c r="D208" s="7" t="str">
        <f aca="false">IFERROR(INDEX('Output Utente'!$C$2:$C$492,MATCH(205,'Output Utente'!$Q$2:$Q$492,0)),"")</f>
        <v>Djimsiti</v>
      </c>
      <c r="E208" s="7" t="str">
        <f aca="false">IFERROR(INDEX('Input Giocatori 2026_27'!$D$3:$D$493,MATCH($B208,'Input Giocatori 2026_27'!$A$3:$A$493,0)),"")</f>
        <v>Atalanta</v>
      </c>
      <c r="F208" s="50" t="n">
        <f aca="false">IFERROR(INDEX('Output Utente'!$N$2:$N$492,MATCH(205,'Output Utente'!$Q$2:$Q$492,0)),"")</f>
        <v>7</v>
      </c>
      <c r="G208" s="50" t="n">
        <f aca="false">IFERROR(INDEX('Output Utente'!$O$2:$O$492,MATCH(205,'Output Utente'!$Q$2:$Q$492,0)),"")</f>
        <v>16</v>
      </c>
      <c r="H208" s="7" t="str">
        <f aca="false">IFERROR(INDEX('Output Utente'!$P$2:$P$492,MATCH(205,'Output Utente'!$Q$2:$Q$492,0)),"")</f>
        <v>Buono</v>
      </c>
      <c r="I208" s="50" t="n">
        <f aca="false">IFERROR(INDEX('Output Utente'!$F$2:$F$492,MATCH(205,'Output Utente'!$Q$2:$Q$492,0)),"")</f>
        <v>7</v>
      </c>
      <c r="J208" s="50" t="n">
        <f aca="false">IFERROR(INDEX('Output Utente'!$G$2:$G$492,MATCH(205,'Output Utente'!$Q$2:$Q$492,0)),"")</f>
        <v>6</v>
      </c>
      <c r="K208" s="50" t="n">
        <f aca="false">IFERROR(INDEX('Output Utente'!$H$2:$H$492,MATCH(205,'Output Utente'!$Q$2:$Q$492,0)),"")</f>
        <v>8</v>
      </c>
      <c r="L208" s="7" t="str">
        <f aca="false">IFERROR(INDEX('Output Utente'!$E$2:$E$492,MATCH(205,'Output Utente'!$Q$2:$Q$492,0)),"")</f>
        <v>NO</v>
      </c>
      <c r="M208" s="7" t="str">
        <f aca="false">IFERROR(INDEX('Output Utente'!$U$2:$U$492,MATCH(205,'Output Utente'!$Q$2:$Q$492,0)),"")</f>
        <v>OK</v>
      </c>
      <c r="N208" s="7" t="str">
        <f aca="false">IFERROR(INDEX('Output Utente'!$AE$2:$AE$492,MATCH(205,'Output Utente'!$Q$2:$Q$492,0)),"")</f>
        <v>🟡 Attesa rischiosa</v>
      </c>
    </row>
    <row r="209" customFormat="false" ht="15" hidden="false" customHeight="true" outlineLevel="0" collapsed="false">
      <c r="A209" s="49" t="n">
        <v>206</v>
      </c>
      <c r="B209" s="7" t="n">
        <f aca="false">IFERROR(INDEX('Output Utente'!$A$2:$A$492,MATCH(206,'Output Utente'!$Q$2:$Q$492,0)),"")</f>
        <v>6916</v>
      </c>
      <c r="C209" s="7" t="str">
        <f aca="false">IFERROR(INDEX('Output Utente'!$B$2:$B$492,MATCH(206,'Output Utente'!$Q$2:$Q$492,0)),"")</f>
        <v>D</v>
      </c>
      <c r="D209" s="7" t="str">
        <f aca="false">IFERROR(INDEX('Output Utente'!$C$2:$C$492,MATCH(206,'Output Utente'!$Q$2:$Q$492,0)),"")</f>
        <v>Ahanor</v>
      </c>
      <c r="E209" s="7" t="str">
        <f aca="false">IFERROR(INDEX('Input Giocatori 2026_27'!$D$3:$D$493,MATCH($B209,'Input Giocatori 2026_27'!$A$3:$A$493,0)),"")</f>
        <v>Atalanta</v>
      </c>
      <c r="F209" s="50" t="n">
        <f aca="false">IFERROR(INDEX('Output Utente'!$N$2:$N$492,MATCH(206,'Output Utente'!$Q$2:$Q$492,0)),"")</f>
        <v>6</v>
      </c>
      <c r="G209" s="50" t="n">
        <f aca="false">IFERROR(INDEX('Output Utente'!$O$2:$O$492,MATCH(206,'Output Utente'!$Q$2:$Q$492,0)),"")</f>
        <v>16</v>
      </c>
      <c r="H209" s="7" t="str">
        <f aca="false">IFERROR(INDEX('Output Utente'!$P$2:$P$492,MATCH(206,'Output Utente'!$Q$2:$Q$492,0)),"")</f>
        <v>Buono</v>
      </c>
      <c r="I209" s="50" t="n">
        <f aca="false">IFERROR(INDEX('Output Utente'!$F$2:$F$492,MATCH(206,'Output Utente'!$Q$2:$Q$492,0)),"")</f>
        <v>7</v>
      </c>
      <c r="J209" s="50" t="n">
        <f aca="false">IFERROR(INDEX('Output Utente'!$G$2:$G$492,MATCH(206,'Output Utente'!$Q$2:$Q$492,0)),"")</f>
        <v>6</v>
      </c>
      <c r="K209" s="50" t="n">
        <f aca="false">IFERROR(INDEX('Output Utente'!$H$2:$H$492,MATCH(206,'Output Utente'!$Q$2:$Q$492,0)),"")</f>
        <v>8</v>
      </c>
      <c r="L209" s="7" t="str">
        <f aca="false">IFERROR(INDEX('Output Utente'!$E$2:$E$492,MATCH(206,'Output Utente'!$Q$2:$Q$492,0)),"")</f>
        <v>NO</v>
      </c>
      <c r="M209" s="7" t="str">
        <f aca="false">IFERROR(INDEX('Output Utente'!$U$2:$U$492,MATCH(206,'Output Utente'!$Q$2:$Q$492,0)),"")</f>
        <v>OK</v>
      </c>
      <c r="N209" s="7" t="str">
        <f aca="false">IFERROR(INDEX('Output Utente'!$AE$2:$AE$492,MATCH(206,'Output Utente'!$Q$2:$Q$492,0)),"")</f>
        <v>🟡 Attesa rischiosa</v>
      </c>
    </row>
    <row r="210" customFormat="false" ht="15" hidden="false" customHeight="true" outlineLevel="0" collapsed="false">
      <c r="A210" s="49" t="n">
        <v>207</v>
      </c>
      <c r="B210" s="7" t="n">
        <f aca="false">IFERROR(INDEX('Output Utente'!$A$2:$A$492,MATCH(207,'Output Utente'!$Q$2:$Q$492,0)),"")</f>
        <v>6202</v>
      </c>
      <c r="C210" s="7" t="str">
        <f aca="false">IFERROR(INDEX('Output Utente'!$B$2:$B$492,MATCH(207,'Output Utente'!$Q$2:$Q$492,0)),"")</f>
        <v>D</v>
      </c>
      <c r="D210" s="7" t="str">
        <f aca="false">IFERROR(INDEX('Output Utente'!$C$2:$C$492,MATCH(207,'Output Utente'!$Q$2:$Q$492,0)),"")</f>
        <v>Beukema</v>
      </c>
      <c r="E210" s="7" t="str">
        <f aca="false">IFERROR(INDEX('Input Giocatori 2026_27'!$D$3:$D$493,MATCH($B210,'Input Giocatori 2026_27'!$A$3:$A$493,0)),"")</f>
        <v>Napoli</v>
      </c>
      <c r="F210" s="50" t="n">
        <f aca="false">IFERROR(INDEX('Output Utente'!$N$2:$N$492,MATCH(207,'Output Utente'!$Q$2:$Q$492,0)),"")</f>
        <v>6</v>
      </c>
      <c r="G210" s="50" t="n">
        <f aca="false">IFERROR(INDEX('Output Utente'!$O$2:$O$492,MATCH(207,'Output Utente'!$Q$2:$Q$492,0)),"")</f>
        <v>16</v>
      </c>
      <c r="H210" s="7" t="str">
        <f aca="false">IFERROR(INDEX('Output Utente'!$P$2:$P$492,MATCH(207,'Output Utente'!$Q$2:$Q$492,0)),"")</f>
        <v>Buono</v>
      </c>
      <c r="I210" s="50" t="n">
        <f aca="false">IFERROR(INDEX('Output Utente'!$F$2:$F$492,MATCH(207,'Output Utente'!$Q$2:$Q$492,0)),"")</f>
        <v>8</v>
      </c>
      <c r="J210" s="50" t="n">
        <f aca="false">IFERROR(INDEX('Output Utente'!$G$2:$G$492,MATCH(207,'Output Utente'!$Q$2:$Q$492,0)),"")</f>
        <v>6</v>
      </c>
      <c r="K210" s="50" t="n">
        <f aca="false">IFERROR(INDEX('Output Utente'!$H$2:$H$492,MATCH(207,'Output Utente'!$Q$2:$Q$492,0)),"")</f>
        <v>9</v>
      </c>
      <c r="L210" s="7" t="str">
        <f aca="false">IFERROR(INDEX('Output Utente'!$E$2:$E$492,MATCH(207,'Output Utente'!$Q$2:$Q$492,0)),"")</f>
        <v>NO</v>
      </c>
      <c r="M210" s="7" t="str">
        <f aca="false">IFERROR(INDEX('Output Utente'!$U$2:$U$492,MATCH(207,'Output Utente'!$Q$2:$Q$492,0)),"")</f>
        <v>OK</v>
      </c>
      <c r="N210" s="7" t="str">
        <f aca="false">IFERROR(INDEX('Output Utente'!$AE$2:$AE$492,MATCH(207,'Output Utente'!$Q$2:$Q$492,0)),"")</f>
        <v>🟡 Attesa rischiosa</v>
      </c>
    </row>
    <row r="211" customFormat="false" ht="15" hidden="false" customHeight="true" outlineLevel="0" collapsed="false">
      <c r="A211" s="49" t="n">
        <v>208</v>
      </c>
      <c r="B211" s="7" t="n">
        <f aca="false">IFERROR(INDEX('Output Utente'!$A$2:$A$492,MATCH(208,'Output Utente'!$Q$2:$Q$492,0)),"")</f>
        <v>6986</v>
      </c>
      <c r="C211" s="7" t="str">
        <f aca="false">IFERROR(INDEX('Output Utente'!$B$2:$B$492,MATCH(208,'Output Utente'!$Q$2:$Q$492,0)),"")</f>
        <v>D</v>
      </c>
      <c r="D211" s="7" t="str">
        <f aca="false">IFERROR(INDEX('Output Utente'!$C$2:$C$492,MATCH(208,'Output Utente'!$Q$2:$Q$492,0)),"")</f>
        <v>Rensch</v>
      </c>
      <c r="E211" s="7" t="str">
        <f aca="false">IFERROR(INDEX('Input Giocatori 2026_27'!$D$3:$D$493,MATCH($B211,'Input Giocatori 2026_27'!$A$3:$A$493,0)),"")</f>
        <v>Roma</v>
      </c>
      <c r="F211" s="50" t="n">
        <f aca="false">IFERROR(INDEX('Output Utente'!$N$2:$N$492,MATCH(208,'Output Utente'!$Q$2:$Q$492,0)),"")</f>
        <v>5</v>
      </c>
      <c r="G211" s="50" t="n">
        <f aca="false">IFERROR(INDEX('Output Utente'!$O$2:$O$492,MATCH(208,'Output Utente'!$Q$2:$Q$492,0)),"")</f>
        <v>16</v>
      </c>
      <c r="H211" s="7" t="str">
        <f aca="false">IFERROR(INDEX('Output Utente'!$P$2:$P$492,MATCH(208,'Output Utente'!$Q$2:$Q$492,0)),"")</f>
        <v>Buono</v>
      </c>
      <c r="I211" s="50" t="n">
        <f aca="false">IFERROR(INDEX('Output Utente'!$F$2:$F$492,MATCH(208,'Output Utente'!$Q$2:$Q$492,0)),"")</f>
        <v>8</v>
      </c>
      <c r="J211" s="50" t="n">
        <f aca="false">IFERROR(INDEX('Output Utente'!$G$2:$G$492,MATCH(208,'Output Utente'!$Q$2:$Q$492,0)),"")</f>
        <v>6</v>
      </c>
      <c r="K211" s="50" t="n">
        <f aca="false">IFERROR(INDEX('Output Utente'!$H$2:$H$492,MATCH(208,'Output Utente'!$Q$2:$Q$492,0)),"")</f>
        <v>9</v>
      </c>
      <c r="L211" s="7" t="str">
        <f aca="false">IFERROR(INDEX('Output Utente'!$E$2:$E$492,MATCH(208,'Output Utente'!$Q$2:$Q$492,0)),"")</f>
        <v>NO</v>
      </c>
      <c r="M211" s="7" t="str">
        <f aca="false">IFERROR(INDEX('Output Utente'!$U$2:$U$492,MATCH(208,'Output Utente'!$Q$2:$Q$492,0)),"")</f>
        <v>OK</v>
      </c>
      <c r="N211" s="7" t="str">
        <f aca="false">IFERROR(INDEX('Output Utente'!$AE$2:$AE$492,MATCH(208,'Output Utente'!$Q$2:$Q$492,0)),"")</f>
        <v>🟡 Attesa rischiosa</v>
      </c>
    </row>
    <row r="212" customFormat="false" ht="15" hidden="false" customHeight="true" outlineLevel="0" collapsed="false">
      <c r="A212" s="49" t="n">
        <v>209</v>
      </c>
      <c r="B212" s="7" t="n">
        <f aca="false">IFERROR(INDEX('Output Utente'!$A$2:$A$492,MATCH(209,'Output Utente'!$Q$2:$Q$492,0)),"")</f>
        <v>4459</v>
      </c>
      <c r="C212" s="7" t="str">
        <f aca="false">IFERROR(INDEX('Output Utente'!$B$2:$B$492,MATCH(209,'Output Utente'!$Q$2:$Q$492,0)),"")</f>
        <v>C</v>
      </c>
      <c r="D212" s="7" t="str">
        <f aca="false">IFERROR(INDEX('Output Utente'!$C$2:$C$492,MATCH(209,'Output Utente'!$Q$2:$Q$492,0)),"")</f>
        <v>Rovella</v>
      </c>
      <c r="E212" s="7" t="str">
        <f aca="false">IFERROR(INDEX('Input Giocatori 2026_27'!$D$3:$D$493,MATCH($B212,'Input Giocatori 2026_27'!$A$3:$A$493,0)),"")</f>
        <v>Lazio</v>
      </c>
      <c r="F212" s="50" t="n">
        <f aca="false">IFERROR(INDEX('Output Utente'!$N$2:$N$492,MATCH(209,'Output Utente'!$Q$2:$Q$492,0)),"")</f>
        <v>6</v>
      </c>
      <c r="G212" s="50" t="n">
        <f aca="false">IFERROR(INDEX('Output Utente'!$O$2:$O$492,MATCH(209,'Output Utente'!$Q$2:$Q$492,0)),"")</f>
        <v>16</v>
      </c>
      <c r="H212" s="7" t="str">
        <f aca="false">IFERROR(INDEX('Output Utente'!$P$2:$P$492,MATCH(209,'Output Utente'!$Q$2:$Q$492,0)),"")</f>
        <v>Nella Media</v>
      </c>
      <c r="I212" s="50" t="n">
        <f aca="false">IFERROR(INDEX('Output Utente'!$F$2:$F$492,MATCH(209,'Output Utente'!$Q$2:$Q$492,0)),"")</f>
        <v>9</v>
      </c>
      <c r="J212" s="50" t="n">
        <f aca="false">IFERROR(INDEX('Output Utente'!$G$2:$G$492,MATCH(209,'Output Utente'!$Q$2:$Q$492,0)),"")</f>
        <v>6</v>
      </c>
      <c r="K212" s="50" t="n">
        <f aca="false">IFERROR(INDEX('Output Utente'!$H$2:$H$492,MATCH(209,'Output Utente'!$Q$2:$Q$492,0)),"")</f>
        <v>10</v>
      </c>
      <c r="L212" s="7" t="str">
        <f aca="false">IFERROR(INDEX('Output Utente'!$E$2:$E$492,MATCH(209,'Output Utente'!$Q$2:$Q$492,0)),"")</f>
        <v>NO</v>
      </c>
      <c r="M212" s="7" t="str">
        <f aca="false">IFERROR(INDEX('Output Utente'!$U$2:$U$492,MATCH(209,'Output Utente'!$Q$2:$Q$492,0)),"")</f>
        <v>OK</v>
      </c>
      <c r="N212" s="7" t="str">
        <f aca="false">IFERROR(INDEX('Output Utente'!$AE$2:$AE$492,MATCH(209,'Output Utente'!$Q$2:$Q$492,0)),"")</f>
        <v>🟡 Attesa rischiosa</v>
      </c>
    </row>
    <row r="213" customFormat="false" ht="15" hidden="false" customHeight="true" outlineLevel="0" collapsed="false">
      <c r="A213" s="49" t="n">
        <v>210</v>
      </c>
      <c r="B213" s="7" t="n">
        <f aca="false">IFERROR(INDEX('Output Utente'!$A$2:$A$492,MATCH(210,'Output Utente'!$Q$2:$Q$492,0)),"")</f>
        <v>6593</v>
      </c>
      <c r="C213" s="7" t="str">
        <f aca="false">IFERROR(INDEX('Output Utente'!$B$2:$B$492,MATCH(210,'Output Utente'!$Q$2:$Q$492,0)),"")</f>
        <v>C</v>
      </c>
      <c r="D213" s="7" t="str">
        <f aca="false">IFERROR(INDEX('Output Utente'!$C$2:$C$492,MATCH(210,'Output Utente'!$Q$2:$Q$492,0)),"")</f>
        <v>Akinsanmiro</v>
      </c>
      <c r="E213" s="7" t="str">
        <f aca="false">IFERROR(INDEX('Input Giocatori 2026_27'!$D$3:$D$493,MATCH($B213,'Input Giocatori 2026_27'!$A$3:$A$493,0)),"")</f>
        <v>Monza</v>
      </c>
      <c r="F213" s="50" t="n">
        <f aca="false">IFERROR(INDEX('Output Utente'!$N$2:$N$492,MATCH(210,'Output Utente'!$Q$2:$Q$492,0)),"")</f>
        <v>6</v>
      </c>
      <c r="G213" s="50" t="n">
        <f aca="false">IFERROR(INDEX('Output Utente'!$O$2:$O$492,MATCH(210,'Output Utente'!$Q$2:$Q$492,0)),"")</f>
        <v>16</v>
      </c>
      <c r="H213" s="7" t="str">
        <f aca="false">IFERROR(INDEX('Output Utente'!$P$2:$P$492,MATCH(210,'Output Utente'!$Q$2:$Q$492,0)),"")</f>
        <v>Nella Media</v>
      </c>
      <c r="I213" s="50" t="n">
        <f aca="false">IFERROR(INDEX('Output Utente'!$F$2:$F$492,MATCH(210,'Output Utente'!$Q$2:$Q$492,0)),"")</f>
        <v>9</v>
      </c>
      <c r="J213" s="50" t="n">
        <f aca="false">IFERROR(INDEX('Output Utente'!$G$2:$G$492,MATCH(210,'Output Utente'!$Q$2:$Q$492,0)),"")</f>
        <v>6</v>
      </c>
      <c r="K213" s="50" t="n">
        <f aca="false">IFERROR(INDEX('Output Utente'!$H$2:$H$492,MATCH(210,'Output Utente'!$Q$2:$Q$492,0)),"")</f>
        <v>10</v>
      </c>
      <c r="L213" s="7" t="str">
        <f aca="false">IFERROR(INDEX('Output Utente'!$E$2:$E$492,MATCH(210,'Output Utente'!$Q$2:$Q$492,0)),"")</f>
        <v>NO</v>
      </c>
      <c r="M213" s="7" t="str">
        <f aca="false">IFERROR(INDEX('Output Utente'!$U$2:$U$492,MATCH(210,'Output Utente'!$Q$2:$Q$492,0)),"")</f>
        <v>OK</v>
      </c>
      <c r="N213" s="7" t="str">
        <f aca="false">IFERROR(INDEX('Output Utente'!$AE$2:$AE$492,MATCH(210,'Output Utente'!$Q$2:$Q$492,0)),"")</f>
        <v>🟡 Attesa rischiosa</v>
      </c>
    </row>
    <row r="214" customFormat="false" ht="15" hidden="false" customHeight="true" outlineLevel="0" collapsed="false">
      <c r="A214" s="49" t="n">
        <v>211</v>
      </c>
      <c r="B214" s="7" t="n">
        <f aca="false">IFERROR(INDEX('Output Utente'!$A$2:$A$492,MATCH(211,'Output Utente'!$Q$2:$Q$492,0)),"")</f>
        <v>6015</v>
      </c>
      <c r="C214" s="7" t="str">
        <f aca="false">IFERROR(INDEX('Output Utente'!$B$2:$B$492,MATCH(211,'Output Utente'!$Q$2:$Q$492,0)),"")</f>
        <v>C</v>
      </c>
      <c r="D214" s="7" t="str">
        <f aca="false">IFERROR(INDEX('Output Utente'!$C$2:$C$492,MATCH(211,'Output Utente'!$Q$2:$Q$492,0)),"")</f>
        <v>Berisha M.</v>
      </c>
      <c r="E214" s="7" t="str">
        <f aca="false">IFERROR(INDEX('Input Giocatori 2026_27'!$D$3:$D$493,MATCH($B214,'Input Giocatori 2026_27'!$A$3:$A$493,0)),"")</f>
        <v>Lecce</v>
      </c>
      <c r="F214" s="50" t="n">
        <f aca="false">IFERROR(INDEX('Output Utente'!$N$2:$N$492,MATCH(211,'Output Utente'!$Q$2:$Q$492,0)),"")</f>
        <v>5</v>
      </c>
      <c r="G214" s="50" t="n">
        <f aca="false">IFERROR(INDEX('Output Utente'!$O$2:$O$492,MATCH(211,'Output Utente'!$Q$2:$Q$492,0)),"")</f>
        <v>16</v>
      </c>
      <c r="H214" s="7" t="str">
        <f aca="false">IFERROR(INDEX('Output Utente'!$P$2:$P$492,MATCH(211,'Output Utente'!$Q$2:$Q$492,0)),"")</f>
        <v>Nella Media</v>
      </c>
      <c r="I214" s="50" t="n">
        <f aca="false">IFERROR(INDEX('Output Utente'!$F$2:$F$492,MATCH(211,'Output Utente'!$Q$2:$Q$492,0)),"")</f>
        <v>9</v>
      </c>
      <c r="J214" s="50" t="n">
        <f aca="false">IFERROR(INDEX('Output Utente'!$G$2:$G$492,MATCH(211,'Output Utente'!$Q$2:$Q$492,0)),"")</f>
        <v>6</v>
      </c>
      <c r="K214" s="50" t="n">
        <f aca="false">IFERROR(INDEX('Output Utente'!$H$2:$H$492,MATCH(211,'Output Utente'!$Q$2:$Q$492,0)),"")</f>
        <v>10</v>
      </c>
      <c r="L214" s="7" t="str">
        <f aca="false">IFERROR(INDEX('Output Utente'!$E$2:$E$492,MATCH(211,'Output Utente'!$Q$2:$Q$492,0)),"")</f>
        <v>NO</v>
      </c>
      <c r="M214" s="7" t="str">
        <f aca="false">IFERROR(INDEX('Output Utente'!$U$2:$U$492,MATCH(211,'Output Utente'!$Q$2:$Q$492,0)),"")</f>
        <v>OK</v>
      </c>
      <c r="N214" s="7" t="str">
        <f aca="false">IFERROR(INDEX('Output Utente'!$AE$2:$AE$492,MATCH(211,'Output Utente'!$Q$2:$Q$492,0)),"")</f>
        <v>🟡 Attesa rischiosa</v>
      </c>
    </row>
    <row r="215" customFormat="false" ht="15" hidden="false" customHeight="true" outlineLevel="0" collapsed="false">
      <c r="A215" s="49" t="n">
        <v>212</v>
      </c>
      <c r="B215" s="7" t="n">
        <f aca="false">IFERROR(INDEX('Output Utente'!$A$2:$A$492,MATCH(212,'Output Utente'!$Q$2:$Q$492,0)),"")</f>
        <v>7036</v>
      </c>
      <c r="C215" s="7" t="str">
        <f aca="false">IFERROR(INDEX('Output Utente'!$B$2:$B$492,MATCH(212,'Output Utente'!$Q$2:$Q$492,0)),"")</f>
        <v>C</v>
      </c>
      <c r="D215" s="7" t="str">
        <f aca="false">IFERROR(INDEX('Output Utente'!$C$2:$C$492,MATCH(212,'Output Utente'!$Q$2:$Q$492,0)),"")</f>
        <v>Bakola</v>
      </c>
      <c r="E215" s="7" t="str">
        <f aca="false">IFERROR(INDEX('Input Giocatori 2026_27'!$D$3:$D$493,MATCH($B215,'Input Giocatori 2026_27'!$A$3:$A$493,0)),"")</f>
        <v>Sassuolo</v>
      </c>
      <c r="F215" s="50" t="n">
        <f aca="false">IFERROR(INDEX('Output Utente'!$N$2:$N$492,MATCH(212,'Output Utente'!$Q$2:$Q$492,0)),"")</f>
        <v>5</v>
      </c>
      <c r="G215" s="50" t="n">
        <f aca="false">IFERROR(INDEX('Output Utente'!$O$2:$O$492,MATCH(212,'Output Utente'!$Q$2:$Q$492,0)),"")</f>
        <v>16</v>
      </c>
      <c r="H215" s="7" t="str">
        <f aca="false">IFERROR(INDEX('Output Utente'!$P$2:$P$492,MATCH(212,'Output Utente'!$Q$2:$Q$492,0)),"")</f>
        <v>Nella Media</v>
      </c>
      <c r="I215" s="50" t="n">
        <f aca="false">IFERROR(INDEX('Output Utente'!$F$2:$F$492,MATCH(212,'Output Utente'!$Q$2:$Q$492,0)),"")</f>
        <v>9</v>
      </c>
      <c r="J215" s="50" t="n">
        <f aca="false">IFERROR(INDEX('Output Utente'!$G$2:$G$492,MATCH(212,'Output Utente'!$Q$2:$Q$492,0)),"")</f>
        <v>6</v>
      </c>
      <c r="K215" s="50" t="n">
        <f aca="false">IFERROR(INDEX('Output Utente'!$H$2:$H$492,MATCH(212,'Output Utente'!$Q$2:$Q$492,0)),"")</f>
        <v>10</v>
      </c>
      <c r="L215" s="7" t="str">
        <f aca="false">IFERROR(INDEX('Output Utente'!$E$2:$E$492,MATCH(212,'Output Utente'!$Q$2:$Q$492,0)),"")</f>
        <v>NO</v>
      </c>
      <c r="M215" s="7" t="str">
        <f aca="false">IFERROR(INDEX('Output Utente'!$U$2:$U$492,MATCH(212,'Output Utente'!$Q$2:$Q$492,0)),"")</f>
        <v>OK</v>
      </c>
      <c r="N215" s="7" t="str">
        <f aca="false">IFERROR(INDEX('Output Utente'!$AE$2:$AE$492,MATCH(212,'Output Utente'!$Q$2:$Q$492,0)),"")</f>
        <v>🟡 Attesa rischiosa</v>
      </c>
    </row>
    <row r="216" customFormat="false" ht="15" hidden="false" customHeight="true" outlineLevel="0" collapsed="false">
      <c r="A216" s="49" t="n">
        <v>213</v>
      </c>
      <c r="B216" s="7" t="n">
        <f aca="false">IFERROR(INDEX('Output Utente'!$A$2:$A$492,MATCH(213,'Output Utente'!$Q$2:$Q$492,0)),"")</f>
        <v>5918</v>
      </c>
      <c r="C216" s="7" t="str">
        <f aca="false">IFERROR(INDEX('Output Utente'!$B$2:$B$492,MATCH(213,'Output Utente'!$Q$2:$Q$492,0)),"")</f>
        <v>A</v>
      </c>
      <c r="D216" s="7" t="str">
        <f aca="false">IFERROR(INDEX('Output Utente'!$C$2:$C$492,MATCH(213,'Output Utente'!$Q$2:$Q$492,0)),"")</f>
        <v>Sulemana K.</v>
      </c>
      <c r="E216" s="7" t="str">
        <f aca="false">IFERROR(INDEX('Input Giocatori 2026_27'!$D$3:$D$493,MATCH($B216,'Input Giocatori 2026_27'!$A$3:$A$493,0)),"")</f>
        <v>Atalanta</v>
      </c>
      <c r="F216" s="50" t="n">
        <f aca="false">IFERROR(INDEX('Output Utente'!$N$2:$N$492,MATCH(213,'Output Utente'!$Q$2:$Q$492,0)),"")</f>
        <v>6</v>
      </c>
      <c r="G216" s="50" t="n">
        <f aca="false">IFERROR(INDEX('Output Utente'!$O$2:$O$492,MATCH(213,'Output Utente'!$Q$2:$Q$492,0)),"")</f>
        <v>16</v>
      </c>
      <c r="H216" s="7" t="str">
        <f aca="false">IFERROR(INDEX('Output Utente'!$P$2:$P$492,MATCH(213,'Output Utente'!$Q$2:$Q$492,0)),"")</f>
        <v>Nella Media</v>
      </c>
      <c r="I216" s="50" t="n">
        <f aca="false">IFERROR(INDEX('Output Utente'!$F$2:$F$492,MATCH(213,'Output Utente'!$Q$2:$Q$492,0)),"")</f>
        <v>14</v>
      </c>
      <c r="J216" s="50" t="n">
        <f aca="false">IFERROR(INDEX('Output Utente'!$G$2:$G$492,MATCH(213,'Output Utente'!$Q$2:$Q$492,0)),"")</f>
        <v>9</v>
      </c>
      <c r="K216" s="50" t="n">
        <f aca="false">IFERROR(INDEX('Output Utente'!$H$2:$H$492,MATCH(213,'Output Utente'!$Q$2:$Q$492,0)),"")</f>
        <v>16</v>
      </c>
      <c r="L216" s="7" t="str">
        <f aca="false">IFERROR(INDEX('Output Utente'!$E$2:$E$492,MATCH(213,'Output Utente'!$Q$2:$Q$492,0)),"")</f>
        <v>NO</v>
      </c>
      <c r="M216" s="7" t="str">
        <f aca="false">IFERROR(INDEX('Output Utente'!$U$2:$U$492,MATCH(213,'Output Utente'!$Q$2:$Q$492,0)),"")</f>
        <v>OK</v>
      </c>
      <c r="N216" s="7" t="str">
        <f aca="false">IFERROR(INDEX('Output Utente'!$AE$2:$AE$492,MATCH(213,'Output Utente'!$Q$2:$Q$492,0)),"")</f>
        <v>🔴 Non aspettare</v>
      </c>
    </row>
    <row r="217" customFormat="false" ht="15" hidden="false" customHeight="true" outlineLevel="0" collapsed="false">
      <c r="A217" s="49" t="n">
        <v>214</v>
      </c>
      <c r="B217" s="7" t="n">
        <f aca="false">IFERROR(INDEX('Output Utente'!$A$2:$A$492,MATCH(214,'Output Utente'!$Q$2:$Q$492,0)),"")</f>
        <v>4236</v>
      </c>
      <c r="C217" s="7" t="str">
        <f aca="false">IFERROR(INDEX('Output Utente'!$B$2:$B$492,MATCH(214,'Output Utente'!$Q$2:$Q$492,0)),"")</f>
        <v>P</v>
      </c>
      <c r="D217" s="7" t="str">
        <f aca="false">IFERROR(INDEX('Output Utente'!$C$2:$C$492,MATCH(214,'Output Utente'!$Q$2:$Q$492,0)),"")</f>
        <v>Muric</v>
      </c>
      <c r="E217" s="7" t="str">
        <f aca="false">IFERROR(INDEX('Input Giocatori 2026_27'!$D$3:$D$493,MATCH($B217,'Input Giocatori 2026_27'!$A$3:$A$493,0)),"")</f>
        <v>Sassuolo</v>
      </c>
      <c r="F217" s="50" t="n">
        <f aca="false">IFERROR(INDEX('Output Utente'!$N$2:$N$492,MATCH(214,'Output Utente'!$Q$2:$Q$492,0)),"")</f>
        <v>7</v>
      </c>
      <c r="G217" s="50" t="n">
        <f aca="false">IFERROR(INDEX('Output Utente'!$O$2:$O$492,MATCH(214,'Output Utente'!$Q$2:$Q$492,0)),"")</f>
        <v>15</v>
      </c>
      <c r="H217" s="7" t="str">
        <f aca="false">IFERROR(INDEX('Output Utente'!$P$2:$P$492,MATCH(214,'Output Utente'!$Q$2:$Q$492,0)),"")</f>
        <v>Buono</v>
      </c>
      <c r="I217" s="50" t="n">
        <f aca="false">IFERROR(INDEX('Output Utente'!$F$2:$F$492,MATCH(214,'Output Utente'!$Q$2:$Q$492,0)),"")</f>
        <v>17</v>
      </c>
      <c r="J217" s="50" t="n">
        <f aca="false">IFERROR(INDEX('Output Utente'!$G$2:$G$492,MATCH(214,'Output Utente'!$Q$2:$Q$492,0)),"")</f>
        <v>14</v>
      </c>
      <c r="K217" s="50" t="n">
        <f aca="false">IFERROR(INDEX('Output Utente'!$H$2:$H$492,MATCH(214,'Output Utente'!$Q$2:$Q$492,0)),"")</f>
        <v>18</v>
      </c>
      <c r="L217" s="7" t="str">
        <f aca="false">IFERROR(INDEX('Output Utente'!$E$2:$E$492,MATCH(214,'Output Utente'!$Q$2:$Q$492,0)),"")</f>
        <v>NO</v>
      </c>
      <c r="M217" s="7" t="str">
        <f aca="false">IFERROR(INDEX('Output Utente'!$U$2:$U$492,MATCH(214,'Output Utente'!$Q$2:$Q$492,0)),"")</f>
        <v>OK</v>
      </c>
      <c r="N217" s="7" t="str">
        <f aca="false">IFERROR(INDEX('Output Utente'!$AE$2:$AE$492,MATCH(214,'Output Utente'!$Q$2:$Q$492,0)),"")</f>
        <v>🟡 Attesa rischiosa</v>
      </c>
    </row>
    <row r="218" customFormat="false" ht="15" hidden="false" customHeight="true" outlineLevel="0" collapsed="false">
      <c r="A218" s="49" t="n">
        <v>215</v>
      </c>
      <c r="B218" s="7" t="n">
        <f aca="false">IFERROR(INDEX('Output Utente'!$A$2:$A$492,MATCH(215,'Output Utente'!$Q$2:$Q$492,0)),"")</f>
        <v>6485</v>
      </c>
      <c r="C218" s="7" t="str">
        <f aca="false">IFERROR(INDEX('Output Utente'!$B$2:$B$492,MATCH(215,'Output Utente'!$Q$2:$Q$492,0)),"")</f>
        <v>D</v>
      </c>
      <c r="D218" s="7" t="str">
        <f aca="false">IFERROR(INDEX('Output Utente'!$C$2:$C$492,MATCH(215,'Output Utente'!$Q$2:$Q$492,0)),"")</f>
        <v>Kristensen T.</v>
      </c>
      <c r="E218" s="7" t="str">
        <f aca="false">IFERROR(INDEX('Input Giocatori 2026_27'!$D$3:$D$493,MATCH($B218,'Input Giocatori 2026_27'!$A$3:$A$493,0)),"")</f>
        <v>Udinese</v>
      </c>
      <c r="F218" s="50" t="n">
        <f aca="false">IFERROR(INDEX('Output Utente'!$N$2:$N$492,MATCH(215,'Output Utente'!$Q$2:$Q$492,0)),"")</f>
        <v>7</v>
      </c>
      <c r="G218" s="50" t="n">
        <f aca="false">IFERROR(INDEX('Output Utente'!$O$2:$O$492,MATCH(215,'Output Utente'!$Q$2:$Q$492,0)),"")</f>
        <v>15</v>
      </c>
      <c r="H218" s="7" t="str">
        <f aca="false">IFERROR(INDEX('Output Utente'!$P$2:$P$492,MATCH(215,'Output Utente'!$Q$2:$Q$492,0)),"")</f>
        <v>Buono</v>
      </c>
      <c r="I218" s="50" t="n">
        <f aca="false">IFERROR(INDEX('Output Utente'!$F$2:$F$492,MATCH(215,'Output Utente'!$Q$2:$Q$492,0)),"")</f>
        <v>7</v>
      </c>
      <c r="J218" s="50" t="n">
        <f aca="false">IFERROR(INDEX('Output Utente'!$G$2:$G$492,MATCH(215,'Output Utente'!$Q$2:$Q$492,0)),"")</f>
        <v>5</v>
      </c>
      <c r="K218" s="50" t="n">
        <f aca="false">IFERROR(INDEX('Output Utente'!$H$2:$H$492,MATCH(215,'Output Utente'!$Q$2:$Q$492,0)),"")</f>
        <v>8</v>
      </c>
      <c r="L218" s="7" t="str">
        <f aca="false">IFERROR(INDEX('Output Utente'!$E$2:$E$492,MATCH(215,'Output Utente'!$Q$2:$Q$492,0)),"")</f>
        <v>NO</v>
      </c>
      <c r="M218" s="7" t="str">
        <f aca="false">IFERROR(INDEX('Output Utente'!$U$2:$U$492,MATCH(215,'Output Utente'!$Q$2:$Q$492,0)),"")</f>
        <v>OK</v>
      </c>
      <c r="N218" s="7" t="str">
        <f aca="false">IFERROR(INDEX('Output Utente'!$AE$2:$AE$492,MATCH(215,'Output Utente'!$Q$2:$Q$492,0)),"")</f>
        <v>🟡 Attesa rischiosa</v>
      </c>
    </row>
    <row r="219" customFormat="false" ht="15" hidden="false" customHeight="true" outlineLevel="0" collapsed="false">
      <c r="A219" s="49" t="n">
        <v>216</v>
      </c>
      <c r="B219" s="7" t="n">
        <f aca="false">IFERROR(INDEX('Output Utente'!$A$2:$A$492,MATCH(216,'Output Utente'!$Q$2:$Q$492,0)),"")</f>
        <v>4887</v>
      </c>
      <c r="C219" s="7" t="str">
        <f aca="false">IFERROR(INDEX('Output Utente'!$B$2:$B$492,MATCH(216,'Output Utente'!$Q$2:$Q$492,0)),"")</f>
        <v>D</v>
      </c>
      <c r="D219" s="7" t="str">
        <f aca="false">IFERROR(INDEX('Output Utente'!$C$2:$C$492,MATCH(216,'Output Utente'!$Q$2:$Q$492,0)),"")</f>
        <v>Bellanova</v>
      </c>
      <c r="E219" s="7" t="str">
        <f aca="false">IFERROR(INDEX('Input Giocatori 2026_27'!$D$3:$D$493,MATCH($B219,'Input Giocatori 2026_27'!$A$3:$A$493,0)),"")</f>
        <v>Atalanta</v>
      </c>
      <c r="F219" s="50" t="n">
        <f aca="false">IFERROR(INDEX('Output Utente'!$N$2:$N$492,MATCH(216,'Output Utente'!$Q$2:$Q$492,0)),"")</f>
        <v>6</v>
      </c>
      <c r="G219" s="50" t="n">
        <f aca="false">IFERROR(INDEX('Output Utente'!$O$2:$O$492,MATCH(216,'Output Utente'!$Q$2:$Q$492,0)),"")</f>
        <v>15</v>
      </c>
      <c r="H219" s="7" t="str">
        <f aca="false">IFERROR(INDEX('Output Utente'!$P$2:$P$492,MATCH(216,'Output Utente'!$Q$2:$Q$492,0)),"")</f>
        <v>Buono</v>
      </c>
      <c r="I219" s="50" t="n">
        <f aca="false">IFERROR(INDEX('Output Utente'!$F$2:$F$492,MATCH(216,'Output Utente'!$Q$2:$Q$492,0)),"")</f>
        <v>7</v>
      </c>
      <c r="J219" s="50" t="n">
        <f aca="false">IFERROR(INDEX('Output Utente'!$G$2:$G$492,MATCH(216,'Output Utente'!$Q$2:$Q$492,0)),"")</f>
        <v>5</v>
      </c>
      <c r="K219" s="50" t="n">
        <f aca="false">IFERROR(INDEX('Output Utente'!$H$2:$H$492,MATCH(216,'Output Utente'!$Q$2:$Q$492,0)),"")</f>
        <v>8</v>
      </c>
      <c r="L219" s="7" t="str">
        <f aca="false">IFERROR(INDEX('Output Utente'!$E$2:$E$492,MATCH(216,'Output Utente'!$Q$2:$Q$492,0)),"")</f>
        <v>NO</v>
      </c>
      <c r="M219" s="7" t="str">
        <f aca="false">IFERROR(INDEX('Output Utente'!$U$2:$U$492,MATCH(216,'Output Utente'!$Q$2:$Q$492,0)),"")</f>
        <v>OK</v>
      </c>
      <c r="N219" s="7" t="str">
        <f aca="false">IFERROR(INDEX('Output Utente'!$AE$2:$AE$492,MATCH(216,'Output Utente'!$Q$2:$Q$492,0)),"")</f>
        <v>🟡 Attesa rischiosa</v>
      </c>
    </row>
    <row r="220" customFormat="false" ht="15" hidden="false" customHeight="true" outlineLevel="0" collapsed="false">
      <c r="A220" s="49" t="n">
        <v>217</v>
      </c>
      <c r="B220" s="7" t="n">
        <f aca="false">IFERROR(INDEX('Output Utente'!$A$2:$A$492,MATCH(217,'Output Utente'!$Q$2:$Q$492,0)),"")</f>
        <v>7212</v>
      </c>
      <c r="C220" s="7" t="str">
        <f aca="false">IFERROR(INDEX('Output Utente'!$B$2:$B$492,MATCH(217,'Output Utente'!$Q$2:$Q$492,0)),"")</f>
        <v>D</v>
      </c>
      <c r="D220" s="7" t="str">
        <f aca="false">IFERROR(INDEX('Output Utente'!$C$2:$C$492,MATCH(217,'Output Utente'!$Q$2:$Q$492,0)),"")</f>
        <v>Heggem</v>
      </c>
      <c r="E220" s="7" t="str">
        <f aca="false">IFERROR(INDEX('Input Giocatori 2026_27'!$D$3:$D$493,MATCH($B220,'Input Giocatori 2026_27'!$A$3:$A$493,0)),"")</f>
        <v>Bologna</v>
      </c>
      <c r="F220" s="50" t="n">
        <f aca="false">IFERROR(INDEX('Output Utente'!$N$2:$N$492,MATCH(217,'Output Utente'!$Q$2:$Q$492,0)),"")</f>
        <v>6</v>
      </c>
      <c r="G220" s="50" t="n">
        <f aca="false">IFERROR(INDEX('Output Utente'!$O$2:$O$492,MATCH(217,'Output Utente'!$Q$2:$Q$492,0)),"")</f>
        <v>15</v>
      </c>
      <c r="H220" s="7" t="str">
        <f aca="false">IFERROR(INDEX('Output Utente'!$P$2:$P$492,MATCH(217,'Output Utente'!$Q$2:$Q$492,0)),"")</f>
        <v>Buono</v>
      </c>
      <c r="I220" s="50" t="n">
        <f aca="false">IFERROR(INDEX('Output Utente'!$F$2:$F$492,MATCH(217,'Output Utente'!$Q$2:$Q$492,0)),"")</f>
        <v>7</v>
      </c>
      <c r="J220" s="50" t="n">
        <f aca="false">IFERROR(INDEX('Output Utente'!$G$2:$G$492,MATCH(217,'Output Utente'!$Q$2:$Q$492,0)),"")</f>
        <v>5</v>
      </c>
      <c r="K220" s="50" t="n">
        <f aca="false">IFERROR(INDEX('Output Utente'!$H$2:$H$492,MATCH(217,'Output Utente'!$Q$2:$Q$492,0)),"")</f>
        <v>8</v>
      </c>
      <c r="L220" s="7" t="str">
        <f aca="false">IFERROR(INDEX('Output Utente'!$E$2:$E$492,MATCH(217,'Output Utente'!$Q$2:$Q$492,0)),"")</f>
        <v>NO</v>
      </c>
      <c r="M220" s="7" t="str">
        <f aca="false">IFERROR(INDEX('Output Utente'!$U$2:$U$492,MATCH(217,'Output Utente'!$Q$2:$Q$492,0)),"")</f>
        <v>OK</v>
      </c>
      <c r="N220" s="7" t="str">
        <f aca="false">IFERROR(INDEX('Output Utente'!$AE$2:$AE$492,MATCH(217,'Output Utente'!$Q$2:$Q$492,0)),"")</f>
        <v>🟡 Attesa rischiosa</v>
      </c>
    </row>
    <row r="221" customFormat="false" ht="15" hidden="false" customHeight="true" outlineLevel="0" collapsed="false">
      <c r="A221" s="49" t="n">
        <v>218</v>
      </c>
      <c r="B221" s="7" t="n">
        <f aca="false">IFERROR(INDEX('Output Utente'!$A$2:$A$492,MATCH(218,'Output Utente'!$Q$2:$Q$492,0)),"")</f>
        <v>7485</v>
      </c>
      <c r="C221" s="7" t="str">
        <f aca="false">IFERROR(INDEX('Output Utente'!$B$2:$B$492,MATCH(218,'Output Utente'!$Q$2:$Q$492,0)),"")</f>
        <v>D</v>
      </c>
      <c r="D221" s="7" t="str">
        <f aca="false">IFERROR(INDEX('Output Utente'!$C$2:$C$492,MATCH(218,'Output Utente'!$Q$2:$Q$492,0)),"")</f>
        <v>Mangas</v>
      </c>
      <c r="E221" s="7" t="str">
        <f aca="false">IFERROR(INDEX('Input Giocatori 2026_27'!$D$3:$D$493,MATCH($B221,'Input Giocatori 2026_27'!$A$3:$A$493,0)),"")</f>
        <v>Monza</v>
      </c>
      <c r="F221" s="50" t="n">
        <f aca="false">IFERROR(INDEX('Output Utente'!$N$2:$N$492,MATCH(218,'Output Utente'!$Q$2:$Q$492,0)),"")</f>
        <v>6</v>
      </c>
      <c r="G221" s="50" t="n">
        <f aca="false">IFERROR(INDEX('Output Utente'!$O$2:$O$492,MATCH(218,'Output Utente'!$Q$2:$Q$492,0)),"")</f>
        <v>15</v>
      </c>
      <c r="H221" s="7" t="str">
        <f aca="false">IFERROR(INDEX('Output Utente'!$P$2:$P$492,MATCH(218,'Output Utente'!$Q$2:$Q$492,0)),"")</f>
        <v>Buono</v>
      </c>
      <c r="I221" s="50" t="n">
        <f aca="false">IFERROR(INDEX('Output Utente'!$F$2:$F$492,MATCH(218,'Output Utente'!$Q$2:$Q$492,0)),"")</f>
        <v>7</v>
      </c>
      <c r="J221" s="50" t="n">
        <f aca="false">IFERROR(INDEX('Output Utente'!$G$2:$G$492,MATCH(218,'Output Utente'!$Q$2:$Q$492,0)),"")</f>
        <v>5</v>
      </c>
      <c r="K221" s="50" t="n">
        <f aca="false">IFERROR(INDEX('Output Utente'!$H$2:$H$492,MATCH(218,'Output Utente'!$Q$2:$Q$492,0)),"")</f>
        <v>8</v>
      </c>
      <c r="L221" s="7" t="str">
        <f aca="false">IFERROR(INDEX('Output Utente'!$E$2:$E$492,MATCH(218,'Output Utente'!$Q$2:$Q$492,0)),"")</f>
        <v>NO</v>
      </c>
      <c r="M221" s="7" t="str">
        <f aca="false">IFERROR(INDEX('Output Utente'!$U$2:$U$492,MATCH(218,'Output Utente'!$Q$2:$Q$492,0)),"")</f>
        <v>OK</v>
      </c>
      <c r="N221" s="7" t="str">
        <f aca="false">IFERROR(INDEX('Output Utente'!$AE$2:$AE$492,MATCH(218,'Output Utente'!$Q$2:$Q$492,0)),"")</f>
        <v>🟡 Attesa rischiosa</v>
      </c>
    </row>
    <row r="222" customFormat="false" ht="15" hidden="false" customHeight="true" outlineLevel="0" collapsed="false">
      <c r="A222" s="49" t="n">
        <v>219</v>
      </c>
      <c r="B222" s="7" t="n">
        <f aca="false">IFERROR(INDEX('Output Utente'!$A$2:$A$492,MATCH(219,'Output Utente'!$Q$2:$Q$492,0)),"")</f>
        <v>2593</v>
      </c>
      <c r="C222" s="7" t="str">
        <f aca="false">IFERROR(INDEX('Output Utente'!$B$2:$B$492,MATCH(219,'Output Utente'!$Q$2:$Q$492,0)),"")</f>
        <v>D</v>
      </c>
      <c r="D222" s="7" t="str">
        <f aca="false">IFERROR(INDEX('Output Utente'!$C$2:$C$492,MATCH(219,'Output Utente'!$Q$2:$Q$492,0)),"")</f>
        <v>Martin</v>
      </c>
      <c r="E222" s="7" t="str">
        <f aca="false">IFERROR(INDEX('Input Giocatori 2026_27'!$D$3:$D$493,MATCH($B222,'Input Giocatori 2026_27'!$A$3:$A$493,0)),"")</f>
        <v>Genoa</v>
      </c>
      <c r="F222" s="50" t="n">
        <f aca="false">IFERROR(INDEX('Output Utente'!$N$2:$N$492,MATCH(219,'Output Utente'!$Q$2:$Q$492,0)),"")</f>
        <v>5</v>
      </c>
      <c r="G222" s="50" t="n">
        <f aca="false">IFERROR(INDEX('Output Utente'!$O$2:$O$492,MATCH(219,'Output Utente'!$Q$2:$Q$492,0)),"")</f>
        <v>15</v>
      </c>
      <c r="H222" s="7" t="str">
        <f aca="false">IFERROR(INDEX('Output Utente'!$P$2:$P$492,MATCH(219,'Output Utente'!$Q$2:$Q$492,0)),"")</f>
        <v>Buono</v>
      </c>
      <c r="I222" s="50" t="n">
        <f aca="false">IFERROR(INDEX('Output Utente'!$F$2:$F$492,MATCH(219,'Output Utente'!$Q$2:$Q$492,0)),"")</f>
        <v>7</v>
      </c>
      <c r="J222" s="50" t="n">
        <f aca="false">IFERROR(INDEX('Output Utente'!$G$2:$G$492,MATCH(219,'Output Utente'!$Q$2:$Q$492,0)),"")</f>
        <v>5</v>
      </c>
      <c r="K222" s="50" t="n">
        <f aca="false">IFERROR(INDEX('Output Utente'!$H$2:$H$492,MATCH(219,'Output Utente'!$Q$2:$Q$492,0)),"")</f>
        <v>8</v>
      </c>
      <c r="L222" s="7" t="str">
        <f aca="false">IFERROR(INDEX('Output Utente'!$E$2:$E$492,MATCH(219,'Output Utente'!$Q$2:$Q$492,0)),"")</f>
        <v>NO</v>
      </c>
      <c r="M222" s="7" t="str">
        <f aca="false">IFERROR(INDEX('Output Utente'!$U$2:$U$492,MATCH(219,'Output Utente'!$Q$2:$Q$492,0)),"")</f>
        <v>OK</v>
      </c>
      <c r="N222" s="7" t="str">
        <f aca="false">IFERROR(INDEX('Output Utente'!$AE$2:$AE$492,MATCH(219,'Output Utente'!$Q$2:$Q$492,0)),"")</f>
        <v>🟡 Attesa rischiosa</v>
      </c>
    </row>
    <row r="223" customFormat="false" ht="15" hidden="false" customHeight="true" outlineLevel="0" collapsed="false">
      <c r="A223" s="49" t="n">
        <v>220</v>
      </c>
      <c r="B223" s="7" t="n">
        <f aca="false">IFERROR(INDEX('Output Utente'!$A$2:$A$492,MATCH(220,'Output Utente'!$Q$2:$Q$492,0)),"")</f>
        <v>4817</v>
      </c>
      <c r="C223" s="7" t="str">
        <f aca="false">IFERROR(INDEX('Output Utente'!$B$2:$B$492,MATCH(220,'Output Utente'!$Q$2:$Q$492,0)),"")</f>
        <v>D</v>
      </c>
      <c r="D223" s="7" t="str">
        <f aca="false">IFERROR(INDEX('Output Utente'!$C$2:$C$492,MATCH(220,'Output Utente'!$Q$2:$Q$492,0)),"")</f>
        <v>Pedraza</v>
      </c>
      <c r="E223" s="7" t="str">
        <f aca="false">IFERROR(INDEX('Input Giocatori 2026_27'!$D$3:$D$493,MATCH($B223,'Input Giocatori 2026_27'!$A$3:$A$493,0)),"")</f>
        <v>Lazio</v>
      </c>
      <c r="F223" s="50" t="n">
        <f aca="false">IFERROR(INDEX('Output Utente'!$N$2:$N$492,MATCH(220,'Output Utente'!$Q$2:$Q$492,0)),"")</f>
        <v>5</v>
      </c>
      <c r="G223" s="50" t="n">
        <f aca="false">IFERROR(INDEX('Output Utente'!$O$2:$O$492,MATCH(220,'Output Utente'!$Q$2:$Q$492,0)),"")</f>
        <v>15</v>
      </c>
      <c r="H223" s="7" t="str">
        <f aca="false">IFERROR(INDEX('Output Utente'!$P$2:$P$492,MATCH(220,'Output Utente'!$Q$2:$Q$492,0)),"")</f>
        <v>Buono</v>
      </c>
      <c r="I223" s="50" t="n">
        <f aca="false">IFERROR(INDEX('Output Utente'!$F$2:$F$492,MATCH(220,'Output Utente'!$Q$2:$Q$492,0)),"")</f>
        <v>7</v>
      </c>
      <c r="J223" s="50" t="n">
        <f aca="false">IFERROR(INDEX('Output Utente'!$G$2:$G$492,MATCH(220,'Output Utente'!$Q$2:$Q$492,0)),"")</f>
        <v>5</v>
      </c>
      <c r="K223" s="50" t="n">
        <f aca="false">IFERROR(INDEX('Output Utente'!$H$2:$H$492,MATCH(220,'Output Utente'!$Q$2:$Q$492,0)),"")</f>
        <v>8</v>
      </c>
      <c r="L223" s="7" t="str">
        <f aca="false">IFERROR(INDEX('Output Utente'!$E$2:$E$492,MATCH(220,'Output Utente'!$Q$2:$Q$492,0)),"")</f>
        <v>NO</v>
      </c>
      <c r="M223" s="7" t="str">
        <f aca="false">IFERROR(INDEX('Output Utente'!$U$2:$U$492,MATCH(220,'Output Utente'!$Q$2:$Q$492,0)),"")</f>
        <v>OK</v>
      </c>
      <c r="N223" s="7" t="str">
        <f aca="false">IFERROR(INDEX('Output Utente'!$AE$2:$AE$492,MATCH(220,'Output Utente'!$Q$2:$Q$492,0)),"")</f>
        <v>🟡 Attesa rischiosa</v>
      </c>
    </row>
    <row r="224" customFormat="false" ht="15" hidden="false" customHeight="true" outlineLevel="0" collapsed="false">
      <c r="A224" s="49" t="n">
        <v>221</v>
      </c>
      <c r="B224" s="7" t="n">
        <f aca="false">IFERROR(INDEX('Output Utente'!$A$2:$A$492,MATCH(221,'Output Utente'!$Q$2:$Q$492,0)),"")</f>
        <v>6898</v>
      </c>
      <c r="C224" s="7" t="str">
        <f aca="false">IFERROR(INDEX('Output Utente'!$B$2:$B$492,MATCH(221,'Output Utente'!$Q$2:$Q$492,0)),"")</f>
        <v>C</v>
      </c>
      <c r="D224" s="7" t="str">
        <f aca="false">IFERROR(INDEX('Output Utente'!$C$2:$C$492,MATCH(221,'Output Utente'!$Q$2:$Q$492,0)),"")</f>
        <v>Keita M.</v>
      </c>
      <c r="E224" s="7" t="str">
        <f aca="false">IFERROR(INDEX('Input Giocatori 2026_27'!$D$3:$D$493,MATCH($B224,'Input Giocatori 2026_27'!$A$3:$A$493,0)),"")</f>
        <v>Parma</v>
      </c>
      <c r="F224" s="50" t="n">
        <f aca="false">IFERROR(INDEX('Output Utente'!$N$2:$N$492,MATCH(221,'Output Utente'!$Q$2:$Q$492,0)),"")</f>
        <v>5</v>
      </c>
      <c r="G224" s="50" t="n">
        <f aca="false">IFERROR(INDEX('Output Utente'!$O$2:$O$492,MATCH(221,'Output Utente'!$Q$2:$Q$492,0)),"")</f>
        <v>15</v>
      </c>
      <c r="H224" s="7" t="str">
        <f aca="false">IFERROR(INDEX('Output Utente'!$P$2:$P$492,MATCH(221,'Output Utente'!$Q$2:$Q$492,0)),"")</f>
        <v>Nella Media</v>
      </c>
      <c r="I224" s="50" t="n">
        <f aca="false">IFERROR(INDEX('Output Utente'!$F$2:$F$492,MATCH(221,'Output Utente'!$Q$2:$Q$492,0)),"")</f>
        <v>8</v>
      </c>
      <c r="J224" s="50" t="n">
        <f aca="false">IFERROR(INDEX('Output Utente'!$G$2:$G$492,MATCH(221,'Output Utente'!$Q$2:$Q$492,0)),"")</f>
        <v>6</v>
      </c>
      <c r="K224" s="50" t="n">
        <f aca="false">IFERROR(INDEX('Output Utente'!$H$2:$H$492,MATCH(221,'Output Utente'!$Q$2:$Q$492,0)),"")</f>
        <v>9</v>
      </c>
      <c r="L224" s="7" t="str">
        <f aca="false">IFERROR(INDEX('Output Utente'!$E$2:$E$492,MATCH(221,'Output Utente'!$Q$2:$Q$492,0)),"")</f>
        <v>NO</v>
      </c>
      <c r="M224" s="7" t="str">
        <f aca="false">IFERROR(INDEX('Output Utente'!$U$2:$U$492,MATCH(221,'Output Utente'!$Q$2:$Q$492,0)),"")</f>
        <v>OK</v>
      </c>
      <c r="N224" s="7" t="str">
        <f aca="false">IFERROR(INDEX('Output Utente'!$AE$2:$AE$492,MATCH(221,'Output Utente'!$Q$2:$Q$492,0)),"")</f>
        <v>🟡 Attesa rischiosa</v>
      </c>
    </row>
    <row r="225" customFormat="false" ht="15" hidden="false" customHeight="true" outlineLevel="0" collapsed="false">
      <c r="A225" s="49" t="n">
        <v>222</v>
      </c>
      <c r="B225" s="7" t="n">
        <f aca="false">IFERROR(INDEX('Output Utente'!$A$2:$A$492,MATCH(222,'Output Utente'!$Q$2:$Q$492,0)),"")</f>
        <v>2528</v>
      </c>
      <c r="C225" s="7" t="str">
        <f aca="false">IFERROR(INDEX('Output Utente'!$B$2:$B$492,MATCH(222,'Output Utente'!$Q$2:$Q$492,0)),"")</f>
        <v>C</v>
      </c>
      <c r="D225" s="7" t="str">
        <f aca="false">IFERROR(INDEX('Output Utente'!$C$2:$C$492,MATCH(222,'Output Utente'!$Q$2:$Q$492,0)),"")</f>
        <v>Matic</v>
      </c>
      <c r="E225" s="7" t="str">
        <f aca="false">IFERROR(INDEX('Input Giocatori 2026_27'!$D$3:$D$493,MATCH($B225,'Input Giocatori 2026_27'!$A$3:$A$493,0)),"")</f>
        <v>Sassuolo</v>
      </c>
      <c r="F225" s="50" t="n">
        <f aca="false">IFERROR(INDEX('Output Utente'!$N$2:$N$492,MATCH(222,'Output Utente'!$Q$2:$Q$492,0)),"")</f>
        <v>5</v>
      </c>
      <c r="G225" s="50" t="n">
        <f aca="false">IFERROR(INDEX('Output Utente'!$O$2:$O$492,MATCH(222,'Output Utente'!$Q$2:$Q$492,0)),"")</f>
        <v>15</v>
      </c>
      <c r="H225" s="7" t="str">
        <f aca="false">IFERROR(INDEX('Output Utente'!$P$2:$P$492,MATCH(222,'Output Utente'!$Q$2:$Q$492,0)),"")</f>
        <v>Nella Media</v>
      </c>
      <c r="I225" s="50" t="n">
        <f aca="false">IFERROR(INDEX('Output Utente'!$F$2:$F$492,MATCH(222,'Output Utente'!$Q$2:$Q$492,0)),"")</f>
        <v>8</v>
      </c>
      <c r="J225" s="50" t="n">
        <f aca="false">IFERROR(INDEX('Output Utente'!$G$2:$G$492,MATCH(222,'Output Utente'!$Q$2:$Q$492,0)),"")</f>
        <v>6</v>
      </c>
      <c r="K225" s="50" t="n">
        <f aca="false">IFERROR(INDEX('Output Utente'!$H$2:$H$492,MATCH(222,'Output Utente'!$Q$2:$Q$492,0)),"")</f>
        <v>9</v>
      </c>
      <c r="L225" s="7" t="str">
        <f aca="false">IFERROR(INDEX('Output Utente'!$E$2:$E$492,MATCH(222,'Output Utente'!$Q$2:$Q$492,0)),"")</f>
        <v>NO</v>
      </c>
      <c r="M225" s="7" t="str">
        <f aca="false">IFERROR(INDEX('Output Utente'!$U$2:$U$492,MATCH(222,'Output Utente'!$Q$2:$Q$492,0)),"")</f>
        <v>OK</v>
      </c>
      <c r="N225" s="7" t="str">
        <f aca="false">IFERROR(INDEX('Output Utente'!$AE$2:$AE$492,MATCH(222,'Output Utente'!$Q$2:$Q$492,0)),"")</f>
        <v>🟡 Attesa rischiosa</v>
      </c>
    </row>
    <row r="226" customFormat="false" ht="15" hidden="false" customHeight="true" outlineLevel="0" collapsed="false">
      <c r="A226" s="49" t="n">
        <v>223</v>
      </c>
      <c r="B226" s="7" t="n">
        <f aca="false">IFERROR(INDEX('Output Utente'!$A$2:$A$492,MATCH(223,'Output Utente'!$Q$2:$Q$492,0)),"")</f>
        <v>7198</v>
      </c>
      <c r="C226" s="7" t="str">
        <f aca="false">IFERROR(INDEX('Output Utente'!$B$2:$B$492,MATCH(223,'Output Utente'!$Q$2:$Q$492,0)),"")</f>
        <v>C</v>
      </c>
      <c r="D226" s="7" t="str">
        <f aca="false">IFERROR(INDEX('Output Utente'!$C$2:$C$492,MATCH(223,'Output Utente'!$Q$2:$Q$492,0)),"")</f>
        <v>Piotrowski</v>
      </c>
      <c r="E226" s="7" t="str">
        <f aca="false">IFERROR(INDEX('Input Giocatori 2026_27'!$D$3:$D$493,MATCH($B226,'Input Giocatori 2026_27'!$A$3:$A$493,0)),"")</f>
        <v>Udinese</v>
      </c>
      <c r="F226" s="50" t="n">
        <f aca="false">IFERROR(INDEX('Output Utente'!$N$2:$N$492,MATCH(223,'Output Utente'!$Q$2:$Q$492,0)),"")</f>
        <v>5</v>
      </c>
      <c r="G226" s="50" t="n">
        <f aca="false">IFERROR(INDEX('Output Utente'!$O$2:$O$492,MATCH(223,'Output Utente'!$Q$2:$Q$492,0)),"")</f>
        <v>15</v>
      </c>
      <c r="H226" s="7" t="str">
        <f aca="false">IFERROR(INDEX('Output Utente'!$P$2:$P$492,MATCH(223,'Output Utente'!$Q$2:$Q$492,0)),"")</f>
        <v>Nella Media</v>
      </c>
      <c r="I226" s="50" t="n">
        <f aca="false">IFERROR(INDEX('Output Utente'!$F$2:$F$492,MATCH(223,'Output Utente'!$Q$2:$Q$492,0)),"")</f>
        <v>8</v>
      </c>
      <c r="J226" s="50" t="n">
        <f aca="false">IFERROR(INDEX('Output Utente'!$G$2:$G$492,MATCH(223,'Output Utente'!$Q$2:$Q$492,0)),"")</f>
        <v>6</v>
      </c>
      <c r="K226" s="50" t="n">
        <f aca="false">IFERROR(INDEX('Output Utente'!$H$2:$H$492,MATCH(223,'Output Utente'!$Q$2:$Q$492,0)),"")</f>
        <v>9</v>
      </c>
      <c r="L226" s="7" t="str">
        <f aca="false">IFERROR(INDEX('Output Utente'!$E$2:$E$492,MATCH(223,'Output Utente'!$Q$2:$Q$492,0)),"")</f>
        <v>NO</v>
      </c>
      <c r="M226" s="7" t="str">
        <f aca="false">IFERROR(INDEX('Output Utente'!$U$2:$U$492,MATCH(223,'Output Utente'!$Q$2:$Q$492,0)),"")</f>
        <v>OK</v>
      </c>
      <c r="N226" s="7" t="str">
        <f aca="false">IFERROR(INDEX('Output Utente'!$AE$2:$AE$492,MATCH(223,'Output Utente'!$Q$2:$Q$492,0)),"")</f>
        <v>🟡 Attesa rischiosa</v>
      </c>
    </row>
    <row r="227" customFormat="false" ht="15" hidden="false" customHeight="true" outlineLevel="0" collapsed="false">
      <c r="A227" s="49" t="n">
        <v>224</v>
      </c>
      <c r="B227" s="7" t="n">
        <f aca="false">IFERROR(INDEX('Output Utente'!$A$2:$A$492,MATCH(224,'Output Utente'!$Q$2:$Q$492,0)),"")</f>
        <v>6204</v>
      </c>
      <c r="C227" s="7" t="str">
        <f aca="false">IFERROR(INDEX('Output Utente'!$B$2:$B$492,MATCH(224,'Output Utente'!$Q$2:$Q$492,0)),"")</f>
        <v>A</v>
      </c>
      <c r="D227" s="7" t="str">
        <f aca="false">IFERROR(INDEX('Output Utente'!$C$2:$C$492,MATCH(224,'Output Utente'!$Q$2:$Q$492,0)),"")</f>
        <v>Kvernadze</v>
      </c>
      <c r="E227" s="7" t="str">
        <f aca="false">IFERROR(INDEX('Input Giocatori 2026_27'!$D$3:$D$493,MATCH($B227,'Input Giocatori 2026_27'!$A$3:$A$493,0)),"")</f>
        <v>Frosinone</v>
      </c>
      <c r="F227" s="50" t="n">
        <f aca="false">IFERROR(INDEX('Output Utente'!$N$2:$N$492,MATCH(224,'Output Utente'!$Q$2:$Q$492,0)),"")</f>
        <v>4</v>
      </c>
      <c r="G227" s="50" t="n">
        <f aca="false">IFERROR(INDEX('Output Utente'!$O$2:$O$492,MATCH(224,'Output Utente'!$Q$2:$Q$492,0)),"")</f>
        <v>15</v>
      </c>
      <c r="H227" s="7" t="str">
        <f aca="false">IFERROR(INDEX('Output Utente'!$P$2:$P$492,MATCH(224,'Output Utente'!$Q$2:$Q$492,0)),"")</f>
        <v>Nella Media</v>
      </c>
      <c r="I227" s="50" t="n">
        <f aca="false">IFERROR(INDEX('Output Utente'!$F$2:$F$492,MATCH(224,'Output Utente'!$Q$2:$Q$492,0)),"")</f>
        <v>13</v>
      </c>
      <c r="J227" s="50" t="n">
        <f aca="false">IFERROR(INDEX('Output Utente'!$G$2:$G$492,MATCH(224,'Output Utente'!$Q$2:$Q$492,0)),"")</f>
        <v>8</v>
      </c>
      <c r="K227" s="50" t="n">
        <f aca="false">IFERROR(INDEX('Output Utente'!$H$2:$H$492,MATCH(224,'Output Utente'!$Q$2:$Q$492,0)),"")</f>
        <v>15</v>
      </c>
      <c r="L227" s="7" t="str">
        <f aca="false">IFERROR(INDEX('Output Utente'!$E$2:$E$492,MATCH(224,'Output Utente'!$Q$2:$Q$492,0)),"")</f>
        <v>NO</v>
      </c>
      <c r="M227" s="7" t="str">
        <f aca="false">IFERROR(INDEX('Output Utente'!$U$2:$U$492,MATCH(224,'Output Utente'!$Q$2:$Q$492,0)),"")</f>
        <v>OK</v>
      </c>
      <c r="N227" s="7" t="str">
        <f aca="false">IFERROR(INDEX('Output Utente'!$AE$2:$AE$492,MATCH(224,'Output Utente'!$Q$2:$Q$492,0)),"")</f>
        <v>🔴 Non aspettare</v>
      </c>
    </row>
    <row r="228" customFormat="false" ht="15" hidden="false" customHeight="true" outlineLevel="0" collapsed="false">
      <c r="A228" s="49" t="n">
        <v>225</v>
      </c>
      <c r="B228" s="7" t="n">
        <f aca="false">IFERROR(INDEX('Output Utente'!$A$2:$A$492,MATCH(225,'Output Utente'!$Q$2:$Q$492,0)),"")</f>
        <v>6248</v>
      </c>
      <c r="C228" s="7" t="str">
        <f aca="false">IFERROR(INDEX('Output Utente'!$B$2:$B$492,MATCH(225,'Output Utente'!$Q$2:$Q$492,0)),"")</f>
        <v>P</v>
      </c>
      <c r="D228" s="7" t="str">
        <f aca="false">IFERROR(INDEX('Output Utente'!$C$2:$C$492,MATCH(225,'Output Utente'!$Q$2:$Q$492,0)),"")</f>
        <v>Stankovic F.</v>
      </c>
      <c r="E228" s="7" t="str">
        <f aca="false">IFERROR(INDEX('Input Giocatori 2026_27'!$D$3:$D$493,MATCH($B228,'Input Giocatori 2026_27'!$A$3:$A$493,0)),"")</f>
        <v>Venezia</v>
      </c>
      <c r="F228" s="50" t="n">
        <f aca="false">IFERROR(INDEX('Output Utente'!$N$2:$N$492,MATCH(225,'Output Utente'!$Q$2:$Q$492,0)),"")</f>
        <v>6</v>
      </c>
      <c r="G228" s="50" t="n">
        <f aca="false">IFERROR(INDEX('Output Utente'!$O$2:$O$492,MATCH(225,'Output Utente'!$Q$2:$Q$492,0)),"")</f>
        <v>14</v>
      </c>
      <c r="H228" s="7" t="str">
        <f aca="false">IFERROR(INDEX('Output Utente'!$P$2:$P$492,MATCH(225,'Output Utente'!$Q$2:$Q$492,0)),"")</f>
        <v>Buono</v>
      </c>
      <c r="I228" s="50" t="n">
        <f aca="false">IFERROR(INDEX('Output Utente'!$F$2:$F$492,MATCH(225,'Output Utente'!$Q$2:$Q$492,0)),"")</f>
        <v>16</v>
      </c>
      <c r="J228" s="50" t="n">
        <f aca="false">IFERROR(INDEX('Output Utente'!$G$2:$G$492,MATCH(225,'Output Utente'!$Q$2:$Q$492,0)),"")</f>
        <v>13</v>
      </c>
      <c r="K228" s="50" t="n">
        <f aca="false">IFERROR(INDEX('Output Utente'!$H$2:$H$492,MATCH(225,'Output Utente'!$Q$2:$Q$492,0)),"")</f>
        <v>17</v>
      </c>
      <c r="L228" s="7" t="str">
        <f aca="false">IFERROR(INDEX('Output Utente'!$E$2:$E$492,MATCH(225,'Output Utente'!$Q$2:$Q$492,0)),"")</f>
        <v>NO</v>
      </c>
      <c r="M228" s="7" t="str">
        <f aca="false">IFERROR(INDEX('Output Utente'!$U$2:$U$492,MATCH(225,'Output Utente'!$Q$2:$Q$492,0)),"")</f>
        <v>OK</v>
      </c>
      <c r="N228" s="7" t="str">
        <f aca="false">IFERROR(INDEX('Output Utente'!$AE$2:$AE$492,MATCH(225,'Output Utente'!$Q$2:$Q$492,0)),"")</f>
        <v>🟡 Attesa rischiosa</v>
      </c>
    </row>
    <row r="229" customFormat="false" ht="15" hidden="false" customHeight="true" outlineLevel="0" collapsed="false">
      <c r="A229" s="49" t="n">
        <v>226</v>
      </c>
      <c r="B229" s="7" t="n">
        <f aca="false">IFERROR(INDEX('Output Utente'!$A$2:$A$492,MATCH(226,'Output Utente'!$Q$2:$Q$492,0)),"")</f>
        <v>5701</v>
      </c>
      <c r="C229" s="7" t="str">
        <f aca="false">IFERROR(INDEX('Output Utente'!$B$2:$B$492,MATCH(226,'Output Utente'!$Q$2:$Q$492,0)),"")</f>
        <v>D</v>
      </c>
      <c r="D229" s="7" t="str">
        <f aca="false">IFERROR(INDEX('Output Utente'!$C$2:$C$492,MATCH(226,'Output Utente'!$Q$2:$Q$492,0)),"")</f>
        <v>Obert</v>
      </c>
      <c r="E229" s="7" t="str">
        <f aca="false">IFERROR(INDEX('Input Giocatori 2026_27'!$D$3:$D$493,MATCH($B229,'Input Giocatori 2026_27'!$A$3:$A$493,0)),"")</f>
        <v>Cagliari</v>
      </c>
      <c r="F229" s="50" t="n">
        <f aca="false">IFERROR(INDEX('Output Utente'!$N$2:$N$492,MATCH(226,'Output Utente'!$Q$2:$Q$492,0)),"")</f>
        <v>7</v>
      </c>
      <c r="G229" s="50" t="n">
        <f aca="false">IFERROR(INDEX('Output Utente'!$O$2:$O$492,MATCH(226,'Output Utente'!$Q$2:$Q$492,0)),"")</f>
        <v>14</v>
      </c>
      <c r="H229" s="7" t="str">
        <f aca="false">IFERROR(INDEX('Output Utente'!$P$2:$P$492,MATCH(226,'Output Utente'!$Q$2:$Q$492,0)),"")</f>
        <v>Buono</v>
      </c>
      <c r="I229" s="50" t="n">
        <f aca="false">IFERROR(INDEX('Output Utente'!$F$2:$F$492,MATCH(226,'Output Utente'!$Q$2:$Q$492,0)),"")</f>
        <v>6</v>
      </c>
      <c r="J229" s="50" t="n">
        <f aca="false">IFERROR(INDEX('Output Utente'!$G$2:$G$492,MATCH(226,'Output Utente'!$Q$2:$Q$492,0)),"")</f>
        <v>5</v>
      </c>
      <c r="K229" s="50" t="n">
        <f aca="false">IFERROR(INDEX('Output Utente'!$H$2:$H$492,MATCH(226,'Output Utente'!$Q$2:$Q$492,0)),"")</f>
        <v>7</v>
      </c>
      <c r="L229" s="7" t="str">
        <f aca="false">IFERROR(INDEX('Output Utente'!$E$2:$E$492,MATCH(226,'Output Utente'!$Q$2:$Q$492,0)),"")</f>
        <v>NO</v>
      </c>
      <c r="M229" s="7" t="str">
        <f aca="false">IFERROR(INDEX('Output Utente'!$U$2:$U$492,MATCH(226,'Output Utente'!$Q$2:$Q$492,0)),"")</f>
        <v>OK</v>
      </c>
      <c r="N229" s="7" t="str">
        <f aca="false">IFERROR(INDEX('Output Utente'!$AE$2:$AE$492,MATCH(226,'Output Utente'!$Q$2:$Q$492,0)),"")</f>
        <v>🟡 Attesa rischiosa</v>
      </c>
    </row>
    <row r="230" customFormat="false" ht="15" hidden="false" customHeight="true" outlineLevel="0" collapsed="false">
      <c r="A230" s="49" t="n">
        <v>227</v>
      </c>
      <c r="B230" s="7" t="n">
        <f aca="false">IFERROR(INDEX('Output Utente'!$A$2:$A$492,MATCH(227,'Output Utente'!$Q$2:$Q$492,0)),"")</f>
        <v>4952</v>
      </c>
      <c r="C230" s="7" t="str">
        <f aca="false">IFERROR(INDEX('Output Utente'!$B$2:$B$492,MATCH(227,'Output Utente'!$Q$2:$Q$492,0)),"")</f>
        <v>D</v>
      </c>
      <c r="D230" s="7" t="str">
        <f aca="false">IFERROR(INDEX('Output Utente'!$C$2:$C$492,MATCH(227,'Output Utente'!$Q$2:$Q$492,0)),"")</f>
        <v>Monterisi</v>
      </c>
      <c r="E230" s="7" t="str">
        <f aca="false">IFERROR(INDEX('Input Giocatori 2026_27'!$D$3:$D$493,MATCH($B230,'Input Giocatori 2026_27'!$A$3:$A$493,0)),"")</f>
        <v>Frosinone</v>
      </c>
      <c r="F230" s="50" t="n">
        <f aca="false">IFERROR(INDEX('Output Utente'!$N$2:$N$492,MATCH(227,'Output Utente'!$Q$2:$Q$492,0)),"")</f>
        <v>6</v>
      </c>
      <c r="G230" s="50" t="n">
        <f aca="false">IFERROR(INDEX('Output Utente'!$O$2:$O$492,MATCH(227,'Output Utente'!$Q$2:$Q$492,0)),"")</f>
        <v>14</v>
      </c>
      <c r="H230" s="7" t="str">
        <f aca="false">IFERROR(INDEX('Output Utente'!$P$2:$P$492,MATCH(227,'Output Utente'!$Q$2:$Q$492,0)),"")</f>
        <v>Buono</v>
      </c>
      <c r="I230" s="50" t="n">
        <f aca="false">IFERROR(INDEX('Output Utente'!$F$2:$F$492,MATCH(227,'Output Utente'!$Q$2:$Q$492,0)),"")</f>
        <v>6</v>
      </c>
      <c r="J230" s="50" t="n">
        <f aca="false">IFERROR(INDEX('Output Utente'!$G$2:$G$492,MATCH(227,'Output Utente'!$Q$2:$Q$492,0)),"")</f>
        <v>5</v>
      </c>
      <c r="K230" s="50" t="n">
        <f aca="false">IFERROR(INDEX('Output Utente'!$H$2:$H$492,MATCH(227,'Output Utente'!$Q$2:$Q$492,0)),"")</f>
        <v>7</v>
      </c>
      <c r="L230" s="7" t="str">
        <f aca="false">IFERROR(INDEX('Output Utente'!$E$2:$E$492,MATCH(227,'Output Utente'!$Q$2:$Q$492,0)),"")</f>
        <v>NO</v>
      </c>
      <c r="M230" s="7" t="str">
        <f aca="false">IFERROR(INDEX('Output Utente'!$U$2:$U$492,MATCH(227,'Output Utente'!$Q$2:$Q$492,0)),"")</f>
        <v>OK</v>
      </c>
      <c r="N230" s="7" t="str">
        <f aca="false">IFERROR(INDEX('Output Utente'!$AE$2:$AE$492,MATCH(227,'Output Utente'!$Q$2:$Q$492,0)),"")</f>
        <v>🟡 Attesa rischiosa</v>
      </c>
    </row>
    <row r="231" customFormat="false" ht="15" hidden="false" customHeight="true" outlineLevel="0" collapsed="false">
      <c r="A231" s="49" t="n">
        <v>228</v>
      </c>
      <c r="B231" s="7" t="n">
        <f aca="false">IFERROR(INDEX('Output Utente'!$A$2:$A$492,MATCH(228,'Output Utente'!$Q$2:$Q$492,0)),"")</f>
        <v>5298</v>
      </c>
      <c r="C231" s="7" t="str">
        <f aca="false">IFERROR(INDEX('Output Utente'!$B$2:$B$492,MATCH(228,'Output Utente'!$Q$2:$Q$492,0)),"")</f>
        <v>C</v>
      </c>
      <c r="D231" s="7" t="str">
        <f aca="false">IFERROR(INDEX('Output Utente'!$C$2:$C$492,MATCH(228,'Output Utente'!$Q$2:$Q$492,0)),"")</f>
        <v>Pobega</v>
      </c>
      <c r="E231" s="7" t="str">
        <f aca="false">IFERROR(INDEX('Input Giocatori 2026_27'!$D$3:$D$493,MATCH($B231,'Input Giocatori 2026_27'!$A$3:$A$493,0)),"")</f>
        <v>Bologna</v>
      </c>
      <c r="F231" s="50" t="n">
        <f aca="false">IFERROR(INDEX('Output Utente'!$N$2:$N$492,MATCH(228,'Output Utente'!$Q$2:$Q$492,0)),"")</f>
        <v>6</v>
      </c>
      <c r="G231" s="50" t="n">
        <f aca="false">IFERROR(INDEX('Output Utente'!$O$2:$O$492,MATCH(228,'Output Utente'!$Q$2:$Q$492,0)),"")</f>
        <v>14</v>
      </c>
      <c r="H231" s="7" t="str">
        <f aca="false">IFERROR(INDEX('Output Utente'!$P$2:$P$492,MATCH(228,'Output Utente'!$Q$2:$Q$492,0)),"")</f>
        <v>Nella Media</v>
      </c>
      <c r="I231" s="50" t="n">
        <f aca="false">IFERROR(INDEX('Output Utente'!$F$2:$F$492,MATCH(228,'Output Utente'!$Q$2:$Q$492,0)),"")</f>
        <v>8</v>
      </c>
      <c r="J231" s="50" t="n">
        <f aca="false">IFERROR(INDEX('Output Utente'!$G$2:$G$492,MATCH(228,'Output Utente'!$Q$2:$Q$492,0)),"")</f>
        <v>5</v>
      </c>
      <c r="K231" s="50" t="n">
        <f aca="false">IFERROR(INDEX('Output Utente'!$H$2:$H$492,MATCH(228,'Output Utente'!$Q$2:$Q$492,0)),"")</f>
        <v>9</v>
      </c>
      <c r="L231" s="7" t="str">
        <f aca="false">IFERROR(INDEX('Output Utente'!$E$2:$E$492,MATCH(228,'Output Utente'!$Q$2:$Q$492,0)),"")</f>
        <v>NO</v>
      </c>
      <c r="M231" s="7" t="str">
        <f aca="false">IFERROR(INDEX('Output Utente'!$U$2:$U$492,MATCH(228,'Output Utente'!$Q$2:$Q$492,0)),"")</f>
        <v>OK</v>
      </c>
      <c r="N231" s="7" t="str">
        <f aca="false">IFERROR(INDEX('Output Utente'!$AE$2:$AE$492,MATCH(228,'Output Utente'!$Q$2:$Q$492,0)),"")</f>
        <v>🟡 Attesa rischiosa</v>
      </c>
    </row>
    <row r="232" customFormat="false" ht="15" hidden="false" customHeight="true" outlineLevel="0" collapsed="false">
      <c r="A232" s="49" t="n">
        <v>229</v>
      </c>
      <c r="B232" s="7" t="n">
        <f aca="false">IFERROR(INDEX('Output Utente'!$A$2:$A$492,MATCH(229,'Output Utente'!$Q$2:$Q$492,0)),"")</f>
        <v>4260</v>
      </c>
      <c r="C232" s="7" t="str">
        <f aca="false">IFERROR(INDEX('Output Utente'!$B$2:$B$492,MATCH(229,'Output Utente'!$Q$2:$Q$492,0)),"")</f>
        <v>C</v>
      </c>
      <c r="D232" s="7" t="str">
        <f aca="false">IFERROR(INDEX('Output Utente'!$C$2:$C$492,MATCH(229,'Output Utente'!$Q$2:$Q$492,0)),"")</f>
        <v>Winks</v>
      </c>
      <c r="E232" s="7" t="str">
        <f aca="false">IFERROR(INDEX('Input Giocatori 2026_27'!$D$3:$D$493,MATCH($B232,'Input Giocatori 2026_27'!$A$3:$A$493,0)),"")</f>
        <v>Cagliari</v>
      </c>
      <c r="F232" s="50" t="n">
        <f aca="false">IFERROR(INDEX('Output Utente'!$N$2:$N$492,MATCH(229,'Output Utente'!$Q$2:$Q$492,0)),"")</f>
        <v>6</v>
      </c>
      <c r="G232" s="50" t="n">
        <f aca="false">IFERROR(INDEX('Output Utente'!$O$2:$O$492,MATCH(229,'Output Utente'!$Q$2:$Q$492,0)),"")</f>
        <v>14</v>
      </c>
      <c r="H232" s="7" t="str">
        <f aca="false">IFERROR(INDEX('Output Utente'!$P$2:$P$492,MATCH(229,'Output Utente'!$Q$2:$Q$492,0)),"")</f>
        <v>Nella Media</v>
      </c>
      <c r="I232" s="50" t="n">
        <f aca="false">IFERROR(INDEX('Output Utente'!$F$2:$F$492,MATCH(229,'Output Utente'!$Q$2:$Q$492,0)),"")</f>
        <v>8</v>
      </c>
      <c r="J232" s="50" t="n">
        <f aca="false">IFERROR(INDEX('Output Utente'!$G$2:$G$492,MATCH(229,'Output Utente'!$Q$2:$Q$492,0)),"")</f>
        <v>5</v>
      </c>
      <c r="K232" s="50" t="n">
        <f aca="false">IFERROR(INDEX('Output Utente'!$H$2:$H$492,MATCH(229,'Output Utente'!$Q$2:$Q$492,0)),"")</f>
        <v>9</v>
      </c>
      <c r="L232" s="7" t="str">
        <f aca="false">IFERROR(INDEX('Output Utente'!$E$2:$E$492,MATCH(229,'Output Utente'!$Q$2:$Q$492,0)),"")</f>
        <v>NO</v>
      </c>
      <c r="M232" s="7" t="str">
        <f aca="false">IFERROR(INDEX('Output Utente'!$U$2:$U$492,MATCH(229,'Output Utente'!$Q$2:$Q$492,0)),"")</f>
        <v>OK</v>
      </c>
      <c r="N232" s="7" t="str">
        <f aca="false">IFERROR(INDEX('Output Utente'!$AE$2:$AE$492,MATCH(229,'Output Utente'!$Q$2:$Q$492,0)),"")</f>
        <v>🟡 Attesa rischiosa</v>
      </c>
    </row>
    <row r="233" customFormat="false" ht="15" hidden="false" customHeight="true" outlineLevel="0" collapsed="false">
      <c r="A233" s="49" t="n">
        <v>230</v>
      </c>
      <c r="B233" s="7" t="n">
        <f aca="false">IFERROR(INDEX('Output Utente'!$A$2:$A$492,MATCH(230,'Output Utente'!$Q$2:$Q$492,0)),"")</f>
        <v>5504</v>
      </c>
      <c r="C233" s="7" t="str">
        <f aca="false">IFERROR(INDEX('Output Utente'!$B$2:$B$492,MATCH(230,'Output Utente'!$Q$2:$Q$492,0)),"")</f>
        <v>C</v>
      </c>
      <c r="D233" s="7" t="str">
        <f aca="false">IFERROR(INDEX('Output Utente'!$C$2:$C$492,MATCH(230,'Output Utente'!$Q$2:$Q$492,0)),"")</f>
        <v>Coulibaly L.</v>
      </c>
      <c r="E233" s="7" t="str">
        <f aca="false">IFERROR(INDEX('Input Giocatori 2026_27'!$D$3:$D$493,MATCH($B233,'Input Giocatori 2026_27'!$A$3:$A$493,0)),"")</f>
        <v>Lecce</v>
      </c>
      <c r="F233" s="50" t="n">
        <f aca="false">IFERROR(INDEX('Output Utente'!$N$2:$N$492,MATCH(230,'Output Utente'!$Q$2:$Q$492,0)),"")</f>
        <v>6</v>
      </c>
      <c r="G233" s="50" t="n">
        <f aca="false">IFERROR(INDEX('Output Utente'!$O$2:$O$492,MATCH(230,'Output Utente'!$Q$2:$Q$492,0)),"")</f>
        <v>14</v>
      </c>
      <c r="H233" s="7" t="str">
        <f aca="false">IFERROR(INDEX('Output Utente'!$P$2:$P$492,MATCH(230,'Output Utente'!$Q$2:$Q$492,0)),"")</f>
        <v>Nella Media</v>
      </c>
      <c r="I233" s="50" t="n">
        <f aca="false">IFERROR(INDEX('Output Utente'!$F$2:$F$492,MATCH(230,'Output Utente'!$Q$2:$Q$492,0)),"")</f>
        <v>8</v>
      </c>
      <c r="J233" s="50" t="n">
        <f aca="false">IFERROR(INDEX('Output Utente'!$G$2:$G$492,MATCH(230,'Output Utente'!$Q$2:$Q$492,0)),"")</f>
        <v>5</v>
      </c>
      <c r="K233" s="50" t="n">
        <f aca="false">IFERROR(INDEX('Output Utente'!$H$2:$H$492,MATCH(230,'Output Utente'!$Q$2:$Q$492,0)),"")</f>
        <v>9</v>
      </c>
      <c r="L233" s="7" t="str">
        <f aca="false">IFERROR(INDEX('Output Utente'!$E$2:$E$492,MATCH(230,'Output Utente'!$Q$2:$Q$492,0)),"")</f>
        <v>NO</v>
      </c>
      <c r="M233" s="7" t="str">
        <f aca="false">IFERROR(INDEX('Output Utente'!$U$2:$U$492,MATCH(230,'Output Utente'!$Q$2:$Q$492,0)),"")</f>
        <v>OK</v>
      </c>
      <c r="N233" s="7" t="str">
        <f aca="false">IFERROR(INDEX('Output Utente'!$AE$2:$AE$492,MATCH(230,'Output Utente'!$Q$2:$Q$492,0)),"")</f>
        <v>🟡 Attesa rischiosa</v>
      </c>
    </row>
    <row r="234" customFormat="false" ht="15" hidden="false" customHeight="true" outlineLevel="0" collapsed="false">
      <c r="A234" s="49" t="n">
        <v>231</v>
      </c>
      <c r="B234" s="7" t="n">
        <f aca="false">IFERROR(INDEX('Output Utente'!$A$2:$A$492,MATCH(231,'Output Utente'!$Q$2:$Q$492,0)),"")</f>
        <v>7412</v>
      </c>
      <c r="C234" s="7" t="str">
        <f aca="false">IFERROR(INDEX('Output Utente'!$B$2:$B$492,MATCH(231,'Output Utente'!$Q$2:$Q$492,0)),"")</f>
        <v>C</v>
      </c>
      <c r="D234" s="7" t="str">
        <f aca="false">IFERROR(INDEX('Output Utente'!$C$2:$C$492,MATCH(231,'Output Utente'!$Q$2:$Q$492,0)),"")</f>
        <v>Milla</v>
      </c>
      <c r="E234" s="7" t="str">
        <f aca="false">IFERROR(INDEX('Input Giocatori 2026_27'!$D$3:$D$493,MATCH($B234,'Input Giocatori 2026_27'!$A$3:$A$493,0)),"")</f>
        <v>Como</v>
      </c>
      <c r="F234" s="50" t="n">
        <f aca="false">IFERROR(INDEX('Output Utente'!$N$2:$N$492,MATCH(231,'Output Utente'!$Q$2:$Q$492,0)),"")</f>
        <v>5</v>
      </c>
      <c r="G234" s="50" t="n">
        <f aca="false">IFERROR(INDEX('Output Utente'!$O$2:$O$492,MATCH(231,'Output Utente'!$Q$2:$Q$492,0)),"")</f>
        <v>14</v>
      </c>
      <c r="H234" s="7" t="str">
        <f aca="false">IFERROR(INDEX('Output Utente'!$P$2:$P$492,MATCH(231,'Output Utente'!$Q$2:$Q$492,0)),"")</f>
        <v>Nella Media</v>
      </c>
      <c r="I234" s="50" t="n">
        <f aca="false">IFERROR(INDEX('Output Utente'!$F$2:$F$492,MATCH(231,'Output Utente'!$Q$2:$Q$492,0)),"")</f>
        <v>8</v>
      </c>
      <c r="J234" s="50" t="n">
        <f aca="false">IFERROR(INDEX('Output Utente'!$G$2:$G$492,MATCH(231,'Output Utente'!$Q$2:$Q$492,0)),"")</f>
        <v>5</v>
      </c>
      <c r="K234" s="50" t="n">
        <f aca="false">IFERROR(INDEX('Output Utente'!$H$2:$H$492,MATCH(231,'Output Utente'!$Q$2:$Q$492,0)),"")</f>
        <v>9</v>
      </c>
      <c r="L234" s="7" t="str">
        <f aca="false">IFERROR(INDEX('Output Utente'!$E$2:$E$492,MATCH(231,'Output Utente'!$Q$2:$Q$492,0)),"")</f>
        <v>NO</v>
      </c>
      <c r="M234" s="7" t="str">
        <f aca="false">IFERROR(INDEX('Output Utente'!$U$2:$U$492,MATCH(231,'Output Utente'!$Q$2:$Q$492,0)),"")</f>
        <v>OK</v>
      </c>
      <c r="N234" s="7" t="str">
        <f aca="false">IFERROR(INDEX('Output Utente'!$AE$2:$AE$492,MATCH(231,'Output Utente'!$Q$2:$Q$492,0)),"")</f>
        <v>🟡 Attesa rischiosa</v>
      </c>
    </row>
    <row r="235" customFormat="false" ht="15" hidden="false" customHeight="true" outlineLevel="0" collapsed="false">
      <c r="A235" s="49" t="n">
        <v>232</v>
      </c>
      <c r="B235" s="7" t="n">
        <f aca="false">IFERROR(INDEX('Output Utente'!$A$2:$A$492,MATCH(232,'Output Utente'!$Q$2:$Q$492,0)),"")</f>
        <v>7409</v>
      </c>
      <c r="C235" s="7" t="str">
        <f aca="false">IFERROR(INDEX('Output Utente'!$B$2:$B$492,MATCH(232,'Output Utente'!$Q$2:$Q$492,0)),"")</f>
        <v>C</v>
      </c>
      <c r="D235" s="7" t="str">
        <f aca="false">IFERROR(INDEX('Output Utente'!$C$2:$C$492,MATCH(232,'Output Utente'!$Q$2:$Q$492,0)),"")</f>
        <v>Meichtry</v>
      </c>
      <c r="E235" s="7" t="str">
        <f aca="false">IFERROR(INDEX('Input Giocatori 2026_27'!$D$3:$D$493,MATCH($B235,'Input Giocatori 2026_27'!$A$3:$A$493,0)),"")</f>
        <v>Genoa</v>
      </c>
      <c r="F235" s="50" t="n">
        <f aca="false">IFERROR(INDEX('Output Utente'!$N$2:$N$492,MATCH(232,'Output Utente'!$Q$2:$Q$492,0)),"")</f>
        <v>5</v>
      </c>
      <c r="G235" s="50" t="n">
        <f aca="false">IFERROR(INDEX('Output Utente'!$O$2:$O$492,MATCH(232,'Output Utente'!$Q$2:$Q$492,0)),"")</f>
        <v>14</v>
      </c>
      <c r="H235" s="7" t="str">
        <f aca="false">IFERROR(INDEX('Output Utente'!$P$2:$P$492,MATCH(232,'Output Utente'!$Q$2:$Q$492,0)),"")</f>
        <v>Nella Media</v>
      </c>
      <c r="I235" s="50" t="n">
        <f aca="false">IFERROR(INDEX('Output Utente'!$F$2:$F$492,MATCH(232,'Output Utente'!$Q$2:$Q$492,0)),"")</f>
        <v>8</v>
      </c>
      <c r="J235" s="50" t="n">
        <f aca="false">IFERROR(INDEX('Output Utente'!$G$2:$G$492,MATCH(232,'Output Utente'!$Q$2:$Q$492,0)),"")</f>
        <v>5</v>
      </c>
      <c r="K235" s="50" t="n">
        <f aca="false">IFERROR(INDEX('Output Utente'!$H$2:$H$492,MATCH(232,'Output Utente'!$Q$2:$Q$492,0)),"")</f>
        <v>9</v>
      </c>
      <c r="L235" s="7" t="str">
        <f aca="false">IFERROR(INDEX('Output Utente'!$E$2:$E$492,MATCH(232,'Output Utente'!$Q$2:$Q$492,0)),"")</f>
        <v>NO</v>
      </c>
      <c r="M235" s="7" t="str">
        <f aca="false">IFERROR(INDEX('Output Utente'!$U$2:$U$492,MATCH(232,'Output Utente'!$Q$2:$Q$492,0)),"")</f>
        <v>OK</v>
      </c>
      <c r="N235" s="7" t="str">
        <f aca="false">IFERROR(INDEX('Output Utente'!$AE$2:$AE$492,MATCH(232,'Output Utente'!$Q$2:$Q$492,0)),"")</f>
        <v>🟡 Attesa rischiosa</v>
      </c>
    </row>
    <row r="236" customFormat="false" ht="15" hidden="false" customHeight="true" outlineLevel="0" collapsed="false">
      <c r="A236" s="49" t="n">
        <v>233</v>
      </c>
      <c r="B236" s="7" t="n">
        <f aca="false">IFERROR(INDEX('Output Utente'!$A$2:$A$492,MATCH(233,'Output Utente'!$Q$2:$Q$492,0)),"")</f>
        <v>5685</v>
      </c>
      <c r="C236" s="7" t="str">
        <f aca="false">IFERROR(INDEX('Output Utente'!$B$2:$B$492,MATCH(233,'Output Utente'!$Q$2:$Q$492,0)),"")</f>
        <v>C</v>
      </c>
      <c r="D236" s="7" t="str">
        <f aca="false">IFERROR(INDEX('Output Utente'!$C$2:$C$492,MATCH(233,'Output Utente'!$Q$2:$Q$492,0)),"")</f>
        <v>Koopmeiners</v>
      </c>
      <c r="E236" s="7" t="str">
        <f aca="false">IFERROR(INDEX('Input Giocatori 2026_27'!$D$3:$D$493,MATCH($B236,'Input Giocatori 2026_27'!$A$3:$A$493,0)),"")</f>
        <v>Juventus</v>
      </c>
      <c r="F236" s="50" t="n">
        <f aca="false">IFERROR(INDEX('Output Utente'!$N$2:$N$492,MATCH(233,'Output Utente'!$Q$2:$Q$492,0)),"")</f>
        <v>5</v>
      </c>
      <c r="G236" s="50" t="n">
        <f aca="false">IFERROR(INDEX('Output Utente'!$O$2:$O$492,MATCH(233,'Output Utente'!$Q$2:$Q$492,0)),"")</f>
        <v>14</v>
      </c>
      <c r="H236" s="7" t="str">
        <f aca="false">IFERROR(INDEX('Output Utente'!$P$2:$P$492,MATCH(233,'Output Utente'!$Q$2:$Q$492,0)),"")</f>
        <v>Nella Media</v>
      </c>
      <c r="I236" s="50" t="n">
        <f aca="false">IFERROR(INDEX('Output Utente'!$F$2:$F$492,MATCH(233,'Output Utente'!$Q$2:$Q$492,0)),"")</f>
        <v>8</v>
      </c>
      <c r="J236" s="50" t="n">
        <f aca="false">IFERROR(INDEX('Output Utente'!$G$2:$G$492,MATCH(233,'Output Utente'!$Q$2:$Q$492,0)),"")</f>
        <v>5</v>
      </c>
      <c r="K236" s="50" t="n">
        <f aca="false">IFERROR(INDEX('Output Utente'!$H$2:$H$492,MATCH(233,'Output Utente'!$Q$2:$Q$492,0)),"")</f>
        <v>9</v>
      </c>
      <c r="L236" s="7" t="str">
        <f aca="false">IFERROR(INDEX('Output Utente'!$E$2:$E$492,MATCH(233,'Output Utente'!$Q$2:$Q$492,0)),"")</f>
        <v>NO</v>
      </c>
      <c r="M236" s="7" t="str">
        <f aca="false">IFERROR(INDEX('Output Utente'!$U$2:$U$492,MATCH(233,'Output Utente'!$Q$2:$Q$492,0)),"")</f>
        <v>OK</v>
      </c>
      <c r="N236" s="7" t="str">
        <f aca="false">IFERROR(INDEX('Output Utente'!$AE$2:$AE$492,MATCH(233,'Output Utente'!$Q$2:$Q$492,0)),"")</f>
        <v>🟡 Attesa rischiosa</v>
      </c>
    </row>
    <row r="237" customFormat="false" ht="15" hidden="false" customHeight="true" outlineLevel="0" collapsed="false">
      <c r="A237" s="49" t="n">
        <v>234</v>
      </c>
      <c r="B237" s="7" t="n">
        <f aca="false">IFERROR(INDEX('Output Utente'!$A$2:$A$492,MATCH(234,'Output Utente'!$Q$2:$Q$492,0)),"")</f>
        <v>7318</v>
      </c>
      <c r="C237" s="7" t="str">
        <f aca="false">IFERROR(INDEX('Output Utente'!$B$2:$B$492,MATCH(234,'Output Utente'!$Q$2:$Q$492,0)),"")</f>
        <v>C</v>
      </c>
      <c r="D237" s="7" t="str">
        <f aca="false">IFERROR(INDEX('Output Utente'!$C$2:$C$492,MATCH(234,'Output Utente'!$Q$2:$Q$492,0)),"")</f>
        <v>Gandelman</v>
      </c>
      <c r="E237" s="7" t="str">
        <f aca="false">IFERROR(INDEX('Input Giocatori 2026_27'!$D$3:$D$493,MATCH($B237,'Input Giocatori 2026_27'!$A$3:$A$493,0)),"")</f>
        <v>Lecce</v>
      </c>
      <c r="F237" s="50" t="n">
        <f aca="false">IFERROR(INDEX('Output Utente'!$N$2:$N$492,MATCH(234,'Output Utente'!$Q$2:$Q$492,0)),"")</f>
        <v>5</v>
      </c>
      <c r="G237" s="50" t="n">
        <f aca="false">IFERROR(INDEX('Output Utente'!$O$2:$O$492,MATCH(234,'Output Utente'!$Q$2:$Q$492,0)),"")</f>
        <v>14</v>
      </c>
      <c r="H237" s="7" t="str">
        <f aca="false">IFERROR(INDEX('Output Utente'!$P$2:$P$492,MATCH(234,'Output Utente'!$Q$2:$Q$492,0)),"")</f>
        <v>Nella Media</v>
      </c>
      <c r="I237" s="50" t="n">
        <f aca="false">IFERROR(INDEX('Output Utente'!$F$2:$F$492,MATCH(234,'Output Utente'!$Q$2:$Q$492,0)),"")</f>
        <v>8</v>
      </c>
      <c r="J237" s="50" t="n">
        <f aca="false">IFERROR(INDEX('Output Utente'!$G$2:$G$492,MATCH(234,'Output Utente'!$Q$2:$Q$492,0)),"")</f>
        <v>5</v>
      </c>
      <c r="K237" s="50" t="n">
        <f aca="false">IFERROR(INDEX('Output Utente'!$H$2:$H$492,MATCH(234,'Output Utente'!$Q$2:$Q$492,0)),"")</f>
        <v>9</v>
      </c>
      <c r="L237" s="7" t="str">
        <f aca="false">IFERROR(INDEX('Output Utente'!$E$2:$E$492,MATCH(234,'Output Utente'!$Q$2:$Q$492,0)),"")</f>
        <v>NO</v>
      </c>
      <c r="M237" s="7" t="str">
        <f aca="false">IFERROR(INDEX('Output Utente'!$U$2:$U$492,MATCH(234,'Output Utente'!$Q$2:$Q$492,0)),"")</f>
        <v>OK</v>
      </c>
      <c r="N237" s="7" t="str">
        <f aca="false">IFERROR(INDEX('Output Utente'!$AE$2:$AE$492,MATCH(234,'Output Utente'!$Q$2:$Q$492,0)),"")</f>
        <v>🟡 Attesa rischiosa</v>
      </c>
    </row>
    <row r="238" customFormat="false" ht="15" hidden="false" customHeight="true" outlineLevel="0" collapsed="false">
      <c r="A238" s="49" t="n">
        <v>235</v>
      </c>
      <c r="B238" s="7" t="n">
        <f aca="false">IFERROR(INDEX('Output Utente'!$A$2:$A$492,MATCH(235,'Output Utente'!$Q$2:$Q$492,0)),"")</f>
        <v>6677</v>
      </c>
      <c r="C238" s="7" t="str">
        <f aca="false">IFERROR(INDEX('Output Utente'!$B$2:$B$492,MATCH(235,'Output Utente'!$Q$2:$Q$492,0)),"")</f>
        <v>C</v>
      </c>
      <c r="D238" s="7" t="str">
        <f aca="false">IFERROR(INDEX('Output Utente'!$C$2:$C$492,MATCH(235,'Output Utente'!$Q$2:$Q$492,0)),"")</f>
        <v>Adzic</v>
      </c>
      <c r="E238" s="7" t="str">
        <f aca="false">IFERROR(INDEX('Input Giocatori 2026_27'!$D$3:$D$493,MATCH($B238,'Input Giocatori 2026_27'!$A$3:$A$493,0)),"")</f>
        <v>Sassuolo</v>
      </c>
      <c r="F238" s="50" t="n">
        <f aca="false">IFERROR(INDEX('Output Utente'!$N$2:$N$492,MATCH(235,'Output Utente'!$Q$2:$Q$492,0)),"")</f>
        <v>5</v>
      </c>
      <c r="G238" s="50" t="n">
        <f aca="false">IFERROR(INDEX('Output Utente'!$O$2:$O$492,MATCH(235,'Output Utente'!$Q$2:$Q$492,0)),"")</f>
        <v>14</v>
      </c>
      <c r="H238" s="7" t="str">
        <f aca="false">IFERROR(INDEX('Output Utente'!$P$2:$P$492,MATCH(235,'Output Utente'!$Q$2:$Q$492,0)),"")</f>
        <v>Nella Media</v>
      </c>
      <c r="I238" s="50" t="n">
        <f aca="false">IFERROR(INDEX('Output Utente'!$F$2:$F$492,MATCH(235,'Output Utente'!$Q$2:$Q$492,0)),"")</f>
        <v>8</v>
      </c>
      <c r="J238" s="50" t="n">
        <f aca="false">IFERROR(INDEX('Output Utente'!$G$2:$G$492,MATCH(235,'Output Utente'!$Q$2:$Q$492,0)),"")</f>
        <v>5</v>
      </c>
      <c r="K238" s="50" t="n">
        <f aca="false">IFERROR(INDEX('Output Utente'!$H$2:$H$492,MATCH(235,'Output Utente'!$Q$2:$Q$492,0)),"")</f>
        <v>9</v>
      </c>
      <c r="L238" s="7" t="str">
        <f aca="false">IFERROR(INDEX('Output Utente'!$E$2:$E$492,MATCH(235,'Output Utente'!$Q$2:$Q$492,0)),"")</f>
        <v>NO</v>
      </c>
      <c r="M238" s="7" t="str">
        <f aca="false">IFERROR(INDEX('Output Utente'!$U$2:$U$492,MATCH(235,'Output Utente'!$Q$2:$Q$492,0)),"")</f>
        <v>OK</v>
      </c>
      <c r="N238" s="7" t="str">
        <f aca="false">IFERROR(INDEX('Output Utente'!$AE$2:$AE$492,MATCH(235,'Output Utente'!$Q$2:$Q$492,0)),"")</f>
        <v>🟡 Attesa rischiosa</v>
      </c>
    </row>
    <row r="239" customFormat="false" ht="15" hidden="false" customHeight="true" outlineLevel="0" collapsed="false">
      <c r="A239" s="49" t="n">
        <v>236</v>
      </c>
      <c r="B239" s="7" t="n">
        <f aca="false">IFERROR(INDEX('Output Utente'!$A$2:$A$492,MATCH(236,'Output Utente'!$Q$2:$Q$492,0)),"")</f>
        <v>5507</v>
      </c>
      <c r="C239" s="7" t="str">
        <f aca="false">IFERROR(INDEX('Output Utente'!$B$2:$B$492,MATCH(236,'Output Utente'!$Q$2:$Q$492,0)),"")</f>
        <v>C</v>
      </c>
      <c r="D239" s="7" t="str">
        <f aca="false">IFERROR(INDEX('Output Utente'!$C$2:$C$492,MATCH(236,'Output Utente'!$Q$2:$Q$492,0)),"")</f>
        <v>Busio</v>
      </c>
      <c r="E239" s="7" t="str">
        <f aca="false">IFERROR(INDEX('Input Giocatori 2026_27'!$D$3:$D$493,MATCH($B239,'Input Giocatori 2026_27'!$A$3:$A$493,0)),"")</f>
        <v>Venezia</v>
      </c>
      <c r="F239" s="50" t="n">
        <f aca="false">IFERROR(INDEX('Output Utente'!$N$2:$N$492,MATCH(236,'Output Utente'!$Q$2:$Q$492,0)),"")</f>
        <v>5</v>
      </c>
      <c r="G239" s="50" t="n">
        <f aca="false">IFERROR(INDEX('Output Utente'!$O$2:$O$492,MATCH(236,'Output Utente'!$Q$2:$Q$492,0)),"")</f>
        <v>14</v>
      </c>
      <c r="H239" s="7" t="str">
        <f aca="false">IFERROR(INDEX('Output Utente'!$P$2:$P$492,MATCH(236,'Output Utente'!$Q$2:$Q$492,0)),"")</f>
        <v>Nella Media</v>
      </c>
      <c r="I239" s="50" t="n">
        <f aca="false">IFERROR(INDEX('Output Utente'!$F$2:$F$492,MATCH(236,'Output Utente'!$Q$2:$Q$492,0)),"")</f>
        <v>8</v>
      </c>
      <c r="J239" s="50" t="n">
        <f aca="false">IFERROR(INDEX('Output Utente'!$G$2:$G$492,MATCH(236,'Output Utente'!$Q$2:$Q$492,0)),"")</f>
        <v>5</v>
      </c>
      <c r="K239" s="50" t="n">
        <f aca="false">IFERROR(INDEX('Output Utente'!$H$2:$H$492,MATCH(236,'Output Utente'!$Q$2:$Q$492,0)),"")</f>
        <v>9</v>
      </c>
      <c r="L239" s="7" t="str">
        <f aca="false">IFERROR(INDEX('Output Utente'!$E$2:$E$492,MATCH(236,'Output Utente'!$Q$2:$Q$492,0)),"")</f>
        <v>NO</v>
      </c>
      <c r="M239" s="7" t="str">
        <f aca="false">IFERROR(INDEX('Output Utente'!$U$2:$U$492,MATCH(236,'Output Utente'!$Q$2:$Q$492,0)),"")</f>
        <v>OK</v>
      </c>
      <c r="N239" s="7" t="str">
        <f aca="false">IFERROR(INDEX('Output Utente'!$AE$2:$AE$492,MATCH(236,'Output Utente'!$Q$2:$Q$492,0)),"")</f>
        <v>🟡 Attesa rischiosa</v>
      </c>
    </row>
    <row r="240" customFormat="false" ht="15" hidden="false" customHeight="true" outlineLevel="0" collapsed="false">
      <c r="A240" s="49" t="n">
        <v>237</v>
      </c>
      <c r="B240" s="7" t="n">
        <f aca="false">IFERROR(INDEX('Output Utente'!$A$2:$A$492,MATCH(237,'Output Utente'!$Q$2:$Q$492,0)),"")</f>
        <v>5319</v>
      </c>
      <c r="C240" s="7" t="str">
        <f aca="false">IFERROR(INDEX('Output Utente'!$B$2:$B$492,MATCH(237,'Output Utente'!$Q$2:$Q$492,0)),"")</f>
        <v>C</v>
      </c>
      <c r="D240" s="7" t="str">
        <f aca="false">IFERROR(INDEX('Output Utente'!$C$2:$C$492,MATCH(237,'Output Utente'!$Q$2:$Q$492,0)),"")</f>
        <v>Sohm</v>
      </c>
      <c r="E240" s="7" t="str">
        <f aca="false">IFERROR(INDEX('Input Giocatori 2026_27'!$D$3:$D$493,MATCH($B240,'Input Giocatori 2026_27'!$A$3:$A$493,0)),"")</f>
        <v>Venezia</v>
      </c>
      <c r="F240" s="50" t="n">
        <f aca="false">IFERROR(INDEX('Output Utente'!$N$2:$N$492,MATCH(237,'Output Utente'!$Q$2:$Q$492,0)),"")</f>
        <v>5</v>
      </c>
      <c r="G240" s="50" t="n">
        <f aca="false">IFERROR(INDEX('Output Utente'!$O$2:$O$492,MATCH(237,'Output Utente'!$Q$2:$Q$492,0)),"")</f>
        <v>14</v>
      </c>
      <c r="H240" s="7" t="str">
        <f aca="false">IFERROR(INDEX('Output Utente'!$P$2:$P$492,MATCH(237,'Output Utente'!$Q$2:$Q$492,0)),"")</f>
        <v>Nella Media</v>
      </c>
      <c r="I240" s="50" t="n">
        <f aca="false">IFERROR(INDEX('Output Utente'!$F$2:$F$492,MATCH(237,'Output Utente'!$Q$2:$Q$492,0)),"")</f>
        <v>8</v>
      </c>
      <c r="J240" s="50" t="n">
        <f aca="false">IFERROR(INDEX('Output Utente'!$G$2:$G$492,MATCH(237,'Output Utente'!$Q$2:$Q$492,0)),"")</f>
        <v>5</v>
      </c>
      <c r="K240" s="50" t="n">
        <f aca="false">IFERROR(INDEX('Output Utente'!$H$2:$H$492,MATCH(237,'Output Utente'!$Q$2:$Q$492,0)),"")</f>
        <v>9</v>
      </c>
      <c r="L240" s="7" t="str">
        <f aca="false">IFERROR(INDEX('Output Utente'!$E$2:$E$492,MATCH(237,'Output Utente'!$Q$2:$Q$492,0)),"")</f>
        <v>NO</v>
      </c>
      <c r="M240" s="7" t="str">
        <f aca="false">IFERROR(INDEX('Output Utente'!$U$2:$U$492,MATCH(237,'Output Utente'!$Q$2:$Q$492,0)),"")</f>
        <v>OK</v>
      </c>
      <c r="N240" s="7" t="str">
        <f aca="false">IFERROR(INDEX('Output Utente'!$AE$2:$AE$492,MATCH(237,'Output Utente'!$Q$2:$Q$492,0)),"")</f>
        <v>🟡 Attesa rischiosa</v>
      </c>
    </row>
    <row r="241" customFormat="false" ht="15" hidden="false" customHeight="true" outlineLevel="0" collapsed="false">
      <c r="A241" s="49" t="n">
        <v>238</v>
      </c>
      <c r="B241" s="7" t="n">
        <f aca="false">IFERROR(INDEX('Output Utente'!$A$2:$A$492,MATCH(238,'Output Utente'!$Q$2:$Q$492,0)),"")</f>
        <v>6994</v>
      </c>
      <c r="C241" s="7" t="str">
        <f aca="false">IFERROR(INDEX('Output Utente'!$B$2:$B$492,MATCH(238,'Output Utente'!$Q$2:$Q$492,0)),"")</f>
        <v>C</v>
      </c>
      <c r="D241" s="7" t="str">
        <f aca="false">IFERROR(INDEX('Output Utente'!$C$2:$C$492,MATCH(238,'Output Utente'!$Q$2:$Q$492,0)),"")</f>
        <v>Perez K.</v>
      </c>
      <c r="E241" s="7" t="str">
        <f aca="false">IFERROR(INDEX('Input Giocatori 2026_27'!$D$3:$D$493,MATCH($B241,'Input Giocatori 2026_27'!$A$3:$A$493,0)),"")</f>
        <v>Venezia</v>
      </c>
      <c r="F241" s="50" t="n">
        <f aca="false">IFERROR(INDEX('Output Utente'!$N$2:$N$492,MATCH(238,'Output Utente'!$Q$2:$Q$492,0)),"")</f>
        <v>5</v>
      </c>
      <c r="G241" s="50" t="n">
        <f aca="false">IFERROR(INDEX('Output Utente'!$O$2:$O$492,MATCH(238,'Output Utente'!$Q$2:$Q$492,0)),"")</f>
        <v>14</v>
      </c>
      <c r="H241" s="7" t="str">
        <f aca="false">IFERROR(INDEX('Output Utente'!$P$2:$P$492,MATCH(238,'Output Utente'!$Q$2:$Q$492,0)),"")</f>
        <v>Nella Media</v>
      </c>
      <c r="I241" s="50" t="n">
        <f aca="false">IFERROR(INDEX('Output Utente'!$F$2:$F$492,MATCH(238,'Output Utente'!$Q$2:$Q$492,0)),"")</f>
        <v>8</v>
      </c>
      <c r="J241" s="50" t="n">
        <f aca="false">IFERROR(INDEX('Output Utente'!$G$2:$G$492,MATCH(238,'Output Utente'!$Q$2:$Q$492,0)),"")</f>
        <v>5</v>
      </c>
      <c r="K241" s="50" t="n">
        <f aca="false">IFERROR(INDEX('Output Utente'!$H$2:$H$492,MATCH(238,'Output Utente'!$Q$2:$Q$492,0)),"")</f>
        <v>9</v>
      </c>
      <c r="L241" s="7" t="str">
        <f aca="false">IFERROR(INDEX('Output Utente'!$E$2:$E$492,MATCH(238,'Output Utente'!$Q$2:$Q$492,0)),"")</f>
        <v>NO</v>
      </c>
      <c r="M241" s="7" t="str">
        <f aca="false">IFERROR(INDEX('Output Utente'!$U$2:$U$492,MATCH(238,'Output Utente'!$Q$2:$Q$492,0)),"")</f>
        <v>OK</v>
      </c>
      <c r="N241" s="7" t="str">
        <f aca="false">IFERROR(INDEX('Output Utente'!$AE$2:$AE$492,MATCH(238,'Output Utente'!$Q$2:$Q$492,0)),"")</f>
        <v>🟡 Attesa rischiosa</v>
      </c>
    </row>
    <row r="242" customFormat="false" ht="15" hidden="false" customHeight="true" outlineLevel="0" collapsed="false">
      <c r="A242" s="49" t="n">
        <v>239</v>
      </c>
      <c r="B242" s="7" t="n">
        <f aca="false">IFERROR(INDEX('Output Utente'!$A$2:$A$492,MATCH(239,'Output Utente'!$Q$2:$Q$492,0)),"")</f>
        <v>6207</v>
      </c>
      <c r="C242" s="7" t="str">
        <f aca="false">IFERROR(INDEX('Output Utente'!$B$2:$B$492,MATCH(239,'Output Utente'!$Q$2:$Q$492,0)),"")</f>
        <v>C</v>
      </c>
      <c r="D242" s="7" t="str">
        <f aca="false">IFERROR(INDEX('Output Utente'!$C$2:$C$492,MATCH(239,'Output Utente'!$Q$2:$Q$492,0)),"")</f>
        <v>Almqvist</v>
      </c>
      <c r="E242" s="7" t="str">
        <f aca="false">IFERROR(INDEX('Input Giocatori 2026_27'!$D$3:$D$493,MATCH($B242,'Input Giocatori 2026_27'!$A$3:$A$493,0)),"")</f>
        <v>Parma</v>
      </c>
      <c r="F242" s="50" t="n">
        <f aca="false">IFERROR(INDEX('Output Utente'!$N$2:$N$492,MATCH(239,'Output Utente'!$Q$2:$Q$492,0)),"")</f>
        <v>4</v>
      </c>
      <c r="G242" s="50" t="n">
        <f aca="false">IFERROR(INDEX('Output Utente'!$O$2:$O$492,MATCH(239,'Output Utente'!$Q$2:$Q$492,0)),"")</f>
        <v>14</v>
      </c>
      <c r="H242" s="7" t="str">
        <f aca="false">IFERROR(INDEX('Output Utente'!$P$2:$P$492,MATCH(239,'Output Utente'!$Q$2:$Q$492,0)),"")</f>
        <v>Nella Media</v>
      </c>
      <c r="I242" s="50" t="n">
        <f aca="false">IFERROR(INDEX('Output Utente'!$F$2:$F$492,MATCH(239,'Output Utente'!$Q$2:$Q$492,0)),"")</f>
        <v>8</v>
      </c>
      <c r="J242" s="50" t="n">
        <f aca="false">IFERROR(INDEX('Output Utente'!$G$2:$G$492,MATCH(239,'Output Utente'!$Q$2:$Q$492,0)),"")</f>
        <v>5</v>
      </c>
      <c r="K242" s="50" t="n">
        <f aca="false">IFERROR(INDEX('Output Utente'!$H$2:$H$492,MATCH(239,'Output Utente'!$Q$2:$Q$492,0)),"")</f>
        <v>9</v>
      </c>
      <c r="L242" s="7" t="str">
        <f aca="false">IFERROR(INDEX('Output Utente'!$E$2:$E$492,MATCH(239,'Output Utente'!$Q$2:$Q$492,0)),"")</f>
        <v>NO</v>
      </c>
      <c r="M242" s="7" t="str">
        <f aca="false">IFERROR(INDEX('Output Utente'!$U$2:$U$492,MATCH(239,'Output Utente'!$Q$2:$Q$492,0)),"")</f>
        <v>OK</v>
      </c>
      <c r="N242" s="7" t="str">
        <f aca="false">IFERROR(INDEX('Output Utente'!$AE$2:$AE$492,MATCH(239,'Output Utente'!$Q$2:$Q$492,0)),"")</f>
        <v>🟡 Attesa rischiosa</v>
      </c>
    </row>
    <row r="243" customFormat="false" ht="15" hidden="false" customHeight="true" outlineLevel="0" collapsed="false">
      <c r="A243" s="49" t="n">
        <v>240</v>
      </c>
      <c r="B243" s="7" t="n">
        <f aca="false">IFERROR(INDEX('Output Utente'!$A$2:$A$492,MATCH(240,'Output Utente'!$Q$2:$Q$492,0)),"")</f>
        <v>7008</v>
      </c>
      <c r="C243" s="7" t="str">
        <f aca="false">IFERROR(INDEX('Output Utente'!$B$2:$B$492,MATCH(240,'Output Utente'!$Q$2:$Q$492,0)),"")</f>
        <v>A</v>
      </c>
      <c r="D243" s="7" t="str">
        <f aca="false">IFERROR(INDEX('Output Utente'!$C$2:$C$492,MATCH(240,'Output Utente'!$Q$2:$Q$492,0)),"")</f>
        <v>Gimenez</v>
      </c>
      <c r="E243" s="7" t="str">
        <f aca="false">IFERROR(INDEX('Input Giocatori 2026_27'!$D$3:$D$493,MATCH($B243,'Input Giocatori 2026_27'!$A$3:$A$493,0)),"")</f>
        <v>Milan</v>
      </c>
      <c r="F243" s="50" t="n">
        <f aca="false">IFERROR(INDEX('Output Utente'!$N$2:$N$492,MATCH(240,'Output Utente'!$Q$2:$Q$492,0)),"")</f>
        <v>6</v>
      </c>
      <c r="G243" s="50" t="n">
        <f aca="false">IFERROR(INDEX('Output Utente'!$O$2:$O$492,MATCH(240,'Output Utente'!$Q$2:$Q$492,0)),"")</f>
        <v>14</v>
      </c>
      <c r="H243" s="7" t="str">
        <f aca="false">IFERROR(INDEX('Output Utente'!$P$2:$P$492,MATCH(240,'Output Utente'!$Q$2:$Q$492,0)),"")</f>
        <v>Nella Media</v>
      </c>
      <c r="I243" s="50" t="n">
        <f aca="false">IFERROR(INDEX('Output Utente'!$F$2:$F$492,MATCH(240,'Output Utente'!$Q$2:$Q$492,0)),"")</f>
        <v>12</v>
      </c>
      <c r="J243" s="50" t="n">
        <f aca="false">IFERROR(INDEX('Output Utente'!$G$2:$G$492,MATCH(240,'Output Utente'!$Q$2:$Q$492,0)),"")</f>
        <v>8</v>
      </c>
      <c r="K243" s="50" t="n">
        <f aca="false">IFERROR(INDEX('Output Utente'!$H$2:$H$492,MATCH(240,'Output Utente'!$Q$2:$Q$492,0)),"")</f>
        <v>14</v>
      </c>
      <c r="L243" s="7" t="str">
        <f aca="false">IFERROR(INDEX('Output Utente'!$E$2:$E$492,MATCH(240,'Output Utente'!$Q$2:$Q$492,0)),"")</f>
        <v>NO</v>
      </c>
      <c r="M243" s="7" t="str">
        <f aca="false">IFERROR(INDEX('Output Utente'!$U$2:$U$492,MATCH(240,'Output Utente'!$Q$2:$Q$492,0)),"")</f>
        <v>OK</v>
      </c>
      <c r="N243" s="7" t="str">
        <f aca="false">IFERROR(INDEX('Output Utente'!$AE$2:$AE$492,MATCH(240,'Output Utente'!$Q$2:$Q$492,0)),"")</f>
        <v>🔴 Non aspettare</v>
      </c>
    </row>
    <row r="244" customFormat="false" ht="15" hidden="false" customHeight="true" outlineLevel="0" collapsed="false">
      <c r="A244" s="49" t="n">
        <v>241</v>
      </c>
      <c r="B244" s="7" t="n">
        <f aca="false">IFERROR(INDEX('Output Utente'!$A$2:$A$492,MATCH(241,'Output Utente'!$Q$2:$Q$492,0)),"")</f>
        <v>4896</v>
      </c>
      <c r="C244" s="7" t="str">
        <f aca="false">IFERROR(INDEX('Output Utente'!$B$2:$B$492,MATCH(241,'Output Utente'!$Q$2:$Q$492,0)),"")</f>
        <v>A</v>
      </c>
      <c r="D244" s="7" t="str">
        <f aca="false">IFERROR(INDEX('Output Utente'!$C$2:$C$492,MATCH(241,'Output Utente'!$Q$2:$Q$492,0)),"")</f>
        <v>Maldini</v>
      </c>
      <c r="E244" s="7" t="str">
        <f aca="false">IFERROR(INDEX('Input Giocatori 2026_27'!$D$3:$D$493,MATCH($B244,'Input Giocatori 2026_27'!$A$3:$A$493,0)),"")</f>
        <v>Atalanta</v>
      </c>
      <c r="F244" s="50" t="n">
        <f aca="false">IFERROR(INDEX('Output Utente'!$N$2:$N$492,MATCH(241,'Output Utente'!$Q$2:$Q$492,0)),"")</f>
        <v>5</v>
      </c>
      <c r="G244" s="50" t="n">
        <f aca="false">IFERROR(INDEX('Output Utente'!$O$2:$O$492,MATCH(241,'Output Utente'!$Q$2:$Q$492,0)),"")</f>
        <v>14</v>
      </c>
      <c r="H244" s="7" t="str">
        <f aca="false">IFERROR(INDEX('Output Utente'!$P$2:$P$492,MATCH(241,'Output Utente'!$Q$2:$Q$492,0)),"")</f>
        <v>Nella Media</v>
      </c>
      <c r="I244" s="50" t="n">
        <f aca="false">IFERROR(INDEX('Output Utente'!$F$2:$F$492,MATCH(241,'Output Utente'!$Q$2:$Q$492,0)),"")</f>
        <v>12</v>
      </c>
      <c r="J244" s="50" t="n">
        <f aca="false">IFERROR(INDEX('Output Utente'!$G$2:$G$492,MATCH(241,'Output Utente'!$Q$2:$Q$492,0)),"")</f>
        <v>8</v>
      </c>
      <c r="K244" s="50" t="n">
        <f aca="false">IFERROR(INDEX('Output Utente'!$H$2:$H$492,MATCH(241,'Output Utente'!$Q$2:$Q$492,0)),"")</f>
        <v>14</v>
      </c>
      <c r="L244" s="7" t="str">
        <f aca="false">IFERROR(INDEX('Output Utente'!$E$2:$E$492,MATCH(241,'Output Utente'!$Q$2:$Q$492,0)),"")</f>
        <v>NO</v>
      </c>
      <c r="M244" s="7" t="str">
        <f aca="false">IFERROR(INDEX('Output Utente'!$U$2:$U$492,MATCH(241,'Output Utente'!$Q$2:$Q$492,0)),"")</f>
        <v>OK</v>
      </c>
      <c r="N244" s="7" t="str">
        <f aca="false">IFERROR(INDEX('Output Utente'!$AE$2:$AE$492,MATCH(241,'Output Utente'!$Q$2:$Q$492,0)),"")</f>
        <v>🔴 Non aspettare</v>
      </c>
    </row>
    <row r="245" customFormat="false" ht="15" hidden="false" customHeight="true" outlineLevel="0" collapsed="false">
      <c r="A245" s="49" t="n">
        <v>242</v>
      </c>
      <c r="B245" s="7" t="n">
        <f aca="false">IFERROR(INDEX('Output Utente'!$A$2:$A$492,MATCH(242,'Output Utente'!$Q$2:$Q$492,0)),"")</f>
        <v>4387</v>
      </c>
      <c r="C245" s="7" t="str">
        <f aca="false">IFERROR(INDEX('Output Utente'!$B$2:$B$492,MATCH(242,'Output Utente'!$Q$2:$Q$492,0)),"")</f>
        <v>A</v>
      </c>
      <c r="D245" s="7" t="str">
        <f aca="false">IFERROR(INDEX('Output Utente'!$C$2:$C$492,MATCH(242,'Output Utente'!$Q$2:$Q$492,0)),"")</f>
        <v>Adorante</v>
      </c>
      <c r="E245" s="7" t="str">
        <f aca="false">IFERROR(INDEX('Input Giocatori 2026_27'!$D$3:$D$493,MATCH($B245,'Input Giocatori 2026_27'!$A$3:$A$493,0)),"")</f>
        <v>Venezia</v>
      </c>
      <c r="F245" s="50" t="n">
        <f aca="false">IFERROR(INDEX('Output Utente'!$N$2:$N$492,MATCH(242,'Output Utente'!$Q$2:$Q$492,0)),"")</f>
        <v>5</v>
      </c>
      <c r="G245" s="50" t="n">
        <f aca="false">IFERROR(INDEX('Output Utente'!$O$2:$O$492,MATCH(242,'Output Utente'!$Q$2:$Q$492,0)),"")</f>
        <v>14</v>
      </c>
      <c r="H245" s="7" t="str">
        <f aca="false">IFERROR(INDEX('Output Utente'!$P$2:$P$492,MATCH(242,'Output Utente'!$Q$2:$Q$492,0)),"")</f>
        <v>Nella Media</v>
      </c>
      <c r="I245" s="50" t="n">
        <f aca="false">IFERROR(INDEX('Output Utente'!$F$2:$F$492,MATCH(242,'Output Utente'!$Q$2:$Q$492,0)),"")</f>
        <v>12</v>
      </c>
      <c r="J245" s="50" t="n">
        <f aca="false">IFERROR(INDEX('Output Utente'!$G$2:$G$492,MATCH(242,'Output Utente'!$Q$2:$Q$492,0)),"")</f>
        <v>8</v>
      </c>
      <c r="K245" s="50" t="n">
        <f aca="false">IFERROR(INDEX('Output Utente'!$H$2:$H$492,MATCH(242,'Output Utente'!$Q$2:$Q$492,0)),"")</f>
        <v>14</v>
      </c>
      <c r="L245" s="7" t="str">
        <f aca="false">IFERROR(INDEX('Output Utente'!$E$2:$E$492,MATCH(242,'Output Utente'!$Q$2:$Q$492,0)),"")</f>
        <v>NO</v>
      </c>
      <c r="M245" s="7" t="str">
        <f aca="false">IFERROR(INDEX('Output Utente'!$U$2:$U$492,MATCH(242,'Output Utente'!$Q$2:$Q$492,0)),"")</f>
        <v>OK</v>
      </c>
      <c r="N245" s="7" t="str">
        <f aca="false">IFERROR(INDEX('Output Utente'!$AE$2:$AE$492,MATCH(242,'Output Utente'!$Q$2:$Q$492,0)),"")</f>
        <v>🔴 Non aspettare</v>
      </c>
    </row>
    <row r="246" customFormat="false" ht="15" hidden="false" customHeight="true" outlineLevel="0" collapsed="false">
      <c r="A246" s="49" t="n">
        <v>243</v>
      </c>
      <c r="B246" s="7" t="n">
        <f aca="false">IFERROR(INDEX('Output Utente'!$A$2:$A$492,MATCH(243,'Output Utente'!$Q$2:$Q$492,0)),"")</f>
        <v>6660</v>
      </c>
      <c r="C246" s="7" t="str">
        <f aca="false">IFERROR(INDEX('Output Utente'!$B$2:$B$492,MATCH(243,'Output Utente'!$Q$2:$Q$492,0)),"")</f>
        <v>D</v>
      </c>
      <c r="D246" s="7" t="str">
        <f aca="false">IFERROR(INDEX('Output Utente'!$C$2:$C$492,MATCH(243,'Output Utente'!$Q$2:$Q$492,0)),"")</f>
        <v>Marcandalli</v>
      </c>
      <c r="E246" s="7" t="str">
        <f aca="false">IFERROR(INDEX('Input Giocatori 2026_27'!$D$3:$D$493,MATCH($B246,'Input Giocatori 2026_27'!$A$3:$A$493,0)),"")</f>
        <v>Genoa</v>
      </c>
      <c r="F246" s="50" t="n">
        <f aca="false">IFERROR(INDEX('Output Utente'!$N$2:$N$492,MATCH(243,'Output Utente'!$Q$2:$Q$492,0)),"")</f>
        <v>6</v>
      </c>
      <c r="G246" s="50" t="n">
        <f aca="false">IFERROR(INDEX('Output Utente'!$O$2:$O$492,MATCH(243,'Output Utente'!$Q$2:$Q$492,0)),"")</f>
        <v>13</v>
      </c>
      <c r="H246" s="7" t="str">
        <f aca="false">IFERROR(INDEX('Output Utente'!$P$2:$P$492,MATCH(243,'Output Utente'!$Q$2:$Q$492,0)),"")</f>
        <v>Buono</v>
      </c>
      <c r="I246" s="50" t="n">
        <f aca="false">IFERROR(INDEX('Output Utente'!$F$2:$F$492,MATCH(243,'Output Utente'!$Q$2:$Q$492,0)),"")</f>
        <v>6</v>
      </c>
      <c r="J246" s="50" t="n">
        <f aca="false">IFERROR(INDEX('Output Utente'!$G$2:$G$492,MATCH(243,'Output Utente'!$Q$2:$Q$492,0)),"")</f>
        <v>5</v>
      </c>
      <c r="K246" s="50" t="n">
        <f aca="false">IFERROR(INDEX('Output Utente'!$H$2:$H$492,MATCH(243,'Output Utente'!$Q$2:$Q$492,0)),"")</f>
        <v>7</v>
      </c>
      <c r="L246" s="7" t="str">
        <f aca="false">IFERROR(INDEX('Output Utente'!$E$2:$E$492,MATCH(243,'Output Utente'!$Q$2:$Q$492,0)),"")</f>
        <v>NO</v>
      </c>
      <c r="M246" s="7" t="str">
        <f aca="false">IFERROR(INDEX('Output Utente'!$U$2:$U$492,MATCH(243,'Output Utente'!$Q$2:$Q$492,0)),"")</f>
        <v>OK</v>
      </c>
      <c r="N246" s="7" t="str">
        <f aca="false">IFERROR(INDEX('Output Utente'!$AE$2:$AE$492,MATCH(243,'Output Utente'!$Q$2:$Q$492,0)),"")</f>
        <v>🟡 Attesa rischiosa</v>
      </c>
    </row>
    <row r="247" customFormat="false" ht="15" hidden="false" customHeight="true" outlineLevel="0" collapsed="false">
      <c r="A247" s="49" t="n">
        <v>244</v>
      </c>
      <c r="B247" s="7" t="n">
        <f aca="false">IFERROR(INDEX('Output Utente'!$A$2:$A$492,MATCH(244,'Output Utente'!$Q$2:$Q$492,0)),"")</f>
        <v>4502</v>
      </c>
      <c r="C247" s="7" t="str">
        <f aca="false">IFERROR(INDEX('Output Utente'!$B$2:$B$492,MATCH(244,'Output Utente'!$Q$2:$Q$492,0)),"")</f>
        <v>D</v>
      </c>
      <c r="D247" s="7" t="str">
        <f aca="false">IFERROR(INDEX('Output Utente'!$C$2:$C$492,MATCH(244,'Output Utente'!$Q$2:$Q$492,0)),"")</f>
        <v>Gallo</v>
      </c>
      <c r="E247" s="7" t="str">
        <f aca="false">IFERROR(INDEX('Input Giocatori 2026_27'!$D$3:$D$493,MATCH($B247,'Input Giocatori 2026_27'!$A$3:$A$493,0)),"")</f>
        <v>Lecce</v>
      </c>
      <c r="F247" s="50" t="n">
        <f aca="false">IFERROR(INDEX('Output Utente'!$N$2:$N$492,MATCH(244,'Output Utente'!$Q$2:$Q$492,0)),"")</f>
        <v>6</v>
      </c>
      <c r="G247" s="50" t="n">
        <f aca="false">IFERROR(INDEX('Output Utente'!$O$2:$O$492,MATCH(244,'Output Utente'!$Q$2:$Q$492,0)),"")</f>
        <v>13</v>
      </c>
      <c r="H247" s="7" t="str">
        <f aca="false">IFERROR(INDEX('Output Utente'!$P$2:$P$492,MATCH(244,'Output Utente'!$Q$2:$Q$492,0)),"")</f>
        <v>Buono</v>
      </c>
      <c r="I247" s="50" t="n">
        <f aca="false">IFERROR(INDEX('Output Utente'!$F$2:$F$492,MATCH(244,'Output Utente'!$Q$2:$Q$492,0)),"")</f>
        <v>6</v>
      </c>
      <c r="J247" s="50" t="n">
        <f aca="false">IFERROR(INDEX('Output Utente'!$G$2:$G$492,MATCH(244,'Output Utente'!$Q$2:$Q$492,0)),"")</f>
        <v>5</v>
      </c>
      <c r="K247" s="50" t="n">
        <f aca="false">IFERROR(INDEX('Output Utente'!$H$2:$H$492,MATCH(244,'Output Utente'!$Q$2:$Q$492,0)),"")</f>
        <v>7</v>
      </c>
      <c r="L247" s="7" t="str">
        <f aca="false">IFERROR(INDEX('Output Utente'!$E$2:$E$492,MATCH(244,'Output Utente'!$Q$2:$Q$492,0)),"")</f>
        <v>NO</v>
      </c>
      <c r="M247" s="7" t="str">
        <f aca="false">IFERROR(INDEX('Output Utente'!$U$2:$U$492,MATCH(244,'Output Utente'!$Q$2:$Q$492,0)),"")</f>
        <v>OK</v>
      </c>
      <c r="N247" s="7" t="str">
        <f aca="false">IFERROR(INDEX('Output Utente'!$AE$2:$AE$492,MATCH(244,'Output Utente'!$Q$2:$Q$492,0)),"")</f>
        <v>🟡 Attesa rischiosa</v>
      </c>
    </row>
    <row r="248" customFormat="false" ht="15" hidden="false" customHeight="true" outlineLevel="0" collapsed="false">
      <c r="A248" s="49" t="n">
        <v>245</v>
      </c>
      <c r="B248" s="7" t="n">
        <f aca="false">IFERROR(INDEX('Output Utente'!$A$2:$A$492,MATCH(245,'Output Utente'!$Q$2:$Q$492,0)),"")</f>
        <v>7253</v>
      </c>
      <c r="C248" s="7" t="str">
        <f aca="false">IFERROR(INDEX('Output Utente'!$B$2:$B$492,MATCH(245,'Output Utente'!$Q$2:$Q$492,0)),"")</f>
        <v>D</v>
      </c>
      <c r="D248" s="7" t="str">
        <f aca="false">IFERROR(INDEX('Output Utente'!$C$2:$C$492,MATCH(245,'Output Utente'!$Q$2:$Q$492,0)),"")</f>
        <v>Bella-Kotchap</v>
      </c>
      <c r="E248" s="7" t="str">
        <f aca="false">IFERROR(INDEX('Input Giocatori 2026_27'!$D$3:$D$493,MATCH($B248,'Input Giocatori 2026_27'!$A$3:$A$493,0)),"")</f>
        <v>Venezia</v>
      </c>
      <c r="F248" s="50" t="n">
        <f aca="false">IFERROR(INDEX('Output Utente'!$N$2:$N$492,MATCH(245,'Output Utente'!$Q$2:$Q$492,0)),"")</f>
        <v>6</v>
      </c>
      <c r="G248" s="50" t="n">
        <f aca="false">IFERROR(INDEX('Output Utente'!$O$2:$O$492,MATCH(245,'Output Utente'!$Q$2:$Q$492,0)),"")</f>
        <v>13</v>
      </c>
      <c r="H248" s="7" t="str">
        <f aca="false">IFERROR(INDEX('Output Utente'!$P$2:$P$492,MATCH(245,'Output Utente'!$Q$2:$Q$492,0)),"")</f>
        <v>Buono</v>
      </c>
      <c r="I248" s="50" t="n">
        <f aca="false">IFERROR(INDEX('Output Utente'!$F$2:$F$492,MATCH(245,'Output Utente'!$Q$2:$Q$492,0)),"")</f>
        <v>6</v>
      </c>
      <c r="J248" s="50" t="n">
        <f aca="false">IFERROR(INDEX('Output Utente'!$G$2:$G$492,MATCH(245,'Output Utente'!$Q$2:$Q$492,0)),"")</f>
        <v>5</v>
      </c>
      <c r="K248" s="50" t="n">
        <f aca="false">IFERROR(INDEX('Output Utente'!$H$2:$H$492,MATCH(245,'Output Utente'!$Q$2:$Q$492,0)),"")</f>
        <v>7</v>
      </c>
      <c r="L248" s="7" t="str">
        <f aca="false">IFERROR(INDEX('Output Utente'!$E$2:$E$492,MATCH(245,'Output Utente'!$Q$2:$Q$492,0)),"")</f>
        <v>NO</v>
      </c>
      <c r="M248" s="7" t="str">
        <f aca="false">IFERROR(INDEX('Output Utente'!$U$2:$U$492,MATCH(245,'Output Utente'!$Q$2:$Q$492,0)),"")</f>
        <v>OK</v>
      </c>
      <c r="N248" s="7" t="str">
        <f aca="false">IFERROR(INDEX('Output Utente'!$AE$2:$AE$492,MATCH(245,'Output Utente'!$Q$2:$Q$492,0)),"")</f>
        <v>🟡 Attesa rischiosa</v>
      </c>
    </row>
    <row r="249" customFormat="false" ht="15" hidden="false" customHeight="true" outlineLevel="0" collapsed="false">
      <c r="A249" s="49" t="n">
        <v>246</v>
      </c>
      <c r="B249" s="7" t="n">
        <f aca="false">IFERROR(INDEX('Output Utente'!$A$2:$A$492,MATCH(246,'Output Utente'!$Q$2:$Q$492,0)),"")</f>
        <v>5678</v>
      </c>
      <c r="C249" s="7" t="str">
        <f aca="false">IFERROR(INDEX('Output Utente'!$B$2:$B$492,MATCH(246,'Output Utente'!$Q$2:$Q$492,0)),"")</f>
        <v>D</v>
      </c>
      <c r="D249" s="7" t="str">
        <f aca="false">IFERROR(INDEX('Output Utente'!$C$2:$C$492,MATCH(246,'Output Utente'!$Q$2:$Q$492,0)),"")</f>
        <v>Holm</v>
      </c>
      <c r="E249" s="7" t="str">
        <f aca="false">IFERROR(INDEX('Input Giocatori 2026_27'!$D$3:$D$493,MATCH($B249,'Input Giocatori 2026_27'!$A$3:$A$493,0)),"")</f>
        <v>Bologna</v>
      </c>
      <c r="F249" s="50" t="n">
        <f aca="false">IFERROR(INDEX('Output Utente'!$N$2:$N$492,MATCH(246,'Output Utente'!$Q$2:$Q$492,0)),"")</f>
        <v>5</v>
      </c>
      <c r="G249" s="50" t="n">
        <f aca="false">IFERROR(INDEX('Output Utente'!$O$2:$O$492,MATCH(246,'Output Utente'!$Q$2:$Q$492,0)),"")</f>
        <v>13</v>
      </c>
      <c r="H249" s="7" t="str">
        <f aca="false">IFERROR(INDEX('Output Utente'!$P$2:$P$492,MATCH(246,'Output Utente'!$Q$2:$Q$492,0)),"")</f>
        <v>Buono</v>
      </c>
      <c r="I249" s="50" t="n">
        <f aca="false">IFERROR(INDEX('Output Utente'!$F$2:$F$492,MATCH(246,'Output Utente'!$Q$2:$Q$492,0)),"")</f>
        <v>6</v>
      </c>
      <c r="J249" s="50" t="n">
        <f aca="false">IFERROR(INDEX('Output Utente'!$G$2:$G$492,MATCH(246,'Output Utente'!$Q$2:$Q$492,0)),"")</f>
        <v>5</v>
      </c>
      <c r="K249" s="50" t="n">
        <f aca="false">IFERROR(INDEX('Output Utente'!$H$2:$H$492,MATCH(246,'Output Utente'!$Q$2:$Q$492,0)),"")</f>
        <v>7</v>
      </c>
      <c r="L249" s="7" t="str">
        <f aca="false">IFERROR(INDEX('Output Utente'!$E$2:$E$492,MATCH(246,'Output Utente'!$Q$2:$Q$492,0)),"")</f>
        <v>NO</v>
      </c>
      <c r="M249" s="7" t="str">
        <f aca="false">IFERROR(INDEX('Output Utente'!$U$2:$U$492,MATCH(246,'Output Utente'!$Q$2:$Q$492,0)),"")</f>
        <v>OK</v>
      </c>
      <c r="N249" s="7" t="str">
        <f aca="false">IFERROR(INDEX('Output Utente'!$AE$2:$AE$492,MATCH(246,'Output Utente'!$Q$2:$Q$492,0)),"")</f>
        <v>🟡 Attesa rischiosa</v>
      </c>
    </row>
    <row r="250" customFormat="false" ht="15" hidden="false" customHeight="true" outlineLevel="0" collapsed="false">
      <c r="A250" s="49" t="n">
        <v>247</v>
      </c>
      <c r="B250" s="7" t="n">
        <f aca="false">IFERROR(INDEX('Output Utente'!$A$2:$A$492,MATCH(247,'Output Utente'!$Q$2:$Q$492,0)),"")</f>
        <v>6893</v>
      </c>
      <c r="C250" s="7" t="str">
        <f aca="false">IFERROR(INDEX('Output Utente'!$B$2:$B$492,MATCH(247,'Output Utente'!$Q$2:$Q$492,0)),"")</f>
        <v>D</v>
      </c>
      <c r="D250" s="7" t="str">
        <f aca="false">IFERROR(INDEX('Output Utente'!$C$2:$C$492,MATCH(247,'Output Utente'!$Q$2:$Q$492,0)),"")</f>
        <v>Kempf</v>
      </c>
      <c r="E250" s="7" t="str">
        <f aca="false">IFERROR(INDEX('Input Giocatori 2026_27'!$D$3:$D$493,MATCH($B250,'Input Giocatori 2026_27'!$A$3:$A$493,0)),"")</f>
        <v>Como</v>
      </c>
      <c r="F250" s="50" t="n">
        <f aca="false">IFERROR(INDEX('Output Utente'!$N$2:$N$492,MATCH(247,'Output Utente'!$Q$2:$Q$492,0)),"")</f>
        <v>5</v>
      </c>
      <c r="G250" s="50" t="n">
        <f aca="false">IFERROR(INDEX('Output Utente'!$O$2:$O$492,MATCH(247,'Output Utente'!$Q$2:$Q$492,0)),"")</f>
        <v>13</v>
      </c>
      <c r="H250" s="7" t="str">
        <f aca="false">IFERROR(INDEX('Output Utente'!$P$2:$P$492,MATCH(247,'Output Utente'!$Q$2:$Q$492,0)),"")</f>
        <v>Buono</v>
      </c>
      <c r="I250" s="50" t="n">
        <f aca="false">IFERROR(INDEX('Output Utente'!$F$2:$F$492,MATCH(247,'Output Utente'!$Q$2:$Q$492,0)),"")</f>
        <v>6</v>
      </c>
      <c r="J250" s="50" t="n">
        <f aca="false">IFERROR(INDEX('Output Utente'!$G$2:$G$492,MATCH(247,'Output Utente'!$Q$2:$Q$492,0)),"")</f>
        <v>5</v>
      </c>
      <c r="K250" s="50" t="n">
        <f aca="false">IFERROR(INDEX('Output Utente'!$H$2:$H$492,MATCH(247,'Output Utente'!$Q$2:$Q$492,0)),"")</f>
        <v>7</v>
      </c>
      <c r="L250" s="7" t="str">
        <f aca="false">IFERROR(INDEX('Output Utente'!$E$2:$E$492,MATCH(247,'Output Utente'!$Q$2:$Q$492,0)),"")</f>
        <v>NO</v>
      </c>
      <c r="M250" s="7" t="str">
        <f aca="false">IFERROR(INDEX('Output Utente'!$U$2:$U$492,MATCH(247,'Output Utente'!$Q$2:$Q$492,0)),"")</f>
        <v>OK</v>
      </c>
      <c r="N250" s="7" t="str">
        <f aca="false">IFERROR(INDEX('Output Utente'!$AE$2:$AE$492,MATCH(247,'Output Utente'!$Q$2:$Q$492,0)),"")</f>
        <v>🟡 Attesa rischiosa</v>
      </c>
    </row>
    <row r="251" customFormat="false" ht="15" hidden="false" customHeight="true" outlineLevel="0" collapsed="false">
      <c r="A251" s="49" t="n">
        <v>248</v>
      </c>
      <c r="B251" s="7" t="n">
        <f aca="false">IFERROR(INDEX('Output Utente'!$A$2:$A$492,MATCH(248,'Output Utente'!$Q$2:$Q$492,0)),"")</f>
        <v>6766</v>
      </c>
      <c r="C251" s="7" t="str">
        <f aca="false">IFERROR(INDEX('Output Utente'!$B$2:$B$492,MATCH(248,'Output Utente'!$Q$2:$Q$492,0)),"")</f>
        <v>D</v>
      </c>
      <c r="D251" s="7" t="str">
        <f aca="false">IFERROR(INDEX('Output Utente'!$C$2:$C$492,MATCH(248,'Output Utente'!$Q$2:$Q$492,0)),"")</f>
        <v>Kelly L.</v>
      </c>
      <c r="E251" s="7" t="str">
        <f aca="false">IFERROR(INDEX('Input Giocatori 2026_27'!$D$3:$D$493,MATCH($B251,'Input Giocatori 2026_27'!$A$3:$A$493,0)),"")</f>
        <v>Juventus</v>
      </c>
      <c r="F251" s="50" t="n">
        <f aca="false">IFERROR(INDEX('Output Utente'!$N$2:$N$492,MATCH(248,'Output Utente'!$Q$2:$Q$492,0)),"")</f>
        <v>5</v>
      </c>
      <c r="G251" s="50" t="n">
        <f aca="false">IFERROR(INDEX('Output Utente'!$O$2:$O$492,MATCH(248,'Output Utente'!$Q$2:$Q$492,0)),"")</f>
        <v>13</v>
      </c>
      <c r="H251" s="7" t="str">
        <f aca="false">IFERROR(INDEX('Output Utente'!$P$2:$P$492,MATCH(248,'Output Utente'!$Q$2:$Q$492,0)),"")</f>
        <v>Buono</v>
      </c>
      <c r="I251" s="50" t="n">
        <f aca="false">IFERROR(INDEX('Output Utente'!$F$2:$F$492,MATCH(248,'Output Utente'!$Q$2:$Q$492,0)),"")</f>
        <v>6</v>
      </c>
      <c r="J251" s="50" t="n">
        <f aca="false">IFERROR(INDEX('Output Utente'!$G$2:$G$492,MATCH(248,'Output Utente'!$Q$2:$Q$492,0)),"")</f>
        <v>5</v>
      </c>
      <c r="K251" s="50" t="n">
        <f aca="false">IFERROR(INDEX('Output Utente'!$H$2:$H$492,MATCH(248,'Output Utente'!$Q$2:$Q$492,0)),"")</f>
        <v>7</v>
      </c>
      <c r="L251" s="7" t="str">
        <f aca="false">IFERROR(INDEX('Output Utente'!$E$2:$E$492,MATCH(248,'Output Utente'!$Q$2:$Q$492,0)),"")</f>
        <v>NO</v>
      </c>
      <c r="M251" s="7" t="str">
        <f aca="false">IFERROR(INDEX('Output Utente'!$U$2:$U$492,MATCH(248,'Output Utente'!$Q$2:$Q$492,0)),"")</f>
        <v>OK</v>
      </c>
      <c r="N251" s="7" t="str">
        <f aca="false">IFERROR(INDEX('Output Utente'!$AE$2:$AE$492,MATCH(248,'Output Utente'!$Q$2:$Q$492,0)),"")</f>
        <v>🟡 Attesa rischiosa</v>
      </c>
    </row>
    <row r="252" customFormat="false" ht="15" hidden="false" customHeight="true" outlineLevel="0" collapsed="false">
      <c r="A252" s="49" t="n">
        <v>249</v>
      </c>
      <c r="B252" s="7" t="n">
        <f aca="false">IFERROR(INDEX('Output Utente'!$A$2:$A$492,MATCH(249,'Output Utente'!$Q$2:$Q$492,0)),"")</f>
        <v>5840</v>
      </c>
      <c r="C252" s="7" t="str">
        <f aca="false">IFERROR(INDEX('Output Utente'!$B$2:$B$492,MATCH(249,'Output Utente'!$Q$2:$Q$492,0)),"")</f>
        <v>D</v>
      </c>
      <c r="D252" s="7" t="str">
        <f aca="false">IFERROR(INDEX('Output Utente'!$C$2:$C$492,MATCH(249,'Output Utente'!$Q$2:$Q$492,0)),"")</f>
        <v>Olivera</v>
      </c>
      <c r="E252" s="7" t="str">
        <f aca="false">IFERROR(INDEX('Input Giocatori 2026_27'!$D$3:$D$493,MATCH($B252,'Input Giocatori 2026_27'!$A$3:$A$493,0)),"")</f>
        <v>Napoli</v>
      </c>
      <c r="F252" s="50" t="n">
        <f aca="false">IFERROR(INDEX('Output Utente'!$N$2:$N$492,MATCH(249,'Output Utente'!$Q$2:$Q$492,0)),"")</f>
        <v>5</v>
      </c>
      <c r="G252" s="50" t="n">
        <f aca="false">IFERROR(INDEX('Output Utente'!$O$2:$O$492,MATCH(249,'Output Utente'!$Q$2:$Q$492,0)),"")</f>
        <v>13</v>
      </c>
      <c r="H252" s="7" t="str">
        <f aca="false">IFERROR(INDEX('Output Utente'!$P$2:$P$492,MATCH(249,'Output Utente'!$Q$2:$Q$492,0)),"")</f>
        <v>Buono</v>
      </c>
      <c r="I252" s="50" t="n">
        <f aca="false">IFERROR(INDEX('Output Utente'!$F$2:$F$492,MATCH(249,'Output Utente'!$Q$2:$Q$492,0)),"")</f>
        <v>6</v>
      </c>
      <c r="J252" s="50" t="n">
        <f aca="false">IFERROR(INDEX('Output Utente'!$G$2:$G$492,MATCH(249,'Output Utente'!$Q$2:$Q$492,0)),"")</f>
        <v>5</v>
      </c>
      <c r="K252" s="50" t="n">
        <f aca="false">IFERROR(INDEX('Output Utente'!$H$2:$H$492,MATCH(249,'Output Utente'!$Q$2:$Q$492,0)),"")</f>
        <v>7</v>
      </c>
      <c r="L252" s="7" t="str">
        <f aca="false">IFERROR(INDEX('Output Utente'!$E$2:$E$492,MATCH(249,'Output Utente'!$Q$2:$Q$492,0)),"")</f>
        <v>NO</v>
      </c>
      <c r="M252" s="7" t="str">
        <f aca="false">IFERROR(INDEX('Output Utente'!$U$2:$U$492,MATCH(249,'Output Utente'!$Q$2:$Q$492,0)),"")</f>
        <v>OK</v>
      </c>
      <c r="N252" s="7" t="str">
        <f aca="false">IFERROR(INDEX('Output Utente'!$AE$2:$AE$492,MATCH(249,'Output Utente'!$Q$2:$Q$492,0)),"")</f>
        <v>🟡 Attesa rischiosa</v>
      </c>
    </row>
    <row r="253" customFormat="false" ht="15" hidden="false" customHeight="true" outlineLevel="0" collapsed="false">
      <c r="A253" s="49" t="n">
        <v>250</v>
      </c>
      <c r="B253" s="7" t="n">
        <f aca="false">IFERROR(INDEX('Output Utente'!$A$2:$A$492,MATCH(250,'Output Utente'!$Q$2:$Q$492,0)),"")</f>
        <v>6426</v>
      </c>
      <c r="C253" s="7" t="str">
        <f aca="false">IFERROR(INDEX('Output Utente'!$B$2:$B$492,MATCH(250,'Output Utente'!$Q$2:$Q$492,0)),"")</f>
        <v>D</v>
      </c>
      <c r="D253" s="7" t="str">
        <f aca="false">IFERROR(INDEX('Output Utente'!$C$2:$C$492,MATCH(250,'Output Utente'!$Q$2:$Q$492,0)),"")</f>
        <v>Pedersen</v>
      </c>
      <c r="E253" s="7" t="str">
        <f aca="false">IFERROR(INDEX('Input Giocatori 2026_27'!$D$3:$D$493,MATCH($B253,'Input Giocatori 2026_27'!$A$3:$A$493,0)),"")</f>
        <v>Torino</v>
      </c>
      <c r="F253" s="50" t="n">
        <f aca="false">IFERROR(INDEX('Output Utente'!$N$2:$N$492,MATCH(250,'Output Utente'!$Q$2:$Q$492,0)),"")</f>
        <v>5</v>
      </c>
      <c r="G253" s="50" t="n">
        <f aca="false">IFERROR(INDEX('Output Utente'!$O$2:$O$492,MATCH(250,'Output Utente'!$Q$2:$Q$492,0)),"")</f>
        <v>13</v>
      </c>
      <c r="H253" s="7" t="str">
        <f aca="false">IFERROR(INDEX('Output Utente'!$P$2:$P$492,MATCH(250,'Output Utente'!$Q$2:$Q$492,0)),"")</f>
        <v>Buono</v>
      </c>
      <c r="I253" s="50" t="n">
        <f aca="false">IFERROR(INDEX('Output Utente'!$F$2:$F$492,MATCH(250,'Output Utente'!$Q$2:$Q$492,0)),"")</f>
        <v>6</v>
      </c>
      <c r="J253" s="50" t="n">
        <f aca="false">IFERROR(INDEX('Output Utente'!$G$2:$G$492,MATCH(250,'Output Utente'!$Q$2:$Q$492,0)),"")</f>
        <v>5</v>
      </c>
      <c r="K253" s="50" t="n">
        <f aca="false">IFERROR(INDEX('Output Utente'!$H$2:$H$492,MATCH(250,'Output Utente'!$Q$2:$Q$492,0)),"")</f>
        <v>7</v>
      </c>
      <c r="L253" s="7" t="str">
        <f aca="false">IFERROR(INDEX('Output Utente'!$E$2:$E$492,MATCH(250,'Output Utente'!$Q$2:$Q$492,0)),"")</f>
        <v>NO</v>
      </c>
      <c r="M253" s="7" t="str">
        <f aca="false">IFERROR(INDEX('Output Utente'!$U$2:$U$492,MATCH(250,'Output Utente'!$Q$2:$Q$492,0)),"")</f>
        <v>OK</v>
      </c>
      <c r="N253" s="7" t="str">
        <f aca="false">IFERROR(INDEX('Output Utente'!$AE$2:$AE$492,MATCH(250,'Output Utente'!$Q$2:$Q$492,0)),"")</f>
        <v>🟡 Attesa rischiosa</v>
      </c>
    </row>
    <row r="254" customFormat="false" ht="15" hidden="false" customHeight="true" outlineLevel="0" collapsed="false">
      <c r="A254" s="49" t="n">
        <v>251</v>
      </c>
      <c r="B254" s="7" t="n">
        <f aca="false">IFERROR(INDEX('Output Utente'!$A$2:$A$492,MATCH(251,'Output Utente'!$Q$2:$Q$492,0)),"")</f>
        <v>5851</v>
      </c>
      <c r="C254" s="7" t="str">
        <f aca="false">IFERROR(INDEX('Output Utente'!$B$2:$B$492,MATCH(251,'Output Utente'!$Q$2:$Q$492,0)),"")</f>
        <v>D</v>
      </c>
      <c r="D254" s="7" t="str">
        <f aca="false">IFERROR(INDEX('Output Utente'!$C$2:$C$492,MATCH(251,'Output Utente'!$Q$2:$Q$492,0)),"")</f>
        <v>Doig</v>
      </c>
      <c r="E254" s="7" t="str">
        <f aca="false">IFERROR(INDEX('Input Giocatori 2026_27'!$D$3:$D$493,MATCH($B254,'Input Giocatori 2026_27'!$A$3:$A$493,0)),"")</f>
        <v>Sassuolo</v>
      </c>
      <c r="F254" s="50" t="n">
        <f aca="false">IFERROR(INDEX('Output Utente'!$N$2:$N$492,MATCH(251,'Output Utente'!$Q$2:$Q$492,0)),"")</f>
        <v>4</v>
      </c>
      <c r="G254" s="50" t="n">
        <f aca="false">IFERROR(INDEX('Output Utente'!$O$2:$O$492,MATCH(251,'Output Utente'!$Q$2:$Q$492,0)),"")</f>
        <v>13</v>
      </c>
      <c r="H254" s="7" t="str">
        <f aca="false">IFERROR(INDEX('Output Utente'!$P$2:$P$492,MATCH(251,'Output Utente'!$Q$2:$Q$492,0)),"")</f>
        <v>Buono</v>
      </c>
      <c r="I254" s="50" t="n">
        <f aca="false">IFERROR(INDEX('Output Utente'!$F$2:$F$492,MATCH(251,'Output Utente'!$Q$2:$Q$492,0)),"")</f>
        <v>6</v>
      </c>
      <c r="J254" s="50" t="n">
        <f aca="false">IFERROR(INDEX('Output Utente'!$G$2:$G$492,MATCH(251,'Output Utente'!$Q$2:$Q$492,0)),"")</f>
        <v>5</v>
      </c>
      <c r="K254" s="50" t="n">
        <f aca="false">IFERROR(INDEX('Output Utente'!$H$2:$H$492,MATCH(251,'Output Utente'!$Q$2:$Q$492,0)),"")</f>
        <v>7</v>
      </c>
      <c r="L254" s="7" t="str">
        <f aca="false">IFERROR(INDEX('Output Utente'!$E$2:$E$492,MATCH(251,'Output Utente'!$Q$2:$Q$492,0)),"")</f>
        <v>NO</v>
      </c>
      <c r="M254" s="7" t="str">
        <f aca="false">IFERROR(INDEX('Output Utente'!$U$2:$U$492,MATCH(251,'Output Utente'!$Q$2:$Q$492,0)),"")</f>
        <v>OK</v>
      </c>
      <c r="N254" s="7" t="str">
        <f aca="false">IFERROR(INDEX('Output Utente'!$AE$2:$AE$492,MATCH(251,'Output Utente'!$Q$2:$Q$492,0)),"")</f>
        <v>🟡 Attesa rischiosa</v>
      </c>
    </row>
    <row r="255" customFormat="false" ht="15" hidden="false" customHeight="true" outlineLevel="0" collapsed="false">
      <c r="A255" s="49" t="n">
        <v>252</v>
      </c>
      <c r="B255" s="7" t="n">
        <f aca="false">IFERROR(INDEX('Output Utente'!$A$2:$A$492,MATCH(252,'Output Utente'!$Q$2:$Q$492,0)),"")</f>
        <v>2848</v>
      </c>
      <c r="C255" s="7" t="str">
        <f aca="false">IFERROR(INDEX('Output Utente'!$B$2:$B$492,MATCH(252,'Output Utente'!$Q$2:$Q$492,0)),"")</f>
        <v>C</v>
      </c>
      <c r="D255" s="7" t="str">
        <f aca="false">IFERROR(INDEX('Output Utente'!$C$2:$C$492,MATCH(252,'Output Utente'!$Q$2:$Q$492,0)),"")</f>
        <v>Frattesi</v>
      </c>
      <c r="E255" s="7" t="str">
        <f aca="false">IFERROR(INDEX('Input Giocatori 2026_27'!$D$3:$D$493,MATCH($B255,'Input Giocatori 2026_27'!$A$3:$A$493,0)),"")</f>
        <v>Inter</v>
      </c>
      <c r="F255" s="50" t="n">
        <f aca="false">IFERROR(INDEX('Output Utente'!$N$2:$N$492,MATCH(252,'Output Utente'!$Q$2:$Q$492,0)),"")</f>
        <v>7</v>
      </c>
      <c r="G255" s="50" t="n">
        <f aca="false">IFERROR(INDEX('Output Utente'!$O$2:$O$492,MATCH(252,'Output Utente'!$Q$2:$Q$492,0)),"")</f>
        <v>13</v>
      </c>
      <c r="H255" s="7" t="str">
        <f aca="false">IFERROR(INDEX('Output Utente'!$P$2:$P$492,MATCH(252,'Output Utente'!$Q$2:$Q$492,0)),"")</f>
        <v>Nella Media</v>
      </c>
      <c r="I255" s="50" t="n">
        <f aca="false">IFERROR(INDEX('Output Utente'!$F$2:$F$492,MATCH(252,'Output Utente'!$Q$2:$Q$492,0)),"")</f>
        <v>7</v>
      </c>
      <c r="J255" s="50" t="n">
        <f aca="false">IFERROR(INDEX('Output Utente'!$G$2:$G$492,MATCH(252,'Output Utente'!$Q$2:$Q$492,0)),"")</f>
        <v>5</v>
      </c>
      <c r="K255" s="50" t="n">
        <f aca="false">IFERROR(INDEX('Output Utente'!$H$2:$H$492,MATCH(252,'Output Utente'!$Q$2:$Q$492,0)),"")</f>
        <v>8</v>
      </c>
      <c r="L255" s="7" t="str">
        <f aca="false">IFERROR(INDEX('Output Utente'!$E$2:$E$492,MATCH(252,'Output Utente'!$Q$2:$Q$492,0)),"")</f>
        <v>NO</v>
      </c>
      <c r="M255" s="7" t="str">
        <f aca="false">IFERROR(INDEX('Output Utente'!$U$2:$U$492,MATCH(252,'Output Utente'!$Q$2:$Q$492,0)),"")</f>
        <v>OK</v>
      </c>
      <c r="N255" s="7" t="str">
        <f aca="false">IFERROR(INDEX('Output Utente'!$AE$2:$AE$492,MATCH(252,'Output Utente'!$Q$2:$Q$492,0)),"")</f>
        <v>🟡 Attesa rischiosa</v>
      </c>
    </row>
    <row r="256" customFormat="false" ht="15" hidden="false" customHeight="true" outlineLevel="0" collapsed="false">
      <c r="A256" s="49" t="n">
        <v>253</v>
      </c>
      <c r="B256" s="7" t="n">
        <f aca="false">IFERROR(INDEX('Output Utente'!$A$2:$A$492,MATCH(253,'Output Utente'!$Q$2:$Q$492,0)),"")</f>
        <v>4870</v>
      </c>
      <c r="C256" s="7" t="str">
        <f aca="false">IFERROR(INDEX('Output Utente'!$B$2:$B$492,MATCH(253,'Output Utente'!$Q$2:$Q$492,0)),"")</f>
        <v>C</v>
      </c>
      <c r="D256" s="7" t="str">
        <f aca="false">IFERROR(INDEX('Output Utente'!$C$2:$C$492,MATCH(253,'Output Utente'!$Q$2:$Q$492,0)),"")</f>
        <v>Adopo</v>
      </c>
      <c r="E256" s="7" t="str">
        <f aca="false">IFERROR(INDEX('Input Giocatori 2026_27'!$D$3:$D$493,MATCH($B256,'Input Giocatori 2026_27'!$A$3:$A$493,0)),"")</f>
        <v>Cagliari</v>
      </c>
      <c r="F256" s="50" t="n">
        <f aca="false">IFERROR(INDEX('Output Utente'!$N$2:$N$492,MATCH(253,'Output Utente'!$Q$2:$Q$492,0)),"")</f>
        <v>6</v>
      </c>
      <c r="G256" s="50" t="n">
        <f aca="false">IFERROR(INDEX('Output Utente'!$O$2:$O$492,MATCH(253,'Output Utente'!$Q$2:$Q$492,0)),"")</f>
        <v>13</v>
      </c>
      <c r="H256" s="7" t="str">
        <f aca="false">IFERROR(INDEX('Output Utente'!$P$2:$P$492,MATCH(253,'Output Utente'!$Q$2:$Q$492,0)),"")</f>
        <v>Nella Media</v>
      </c>
      <c r="I256" s="50" t="n">
        <f aca="false">IFERROR(INDEX('Output Utente'!$F$2:$F$492,MATCH(253,'Output Utente'!$Q$2:$Q$492,0)),"")</f>
        <v>7</v>
      </c>
      <c r="J256" s="50" t="n">
        <f aca="false">IFERROR(INDEX('Output Utente'!$G$2:$G$492,MATCH(253,'Output Utente'!$Q$2:$Q$492,0)),"")</f>
        <v>5</v>
      </c>
      <c r="K256" s="50" t="n">
        <f aca="false">IFERROR(INDEX('Output Utente'!$H$2:$H$492,MATCH(253,'Output Utente'!$Q$2:$Q$492,0)),"")</f>
        <v>8</v>
      </c>
      <c r="L256" s="7" t="str">
        <f aca="false">IFERROR(INDEX('Output Utente'!$E$2:$E$492,MATCH(253,'Output Utente'!$Q$2:$Q$492,0)),"")</f>
        <v>NO</v>
      </c>
      <c r="M256" s="7" t="str">
        <f aca="false">IFERROR(INDEX('Output Utente'!$U$2:$U$492,MATCH(253,'Output Utente'!$Q$2:$Q$492,0)),"")</f>
        <v>OK</v>
      </c>
      <c r="N256" s="7" t="str">
        <f aca="false">IFERROR(INDEX('Output Utente'!$AE$2:$AE$492,MATCH(253,'Output Utente'!$Q$2:$Q$492,0)),"")</f>
        <v>🟡 Attesa rischiosa</v>
      </c>
    </row>
    <row r="257" customFormat="false" ht="15" hidden="false" customHeight="true" outlineLevel="0" collapsed="false">
      <c r="A257" s="49" t="n">
        <v>254</v>
      </c>
      <c r="B257" s="7" t="n">
        <f aca="false">IFERROR(INDEX('Output Utente'!$A$2:$A$492,MATCH(254,'Output Utente'!$Q$2:$Q$492,0)),"")</f>
        <v>5998</v>
      </c>
      <c r="C257" s="7" t="str">
        <f aca="false">IFERROR(INDEX('Output Utente'!$B$2:$B$492,MATCH(254,'Output Utente'!$Q$2:$Q$492,0)),"")</f>
        <v>C</v>
      </c>
      <c r="D257" s="7" t="str">
        <f aca="false">IFERROR(INDEX('Output Utente'!$C$2:$C$492,MATCH(254,'Output Utente'!$Q$2:$Q$492,0)),"")</f>
        <v>Zerbin</v>
      </c>
      <c r="E257" s="7" t="str">
        <f aca="false">IFERROR(INDEX('Input Giocatori 2026_27'!$D$3:$D$493,MATCH($B257,'Input Giocatori 2026_27'!$A$3:$A$493,0)),"")</f>
        <v>Frosinone</v>
      </c>
      <c r="F257" s="50" t="n">
        <f aca="false">IFERROR(INDEX('Output Utente'!$N$2:$N$492,MATCH(254,'Output Utente'!$Q$2:$Q$492,0)),"")</f>
        <v>5</v>
      </c>
      <c r="G257" s="50" t="n">
        <f aca="false">IFERROR(INDEX('Output Utente'!$O$2:$O$492,MATCH(254,'Output Utente'!$Q$2:$Q$492,0)),"")</f>
        <v>13</v>
      </c>
      <c r="H257" s="7" t="str">
        <f aca="false">IFERROR(INDEX('Output Utente'!$P$2:$P$492,MATCH(254,'Output Utente'!$Q$2:$Q$492,0)),"")</f>
        <v>Nella Media</v>
      </c>
      <c r="I257" s="50" t="n">
        <f aca="false">IFERROR(INDEX('Output Utente'!$F$2:$F$492,MATCH(254,'Output Utente'!$Q$2:$Q$492,0)),"")</f>
        <v>7</v>
      </c>
      <c r="J257" s="50" t="n">
        <f aca="false">IFERROR(INDEX('Output Utente'!$G$2:$G$492,MATCH(254,'Output Utente'!$Q$2:$Q$492,0)),"")</f>
        <v>5</v>
      </c>
      <c r="K257" s="50" t="n">
        <f aca="false">IFERROR(INDEX('Output Utente'!$H$2:$H$492,MATCH(254,'Output Utente'!$Q$2:$Q$492,0)),"")</f>
        <v>8</v>
      </c>
      <c r="L257" s="7" t="str">
        <f aca="false">IFERROR(INDEX('Output Utente'!$E$2:$E$492,MATCH(254,'Output Utente'!$Q$2:$Q$492,0)),"")</f>
        <v>NO</v>
      </c>
      <c r="M257" s="7" t="str">
        <f aca="false">IFERROR(INDEX('Output Utente'!$U$2:$U$492,MATCH(254,'Output Utente'!$Q$2:$Q$492,0)),"")</f>
        <v>OK</v>
      </c>
      <c r="N257" s="7" t="str">
        <f aca="false">IFERROR(INDEX('Output Utente'!$AE$2:$AE$492,MATCH(254,'Output Utente'!$Q$2:$Q$492,0)),"")</f>
        <v>🟡 Attesa rischiosa</v>
      </c>
    </row>
    <row r="258" customFormat="false" ht="15" hidden="false" customHeight="true" outlineLevel="0" collapsed="false">
      <c r="A258" s="49" t="n">
        <v>255</v>
      </c>
      <c r="B258" s="7" t="n">
        <f aca="false">IFERROR(INDEX('Output Utente'!$A$2:$A$492,MATCH(255,'Output Utente'!$Q$2:$Q$492,0)),"")</f>
        <v>6629</v>
      </c>
      <c r="C258" s="7" t="str">
        <f aca="false">IFERROR(INDEX('Output Utente'!$B$2:$B$492,MATCH(255,'Output Utente'!$Q$2:$Q$492,0)),"")</f>
        <v>C</v>
      </c>
      <c r="D258" s="7" t="str">
        <f aca="false">IFERROR(INDEX('Output Utente'!$C$2:$C$492,MATCH(255,'Output Utente'!$Q$2:$Q$492,0)),"")</f>
        <v>Dele-Bashiru</v>
      </c>
      <c r="E258" s="7" t="str">
        <f aca="false">IFERROR(INDEX('Input Giocatori 2026_27'!$D$3:$D$493,MATCH($B258,'Input Giocatori 2026_27'!$A$3:$A$493,0)),"")</f>
        <v>Lazio</v>
      </c>
      <c r="F258" s="50" t="n">
        <f aca="false">IFERROR(INDEX('Output Utente'!$N$2:$N$492,MATCH(255,'Output Utente'!$Q$2:$Q$492,0)),"")</f>
        <v>5</v>
      </c>
      <c r="G258" s="50" t="n">
        <f aca="false">IFERROR(INDEX('Output Utente'!$O$2:$O$492,MATCH(255,'Output Utente'!$Q$2:$Q$492,0)),"")</f>
        <v>13</v>
      </c>
      <c r="H258" s="7" t="str">
        <f aca="false">IFERROR(INDEX('Output Utente'!$P$2:$P$492,MATCH(255,'Output Utente'!$Q$2:$Q$492,0)),"")</f>
        <v>Nella Media</v>
      </c>
      <c r="I258" s="50" t="n">
        <f aca="false">IFERROR(INDEX('Output Utente'!$F$2:$F$492,MATCH(255,'Output Utente'!$Q$2:$Q$492,0)),"")</f>
        <v>7</v>
      </c>
      <c r="J258" s="50" t="n">
        <f aca="false">IFERROR(INDEX('Output Utente'!$G$2:$G$492,MATCH(255,'Output Utente'!$Q$2:$Q$492,0)),"")</f>
        <v>5</v>
      </c>
      <c r="K258" s="50" t="n">
        <f aca="false">IFERROR(INDEX('Output Utente'!$H$2:$H$492,MATCH(255,'Output Utente'!$Q$2:$Q$492,0)),"")</f>
        <v>8</v>
      </c>
      <c r="L258" s="7" t="str">
        <f aca="false">IFERROR(INDEX('Output Utente'!$E$2:$E$492,MATCH(255,'Output Utente'!$Q$2:$Q$492,0)),"")</f>
        <v>NO</v>
      </c>
      <c r="M258" s="7" t="str">
        <f aca="false">IFERROR(INDEX('Output Utente'!$U$2:$U$492,MATCH(255,'Output Utente'!$Q$2:$Q$492,0)),"")</f>
        <v>OK</v>
      </c>
      <c r="N258" s="7" t="str">
        <f aca="false">IFERROR(INDEX('Output Utente'!$AE$2:$AE$492,MATCH(255,'Output Utente'!$Q$2:$Q$492,0)),"")</f>
        <v>🟡 Attesa rischiosa</v>
      </c>
    </row>
    <row r="259" customFormat="false" ht="15" hidden="false" customHeight="true" outlineLevel="0" collapsed="false">
      <c r="A259" s="49" t="n">
        <v>256</v>
      </c>
      <c r="B259" s="7" t="n">
        <f aca="false">IFERROR(INDEX('Output Utente'!$A$2:$A$492,MATCH(256,'Output Utente'!$Q$2:$Q$492,0)),"")</f>
        <v>6170</v>
      </c>
      <c r="C259" s="7" t="str">
        <f aca="false">IFERROR(INDEX('Output Utente'!$B$2:$B$492,MATCH(256,'Output Utente'!$Q$2:$Q$492,0)),"")</f>
        <v>C</v>
      </c>
      <c r="D259" s="7" t="str">
        <f aca="false">IFERROR(INDEX('Output Utente'!$C$2:$C$492,MATCH(256,'Output Utente'!$Q$2:$Q$492,0)),"")</f>
        <v>Gineitis</v>
      </c>
      <c r="E259" s="7" t="str">
        <f aca="false">IFERROR(INDEX('Input Giocatori 2026_27'!$D$3:$D$493,MATCH($B259,'Input Giocatori 2026_27'!$A$3:$A$493,0)),"")</f>
        <v>Torino</v>
      </c>
      <c r="F259" s="50" t="n">
        <f aca="false">IFERROR(INDEX('Output Utente'!$N$2:$N$492,MATCH(256,'Output Utente'!$Q$2:$Q$492,0)),"")</f>
        <v>5</v>
      </c>
      <c r="G259" s="50" t="n">
        <f aca="false">IFERROR(INDEX('Output Utente'!$O$2:$O$492,MATCH(256,'Output Utente'!$Q$2:$Q$492,0)),"")</f>
        <v>13</v>
      </c>
      <c r="H259" s="7" t="str">
        <f aca="false">IFERROR(INDEX('Output Utente'!$P$2:$P$492,MATCH(256,'Output Utente'!$Q$2:$Q$492,0)),"")</f>
        <v>Nella Media</v>
      </c>
      <c r="I259" s="50" t="n">
        <f aca="false">IFERROR(INDEX('Output Utente'!$F$2:$F$492,MATCH(256,'Output Utente'!$Q$2:$Q$492,0)),"")</f>
        <v>7</v>
      </c>
      <c r="J259" s="50" t="n">
        <f aca="false">IFERROR(INDEX('Output Utente'!$G$2:$G$492,MATCH(256,'Output Utente'!$Q$2:$Q$492,0)),"")</f>
        <v>5</v>
      </c>
      <c r="K259" s="50" t="n">
        <f aca="false">IFERROR(INDEX('Output Utente'!$H$2:$H$492,MATCH(256,'Output Utente'!$Q$2:$Q$492,0)),"")</f>
        <v>8</v>
      </c>
      <c r="L259" s="7" t="str">
        <f aca="false">IFERROR(INDEX('Output Utente'!$E$2:$E$492,MATCH(256,'Output Utente'!$Q$2:$Q$492,0)),"")</f>
        <v>NO</v>
      </c>
      <c r="M259" s="7" t="str">
        <f aca="false">IFERROR(INDEX('Output Utente'!$U$2:$U$492,MATCH(256,'Output Utente'!$Q$2:$Q$492,0)),"")</f>
        <v>OK</v>
      </c>
      <c r="N259" s="7" t="str">
        <f aca="false">IFERROR(INDEX('Output Utente'!$AE$2:$AE$492,MATCH(256,'Output Utente'!$Q$2:$Q$492,0)),"")</f>
        <v>🟡 Attesa rischiosa</v>
      </c>
    </row>
    <row r="260" customFormat="false" ht="15" hidden="false" customHeight="true" outlineLevel="0" collapsed="false">
      <c r="A260" s="49" t="n">
        <v>257</v>
      </c>
      <c r="B260" s="7" t="n">
        <f aca="false">IFERROR(INDEX('Output Utente'!$A$2:$A$492,MATCH(257,'Output Utente'!$Q$2:$Q$492,0)),"")</f>
        <v>5301</v>
      </c>
      <c r="C260" s="7" t="str">
        <f aca="false">IFERROR(INDEX('Output Utente'!$B$2:$B$492,MATCH(257,'Output Utente'!$Q$2:$Q$492,0)),"")</f>
        <v>C</v>
      </c>
      <c r="D260" s="7" t="str">
        <f aca="false">IFERROR(INDEX('Output Utente'!$C$2:$C$492,MATCH(257,'Output Utente'!$Q$2:$Q$492,0)),"")</f>
        <v>Luis Henrique</v>
      </c>
      <c r="E260" s="7" t="str">
        <f aca="false">IFERROR(INDEX('Input Giocatori 2026_27'!$D$3:$D$493,MATCH($B260,'Input Giocatori 2026_27'!$A$3:$A$493,0)),"")</f>
        <v>Inter</v>
      </c>
      <c r="F260" s="50" t="n">
        <f aca="false">IFERROR(INDEX('Output Utente'!$N$2:$N$492,MATCH(257,'Output Utente'!$Q$2:$Q$492,0)),"")</f>
        <v>4</v>
      </c>
      <c r="G260" s="50" t="n">
        <f aca="false">IFERROR(INDEX('Output Utente'!$O$2:$O$492,MATCH(257,'Output Utente'!$Q$2:$Q$492,0)),"")</f>
        <v>13</v>
      </c>
      <c r="H260" s="7" t="str">
        <f aca="false">IFERROR(INDEX('Output Utente'!$P$2:$P$492,MATCH(257,'Output Utente'!$Q$2:$Q$492,0)),"")</f>
        <v>Nella Media</v>
      </c>
      <c r="I260" s="50" t="n">
        <f aca="false">IFERROR(INDEX('Output Utente'!$F$2:$F$492,MATCH(257,'Output Utente'!$Q$2:$Q$492,0)),"")</f>
        <v>7</v>
      </c>
      <c r="J260" s="50" t="n">
        <f aca="false">IFERROR(INDEX('Output Utente'!$G$2:$G$492,MATCH(257,'Output Utente'!$Q$2:$Q$492,0)),"")</f>
        <v>5</v>
      </c>
      <c r="K260" s="50" t="n">
        <f aca="false">IFERROR(INDEX('Output Utente'!$H$2:$H$492,MATCH(257,'Output Utente'!$Q$2:$Q$492,0)),"")</f>
        <v>8</v>
      </c>
      <c r="L260" s="7" t="str">
        <f aca="false">IFERROR(INDEX('Output Utente'!$E$2:$E$492,MATCH(257,'Output Utente'!$Q$2:$Q$492,0)),"")</f>
        <v>NO</v>
      </c>
      <c r="M260" s="7" t="str">
        <f aca="false">IFERROR(INDEX('Output Utente'!$U$2:$U$492,MATCH(257,'Output Utente'!$Q$2:$Q$492,0)),"")</f>
        <v>OK</v>
      </c>
      <c r="N260" s="7" t="str">
        <f aca="false">IFERROR(INDEX('Output Utente'!$AE$2:$AE$492,MATCH(257,'Output Utente'!$Q$2:$Q$492,0)),"")</f>
        <v>🟡 Attesa rischiosa</v>
      </c>
    </row>
    <row r="261" customFormat="false" ht="15" hidden="false" customHeight="true" outlineLevel="0" collapsed="false">
      <c r="A261" s="49" t="n">
        <v>258</v>
      </c>
      <c r="B261" s="7" t="n">
        <f aca="false">IFERROR(INDEX('Output Utente'!$A$2:$A$492,MATCH(258,'Output Utente'!$Q$2:$Q$492,0)),"")</f>
        <v>7535</v>
      </c>
      <c r="C261" s="7" t="str">
        <f aca="false">IFERROR(INDEX('Output Utente'!$B$2:$B$492,MATCH(258,'Output Utente'!$Q$2:$Q$492,0)),"")</f>
        <v>C</v>
      </c>
      <c r="D261" s="7" t="str">
        <f aca="false">IFERROR(INDEX('Output Utente'!$C$2:$C$492,MATCH(258,'Output Utente'!$Q$2:$Q$492,0)),"")</f>
        <v>Fitz-Jim</v>
      </c>
      <c r="E261" s="7" t="str">
        <f aca="false">IFERROR(INDEX('Input Giocatori 2026_27'!$D$3:$D$493,MATCH($B261,'Input Giocatori 2026_27'!$A$3:$A$493,0)),"")</f>
        <v>Torino</v>
      </c>
      <c r="F261" s="50" t="n">
        <f aca="false">IFERROR(INDEX('Output Utente'!$N$2:$N$492,MATCH(258,'Output Utente'!$Q$2:$Q$492,0)),"")</f>
        <v>4</v>
      </c>
      <c r="G261" s="50" t="n">
        <f aca="false">IFERROR(INDEX('Output Utente'!$O$2:$O$492,MATCH(258,'Output Utente'!$Q$2:$Q$492,0)),"")</f>
        <v>13</v>
      </c>
      <c r="H261" s="7" t="str">
        <f aca="false">IFERROR(INDEX('Output Utente'!$P$2:$P$492,MATCH(258,'Output Utente'!$Q$2:$Q$492,0)),"")</f>
        <v>Nella Media</v>
      </c>
      <c r="I261" s="50" t="n">
        <f aca="false">IFERROR(INDEX('Output Utente'!$F$2:$F$492,MATCH(258,'Output Utente'!$Q$2:$Q$492,0)),"")</f>
        <v>7</v>
      </c>
      <c r="J261" s="50" t="n">
        <f aca="false">IFERROR(INDEX('Output Utente'!$G$2:$G$492,MATCH(258,'Output Utente'!$Q$2:$Q$492,0)),"")</f>
        <v>5</v>
      </c>
      <c r="K261" s="50" t="n">
        <f aca="false">IFERROR(INDEX('Output Utente'!$H$2:$H$492,MATCH(258,'Output Utente'!$Q$2:$Q$492,0)),"")</f>
        <v>8</v>
      </c>
      <c r="L261" s="7" t="str">
        <f aca="false">IFERROR(INDEX('Output Utente'!$E$2:$E$492,MATCH(258,'Output Utente'!$Q$2:$Q$492,0)),"")</f>
        <v>NO</v>
      </c>
      <c r="M261" s="7" t="str">
        <f aca="false">IFERROR(INDEX('Output Utente'!$U$2:$U$492,MATCH(258,'Output Utente'!$Q$2:$Q$492,0)),"")</f>
        <v>OK</v>
      </c>
      <c r="N261" s="7" t="str">
        <f aca="false">IFERROR(INDEX('Output Utente'!$AE$2:$AE$492,MATCH(258,'Output Utente'!$Q$2:$Q$492,0)),"")</f>
        <v>🟡 Attesa rischiosa</v>
      </c>
    </row>
    <row r="262" customFormat="false" ht="15" hidden="false" customHeight="true" outlineLevel="0" collapsed="false">
      <c r="A262" s="49" t="n">
        <v>259</v>
      </c>
      <c r="B262" s="7" t="n">
        <f aca="false">IFERROR(INDEX('Output Utente'!$A$2:$A$492,MATCH(259,'Output Utente'!$Q$2:$Q$492,0)),"")</f>
        <v>7213</v>
      </c>
      <c r="C262" s="7" t="str">
        <f aca="false">IFERROR(INDEX('Output Utente'!$B$2:$B$492,MATCH(259,'Output Utente'!$Q$2:$Q$492,0)),"")</f>
        <v>A</v>
      </c>
      <c r="D262" s="7" t="str">
        <f aca="false">IFERROR(INDEX('Output Utente'!$C$2:$C$492,MATCH(259,'Output Utente'!$Q$2:$Q$492,0)),"")</f>
        <v>Frigan</v>
      </c>
      <c r="E262" s="7" t="str">
        <f aca="false">IFERROR(INDEX('Input Giocatori 2026_27'!$D$3:$D$493,MATCH($B262,'Input Giocatori 2026_27'!$A$3:$A$493,0)),"")</f>
        <v>Parma</v>
      </c>
      <c r="F262" s="50" t="n">
        <f aca="false">IFERROR(INDEX('Output Utente'!$N$2:$N$492,MATCH(259,'Output Utente'!$Q$2:$Q$492,0)),"")</f>
        <v>5</v>
      </c>
      <c r="G262" s="50" t="n">
        <f aca="false">IFERROR(INDEX('Output Utente'!$O$2:$O$492,MATCH(259,'Output Utente'!$Q$2:$Q$492,0)),"")</f>
        <v>13</v>
      </c>
      <c r="H262" s="7" t="str">
        <f aca="false">IFERROR(INDEX('Output Utente'!$P$2:$P$492,MATCH(259,'Output Utente'!$Q$2:$Q$492,0)),"")</f>
        <v>Scommessa/Riserva</v>
      </c>
      <c r="I262" s="50" t="n">
        <f aca="false">IFERROR(INDEX('Output Utente'!$F$2:$F$492,MATCH(259,'Output Utente'!$Q$2:$Q$492,0)),"")</f>
        <v>11</v>
      </c>
      <c r="J262" s="50" t="n">
        <f aca="false">IFERROR(INDEX('Output Utente'!$G$2:$G$492,MATCH(259,'Output Utente'!$Q$2:$Q$492,0)),"")</f>
        <v>7</v>
      </c>
      <c r="K262" s="50" t="n">
        <f aca="false">IFERROR(INDEX('Output Utente'!$H$2:$H$492,MATCH(259,'Output Utente'!$Q$2:$Q$492,0)),"")</f>
        <v>13</v>
      </c>
      <c r="L262" s="7" t="str">
        <f aca="false">IFERROR(INDEX('Output Utente'!$E$2:$E$492,MATCH(259,'Output Utente'!$Q$2:$Q$492,0)),"")</f>
        <v>NO</v>
      </c>
      <c r="M262" s="7" t="str">
        <f aca="false">IFERROR(INDEX('Output Utente'!$U$2:$U$492,MATCH(259,'Output Utente'!$Q$2:$Q$492,0)),"")</f>
        <v>OK</v>
      </c>
      <c r="N262" s="7" t="str">
        <f aca="false">IFERROR(INDEX('Output Utente'!$AE$2:$AE$492,MATCH(259,'Output Utente'!$Q$2:$Q$492,0)),"")</f>
        <v>🔴 Non aspettare</v>
      </c>
    </row>
    <row r="263" customFormat="false" ht="15" hidden="false" customHeight="true" outlineLevel="0" collapsed="false">
      <c r="A263" s="49" t="n">
        <v>260</v>
      </c>
      <c r="B263" s="7" t="n">
        <f aca="false">IFERROR(INDEX('Output Utente'!$A$2:$A$492,MATCH(260,'Output Utente'!$Q$2:$Q$492,0)),"")</f>
        <v>4485</v>
      </c>
      <c r="C263" s="7" t="str">
        <f aca="false">IFERROR(INDEX('Output Utente'!$B$2:$B$492,MATCH(260,'Output Utente'!$Q$2:$Q$492,0)),"")</f>
        <v>P</v>
      </c>
      <c r="D263" s="7" t="str">
        <f aca="false">IFERROR(INDEX('Output Utente'!$C$2:$C$492,MATCH(260,'Output Utente'!$Q$2:$Q$492,0)),"")</f>
        <v>Thiam</v>
      </c>
      <c r="E263" s="7" t="str">
        <f aca="false">IFERROR(INDEX('Input Giocatori 2026_27'!$D$3:$D$493,MATCH($B263,'Input Giocatori 2026_27'!$A$3:$A$493,0)),"")</f>
        <v>Monza</v>
      </c>
      <c r="F263" s="50" t="n">
        <f aca="false">IFERROR(INDEX('Output Utente'!$N$2:$N$492,MATCH(260,'Output Utente'!$Q$2:$Q$492,0)),"")</f>
        <v>5</v>
      </c>
      <c r="G263" s="50" t="n">
        <f aca="false">IFERROR(INDEX('Output Utente'!$O$2:$O$492,MATCH(260,'Output Utente'!$Q$2:$Q$492,0)),"")</f>
        <v>12</v>
      </c>
      <c r="H263" s="7" t="str">
        <f aca="false">IFERROR(INDEX('Output Utente'!$P$2:$P$492,MATCH(260,'Output Utente'!$Q$2:$Q$492,0)),"")</f>
        <v>Buono</v>
      </c>
      <c r="I263" s="50" t="n">
        <f aca="false">IFERROR(INDEX('Output Utente'!$F$2:$F$492,MATCH(260,'Output Utente'!$Q$2:$Q$492,0)),"")</f>
        <v>14</v>
      </c>
      <c r="J263" s="50" t="n">
        <f aca="false">IFERROR(INDEX('Output Utente'!$G$2:$G$492,MATCH(260,'Output Utente'!$Q$2:$Q$492,0)),"")</f>
        <v>11</v>
      </c>
      <c r="K263" s="50" t="n">
        <f aca="false">IFERROR(INDEX('Output Utente'!$H$2:$H$492,MATCH(260,'Output Utente'!$Q$2:$Q$492,0)),"")</f>
        <v>15</v>
      </c>
      <c r="L263" s="7" t="str">
        <f aca="false">IFERROR(INDEX('Output Utente'!$E$2:$E$492,MATCH(260,'Output Utente'!$Q$2:$Q$492,0)),"")</f>
        <v>NO</v>
      </c>
      <c r="M263" s="7" t="str">
        <f aca="false">IFERROR(INDEX('Output Utente'!$U$2:$U$492,MATCH(260,'Output Utente'!$Q$2:$Q$492,0)),"")</f>
        <v>OK</v>
      </c>
      <c r="N263" s="7" t="str">
        <f aca="false">IFERROR(INDEX('Output Utente'!$AE$2:$AE$492,MATCH(260,'Output Utente'!$Q$2:$Q$492,0)),"")</f>
        <v>🟡 Attesa rischiosa</v>
      </c>
    </row>
    <row r="264" customFormat="false" ht="15" hidden="false" customHeight="true" outlineLevel="0" collapsed="false">
      <c r="A264" s="49" t="n">
        <v>261</v>
      </c>
      <c r="B264" s="7" t="n">
        <f aca="false">IFERROR(INDEX('Output Utente'!$A$2:$A$492,MATCH(261,'Output Utente'!$Q$2:$Q$492,0)),"")</f>
        <v>5555</v>
      </c>
      <c r="C264" s="7" t="str">
        <f aca="false">IFERROR(INDEX('Output Utente'!$B$2:$B$492,MATCH(261,'Output Utente'!$Q$2:$Q$492,0)),"")</f>
        <v>D</v>
      </c>
      <c r="D264" s="7" t="str">
        <f aca="false">IFERROR(INDEX('Output Utente'!$C$2:$C$492,MATCH(261,'Output Utente'!$Q$2:$Q$492,0)),"")</f>
        <v>Kamara H.</v>
      </c>
      <c r="E264" s="7" t="str">
        <f aca="false">IFERROR(INDEX('Input Giocatori 2026_27'!$D$3:$D$493,MATCH($B264,'Input Giocatori 2026_27'!$A$3:$A$493,0)),"")</f>
        <v>Udinese</v>
      </c>
      <c r="F264" s="50" t="n">
        <f aca="false">IFERROR(INDEX('Output Utente'!$N$2:$N$492,MATCH(261,'Output Utente'!$Q$2:$Q$492,0)),"")</f>
        <v>6</v>
      </c>
      <c r="G264" s="50" t="n">
        <f aca="false">IFERROR(INDEX('Output Utente'!$O$2:$O$492,MATCH(261,'Output Utente'!$Q$2:$Q$492,0)),"")</f>
        <v>12</v>
      </c>
      <c r="H264" s="7" t="str">
        <f aca="false">IFERROR(INDEX('Output Utente'!$P$2:$P$492,MATCH(261,'Output Utente'!$Q$2:$Q$492,0)),"")</f>
        <v>Nella Media</v>
      </c>
      <c r="I264" s="50" t="n">
        <f aca="false">IFERROR(INDEX('Output Utente'!$F$2:$F$492,MATCH(261,'Output Utente'!$Q$2:$Q$492,0)),"")</f>
        <v>5</v>
      </c>
      <c r="J264" s="50" t="n">
        <f aca="false">IFERROR(INDEX('Output Utente'!$G$2:$G$492,MATCH(261,'Output Utente'!$Q$2:$Q$492,0)),"")</f>
        <v>4</v>
      </c>
      <c r="K264" s="50" t="n">
        <f aca="false">IFERROR(INDEX('Output Utente'!$H$2:$H$492,MATCH(261,'Output Utente'!$Q$2:$Q$492,0)),"")</f>
        <v>6</v>
      </c>
      <c r="L264" s="7" t="str">
        <f aca="false">IFERROR(INDEX('Output Utente'!$E$2:$E$492,MATCH(261,'Output Utente'!$Q$2:$Q$492,0)),"")</f>
        <v>NO</v>
      </c>
      <c r="M264" s="7" t="str">
        <f aca="false">IFERROR(INDEX('Output Utente'!$U$2:$U$492,MATCH(261,'Output Utente'!$Q$2:$Q$492,0)),"")</f>
        <v>OK</v>
      </c>
      <c r="N264" s="7" t="str">
        <f aca="false">IFERROR(INDEX('Output Utente'!$AE$2:$AE$492,MATCH(261,'Output Utente'!$Q$2:$Q$492,0)),"")</f>
        <v>🟡 Attesa rischiosa</v>
      </c>
    </row>
    <row r="265" customFormat="false" ht="15" hidden="false" customHeight="true" outlineLevel="0" collapsed="false">
      <c r="A265" s="49" t="n">
        <v>262</v>
      </c>
      <c r="B265" s="7" t="n">
        <f aca="false">IFERROR(INDEX('Output Utente'!$A$2:$A$492,MATCH(262,'Output Utente'!$Q$2:$Q$492,0)),"")</f>
        <v>2640</v>
      </c>
      <c r="C265" s="7" t="str">
        <f aca="false">IFERROR(INDEX('Output Utente'!$B$2:$B$492,MATCH(262,'Output Utente'!$Q$2:$Q$492,0)),"")</f>
        <v>D</v>
      </c>
      <c r="D265" s="7" t="str">
        <f aca="false">IFERROR(INDEX('Output Utente'!$C$2:$C$492,MATCH(262,'Output Utente'!$Q$2:$Q$492,0)),"")</f>
        <v>Kolasinac</v>
      </c>
      <c r="E265" s="7" t="str">
        <f aca="false">IFERROR(INDEX('Input Giocatori 2026_27'!$D$3:$D$493,MATCH($B265,'Input Giocatori 2026_27'!$A$3:$A$493,0)),"")</f>
        <v>Atalanta</v>
      </c>
      <c r="F265" s="50" t="n">
        <f aca="false">IFERROR(INDEX('Output Utente'!$N$2:$N$492,MATCH(262,'Output Utente'!$Q$2:$Q$492,0)),"")</f>
        <v>5</v>
      </c>
      <c r="G265" s="50" t="n">
        <f aca="false">IFERROR(INDEX('Output Utente'!$O$2:$O$492,MATCH(262,'Output Utente'!$Q$2:$Q$492,0)),"")</f>
        <v>12</v>
      </c>
      <c r="H265" s="7" t="str">
        <f aca="false">IFERROR(INDEX('Output Utente'!$P$2:$P$492,MATCH(262,'Output Utente'!$Q$2:$Q$492,0)),"")</f>
        <v>Nella Media</v>
      </c>
      <c r="I265" s="50" t="n">
        <f aca="false">IFERROR(INDEX('Output Utente'!$F$2:$F$492,MATCH(262,'Output Utente'!$Q$2:$Q$492,0)),"")</f>
        <v>5</v>
      </c>
      <c r="J265" s="50" t="n">
        <f aca="false">IFERROR(INDEX('Output Utente'!$G$2:$G$492,MATCH(262,'Output Utente'!$Q$2:$Q$492,0)),"")</f>
        <v>4</v>
      </c>
      <c r="K265" s="50" t="n">
        <f aca="false">IFERROR(INDEX('Output Utente'!$H$2:$H$492,MATCH(262,'Output Utente'!$Q$2:$Q$492,0)),"")</f>
        <v>6</v>
      </c>
      <c r="L265" s="7" t="str">
        <f aca="false">IFERROR(INDEX('Output Utente'!$E$2:$E$492,MATCH(262,'Output Utente'!$Q$2:$Q$492,0)),"")</f>
        <v>NO</v>
      </c>
      <c r="M265" s="7" t="str">
        <f aca="false">IFERROR(INDEX('Output Utente'!$U$2:$U$492,MATCH(262,'Output Utente'!$Q$2:$Q$492,0)),"")</f>
        <v>OK</v>
      </c>
      <c r="N265" s="7" t="str">
        <f aca="false">IFERROR(INDEX('Output Utente'!$AE$2:$AE$492,MATCH(262,'Output Utente'!$Q$2:$Q$492,0)),"")</f>
        <v>🟡 Attesa rischiosa</v>
      </c>
    </row>
    <row r="266" customFormat="false" ht="15" hidden="false" customHeight="true" outlineLevel="0" collapsed="false">
      <c r="A266" s="49" t="n">
        <v>263</v>
      </c>
      <c r="B266" s="7" t="n">
        <f aca="false">IFERROR(INDEX('Output Utente'!$A$2:$A$492,MATCH(263,'Output Utente'!$Q$2:$Q$492,0)),"")</f>
        <v>5449</v>
      </c>
      <c r="C266" s="7" t="str">
        <f aca="false">IFERROR(INDEX('Output Utente'!$B$2:$B$492,MATCH(263,'Output Utente'!$Q$2:$Q$492,0)),"")</f>
        <v>D</v>
      </c>
      <c r="D266" s="7" t="str">
        <f aca="false">IFERROR(INDEX('Output Utente'!$C$2:$C$492,MATCH(263,'Output Utente'!$Q$2:$Q$492,0)),"")</f>
        <v>Parisi</v>
      </c>
      <c r="E266" s="7" t="str">
        <f aca="false">IFERROR(INDEX('Input Giocatori 2026_27'!$D$3:$D$493,MATCH($B266,'Input Giocatori 2026_27'!$A$3:$A$493,0)),"")</f>
        <v>Fiorentina</v>
      </c>
      <c r="F266" s="50" t="n">
        <f aca="false">IFERROR(INDEX('Output Utente'!$N$2:$N$492,MATCH(263,'Output Utente'!$Q$2:$Q$492,0)),"")</f>
        <v>5</v>
      </c>
      <c r="G266" s="50" t="n">
        <f aca="false">IFERROR(INDEX('Output Utente'!$O$2:$O$492,MATCH(263,'Output Utente'!$Q$2:$Q$492,0)),"")</f>
        <v>12</v>
      </c>
      <c r="H266" s="7" t="str">
        <f aca="false">IFERROR(INDEX('Output Utente'!$P$2:$P$492,MATCH(263,'Output Utente'!$Q$2:$Q$492,0)),"")</f>
        <v>Nella Media</v>
      </c>
      <c r="I266" s="50" t="n">
        <f aca="false">IFERROR(INDEX('Output Utente'!$F$2:$F$492,MATCH(263,'Output Utente'!$Q$2:$Q$492,0)),"")</f>
        <v>5</v>
      </c>
      <c r="J266" s="50" t="n">
        <f aca="false">IFERROR(INDEX('Output Utente'!$G$2:$G$492,MATCH(263,'Output Utente'!$Q$2:$Q$492,0)),"")</f>
        <v>4</v>
      </c>
      <c r="K266" s="50" t="n">
        <f aca="false">IFERROR(INDEX('Output Utente'!$H$2:$H$492,MATCH(263,'Output Utente'!$Q$2:$Q$492,0)),"")</f>
        <v>6</v>
      </c>
      <c r="L266" s="7" t="str">
        <f aca="false">IFERROR(INDEX('Output Utente'!$E$2:$E$492,MATCH(263,'Output Utente'!$Q$2:$Q$492,0)),"")</f>
        <v>NO</v>
      </c>
      <c r="M266" s="7" t="str">
        <f aca="false">IFERROR(INDEX('Output Utente'!$U$2:$U$492,MATCH(263,'Output Utente'!$Q$2:$Q$492,0)),"")</f>
        <v>OK</v>
      </c>
      <c r="N266" s="7" t="str">
        <f aca="false">IFERROR(INDEX('Output Utente'!$AE$2:$AE$492,MATCH(263,'Output Utente'!$Q$2:$Q$492,0)),"")</f>
        <v>🟡 Attesa rischiosa</v>
      </c>
    </row>
    <row r="267" customFormat="false" ht="15" hidden="false" customHeight="true" outlineLevel="0" collapsed="false">
      <c r="A267" s="49" t="n">
        <v>264</v>
      </c>
      <c r="B267" s="7" t="n">
        <f aca="false">IFERROR(INDEX('Output Utente'!$A$2:$A$492,MATCH(264,'Output Utente'!$Q$2:$Q$492,0)),"")</f>
        <v>6238</v>
      </c>
      <c r="C267" s="7" t="str">
        <f aca="false">IFERROR(INDEX('Output Utente'!$B$2:$B$492,MATCH(264,'Output Utente'!$Q$2:$Q$492,0)),"")</f>
        <v>D</v>
      </c>
      <c r="D267" s="7" t="str">
        <f aca="false">IFERROR(INDEX('Output Utente'!$C$2:$C$492,MATCH(264,'Output Utente'!$Q$2:$Q$492,0)),"")</f>
        <v>Oyono A.</v>
      </c>
      <c r="E267" s="7" t="str">
        <f aca="false">IFERROR(INDEX('Input Giocatori 2026_27'!$D$3:$D$493,MATCH($B267,'Input Giocatori 2026_27'!$A$3:$A$493,0)),"")</f>
        <v>Frosinone</v>
      </c>
      <c r="F267" s="50" t="n">
        <f aca="false">IFERROR(INDEX('Output Utente'!$N$2:$N$492,MATCH(264,'Output Utente'!$Q$2:$Q$492,0)),"")</f>
        <v>5</v>
      </c>
      <c r="G267" s="50" t="n">
        <f aca="false">IFERROR(INDEX('Output Utente'!$O$2:$O$492,MATCH(264,'Output Utente'!$Q$2:$Q$492,0)),"")</f>
        <v>12</v>
      </c>
      <c r="H267" s="7" t="str">
        <f aca="false">IFERROR(INDEX('Output Utente'!$P$2:$P$492,MATCH(264,'Output Utente'!$Q$2:$Q$492,0)),"")</f>
        <v>Nella Media</v>
      </c>
      <c r="I267" s="50" t="n">
        <f aca="false">IFERROR(INDEX('Output Utente'!$F$2:$F$492,MATCH(264,'Output Utente'!$Q$2:$Q$492,0)),"")</f>
        <v>5</v>
      </c>
      <c r="J267" s="50" t="n">
        <f aca="false">IFERROR(INDEX('Output Utente'!$G$2:$G$492,MATCH(264,'Output Utente'!$Q$2:$Q$492,0)),"")</f>
        <v>4</v>
      </c>
      <c r="K267" s="50" t="n">
        <f aca="false">IFERROR(INDEX('Output Utente'!$H$2:$H$492,MATCH(264,'Output Utente'!$Q$2:$Q$492,0)),"")</f>
        <v>6</v>
      </c>
      <c r="L267" s="7" t="str">
        <f aca="false">IFERROR(INDEX('Output Utente'!$E$2:$E$492,MATCH(264,'Output Utente'!$Q$2:$Q$492,0)),"")</f>
        <v>NO</v>
      </c>
      <c r="M267" s="7" t="str">
        <f aca="false">IFERROR(INDEX('Output Utente'!$U$2:$U$492,MATCH(264,'Output Utente'!$Q$2:$Q$492,0)),"")</f>
        <v>OK</v>
      </c>
      <c r="N267" s="7" t="str">
        <f aca="false">IFERROR(INDEX('Output Utente'!$AE$2:$AE$492,MATCH(264,'Output Utente'!$Q$2:$Q$492,0)),"")</f>
        <v>🟡 Attesa rischiosa</v>
      </c>
    </row>
    <row r="268" customFormat="false" ht="15" hidden="false" customHeight="true" outlineLevel="0" collapsed="false">
      <c r="A268" s="49" t="n">
        <v>265</v>
      </c>
      <c r="B268" s="7" t="n">
        <f aca="false">IFERROR(INDEX('Output Utente'!$A$2:$A$492,MATCH(265,'Output Utente'!$Q$2:$Q$492,0)),"")</f>
        <v>6632</v>
      </c>
      <c r="C268" s="7" t="str">
        <f aca="false">IFERROR(INDEX('Output Utente'!$B$2:$B$492,MATCH(265,'Output Utente'!$Q$2:$Q$492,0)),"")</f>
        <v>D</v>
      </c>
      <c r="D268" s="7" t="str">
        <f aca="false">IFERROR(INDEX('Output Utente'!$C$2:$C$492,MATCH(265,'Output Utente'!$Q$2:$Q$492,0)),"")</f>
        <v>Gaspar K.</v>
      </c>
      <c r="E268" s="7" t="str">
        <f aca="false">IFERROR(INDEX('Input Giocatori 2026_27'!$D$3:$D$493,MATCH($B268,'Input Giocatori 2026_27'!$A$3:$A$493,0)),"")</f>
        <v>Lecce</v>
      </c>
      <c r="F268" s="50" t="n">
        <f aca="false">IFERROR(INDEX('Output Utente'!$N$2:$N$492,MATCH(265,'Output Utente'!$Q$2:$Q$492,0)),"")</f>
        <v>5</v>
      </c>
      <c r="G268" s="50" t="n">
        <f aca="false">IFERROR(INDEX('Output Utente'!$O$2:$O$492,MATCH(265,'Output Utente'!$Q$2:$Q$492,0)),"")</f>
        <v>12</v>
      </c>
      <c r="H268" s="7" t="str">
        <f aca="false">IFERROR(INDEX('Output Utente'!$P$2:$P$492,MATCH(265,'Output Utente'!$Q$2:$Q$492,0)),"")</f>
        <v>Nella Media</v>
      </c>
      <c r="I268" s="50" t="n">
        <f aca="false">IFERROR(INDEX('Output Utente'!$F$2:$F$492,MATCH(265,'Output Utente'!$Q$2:$Q$492,0)),"")</f>
        <v>5</v>
      </c>
      <c r="J268" s="50" t="n">
        <f aca="false">IFERROR(INDEX('Output Utente'!$G$2:$G$492,MATCH(265,'Output Utente'!$Q$2:$Q$492,0)),"")</f>
        <v>4</v>
      </c>
      <c r="K268" s="50" t="n">
        <f aca="false">IFERROR(INDEX('Output Utente'!$H$2:$H$492,MATCH(265,'Output Utente'!$Q$2:$Q$492,0)),"")</f>
        <v>6</v>
      </c>
      <c r="L268" s="7" t="str">
        <f aca="false">IFERROR(INDEX('Output Utente'!$E$2:$E$492,MATCH(265,'Output Utente'!$Q$2:$Q$492,0)),"")</f>
        <v>NO</v>
      </c>
      <c r="M268" s="7" t="str">
        <f aca="false">IFERROR(INDEX('Output Utente'!$U$2:$U$492,MATCH(265,'Output Utente'!$Q$2:$Q$492,0)),"")</f>
        <v>OK</v>
      </c>
      <c r="N268" s="7" t="str">
        <f aca="false">IFERROR(INDEX('Output Utente'!$AE$2:$AE$492,MATCH(265,'Output Utente'!$Q$2:$Q$492,0)),"")</f>
        <v>🟡 Attesa rischiosa</v>
      </c>
    </row>
    <row r="269" customFormat="false" ht="15" hidden="false" customHeight="true" outlineLevel="0" collapsed="false">
      <c r="A269" s="49" t="n">
        <v>266</v>
      </c>
      <c r="B269" s="7" t="n">
        <f aca="false">IFERROR(INDEX('Output Utente'!$A$2:$A$492,MATCH(266,'Output Utente'!$Q$2:$Q$492,0)),"")</f>
        <v>7240</v>
      </c>
      <c r="C269" s="7" t="str">
        <f aca="false">IFERROR(INDEX('Output Utente'!$B$2:$B$492,MATCH(266,'Output Utente'!$Q$2:$Q$492,0)),"")</f>
        <v>D</v>
      </c>
      <c r="D269" s="7" t="str">
        <f aca="false">IFERROR(INDEX('Output Utente'!$C$2:$C$492,MATCH(266,'Output Utente'!$Q$2:$Q$492,0)),"")</f>
        <v>Siebert</v>
      </c>
      <c r="E269" s="7" t="str">
        <f aca="false">IFERROR(INDEX('Input Giocatori 2026_27'!$D$3:$D$493,MATCH($B269,'Input Giocatori 2026_27'!$A$3:$A$493,0)),"")</f>
        <v>Lecce</v>
      </c>
      <c r="F269" s="50" t="n">
        <f aca="false">IFERROR(INDEX('Output Utente'!$N$2:$N$492,MATCH(266,'Output Utente'!$Q$2:$Q$492,0)),"")</f>
        <v>4</v>
      </c>
      <c r="G269" s="50" t="n">
        <f aca="false">IFERROR(INDEX('Output Utente'!$O$2:$O$492,MATCH(266,'Output Utente'!$Q$2:$Q$492,0)),"")</f>
        <v>12</v>
      </c>
      <c r="H269" s="7" t="str">
        <f aca="false">IFERROR(INDEX('Output Utente'!$P$2:$P$492,MATCH(266,'Output Utente'!$Q$2:$Q$492,0)),"")</f>
        <v>Nella Media</v>
      </c>
      <c r="I269" s="50" t="n">
        <f aca="false">IFERROR(INDEX('Output Utente'!$F$2:$F$492,MATCH(266,'Output Utente'!$Q$2:$Q$492,0)),"")</f>
        <v>5</v>
      </c>
      <c r="J269" s="50" t="n">
        <f aca="false">IFERROR(INDEX('Output Utente'!$G$2:$G$492,MATCH(266,'Output Utente'!$Q$2:$Q$492,0)),"")</f>
        <v>4</v>
      </c>
      <c r="K269" s="50" t="n">
        <f aca="false">IFERROR(INDEX('Output Utente'!$H$2:$H$492,MATCH(266,'Output Utente'!$Q$2:$Q$492,0)),"")</f>
        <v>6</v>
      </c>
      <c r="L269" s="7" t="str">
        <f aca="false">IFERROR(INDEX('Output Utente'!$E$2:$E$492,MATCH(266,'Output Utente'!$Q$2:$Q$492,0)),"")</f>
        <v>NO</v>
      </c>
      <c r="M269" s="7" t="str">
        <f aca="false">IFERROR(INDEX('Output Utente'!$U$2:$U$492,MATCH(266,'Output Utente'!$Q$2:$Q$492,0)),"")</f>
        <v>OK</v>
      </c>
      <c r="N269" s="7" t="str">
        <f aca="false">IFERROR(INDEX('Output Utente'!$AE$2:$AE$492,MATCH(266,'Output Utente'!$Q$2:$Q$492,0)),"")</f>
        <v>🟡 Attesa rischiosa</v>
      </c>
    </row>
    <row r="270" customFormat="false" ht="15" hidden="false" customHeight="true" outlineLevel="0" collapsed="false">
      <c r="A270" s="49" t="n">
        <v>267</v>
      </c>
      <c r="B270" s="7" t="n">
        <f aca="false">IFERROR(INDEX('Output Utente'!$A$2:$A$492,MATCH(267,'Output Utente'!$Q$2:$Q$492,0)),"")</f>
        <v>6659</v>
      </c>
      <c r="C270" s="7" t="str">
        <f aca="false">IFERROR(INDEX('Output Utente'!$B$2:$B$492,MATCH(267,'Output Utente'!$Q$2:$Q$492,0)),"")</f>
        <v>D</v>
      </c>
      <c r="D270" s="7" t="str">
        <f aca="false">IFERROR(INDEX('Output Utente'!$C$2:$C$492,MATCH(267,'Output Utente'!$Q$2:$Q$492,0)),"")</f>
        <v>Lucchesi</v>
      </c>
      <c r="E270" s="7" t="str">
        <f aca="false">IFERROR(INDEX('Input Giocatori 2026_27'!$D$3:$D$493,MATCH($B270,'Input Giocatori 2026_27'!$A$3:$A$493,0)),"")</f>
        <v>Monza</v>
      </c>
      <c r="F270" s="50" t="n">
        <f aca="false">IFERROR(INDEX('Output Utente'!$N$2:$N$492,MATCH(267,'Output Utente'!$Q$2:$Q$492,0)),"")</f>
        <v>4</v>
      </c>
      <c r="G270" s="50" t="n">
        <f aca="false">IFERROR(INDEX('Output Utente'!$O$2:$O$492,MATCH(267,'Output Utente'!$Q$2:$Q$492,0)),"")</f>
        <v>12</v>
      </c>
      <c r="H270" s="7" t="str">
        <f aca="false">IFERROR(INDEX('Output Utente'!$P$2:$P$492,MATCH(267,'Output Utente'!$Q$2:$Q$492,0)),"")</f>
        <v>Nella Media</v>
      </c>
      <c r="I270" s="50" t="n">
        <f aca="false">IFERROR(INDEX('Output Utente'!$F$2:$F$492,MATCH(267,'Output Utente'!$Q$2:$Q$492,0)),"")</f>
        <v>5</v>
      </c>
      <c r="J270" s="50" t="n">
        <f aca="false">IFERROR(INDEX('Output Utente'!$G$2:$G$492,MATCH(267,'Output Utente'!$Q$2:$Q$492,0)),"")</f>
        <v>4</v>
      </c>
      <c r="K270" s="50" t="n">
        <f aca="false">IFERROR(INDEX('Output Utente'!$H$2:$H$492,MATCH(267,'Output Utente'!$Q$2:$Q$492,0)),"")</f>
        <v>6</v>
      </c>
      <c r="L270" s="7" t="str">
        <f aca="false">IFERROR(INDEX('Output Utente'!$E$2:$E$492,MATCH(267,'Output Utente'!$Q$2:$Q$492,0)),"")</f>
        <v>NO</v>
      </c>
      <c r="M270" s="7" t="str">
        <f aca="false">IFERROR(INDEX('Output Utente'!$U$2:$U$492,MATCH(267,'Output Utente'!$Q$2:$Q$492,0)),"")</f>
        <v>OK</v>
      </c>
      <c r="N270" s="7" t="str">
        <f aca="false">IFERROR(INDEX('Output Utente'!$AE$2:$AE$492,MATCH(267,'Output Utente'!$Q$2:$Q$492,0)),"")</f>
        <v>🟡 Attesa rischiosa</v>
      </c>
    </row>
    <row r="271" customFormat="false" ht="15" hidden="false" customHeight="true" outlineLevel="0" collapsed="false">
      <c r="A271" s="49" t="n">
        <v>268</v>
      </c>
      <c r="B271" s="7" t="n">
        <f aca="false">IFERROR(INDEX('Output Utente'!$A$2:$A$492,MATCH(268,'Output Utente'!$Q$2:$Q$492,0)),"")</f>
        <v>5838</v>
      </c>
      <c r="C271" s="7" t="str">
        <f aca="false">IFERROR(INDEX('Output Utente'!$B$2:$B$492,MATCH(268,'Output Utente'!$Q$2:$Q$492,0)),"")</f>
        <v>D</v>
      </c>
      <c r="D271" s="7" t="str">
        <f aca="false">IFERROR(INDEX('Output Utente'!$C$2:$C$492,MATCH(268,'Output Utente'!$Q$2:$Q$492,0)),"")</f>
        <v>Birindelli</v>
      </c>
      <c r="E271" s="7" t="str">
        <f aca="false">IFERROR(INDEX('Input Giocatori 2026_27'!$D$3:$D$493,MATCH($B271,'Input Giocatori 2026_27'!$A$3:$A$493,0)),"")</f>
        <v>Monza</v>
      </c>
      <c r="F271" s="50" t="n">
        <f aca="false">IFERROR(INDEX('Output Utente'!$N$2:$N$492,MATCH(268,'Output Utente'!$Q$2:$Q$492,0)),"")</f>
        <v>4</v>
      </c>
      <c r="G271" s="50" t="n">
        <f aca="false">IFERROR(INDEX('Output Utente'!$O$2:$O$492,MATCH(268,'Output Utente'!$Q$2:$Q$492,0)),"")</f>
        <v>12</v>
      </c>
      <c r="H271" s="7" t="str">
        <f aca="false">IFERROR(INDEX('Output Utente'!$P$2:$P$492,MATCH(268,'Output Utente'!$Q$2:$Q$492,0)),"")</f>
        <v>Nella Media</v>
      </c>
      <c r="I271" s="50" t="n">
        <f aca="false">IFERROR(INDEX('Output Utente'!$F$2:$F$492,MATCH(268,'Output Utente'!$Q$2:$Q$492,0)),"")</f>
        <v>5</v>
      </c>
      <c r="J271" s="50" t="n">
        <f aca="false">IFERROR(INDEX('Output Utente'!$G$2:$G$492,MATCH(268,'Output Utente'!$Q$2:$Q$492,0)),"")</f>
        <v>4</v>
      </c>
      <c r="K271" s="50" t="n">
        <f aca="false">IFERROR(INDEX('Output Utente'!$H$2:$H$492,MATCH(268,'Output Utente'!$Q$2:$Q$492,0)),"")</f>
        <v>6</v>
      </c>
      <c r="L271" s="7" t="str">
        <f aca="false">IFERROR(INDEX('Output Utente'!$E$2:$E$492,MATCH(268,'Output Utente'!$Q$2:$Q$492,0)),"")</f>
        <v>NO</v>
      </c>
      <c r="M271" s="7" t="str">
        <f aca="false">IFERROR(INDEX('Output Utente'!$U$2:$U$492,MATCH(268,'Output Utente'!$Q$2:$Q$492,0)),"")</f>
        <v>OK</v>
      </c>
      <c r="N271" s="7" t="str">
        <f aca="false">IFERROR(INDEX('Output Utente'!$AE$2:$AE$492,MATCH(268,'Output Utente'!$Q$2:$Q$492,0)),"")</f>
        <v>🟡 Attesa rischiosa</v>
      </c>
    </row>
    <row r="272" customFormat="false" ht="15" hidden="false" customHeight="true" outlineLevel="0" collapsed="false">
      <c r="A272" s="49" t="n">
        <v>269</v>
      </c>
      <c r="B272" s="7" t="n">
        <f aca="false">IFERROR(INDEX('Output Utente'!$A$2:$A$492,MATCH(269,'Output Utente'!$Q$2:$Q$492,0)),"")</f>
        <v>4845</v>
      </c>
      <c r="C272" s="7" t="str">
        <f aca="false">IFERROR(INDEX('Output Utente'!$B$2:$B$492,MATCH(269,'Output Utente'!$Q$2:$Q$492,0)),"")</f>
        <v>D</v>
      </c>
      <c r="D272" s="7" t="str">
        <f aca="false">IFERROR(INDEX('Output Utente'!$C$2:$C$492,MATCH(269,'Output Utente'!$Q$2:$Q$492,0)),"")</f>
        <v>Correia T.</v>
      </c>
      <c r="E272" s="7" t="str">
        <f aca="false">IFERROR(INDEX('Input Giocatori 2026_27'!$D$3:$D$493,MATCH($B272,'Input Giocatori 2026_27'!$A$3:$A$493,0)),"")</f>
        <v>Venezia</v>
      </c>
      <c r="F272" s="50" t="n">
        <f aca="false">IFERROR(INDEX('Output Utente'!$N$2:$N$492,MATCH(269,'Output Utente'!$Q$2:$Q$492,0)),"")</f>
        <v>4</v>
      </c>
      <c r="G272" s="50" t="n">
        <f aca="false">IFERROR(INDEX('Output Utente'!$O$2:$O$492,MATCH(269,'Output Utente'!$Q$2:$Q$492,0)),"")</f>
        <v>12</v>
      </c>
      <c r="H272" s="7" t="str">
        <f aca="false">IFERROR(INDEX('Output Utente'!$P$2:$P$492,MATCH(269,'Output Utente'!$Q$2:$Q$492,0)),"")</f>
        <v>Nella Media</v>
      </c>
      <c r="I272" s="50" t="n">
        <f aca="false">IFERROR(INDEX('Output Utente'!$F$2:$F$492,MATCH(269,'Output Utente'!$Q$2:$Q$492,0)),"")</f>
        <v>5</v>
      </c>
      <c r="J272" s="50" t="n">
        <f aca="false">IFERROR(INDEX('Output Utente'!$G$2:$G$492,MATCH(269,'Output Utente'!$Q$2:$Q$492,0)),"")</f>
        <v>4</v>
      </c>
      <c r="K272" s="50" t="n">
        <f aca="false">IFERROR(INDEX('Output Utente'!$H$2:$H$492,MATCH(269,'Output Utente'!$Q$2:$Q$492,0)),"")</f>
        <v>6</v>
      </c>
      <c r="L272" s="7" t="str">
        <f aca="false">IFERROR(INDEX('Output Utente'!$E$2:$E$492,MATCH(269,'Output Utente'!$Q$2:$Q$492,0)),"")</f>
        <v>NO</v>
      </c>
      <c r="M272" s="7" t="str">
        <f aca="false">IFERROR(INDEX('Output Utente'!$U$2:$U$492,MATCH(269,'Output Utente'!$Q$2:$Q$492,0)),"")</f>
        <v>OK</v>
      </c>
      <c r="N272" s="7" t="str">
        <f aca="false">IFERROR(INDEX('Output Utente'!$AE$2:$AE$492,MATCH(269,'Output Utente'!$Q$2:$Q$492,0)),"")</f>
        <v>🟡 Attesa rischiosa</v>
      </c>
    </row>
    <row r="273" customFormat="false" ht="15" hidden="false" customHeight="true" outlineLevel="0" collapsed="false">
      <c r="A273" s="49" t="n">
        <v>270</v>
      </c>
      <c r="B273" s="7" t="n">
        <f aca="false">IFERROR(INDEX('Output Utente'!$A$2:$A$492,MATCH(270,'Output Utente'!$Q$2:$Q$492,0)),"")</f>
        <v>7131</v>
      </c>
      <c r="C273" s="7" t="str">
        <f aca="false">IFERROR(INDEX('Output Utente'!$B$2:$B$492,MATCH(270,'Output Utente'!$Q$2:$Q$492,0)),"")</f>
        <v>D</v>
      </c>
      <c r="D273" s="7" t="str">
        <f aca="false">IFERROR(INDEX('Output Utente'!$C$2:$C$492,MATCH(270,'Output Utente'!$Q$2:$Q$492,0)),"")</f>
        <v>Floriani Mussolini</v>
      </c>
      <c r="E273" s="7" t="str">
        <f aca="false">IFERROR(INDEX('Input Giocatori 2026_27'!$D$3:$D$493,MATCH($B273,'Input Giocatori 2026_27'!$A$3:$A$493,0)),"")</f>
        <v>Lazio</v>
      </c>
      <c r="F273" s="50" t="n">
        <f aca="false">IFERROR(INDEX('Output Utente'!$N$2:$N$492,MATCH(270,'Output Utente'!$Q$2:$Q$492,0)),"")</f>
        <v>3</v>
      </c>
      <c r="G273" s="50" t="n">
        <f aca="false">IFERROR(INDEX('Output Utente'!$O$2:$O$492,MATCH(270,'Output Utente'!$Q$2:$Q$492,0)),"")</f>
        <v>12</v>
      </c>
      <c r="H273" s="7" t="str">
        <f aca="false">IFERROR(INDEX('Output Utente'!$P$2:$P$492,MATCH(270,'Output Utente'!$Q$2:$Q$492,0)),"")</f>
        <v>Nella Media</v>
      </c>
      <c r="I273" s="50" t="n">
        <f aca="false">IFERROR(INDEX('Output Utente'!$F$2:$F$492,MATCH(270,'Output Utente'!$Q$2:$Q$492,0)),"")</f>
        <v>5</v>
      </c>
      <c r="J273" s="50" t="n">
        <f aca="false">IFERROR(INDEX('Output Utente'!$G$2:$G$492,MATCH(270,'Output Utente'!$Q$2:$Q$492,0)),"")</f>
        <v>4</v>
      </c>
      <c r="K273" s="50" t="n">
        <f aca="false">IFERROR(INDEX('Output Utente'!$H$2:$H$492,MATCH(270,'Output Utente'!$Q$2:$Q$492,0)),"")</f>
        <v>6</v>
      </c>
      <c r="L273" s="7" t="str">
        <f aca="false">IFERROR(INDEX('Output Utente'!$E$2:$E$492,MATCH(270,'Output Utente'!$Q$2:$Q$492,0)),"")</f>
        <v>NO</v>
      </c>
      <c r="M273" s="7" t="str">
        <f aca="false">IFERROR(INDEX('Output Utente'!$U$2:$U$492,MATCH(270,'Output Utente'!$Q$2:$Q$492,0)),"")</f>
        <v>OK</v>
      </c>
      <c r="N273" s="7" t="str">
        <f aca="false">IFERROR(INDEX('Output Utente'!$AE$2:$AE$492,MATCH(270,'Output Utente'!$Q$2:$Q$492,0)),"")</f>
        <v>🟡 Attesa rischiosa</v>
      </c>
    </row>
    <row r="274" customFormat="false" ht="15" hidden="false" customHeight="true" outlineLevel="0" collapsed="false">
      <c r="A274" s="49" t="n">
        <v>271</v>
      </c>
      <c r="B274" s="7" t="n">
        <f aca="false">IFERROR(INDEX('Output Utente'!$A$2:$A$492,MATCH(271,'Output Utente'!$Q$2:$Q$492,0)),"")</f>
        <v>5739</v>
      </c>
      <c r="C274" s="7" t="str">
        <f aca="false">IFERROR(INDEX('Output Utente'!$B$2:$B$492,MATCH(271,'Output Utente'!$Q$2:$Q$492,0)),"")</f>
        <v>D</v>
      </c>
      <c r="D274" s="7" t="str">
        <f aca="false">IFERROR(INDEX('Output Utente'!$C$2:$C$492,MATCH(271,'Output Utente'!$Q$2:$Q$492,0)),"")</f>
        <v>De Winter</v>
      </c>
      <c r="E274" s="7" t="str">
        <f aca="false">IFERROR(INDEX('Input Giocatori 2026_27'!$D$3:$D$493,MATCH($B274,'Input Giocatori 2026_27'!$A$3:$A$493,0)),"")</f>
        <v>Milan</v>
      </c>
      <c r="F274" s="50" t="n">
        <f aca="false">IFERROR(INDEX('Output Utente'!$N$2:$N$492,MATCH(271,'Output Utente'!$Q$2:$Q$492,0)),"")</f>
        <v>3</v>
      </c>
      <c r="G274" s="50" t="n">
        <f aca="false">IFERROR(INDEX('Output Utente'!$O$2:$O$492,MATCH(271,'Output Utente'!$Q$2:$Q$492,0)),"")</f>
        <v>12</v>
      </c>
      <c r="H274" s="7" t="str">
        <f aca="false">IFERROR(INDEX('Output Utente'!$P$2:$P$492,MATCH(271,'Output Utente'!$Q$2:$Q$492,0)),"")</f>
        <v>Nella Media</v>
      </c>
      <c r="I274" s="50" t="n">
        <f aca="false">IFERROR(INDEX('Output Utente'!$F$2:$F$492,MATCH(271,'Output Utente'!$Q$2:$Q$492,0)),"")</f>
        <v>5</v>
      </c>
      <c r="J274" s="50" t="n">
        <f aca="false">IFERROR(INDEX('Output Utente'!$G$2:$G$492,MATCH(271,'Output Utente'!$Q$2:$Q$492,0)),"")</f>
        <v>4</v>
      </c>
      <c r="K274" s="50" t="n">
        <f aca="false">IFERROR(INDEX('Output Utente'!$H$2:$H$492,MATCH(271,'Output Utente'!$Q$2:$Q$492,0)),"")</f>
        <v>6</v>
      </c>
      <c r="L274" s="7" t="str">
        <f aca="false">IFERROR(INDEX('Output Utente'!$E$2:$E$492,MATCH(271,'Output Utente'!$Q$2:$Q$492,0)),"")</f>
        <v>NO</v>
      </c>
      <c r="M274" s="7" t="str">
        <f aca="false">IFERROR(INDEX('Output Utente'!$U$2:$U$492,MATCH(271,'Output Utente'!$Q$2:$Q$492,0)),"")</f>
        <v>OK</v>
      </c>
      <c r="N274" s="7" t="str">
        <f aca="false">IFERROR(INDEX('Output Utente'!$AE$2:$AE$492,MATCH(271,'Output Utente'!$Q$2:$Q$492,0)),"")</f>
        <v>🟡 Attesa rischiosa</v>
      </c>
    </row>
    <row r="275" customFormat="false" ht="15" hidden="false" customHeight="true" outlineLevel="0" collapsed="false">
      <c r="A275" s="49" t="n">
        <v>272</v>
      </c>
      <c r="B275" s="7" t="n">
        <f aca="false">IFERROR(INDEX('Output Utente'!$A$2:$A$492,MATCH(272,'Output Utente'!$Q$2:$Q$492,0)),"")</f>
        <v>6985</v>
      </c>
      <c r="C275" s="7" t="str">
        <f aca="false">IFERROR(INDEX('Output Utente'!$B$2:$B$492,MATCH(272,'Output Utente'!$Q$2:$Q$492,0)),"")</f>
        <v>D</v>
      </c>
      <c r="D275" s="7" t="str">
        <f aca="false">IFERROR(INDEX('Output Utente'!$C$2:$C$492,MATCH(272,'Output Utente'!$Q$2:$Q$492,0)),"")</f>
        <v>Candè</v>
      </c>
      <c r="E275" s="7" t="str">
        <f aca="false">IFERROR(INDEX('Input Giocatori 2026_27'!$D$3:$D$493,MATCH($B275,'Input Giocatori 2026_27'!$A$3:$A$493,0)),"")</f>
        <v>Sassuolo</v>
      </c>
      <c r="F275" s="50" t="n">
        <f aca="false">IFERROR(INDEX('Output Utente'!$N$2:$N$492,MATCH(272,'Output Utente'!$Q$2:$Q$492,0)),"")</f>
        <v>3</v>
      </c>
      <c r="G275" s="50" t="n">
        <f aca="false">IFERROR(INDEX('Output Utente'!$O$2:$O$492,MATCH(272,'Output Utente'!$Q$2:$Q$492,0)),"")</f>
        <v>12</v>
      </c>
      <c r="H275" s="7" t="str">
        <f aca="false">IFERROR(INDEX('Output Utente'!$P$2:$P$492,MATCH(272,'Output Utente'!$Q$2:$Q$492,0)),"")</f>
        <v>Nella Media</v>
      </c>
      <c r="I275" s="50" t="n">
        <f aca="false">IFERROR(INDEX('Output Utente'!$F$2:$F$492,MATCH(272,'Output Utente'!$Q$2:$Q$492,0)),"")</f>
        <v>5</v>
      </c>
      <c r="J275" s="50" t="n">
        <f aca="false">IFERROR(INDEX('Output Utente'!$G$2:$G$492,MATCH(272,'Output Utente'!$Q$2:$Q$492,0)),"")</f>
        <v>4</v>
      </c>
      <c r="K275" s="50" t="n">
        <f aca="false">IFERROR(INDEX('Output Utente'!$H$2:$H$492,MATCH(272,'Output Utente'!$Q$2:$Q$492,0)),"")</f>
        <v>6</v>
      </c>
      <c r="L275" s="7" t="str">
        <f aca="false">IFERROR(INDEX('Output Utente'!$E$2:$E$492,MATCH(272,'Output Utente'!$Q$2:$Q$492,0)),"")</f>
        <v>NO</v>
      </c>
      <c r="M275" s="7" t="str">
        <f aca="false">IFERROR(INDEX('Output Utente'!$U$2:$U$492,MATCH(272,'Output Utente'!$Q$2:$Q$492,0)),"")</f>
        <v>OK</v>
      </c>
      <c r="N275" s="7" t="str">
        <f aca="false">IFERROR(INDEX('Output Utente'!$AE$2:$AE$492,MATCH(272,'Output Utente'!$Q$2:$Q$492,0)),"")</f>
        <v>🟡 Attesa rischiosa</v>
      </c>
    </row>
    <row r="276" customFormat="false" ht="15" hidden="false" customHeight="true" outlineLevel="0" collapsed="false">
      <c r="A276" s="49" t="n">
        <v>273</v>
      </c>
      <c r="B276" s="7" t="n">
        <f aca="false">IFERROR(INDEX('Output Utente'!$A$2:$A$492,MATCH(273,'Output Utente'!$Q$2:$Q$492,0)),"")</f>
        <v>7528</v>
      </c>
      <c r="C276" s="7" t="str">
        <f aca="false">IFERROR(INDEX('Output Utente'!$B$2:$B$492,MATCH(273,'Output Utente'!$Q$2:$Q$492,0)),"")</f>
        <v>C</v>
      </c>
      <c r="D276" s="7" t="str">
        <f aca="false">IFERROR(INDEX('Output Utente'!$C$2:$C$492,MATCH(273,'Output Utente'!$Q$2:$Q$492,0)),"")</f>
        <v>Amondarain</v>
      </c>
      <c r="E276" s="7" t="str">
        <f aca="false">IFERROR(INDEX('Input Giocatori 2026_27'!$D$3:$D$493,MATCH($B276,'Input Giocatori 2026_27'!$A$3:$A$493,0)),"")</f>
        <v>Bologna</v>
      </c>
      <c r="F276" s="50" t="n">
        <f aca="false">IFERROR(INDEX('Output Utente'!$N$2:$N$492,MATCH(273,'Output Utente'!$Q$2:$Q$492,0)),"")</f>
        <v>5</v>
      </c>
      <c r="G276" s="50" t="n">
        <f aca="false">IFERROR(INDEX('Output Utente'!$O$2:$O$492,MATCH(273,'Output Utente'!$Q$2:$Q$492,0)),"")</f>
        <v>12</v>
      </c>
      <c r="H276" s="7" t="str">
        <f aca="false">IFERROR(INDEX('Output Utente'!$P$2:$P$492,MATCH(273,'Output Utente'!$Q$2:$Q$492,0)),"")</f>
        <v>Nella Media</v>
      </c>
      <c r="I276" s="50" t="n">
        <f aca="false">IFERROR(INDEX('Output Utente'!$F$2:$F$492,MATCH(273,'Output Utente'!$Q$2:$Q$492,0)),"")</f>
        <v>6</v>
      </c>
      <c r="J276" s="50" t="n">
        <f aca="false">IFERROR(INDEX('Output Utente'!$G$2:$G$492,MATCH(273,'Output Utente'!$Q$2:$Q$492,0)),"")</f>
        <v>4</v>
      </c>
      <c r="K276" s="50" t="n">
        <f aca="false">IFERROR(INDEX('Output Utente'!$H$2:$H$492,MATCH(273,'Output Utente'!$Q$2:$Q$492,0)),"")</f>
        <v>7</v>
      </c>
      <c r="L276" s="7" t="str">
        <f aca="false">IFERROR(INDEX('Output Utente'!$E$2:$E$492,MATCH(273,'Output Utente'!$Q$2:$Q$492,0)),"")</f>
        <v>NO</v>
      </c>
      <c r="M276" s="7" t="str">
        <f aca="false">IFERROR(INDEX('Output Utente'!$U$2:$U$492,MATCH(273,'Output Utente'!$Q$2:$Q$492,0)),"")</f>
        <v>OK</v>
      </c>
      <c r="N276" s="7" t="str">
        <f aca="false">IFERROR(INDEX('Output Utente'!$AE$2:$AE$492,MATCH(273,'Output Utente'!$Q$2:$Q$492,0)),"")</f>
        <v>🟡 Attesa rischiosa</v>
      </c>
    </row>
    <row r="277" customFormat="false" ht="15" hidden="false" customHeight="true" outlineLevel="0" collapsed="false">
      <c r="A277" s="49" t="n">
        <v>274</v>
      </c>
      <c r="B277" s="7" t="n">
        <f aca="false">IFERROR(INDEX('Output Utente'!$A$2:$A$492,MATCH(274,'Output Utente'!$Q$2:$Q$492,0)),"")</f>
        <v>7311</v>
      </c>
      <c r="C277" s="7" t="str">
        <f aca="false">IFERROR(INDEX('Output Utente'!$B$2:$B$492,MATCH(274,'Output Utente'!$Q$2:$Q$492,0)),"")</f>
        <v>C</v>
      </c>
      <c r="D277" s="7" t="str">
        <f aca="false">IFERROR(INDEX('Output Utente'!$C$2:$C$492,MATCH(274,'Output Utente'!$Q$2:$Q$492,0)),"")</f>
        <v>Romano</v>
      </c>
      <c r="E277" s="7" t="str">
        <f aca="false">IFERROR(INDEX('Input Giocatori 2026_27'!$D$3:$D$493,MATCH($B277,'Input Giocatori 2026_27'!$A$3:$A$493,0)),"")</f>
        <v>Cagliari</v>
      </c>
      <c r="F277" s="50" t="n">
        <f aca="false">IFERROR(INDEX('Output Utente'!$N$2:$N$492,MATCH(274,'Output Utente'!$Q$2:$Q$492,0)),"")</f>
        <v>5</v>
      </c>
      <c r="G277" s="50" t="n">
        <f aca="false">IFERROR(INDEX('Output Utente'!$O$2:$O$492,MATCH(274,'Output Utente'!$Q$2:$Q$492,0)),"")</f>
        <v>12</v>
      </c>
      <c r="H277" s="7" t="str">
        <f aca="false">IFERROR(INDEX('Output Utente'!$P$2:$P$492,MATCH(274,'Output Utente'!$Q$2:$Q$492,0)),"")</f>
        <v>Nella Media</v>
      </c>
      <c r="I277" s="50" t="n">
        <f aca="false">IFERROR(INDEX('Output Utente'!$F$2:$F$492,MATCH(274,'Output Utente'!$Q$2:$Q$492,0)),"")</f>
        <v>6</v>
      </c>
      <c r="J277" s="50" t="n">
        <f aca="false">IFERROR(INDEX('Output Utente'!$G$2:$G$492,MATCH(274,'Output Utente'!$Q$2:$Q$492,0)),"")</f>
        <v>4</v>
      </c>
      <c r="K277" s="50" t="n">
        <f aca="false">IFERROR(INDEX('Output Utente'!$H$2:$H$492,MATCH(274,'Output Utente'!$Q$2:$Q$492,0)),"")</f>
        <v>7</v>
      </c>
      <c r="L277" s="7" t="str">
        <f aca="false">IFERROR(INDEX('Output Utente'!$E$2:$E$492,MATCH(274,'Output Utente'!$Q$2:$Q$492,0)),"")</f>
        <v>NO</v>
      </c>
      <c r="M277" s="7" t="str">
        <f aca="false">IFERROR(INDEX('Output Utente'!$U$2:$U$492,MATCH(274,'Output Utente'!$Q$2:$Q$492,0)),"")</f>
        <v>OK</v>
      </c>
      <c r="N277" s="7" t="str">
        <f aca="false">IFERROR(INDEX('Output Utente'!$AE$2:$AE$492,MATCH(274,'Output Utente'!$Q$2:$Q$492,0)),"")</f>
        <v>🟡 Attesa rischiosa</v>
      </c>
    </row>
    <row r="278" customFormat="false" ht="15" hidden="false" customHeight="true" outlineLevel="0" collapsed="false">
      <c r="A278" s="49" t="n">
        <v>275</v>
      </c>
      <c r="B278" s="7" t="n">
        <f aca="false">IFERROR(INDEX('Output Utente'!$A$2:$A$492,MATCH(275,'Output Utente'!$Q$2:$Q$492,0)),"")</f>
        <v>22</v>
      </c>
      <c r="C278" s="7" t="str">
        <f aca="false">IFERROR(INDEX('Output Utente'!$B$2:$B$492,MATCH(275,'Output Utente'!$Q$2:$Q$492,0)),"")</f>
        <v>C</v>
      </c>
      <c r="D278" s="7" t="str">
        <f aca="false">IFERROR(INDEX('Output Utente'!$C$2:$C$492,MATCH(275,'Output Utente'!$Q$2:$Q$492,0)),"")</f>
        <v>De Roon</v>
      </c>
      <c r="E278" s="7" t="str">
        <f aca="false">IFERROR(INDEX('Input Giocatori 2026_27'!$D$3:$D$493,MATCH($B278,'Input Giocatori 2026_27'!$A$3:$A$493,0)),"")</f>
        <v>Atalanta</v>
      </c>
      <c r="F278" s="50" t="n">
        <f aca="false">IFERROR(INDEX('Output Utente'!$N$2:$N$492,MATCH(275,'Output Utente'!$Q$2:$Q$492,0)),"")</f>
        <v>4</v>
      </c>
      <c r="G278" s="50" t="n">
        <f aca="false">IFERROR(INDEX('Output Utente'!$O$2:$O$492,MATCH(275,'Output Utente'!$Q$2:$Q$492,0)),"")</f>
        <v>12</v>
      </c>
      <c r="H278" s="7" t="str">
        <f aca="false">IFERROR(INDEX('Output Utente'!$P$2:$P$492,MATCH(275,'Output Utente'!$Q$2:$Q$492,0)),"")</f>
        <v>Nella Media</v>
      </c>
      <c r="I278" s="50" t="n">
        <f aca="false">IFERROR(INDEX('Output Utente'!$F$2:$F$492,MATCH(275,'Output Utente'!$Q$2:$Q$492,0)),"")</f>
        <v>6</v>
      </c>
      <c r="J278" s="50" t="n">
        <f aca="false">IFERROR(INDEX('Output Utente'!$G$2:$G$492,MATCH(275,'Output Utente'!$Q$2:$Q$492,0)),"")</f>
        <v>4</v>
      </c>
      <c r="K278" s="50" t="n">
        <f aca="false">IFERROR(INDEX('Output Utente'!$H$2:$H$492,MATCH(275,'Output Utente'!$Q$2:$Q$492,0)),"")</f>
        <v>7</v>
      </c>
      <c r="L278" s="7" t="str">
        <f aca="false">IFERROR(INDEX('Output Utente'!$E$2:$E$492,MATCH(275,'Output Utente'!$Q$2:$Q$492,0)),"")</f>
        <v>NO</v>
      </c>
      <c r="M278" s="7" t="str">
        <f aca="false">IFERROR(INDEX('Output Utente'!$U$2:$U$492,MATCH(275,'Output Utente'!$Q$2:$Q$492,0)),"")</f>
        <v>OK</v>
      </c>
      <c r="N278" s="7" t="str">
        <f aca="false">IFERROR(INDEX('Output Utente'!$AE$2:$AE$492,MATCH(275,'Output Utente'!$Q$2:$Q$492,0)),"")</f>
        <v>🟡 Attesa rischiosa</v>
      </c>
    </row>
    <row r="279" customFormat="false" ht="15" hidden="false" customHeight="true" outlineLevel="0" collapsed="false">
      <c r="A279" s="49" t="n">
        <v>276</v>
      </c>
      <c r="B279" s="7" t="n">
        <f aca="false">IFERROR(INDEX('Output Utente'!$A$2:$A$492,MATCH(276,'Output Utente'!$Q$2:$Q$492,0)),"")</f>
        <v>7474</v>
      </c>
      <c r="C279" s="7" t="str">
        <f aca="false">IFERROR(INDEX('Output Utente'!$B$2:$B$492,MATCH(276,'Output Utente'!$Q$2:$Q$492,0)),"")</f>
        <v>C</v>
      </c>
      <c r="D279" s="7" t="str">
        <f aca="false">IFERROR(INDEX('Output Utente'!$C$2:$C$492,MATCH(276,'Output Utente'!$Q$2:$Q$492,0)),"")</f>
        <v>Koutsoupias</v>
      </c>
      <c r="E279" s="7" t="str">
        <f aca="false">IFERROR(INDEX('Input Giocatori 2026_27'!$D$3:$D$493,MATCH($B279,'Input Giocatori 2026_27'!$A$3:$A$493,0)),"")</f>
        <v>Frosinone</v>
      </c>
      <c r="F279" s="50" t="n">
        <f aca="false">IFERROR(INDEX('Output Utente'!$N$2:$N$492,MATCH(276,'Output Utente'!$Q$2:$Q$492,0)),"")</f>
        <v>4</v>
      </c>
      <c r="G279" s="50" t="n">
        <f aca="false">IFERROR(INDEX('Output Utente'!$O$2:$O$492,MATCH(276,'Output Utente'!$Q$2:$Q$492,0)),"")</f>
        <v>12</v>
      </c>
      <c r="H279" s="7" t="str">
        <f aca="false">IFERROR(INDEX('Output Utente'!$P$2:$P$492,MATCH(276,'Output Utente'!$Q$2:$Q$492,0)),"")</f>
        <v>Nella Media</v>
      </c>
      <c r="I279" s="50" t="n">
        <f aca="false">IFERROR(INDEX('Output Utente'!$F$2:$F$492,MATCH(276,'Output Utente'!$Q$2:$Q$492,0)),"")</f>
        <v>6</v>
      </c>
      <c r="J279" s="50" t="n">
        <f aca="false">IFERROR(INDEX('Output Utente'!$G$2:$G$492,MATCH(276,'Output Utente'!$Q$2:$Q$492,0)),"")</f>
        <v>4</v>
      </c>
      <c r="K279" s="50" t="n">
        <f aca="false">IFERROR(INDEX('Output Utente'!$H$2:$H$492,MATCH(276,'Output Utente'!$Q$2:$Q$492,0)),"")</f>
        <v>7</v>
      </c>
      <c r="L279" s="7" t="str">
        <f aca="false">IFERROR(INDEX('Output Utente'!$E$2:$E$492,MATCH(276,'Output Utente'!$Q$2:$Q$492,0)),"")</f>
        <v>NO</v>
      </c>
      <c r="M279" s="7" t="str">
        <f aca="false">IFERROR(INDEX('Output Utente'!$U$2:$U$492,MATCH(276,'Output Utente'!$Q$2:$Q$492,0)),"")</f>
        <v>OK</v>
      </c>
      <c r="N279" s="7" t="str">
        <f aca="false">IFERROR(INDEX('Output Utente'!$AE$2:$AE$492,MATCH(276,'Output Utente'!$Q$2:$Q$492,0)),"")</f>
        <v>🟡 Attesa rischiosa</v>
      </c>
    </row>
    <row r="280" customFormat="false" ht="15" hidden="false" customHeight="true" outlineLevel="0" collapsed="false">
      <c r="A280" s="49" t="n">
        <v>277</v>
      </c>
      <c r="B280" s="7" t="n">
        <f aca="false">IFERROR(INDEX('Output Utente'!$A$2:$A$492,MATCH(277,'Output Utente'!$Q$2:$Q$492,0)),"")</f>
        <v>4911</v>
      </c>
      <c r="C280" s="7" t="str">
        <f aca="false">IFERROR(INDEX('Output Utente'!$B$2:$B$492,MATCH(277,'Output Utente'!$Q$2:$Q$492,0)),"")</f>
        <v>C</v>
      </c>
      <c r="D280" s="7" t="str">
        <f aca="false">IFERROR(INDEX('Output Utente'!$C$2:$C$492,MATCH(277,'Output Utente'!$Q$2:$Q$492,0)),"")</f>
        <v>Douglas Luiz</v>
      </c>
      <c r="E280" s="7" t="str">
        <f aca="false">IFERROR(INDEX('Input Giocatori 2026_27'!$D$3:$D$493,MATCH($B280,'Input Giocatori 2026_27'!$A$3:$A$493,0)),"")</f>
        <v>Juventus</v>
      </c>
      <c r="F280" s="50" t="n">
        <f aca="false">IFERROR(INDEX('Output Utente'!$N$2:$N$492,MATCH(277,'Output Utente'!$Q$2:$Q$492,0)),"")</f>
        <v>4</v>
      </c>
      <c r="G280" s="50" t="n">
        <f aca="false">IFERROR(INDEX('Output Utente'!$O$2:$O$492,MATCH(277,'Output Utente'!$Q$2:$Q$492,0)),"")</f>
        <v>12</v>
      </c>
      <c r="H280" s="7" t="str">
        <f aca="false">IFERROR(INDEX('Output Utente'!$P$2:$P$492,MATCH(277,'Output Utente'!$Q$2:$Q$492,0)),"")</f>
        <v>Nella Media</v>
      </c>
      <c r="I280" s="50" t="n">
        <f aca="false">IFERROR(INDEX('Output Utente'!$F$2:$F$492,MATCH(277,'Output Utente'!$Q$2:$Q$492,0)),"")</f>
        <v>6</v>
      </c>
      <c r="J280" s="50" t="n">
        <f aca="false">IFERROR(INDEX('Output Utente'!$G$2:$G$492,MATCH(277,'Output Utente'!$Q$2:$Q$492,0)),"")</f>
        <v>4</v>
      </c>
      <c r="K280" s="50" t="n">
        <f aca="false">IFERROR(INDEX('Output Utente'!$H$2:$H$492,MATCH(277,'Output Utente'!$Q$2:$Q$492,0)),"")</f>
        <v>7</v>
      </c>
      <c r="L280" s="7" t="str">
        <f aca="false">IFERROR(INDEX('Output Utente'!$E$2:$E$492,MATCH(277,'Output Utente'!$Q$2:$Q$492,0)),"")</f>
        <v>NO</v>
      </c>
      <c r="M280" s="7" t="str">
        <f aca="false">IFERROR(INDEX('Output Utente'!$U$2:$U$492,MATCH(277,'Output Utente'!$Q$2:$Q$492,0)),"")</f>
        <v>OK</v>
      </c>
      <c r="N280" s="7" t="str">
        <f aca="false">IFERROR(INDEX('Output Utente'!$AE$2:$AE$492,MATCH(277,'Output Utente'!$Q$2:$Q$492,0)),"")</f>
        <v>🟡 Attesa rischiosa</v>
      </c>
    </row>
    <row r="281" customFormat="false" ht="15" hidden="false" customHeight="true" outlineLevel="0" collapsed="false">
      <c r="A281" s="49" t="n">
        <v>278</v>
      </c>
      <c r="B281" s="7" t="n">
        <f aca="false">IFERROR(INDEX('Output Utente'!$A$2:$A$492,MATCH(278,'Output Utente'!$Q$2:$Q$492,0)),"")</f>
        <v>333</v>
      </c>
      <c r="C281" s="7" t="str">
        <f aca="false">IFERROR(INDEX('Output Utente'!$B$2:$B$492,MATCH(278,'Output Utente'!$Q$2:$Q$492,0)),"")</f>
        <v>C</v>
      </c>
      <c r="D281" s="7" t="str">
        <f aca="false">IFERROR(INDEX('Output Utente'!$C$2:$C$492,MATCH(278,'Output Utente'!$Q$2:$Q$492,0)),"")</f>
        <v>Cataldi</v>
      </c>
      <c r="E281" s="7" t="str">
        <f aca="false">IFERROR(INDEX('Input Giocatori 2026_27'!$D$3:$D$493,MATCH($B281,'Input Giocatori 2026_27'!$A$3:$A$493,0)),"")</f>
        <v>Lazio</v>
      </c>
      <c r="F281" s="50" t="n">
        <f aca="false">IFERROR(INDEX('Output Utente'!$N$2:$N$492,MATCH(278,'Output Utente'!$Q$2:$Q$492,0)),"")</f>
        <v>4</v>
      </c>
      <c r="G281" s="50" t="n">
        <f aca="false">IFERROR(INDEX('Output Utente'!$O$2:$O$492,MATCH(278,'Output Utente'!$Q$2:$Q$492,0)),"")</f>
        <v>12</v>
      </c>
      <c r="H281" s="7" t="str">
        <f aca="false">IFERROR(INDEX('Output Utente'!$P$2:$P$492,MATCH(278,'Output Utente'!$Q$2:$Q$492,0)),"")</f>
        <v>Nella Media</v>
      </c>
      <c r="I281" s="50" t="n">
        <f aca="false">IFERROR(INDEX('Output Utente'!$F$2:$F$492,MATCH(278,'Output Utente'!$Q$2:$Q$492,0)),"")</f>
        <v>7</v>
      </c>
      <c r="J281" s="50" t="n">
        <f aca="false">IFERROR(INDEX('Output Utente'!$G$2:$G$492,MATCH(278,'Output Utente'!$Q$2:$Q$492,0)),"")</f>
        <v>5</v>
      </c>
      <c r="K281" s="50" t="n">
        <f aca="false">IFERROR(INDEX('Output Utente'!$H$2:$H$492,MATCH(278,'Output Utente'!$Q$2:$Q$492,0)),"")</f>
        <v>8</v>
      </c>
      <c r="L281" s="7" t="str">
        <f aca="false">IFERROR(INDEX('Output Utente'!$E$2:$E$492,MATCH(278,'Output Utente'!$Q$2:$Q$492,0)),"")</f>
        <v>NO</v>
      </c>
      <c r="M281" s="7" t="str">
        <f aca="false">IFERROR(INDEX('Output Utente'!$U$2:$U$492,MATCH(278,'Output Utente'!$Q$2:$Q$492,0)),"")</f>
        <v>OK</v>
      </c>
      <c r="N281" s="7" t="str">
        <f aca="false">IFERROR(INDEX('Output Utente'!$AE$2:$AE$492,MATCH(278,'Output Utente'!$Q$2:$Q$492,0)),"")</f>
        <v>🟡 Attesa rischiosa</v>
      </c>
    </row>
    <row r="282" customFormat="false" ht="15" hidden="false" customHeight="true" outlineLevel="0" collapsed="false">
      <c r="A282" s="49" t="n">
        <v>279</v>
      </c>
      <c r="B282" s="7" t="n">
        <f aca="false">IFERROR(INDEX('Output Utente'!$A$2:$A$492,MATCH(279,'Output Utente'!$Q$2:$Q$492,0)),"")</f>
        <v>6827</v>
      </c>
      <c r="C282" s="7" t="str">
        <f aca="false">IFERROR(INDEX('Output Utente'!$B$2:$B$492,MATCH(279,'Output Utente'!$Q$2:$Q$492,0)),"")</f>
        <v>C</v>
      </c>
      <c r="D282" s="7" t="str">
        <f aca="false">IFERROR(INDEX('Output Utente'!$C$2:$C$492,MATCH(279,'Output Utente'!$Q$2:$Q$492,0)),"")</f>
        <v>Njie</v>
      </c>
      <c r="E282" s="7" t="str">
        <f aca="false">IFERROR(INDEX('Input Giocatori 2026_27'!$D$3:$D$493,MATCH($B282,'Input Giocatori 2026_27'!$A$3:$A$493,0)),"")</f>
        <v>Torino</v>
      </c>
      <c r="F282" s="50" t="n">
        <f aca="false">IFERROR(INDEX('Output Utente'!$N$2:$N$492,MATCH(279,'Output Utente'!$Q$2:$Q$492,0)),"")</f>
        <v>4</v>
      </c>
      <c r="G282" s="50" t="n">
        <f aca="false">IFERROR(INDEX('Output Utente'!$O$2:$O$492,MATCH(279,'Output Utente'!$Q$2:$Q$492,0)),"")</f>
        <v>12</v>
      </c>
      <c r="H282" s="7" t="str">
        <f aca="false">IFERROR(INDEX('Output Utente'!$P$2:$P$492,MATCH(279,'Output Utente'!$Q$2:$Q$492,0)),"")</f>
        <v>Nella Media</v>
      </c>
      <c r="I282" s="50" t="n">
        <f aca="false">IFERROR(INDEX('Output Utente'!$F$2:$F$492,MATCH(279,'Output Utente'!$Q$2:$Q$492,0)),"")</f>
        <v>6</v>
      </c>
      <c r="J282" s="50" t="n">
        <f aca="false">IFERROR(INDEX('Output Utente'!$G$2:$G$492,MATCH(279,'Output Utente'!$Q$2:$Q$492,0)),"")</f>
        <v>4</v>
      </c>
      <c r="K282" s="50" t="n">
        <f aca="false">IFERROR(INDEX('Output Utente'!$H$2:$H$492,MATCH(279,'Output Utente'!$Q$2:$Q$492,0)),"")</f>
        <v>7</v>
      </c>
      <c r="L282" s="7" t="str">
        <f aca="false">IFERROR(INDEX('Output Utente'!$E$2:$E$492,MATCH(279,'Output Utente'!$Q$2:$Q$492,0)),"")</f>
        <v>NO</v>
      </c>
      <c r="M282" s="7" t="str">
        <f aca="false">IFERROR(INDEX('Output Utente'!$U$2:$U$492,MATCH(279,'Output Utente'!$Q$2:$Q$492,0)),"")</f>
        <v>OK</v>
      </c>
      <c r="N282" s="7" t="str">
        <f aca="false">IFERROR(INDEX('Output Utente'!$AE$2:$AE$492,MATCH(279,'Output Utente'!$Q$2:$Q$492,0)),"")</f>
        <v>🟡 Attesa rischiosa</v>
      </c>
    </row>
    <row r="283" customFormat="false" ht="15" hidden="false" customHeight="true" outlineLevel="0" collapsed="false">
      <c r="A283" s="49" t="n">
        <v>280</v>
      </c>
      <c r="B283" s="7" t="n">
        <f aca="false">IFERROR(INDEX('Output Utente'!$A$2:$A$492,MATCH(280,'Output Utente'!$Q$2:$Q$492,0)),"")</f>
        <v>7209</v>
      </c>
      <c r="C283" s="7" t="str">
        <f aca="false">IFERROR(INDEX('Output Utente'!$B$2:$B$492,MATCH(280,'Output Utente'!$Q$2:$Q$492,0)),"")</f>
        <v>C</v>
      </c>
      <c r="D283" s="7" t="str">
        <f aca="false">IFERROR(INDEX('Output Utente'!$C$2:$C$492,MATCH(280,'Output Utente'!$Q$2:$Q$492,0)),"")</f>
        <v>Sorensen O.</v>
      </c>
      <c r="E283" s="7" t="str">
        <f aca="false">IFERROR(INDEX('Input Giocatori 2026_27'!$D$3:$D$493,MATCH($B283,'Input Giocatori 2026_27'!$A$3:$A$493,0)),"")</f>
        <v>Parma</v>
      </c>
      <c r="F283" s="50" t="n">
        <f aca="false">IFERROR(INDEX('Output Utente'!$N$2:$N$492,MATCH(280,'Output Utente'!$Q$2:$Q$492,0)),"")</f>
        <v>3</v>
      </c>
      <c r="G283" s="50" t="n">
        <f aca="false">IFERROR(INDEX('Output Utente'!$O$2:$O$492,MATCH(280,'Output Utente'!$Q$2:$Q$492,0)),"")</f>
        <v>12</v>
      </c>
      <c r="H283" s="7" t="str">
        <f aca="false">IFERROR(INDEX('Output Utente'!$P$2:$P$492,MATCH(280,'Output Utente'!$Q$2:$Q$492,0)),"")</f>
        <v>Nella Media</v>
      </c>
      <c r="I283" s="50" t="n">
        <f aca="false">IFERROR(INDEX('Output Utente'!$F$2:$F$492,MATCH(280,'Output Utente'!$Q$2:$Q$492,0)),"")</f>
        <v>6</v>
      </c>
      <c r="J283" s="50" t="n">
        <f aca="false">IFERROR(INDEX('Output Utente'!$G$2:$G$492,MATCH(280,'Output Utente'!$Q$2:$Q$492,0)),"")</f>
        <v>4</v>
      </c>
      <c r="K283" s="50" t="n">
        <f aca="false">IFERROR(INDEX('Output Utente'!$H$2:$H$492,MATCH(280,'Output Utente'!$Q$2:$Q$492,0)),"")</f>
        <v>7</v>
      </c>
      <c r="L283" s="7" t="str">
        <f aca="false">IFERROR(INDEX('Output Utente'!$E$2:$E$492,MATCH(280,'Output Utente'!$Q$2:$Q$492,0)),"")</f>
        <v>NO</v>
      </c>
      <c r="M283" s="7" t="str">
        <f aca="false">IFERROR(INDEX('Output Utente'!$U$2:$U$492,MATCH(280,'Output Utente'!$Q$2:$Q$492,0)),"")</f>
        <v>OK</v>
      </c>
      <c r="N283" s="7" t="str">
        <f aca="false">IFERROR(INDEX('Output Utente'!$AE$2:$AE$492,MATCH(280,'Output Utente'!$Q$2:$Q$492,0)),"")</f>
        <v>🟡 Attesa rischiosa</v>
      </c>
    </row>
    <row r="284" customFormat="false" ht="15" hidden="false" customHeight="true" outlineLevel="0" collapsed="false">
      <c r="A284" s="49" t="n">
        <v>281</v>
      </c>
      <c r="B284" s="7" t="n">
        <f aca="false">IFERROR(INDEX('Output Utente'!$A$2:$A$492,MATCH(281,'Output Utente'!$Q$2:$Q$492,0)),"")</f>
        <v>7536</v>
      </c>
      <c r="C284" s="7" t="str">
        <f aca="false">IFERROR(INDEX('Output Utente'!$B$2:$B$492,MATCH(281,'Output Utente'!$Q$2:$Q$492,0)),"")</f>
        <v>C</v>
      </c>
      <c r="D284" s="7" t="str">
        <f aca="false">IFERROR(INDEX('Output Utente'!$C$2:$C$492,MATCH(281,'Output Utente'!$Q$2:$Q$492,0)),"")</f>
        <v>Diallo O.</v>
      </c>
      <c r="E284" s="7" t="str">
        <f aca="false">IFERROR(INDEX('Input Giocatori 2026_27'!$D$3:$D$493,MATCH($B284,'Input Giocatori 2026_27'!$A$3:$A$493,0)),"")</f>
        <v>Parma</v>
      </c>
      <c r="F284" s="50" t="n">
        <f aca="false">IFERROR(INDEX('Output Utente'!$N$2:$N$492,MATCH(281,'Output Utente'!$Q$2:$Q$492,0)),"")</f>
        <v>3</v>
      </c>
      <c r="G284" s="50" t="n">
        <f aca="false">IFERROR(INDEX('Output Utente'!$O$2:$O$492,MATCH(281,'Output Utente'!$Q$2:$Q$492,0)),"")</f>
        <v>12</v>
      </c>
      <c r="H284" s="7" t="str">
        <f aca="false">IFERROR(INDEX('Output Utente'!$P$2:$P$492,MATCH(281,'Output Utente'!$Q$2:$Q$492,0)),"")</f>
        <v>Nella Media</v>
      </c>
      <c r="I284" s="50" t="n">
        <f aca="false">IFERROR(INDEX('Output Utente'!$F$2:$F$492,MATCH(281,'Output Utente'!$Q$2:$Q$492,0)),"")</f>
        <v>6</v>
      </c>
      <c r="J284" s="50" t="n">
        <f aca="false">IFERROR(INDEX('Output Utente'!$G$2:$G$492,MATCH(281,'Output Utente'!$Q$2:$Q$492,0)),"")</f>
        <v>4</v>
      </c>
      <c r="K284" s="50" t="n">
        <f aca="false">IFERROR(INDEX('Output Utente'!$H$2:$H$492,MATCH(281,'Output Utente'!$Q$2:$Q$492,0)),"")</f>
        <v>7</v>
      </c>
      <c r="L284" s="7" t="str">
        <f aca="false">IFERROR(INDEX('Output Utente'!$E$2:$E$492,MATCH(281,'Output Utente'!$Q$2:$Q$492,0)),"")</f>
        <v>NO</v>
      </c>
      <c r="M284" s="7" t="str">
        <f aca="false">IFERROR(INDEX('Output Utente'!$U$2:$U$492,MATCH(281,'Output Utente'!$Q$2:$Q$492,0)),"")</f>
        <v>OK</v>
      </c>
      <c r="N284" s="7" t="str">
        <f aca="false">IFERROR(INDEX('Output Utente'!$AE$2:$AE$492,MATCH(281,'Output Utente'!$Q$2:$Q$492,0)),"")</f>
        <v>🟡 Attesa rischiosa</v>
      </c>
    </row>
    <row r="285" customFormat="false" ht="15" hidden="false" customHeight="true" outlineLevel="0" collapsed="false">
      <c r="A285" s="49" t="n">
        <v>282</v>
      </c>
      <c r="B285" s="7" t="n">
        <f aca="false">IFERROR(INDEX('Output Utente'!$A$2:$A$492,MATCH(282,'Output Utente'!$Q$2:$Q$492,0)),"")</f>
        <v>7208</v>
      </c>
      <c r="C285" s="7" t="str">
        <f aca="false">IFERROR(INDEX('Output Utente'!$B$2:$B$492,MATCH(282,'Output Utente'!$Q$2:$Q$492,0)),"")</f>
        <v>C</v>
      </c>
      <c r="D285" s="7" t="str">
        <f aca="false">IFERROR(INDEX('Output Utente'!$C$2:$C$492,MATCH(282,'Output Utente'!$Q$2:$Q$492,0)),"")</f>
        <v>Miller L.</v>
      </c>
      <c r="E285" s="7" t="str">
        <f aca="false">IFERROR(INDEX('Input Giocatori 2026_27'!$D$3:$D$493,MATCH($B285,'Input Giocatori 2026_27'!$A$3:$A$493,0)),"")</f>
        <v>Udinese</v>
      </c>
      <c r="F285" s="50" t="n">
        <f aca="false">IFERROR(INDEX('Output Utente'!$N$2:$N$492,MATCH(282,'Output Utente'!$Q$2:$Q$492,0)),"")</f>
        <v>3</v>
      </c>
      <c r="G285" s="50" t="n">
        <f aca="false">IFERROR(INDEX('Output Utente'!$O$2:$O$492,MATCH(282,'Output Utente'!$Q$2:$Q$492,0)),"")</f>
        <v>12</v>
      </c>
      <c r="H285" s="7" t="str">
        <f aca="false">IFERROR(INDEX('Output Utente'!$P$2:$P$492,MATCH(282,'Output Utente'!$Q$2:$Q$492,0)),"")</f>
        <v>Nella Media</v>
      </c>
      <c r="I285" s="50" t="n">
        <f aca="false">IFERROR(INDEX('Output Utente'!$F$2:$F$492,MATCH(282,'Output Utente'!$Q$2:$Q$492,0)),"")</f>
        <v>6</v>
      </c>
      <c r="J285" s="50" t="n">
        <f aca="false">IFERROR(INDEX('Output Utente'!$G$2:$G$492,MATCH(282,'Output Utente'!$Q$2:$Q$492,0)),"")</f>
        <v>4</v>
      </c>
      <c r="K285" s="50" t="n">
        <f aca="false">IFERROR(INDEX('Output Utente'!$H$2:$H$492,MATCH(282,'Output Utente'!$Q$2:$Q$492,0)),"")</f>
        <v>7</v>
      </c>
      <c r="L285" s="7" t="str">
        <f aca="false">IFERROR(INDEX('Output Utente'!$E$2:$E$492,MATCH(282,'Output Utente'!$Q$2:$Q$492,0)),"")</f>
        <v>NO</v>
      </c>
      <c r="M285" s="7" t="str">
        <f aca="false">IFERROR(INDEX('Output Utente'!$U$2:$U$492,MATCH(282,'Output Utente'!$Q$2:$Q$492,0)),"")</f>
        <v>OK</v>
      </c>
      <c r="N285" s="7" t="str">
        <f aca="false">IFERROR(INDEX('Output Utente'!$AE$2:$AE$492,MATCH(282,'Output Utente'!$Q$2:$Q$492,0)),"")</f>
        <v>🟡 Attesa rischiosa</v>
      </c>
    </row>
    <row r="286" customFormat="false" ht="15" hidden="false" customHeight="true" outlineLevel="0" collapsed="false">
      <c r="A286" s="49" t="n">
        <v>283</v>
      </c>
      <c r="B286" s="7" t="n">
        <f aca="false">IFERROR(INDEX('Output Utente'!$A$2:$A$492,MATCH(283,'Output Utente'!$Q$2:$Q$492,0)),"")</f>
        <v>6495</v>
      </c>
      <c r="C286" s="7" t="str">
        <f aca="false">IFERROR(INDEX('Output Utente'!$B$2:$B$492,MATCH(283,'Output Utente'!$Q$2:$Q$492,0)),"")</f>
        <v>D</v>
      </c>
      <c r="D286" s="7" t="str">
        <f aca="false">IFERROR(INDEX('Output Utente'!$C$2:$C$492,MATCH(283,'Output Utente'!$Q$2:$Q$492,0)),"")</f>
        <v>Comuzzo</v>
      </c>
      <c r="E286" s="7" t="str">
        <f aca="false">IFERROR(INDEX('Input Giocatori 2026_27'!$D$3:$D$493,MATCH($B286,'Input Giocatori 2026_27'!$A$3:$A$493,0)),"")</f>
        <v>Torino</v>
      </c>
      <c r="F286" s="50" t="n">
        <f aca="false">IFERROR(INDEX('Output Utente'!$N$2:$N$492,MATCH(283,'Output Utente'!$Q$2:$Q$492,0)),"")</f>
        <v>6</v>
      </c>
      <c r="G286" s="50" t="n">
        <f aca="false">IFERROR(INDEX('Output Utente'!$O$2:$O$492,MATCH(283,'Output Utente'!$Q$2:$Q$492,0)),"")</f>
        <v>11</v>
      </c>
      <c r="H286" s="7" t="str">
        <f aca="false">IFERROR(INDEX('Output Utente'!$P$2:$P$492,MATCH(283,'Output Utente'!$Q$2:$Q$492,0)),"")</f>
        <v>Nella Media</v>
      </c>
      <c r="I286" s="50" t="n">
        <f aca="false">IFERROR(INDEX('Output Utente'!$F$2:$F$492,MATCH(283,'Output Utente'!$Q$2:$Q$492,0)),"")</f>
        <v>5</v>
      </c>
      <c r="J286" s="50" t="n">
        <f aca="false">IFERROR(INDEX('Output Utente'!$G$2:$G$492,MATCH(283,'Output Utente'!$Q$2:$Q$492,0)),"")</f>
        <v>4</v>
      </c>
      <c r="K286" s="50" t="n">
        <f aca="false">IFERROR(INDEX('Output Utente'!$H$2:$H$492,MATCH(283,'Output Utente'!$Q$2:$Q$492,0)),"")</f>
        <v>6</v>
      </c>
      <c r="L286" s="7" t="str">
        <f aca="false">IFERROR(INDEX('Output Utente'!$E$2:$E$492,MATCH(283,'Output Utente'!$Q$2:$Q$492,0)),"")</f>
        <v>NO</v>
      </c>
      <c r="M286" s="7" t="str">
        <f aca="false">IFERROR(INDEX('Output Utente'!$U$2:$U$492,MATCH(283,'Output Utente'!$Q$2:$Q$492,0)),"")</f>
        <v>OK</v>
      </c>
      <c r="N286" s="7" t="str">
        <f aca="false">IFERROR(INDEX('Output Utente'!$AE$2:$AE$492,MATCH(283,'Output Utente'!$Q$2:$Q$492,0)),"")</f>
        <v>🟡 Attesa rischiosa</v>
      </c>
    </row>
    <row r="287" customFormat="false" ht="15" hidden="false" customHeight="true" outlineLevel="0" collapsed="false">
      <c r="A287" s="49" t="n">
        <v>284</v>
      </c>
      <c r="B287" s="7" t="n">
        <f aca="false">IFERROR(INDEX('Output Utente'!$A$2:$A$492,MATCH(284,'Output Utente'!$Q$2:$Q$492,0)),"")</f>
        <v>7068</v>
      </c>
      <c r="C287" s="7" t="str">
        <f aca="false">IFERROR(INDEX('Output Utente'!$B$2:$B$492,MATCH(284,'Output Utente'!$Q$2:$Q$492,0)),"")</f>
        <v>D</v>
      </c>
      <c r="D287" s="7" t="str">
        <f aca="false">IFERROR(INDEX('Output Utente'!$C$2:$C$492,MATCH(284,'Output Utente'!$Q$2:$Q$492,0)),"")</f>
        <v>Vitik</v>
      </c>
      <c r="E287" s="7" t="str">
        <f aca="false">IFERROR(INDEX('Input Giocatori 2026_27'!$D$3:$D$493,MATCH($B287,'Input Giocatori 2026_27'!$A$3:$A$493,0)),"")</f>
        <v>Bologna</v>
      </c>
      <c r="F287" s="50" t="n">
        <f aca="false">IFERROR(INDEX('Output Utente'!$N$2:$N$492,MATCH(284,'Output Utente'!$Q$2:$Q$492,0)),"")</f>
        <v>5</v>
      </c>
      <c r="G287" s="50" t="n">
        <f aca="false">IFERROR(INDEX('Output Utente'!$O$2:$O$492,MATCH(284,'Output Utente'!$Q$2:$Q$492,0)),"")</f>
        <v>11</v>
      </c>
      <c r="H287" s="7" t="str">
        <f aca="false">IFERROR(INDEX('Output Utente'!$P$2:$P$492,MATCH(284,'Output Utente'!$Q$2:$Q$492,0)),"")</f>
        <v>Nella Media</v>
      </c>
      <c r="I287" s="50" t="n">
        <f aca="false">IFERROR(INDEX('Output Utente'!$F$2:$F$492,MATCH(284,'Output Utente'!$Q$2:$Q$492,0)),"")</f>
        <v>5</v>
      </c>
      <c r="J287" s="50" t="n">
        <f aca="false">IFERROR(INDEX('Output Utente'!$G$2:$G$492,MATCH(284,'Output Utente'!$Q$2:$Q$492,0)),"")</f>
        <v>4</v>
      </c>
      <c r="K287" s="50" t="n">
        <f aca="false">IFERROR(INDEX('Output Utente'!$H$2:$H$492,MATCH(284,'Output Utente'!$Q$2:$Q$492,0)),"")</f>
        <v>6</v>
      </c>
      <c r="L287" s="7" t="str">
        <f aca="false">IFERROR(INDEX('Output Utente'!$E$2:$E$492,MATCH(284,'Output Utente'!$Q$2:$Q$492,0)),"")</f>
        <v>NO</v>
      </c>
      <c r="M287" s="7" t="str">
        <f aca="false">IFERROR(INDEX('Output Utente'!$U$2:$U$492,MATCH(284,'Output Utente'!$Q$2:$Q$492,0)),"")</f>
        <v>OK</v>
      </c>
      <c r="N287" s="7" t="str">
        <f aca="false">IFERROR(INDEX('Output Utente'!$AE$2:$AE$492,MATCH(284,'Output Utente'!$Q$2:$Q$492,0)),"")</f>
        <v>🟡 Attesa rischiosa</v>
      </c>
    </row>
    <row r="288" customFormat="false" ht="15" hidden="false" customHeight="true" outlineLevel="0" collapsed="false">
      <c r="A288" s="49" t="n">
        <v>285</v>
      </c>
      <c r="B288" s="7" t="n">
        <f aca="false">IFERROR(INDEX('Output Utente'!$A$2:$A$492,MATCH(285,'Output Utente'!$Q$2:$Q$492,0)),"")</f>
        <v>7532</v>
      </c>
      <c r="C288" s="7" t="str">
        <f aca="false">IFERROR(INDEX('Output Utente'!$B$2:$B$492,MATCH(285,'Output Utente'!$Q$2:$Q$492,0)),"")</f>
        <v>D</v>
      </c>
      <c r="D288" s="7" t="str">
        <f aca="false">IFERROR(INDEX('Output Utente'!$C$2:$C$492,MATCH(285,'Output Utente'!$Q$2:$Q$492,0)),"")</f>
        <v>Kofler</v>
      </c>
      <c r="E288" s="7" t="str">
        <f aca="false">IFERROR(INDEX('Input Giocatori 2026_27'!$D$3:$D$493,MATCH($B288,'Input Giocatori 2026_27'!$A$3:$A$493,0)),"")</f>
        <v>Cagliari</v>
      </c>
      <c r="F288" s="50" t="n">
        <f aca="false">IFERROR(INDEX('Output Utente'!$N$2:$N$492,MATCH(285,'Output Utente'!$Q$2:$Q$492,0)),"")</f>
        <v>5</v>
      </c>
      <c r="G288" s="50" t="n">
        <f aca="false">IFERROR(INDEX('Output Utente'!$O$2:$O$492,MATCH(285,'Output Utente'!$Q$2:$Q$492,0)),"")</f>
        <v>11</v>
      </c>
      <c r="H288" s="7" t="str">
        <f aca="false">IFERROR(INDEX('Output Utente'!$P$2:$P$492,MATCH(285,'Output Utente'!$Q$2:$Q$492,0)),"")</f>
        <v>Nella Media</v>
      </c>
      <c r="I288" s="50" t="n">
        <f aca="false">IFERROR(INDEX('Output Utente'!$F$2:$F$492,MATCH(285,'Output Utente'!$Q$2:$Q$492,0)),"")</f>
        <v>5</v>
      </c>
      <c r="J288" s="50" t="n">
        <f aca="false">IFERROR(INDEX('Output Utente'!$G$2:$G$492,MATCH(285,'Output Utente'!$Q$2:$Q$492,0)),"")</f>
        <v>4</v>
      </c>
      <c r="K288" s="50" t="n">
        <f aca="false">IFERROR(INDEX('Output Utente'!$H$2:$H$492,MATCH(285,'Output Utente'!$Q$2:$Q$492,0)),"")</f>
        <v>6</v>
      </c>
      <c r="L288" s="7" t="str">
        <f aca="false">IFERROR(INDEX('Output Utente'!$E$2:$E$492,MATCH(285,'Output Utente'!$Q$2:$Q$492,0)),"")</f>
        <v>NO</v>
      </c>
      <c r="M288" s="7" t="str">
        <f aca="false">IFERROR(INDEX('Output Utente'!$U$2:$U$492,MATCH(285,'Output Utente'!$Q$2:$Q$492,0)),"")</f>
        <v>OK</v>
      </c>
      <c r="N288" s="7" t="str">
        <f aca="false">IFERROR(INDEX('Output Utente'!$AE$2:$AE$492,MATCH(285,'Output Utente'!$Q$2:$Q$492,0)),"")</f>
        <v>🟡 Attesa rischiosa</v>
      </c>
    </row>
    <row r="289" customFormat="false" ht="15" hidden="false" customHeight="true" outlineLevel="0" collapsed="false">
      <c r="A289" s="49" t="n">
        <v>286</v>
      </c>
      <c r="B289" s="7" t="n">
        <f aca="false">IFERROR(INDEX('Output Utente'!$A$2:$A$492,MATCH(286,'Output Utente'!$Q$2:$Q$492,0)),"")</f>
        <v>7274</v>
      </c>
      <c r="C289" s="7" t="str">
        <f aca="false">IFERROR(INDEX('Output Utente'!$B$2:$B$492,MATCH(286,'Output Utente'!$Q$2:$Q$492,0)),"")</f>
        <v>D</v>
      </c>
      <c r="D289" s="7" t="str">
        <f aca="false">IFERROR(INDEX('Output Utente'!$C$2:$C$492,MATCH(286,'Output Utente'!$Q$2:$Q$492,0)),"")</f>
        <v>Zè Pedro</v>
      </c>
      <c r="E289" s="7" t="str">
        <f aca="false">IFERROR(INDEX('Input Giocatori 2026_27'!$D$3:$D$493,MATCH($B289,'Input Giocatori 2026_27'!$A$3:$A$493,0)),"")</f>
        <v>Cagliari</v>
      </c>
      <c r="F289" s="50" t="n">
        <f aca="false">IFERROR(INDEX('Output Utente'!$N$2:$N$492,MATCH(286,'Output Utente'!$Q$2:$Q$492,0)),"")</f>
        <v>5</v>
      </c>
      <c r="G289" s="50" t="n">
        <f aca="false">IFERROR(INDEX('Output Utente'!$O$2:$O$492,MATCH(286,'Output Utente'!$Q$2:$Q$492,0)),"")</f>
        <v>11</v>
      </c>
      <c r="H289" s="7" t="str">
        <f aca="false">IFERROR(INDEX('Output Utente'!$P$2:$P$492,MATCH(286,'Output Utente'!$Q$2:$Q$492,0)),"")</f>
        <v>Nella Media</v>
      </c>
      <c r="I289" s="50" t="n">
        <f aca="false">IFERROR(INDEX('Output Utente'!$F$2:$F$492,MATCH(286,'Output Utente'!$Q$2:$Q$492,0)),"")</f>
        <v>5</v>
      </c>
      <c r="J289" s="50" t="n">
        <f aca="false">IFERROR(INDEX('Output Utente'!$G$2:$G$492,MATCH(286,'Output Utente'!$Q$2:$Q$492,0)),"")</f>
        <v>4</v>
      </c>
      <c r="K289" s="50" t="n">
        <f aca="false">IFERROR(INDEX('Output Utente'!$H$2:$H$492,MATCH(286,'Output Utente'!$Q$2:$Q$492,0)),"")</f>
        <v>6</v>
      </c>
      <c r="L289" s="7" t="str">
        <f aca="false">IFERROR(INDEX('Output Utente'!$E$2:$E$492,MATCH(286,'Output Utente'!$Q$2:$Q$492,0)),"")</f>
        <v>NO</v>
      </c>
      <c r="M289" s="7" t="str">
        <f aca="false">IFERROR(INDEX('Output Utente'!$U$2:$U$492,MATCH(286,'Output Utente'!$Q$2:$Q$492,0)),"")</f>
        <v>OK</v>
      </c>
      <c r="N289" s="7" t="str">
        <f aca="false">IFERROR(INDEX('Output Utente'!$AE$2:$AE$492,MATCH(286,'Output Utente'!$Q$2:$Q$492,0)),"")</f>
        <v>🟡 Attesa rischiosa</v>
      </c>
    </row>
    <row r="290" customFormat="false" ht="15" hidden="false" customHeight="true" outlineLevel="0" collapsed="false">
      <c r="A290" s="49" t="n">
        <v>287</v>
      </c>
      <c r="B290" s="7" t="n">
        <f aca="false">IFERROR(INDEX('Output Utente'!$A$2:$A$492,MATCH(287,'Output Utente'!$Q$2:$Q$492,0)),"")</f>
        <v>7469</v>
      </c>
      <c r="C290" s="7" t="str">
        <f aca="false">IFERROR(INDEX('Output Utente'!$B$2:$B$492,MATCH(287,'Output Utente'!$Q$2:$Q$492,0)),"")</f>
        <v>D</v>
      </c>
      <c r="D290" s="7" t="str">
        <f aca="false">IFERROR(INDEX('Output Utente'!$C$2:$C$492,MATCH(287,'Output Utente'!$Q$2:$Q$492,0)),"")</f>
        <v>Bracaglia</v>
      </c>
      <c r="E290" s="7" t="str">
        <f aca="false">IFERROR(INDEX('Input Giocatori 2026_27'!$D$3:$D$493,MATCH($B290,'Input Giocatori 2026_27'!$A$3:$A$493,0)),"")</f>
        <v>Frosinone</v>
      </c>
      <c r="F290" s="50" t="n">
        <f aca="false">IFERROR(INDEX('Output Utente'!$N$2:$N$492,MATCH(287,'Output Utente'!$Q$2:$Q$492,0)),"")</f>
        <v>5</v>
      </c>
      <c r="G290" s="50" t="n">
        <f aca="false">IFERROR(INDEX('Output Utente'!$O$2:$O$492,MATCH(287,'Output Utente'!$Q$2:$Q$492,0)),"")</f>
        <v>11</v>
      </c>
      <c r="H290" s="7" t="str">
        <f aca="false">IFERROR(INDEX('Output Utente'!$P$2:$P$492,MATCH(287,'Output Utente'!$Q$2:$Q$492,0)),"")</f>
        <v>Nella Media</v>
      </c>
      <c r="I290" s="50" t="n">
        <f aca="false">IFERROR(INDEX('Output Utente'!$F$2:$F$492,MATCH(287,'Output Utente'!$Q$2:$Q$492,0)),"")</f>
        <v>5</v>
      </c>
      <c r="J290" s="50" t="n">
        <f aca="false">IFERROR(INDEX('Output Utente'!$G$2:$G$492,MATCH(287,'Output Utente'!$Q$2:$Q$492,0)),"")</f>
        <v>4</v>
      </c>
      <c r="K290" s="50" t="n">
        <f aca="false">IFERROR(INDEX('Output Utente'!$H$2:$H$492,MATCH(287,'Output Utente'!$Q$2:$Q$492,0)),"")</f>
        <v>6</v>
      </c>
      <c r="L290" s="7" t="str">
        <f aca="false">IFERROR(INDEX('Output Utente'!$E$2:$E$492,MATCH(287,'Output Utente'!$Q$2:$Q$492,0)),"")</f>
        <v>NO</v>
      </c>
      <c r="M290" s="7" t="str">
        <f aca="false">IFERROR(INDEX('Output Utente'!$U$2:$U$492,MATCH(287,'Output Utente'!$Q$2:$Q$492,0)),"")</f>
        <v>OK</v>
      </c>
      <c r="N290" s="7" t="str">
        <f aca="false">IFERROR(INDEX('Output Utente'!$AE$2:$AE$492,MATCH(287,'Output Utente'!$Q$2:$Q$492,0)),"")</f>
        <v>🟡 Attesa rischiosa</v>
      </c>
    </row>
    <row r="291" customFormat="false" ht="15" hidden="false" customHeight="true" outlineLevel="0" collapsed="false">
      <c r="A291" s="49" t="n">
        <v>288</v>
      </c>
      <c r="B291" s="7" t="n">
        <f aca="false">IFERROR(INDEX('Output Utente'!$A$2:$A$492,MATCH(288,'Output Utente'!$Q$2:$Q$492,0)),"")</f>
        <v>6990</v>
      </c>
      <c r="C291" s="7" t="str">
        <f aca="false">IFERROR(INDEX('Output Utente'!$B$2:$B$492,MATCH(288,'Output Utente'!$Q$2:$Q$492,0)),"")</f>
        <v>D</v>
      </c>
      <c r="D291" s="7" t="str">
        <f aca="false">IFERROR(INDEX('Output Utente'!$C$2:$C$492,MATCH(288,'Output Utente'!$Q$2:$Q$492,0)),"")</f>
        <v>Veiga D.</v>
      </c>
      <c r="E291" s="7" t="str">
        <f aca="false">IFERROR(INDEX('Input Giocatori 2026_27'!$D$3:$D$493,MATCH($B291,'Input Giocatori 2026_27'!$A$3:$A$493,0)),"")</f>
        <v>Lecce</v>
      </c>
      <c r="F291" s="50" t="n">
        <f aca="false">IFERROR(INDEX('Output Utente'!$N$2:$N$492,MATCH(288,'Output Utente'!$Q$2:$Q$492,0)),"")</f>
        <v>5</v>
      </c>
      <c r="G291" s="50" t="n">
        <f aca="false">IFERROR(INDEX('Output Utente'!$O$2:$O$492,MATCH(288,'Output Utente'!$Q$2:$Q$492,0)),"")</f>
        <v>11</v>
      </c>
      <c r="H291" s="7" t="str">
        <f aca="false">IFERROR(INDEX('Output Utente'!$P$2:$P$492,MATCH(288,'Output Utente'!$Q$2:$Q$492,0)),"")</f>
        <v>Nella Media</v>
      </c>
      <c r="I291" s="50" t="n">
        <f aca="false">IFERROR(INDEX('Output Utente'!$F$2:$F$492,MATCH(288,'Output Utente'!$Q$2:$Q$492,0)),"")</f>
        <v>5</v>
      </c>
      <c r="J291" s="50" t="n">
        <f aca="false">IFERROR(INDEX('Output Utente'!$G$2:$G$492,MATCH(288,'Output Utente'!$Q$2:$Q$492,0)),"")</f>
        <v>4</v>
      </c>
      <c r="K291" s="50" t="n">
        <f aca="false">IFERROR(INDEX('Output Utente'!$H$2:$H$492,MATCH(288,'Output Utente'!$Q$2:$Q$492,0)),"")</f>
        <v>6</v>
      </c>
      <c r="L291" s="7" t="str">
        <f aca="false">IFERROR(INDEX('Output Utente'!$E$2:$E$492,MATCH(288,'Output Utente'!$Q$2:$Q$492,0)),"")</f>
        <v>NO</v>
      </c>
      <c r="M291" s="7" t="str">
        <f aca="false">IFERROR(INDEX('Output Utente'!$U$2:$U$492,MATCH(288,'Output Utente'!$Q$2:$Q$492,0)),"")</f>
        <v>OK</v>
      </c>
      <c r="N291" s="7" t="str">
        <f aca="false">IFERROR(INDEX('Output Utente'!$AE$2:$AE$492,MATCH(288,'Output Utente'!$Q$2:$Q$492,0)),"")</f>
        <v>🟡 Attesa rischiosa</v>
      </c>
    </row>
    <row r="292" customFormat="false" ht="15" hidden="false" customHeight="true" outlineLevel="0" collapsed="false">
      <c r="A292" s="49" t="n">
        <v>289</v>
      </c>
      <c r="B292" s="7" t="n">
        <f aca="false">IFERROR(INDEX('Output Utente'!$A$2:$A$492,MATCH(289,'Output Utente'!$Q$2:$Q$492,0)),"")</f>
        <v>6890</v>
      </c>
      <c r="C292" s="7" t="str">
        <f aca="false">IFERROR(INDEX('Output Utente'!$B$2:$B$492,MATCH(289,'Output Utente'!$Q$2:$Q$492,0)),"")</f>
        <v>D</v>
      </c>
      <c r="D292" s="7" t="str">
        <f aca="false">IFERROR(INDEX('Output Utente'!$C$2:$C$492,MATCH(289,'Output Utente'!$Q$2:$Q$492,0)),"")</f>
        <v>Moreno M.</v>
      </c>
      <c r="E292" s="7" t="str">
        <f aca="false">IFERROR(INDEX('Input Giocatori 2026_27'!$D$3:$D$493,MATCH($B292,'Input Giocatori 2026_27'!$A$3:$A$493,0)),"")</f>
        <v>Venezia</v>
      </c>
      <c r="F292" s="50" t="n">
        <f aca="false">IFERROR(INDEX('Output Utente'!$N$2:$N$492,MATCH(289,'Output Utente'!$Q$2:$Q$492,0)),"")</f>
        <v>5</v>
      </c>
      <c r="G292" s="50" t="n">
        <f aca="false">IFERROR(INDEX('Output Utente'!$O$2:$O$492,MATCH(289,'Output Utente'!$Q$2:$Q$492,0)),"")</f>
        <v>11</v>
      </c>
      <c r="H292" s="7" t="str">
        <f aca="false">IFERROR(INDEX('Output Utente'!$P$2:$P$492,MATCH(289,'Output Utente'!$Q$2:$Q$492,0)),"")</f>
        <v>Nella Media</v>
      </c>
      <c r="I292" s="50" t="n">
        <f aca="false">IFERROR(INDEX('Output Utente'!$F$2:$F$492,MATCH(289,'Output Utente'!$Q$2:$Q$492,0)),"")</f>
        <v>5</v>
      </c>
      <c r="J292" s="50" t="n">
        <f aca="false">IFERROR(INDEX('Output Utente'!$G$2:$G$492,MATCH(289,'Output Utente'!$Q$2:$Q$492,0)),"")</f>
        <v>4</v>
      </c>
      <c r="K292" s="50" t="n">
        <f aca="false">IFERROR(INDEX('Output Utente'!$H$2:$H$492,MATCH(289,'Output Utente'!$Q$2:$Q$492,0)),"")</f>
        <v>6</v>
      </c>
      <c r="L292" s="7" t="str">
        <f aca="false">IFERROR(INDEX('Output Utente'!$E$2:$E$492,MATCH(289,'Output Utente'!$Q$2:$Q$492,0)),"")</f>
        <v>NO</v>
      </c>
      <c r="M292" s="7" t="str">
        <f aca="false">IFERROR(INDEX('Output Utente'!$U$2:$U$492,MATCH(289,'Output Utente'!$Q$2:$Q$492,0)),"")</f>
        <v>OK</v>
      </c>
      <c r="N292" s="7" t="str">
        <f aca="false">IFERROR(INDEX('Output Utente'!$AE$2:$AE$492,MATCH(289,'Output Utente'!$Q$2:$Q$492,0)),"")</f>
        <v>🟡 Attesa rischiosa</v>
      </c>
    </row>
    <row r="293" customFormat="false" ht="15" hidden="false" customHeight="true" outlineLevel="0" collapsed="false">
      <c r="A293" s="49" t="n">
        <v>290</v>
      </c>
      <c r="B293" s="7" t="n">
        <f aca="false">IFERROR(INDEX('Output Utente'!$A$2:$A$492,MATCH(290,'Output Utente'!$Q$2:$Q$492,0)),"")</f>
        <v>5695</v>
      </c>
      <c r="C293" s="7" t="str">
        <f aca="false">IFERROR(INDEX('Output Utente'!$B$2:$B$492,MATCH(290,'Output Utente'!$Q$2:$Q$492,0)),"")</f>
        <v>D</v>
      </c>
      <c r="D293" s="7" t="str">
        <f aca="false">IFERROR(INDEX('Output Utente'!$C$2:$C$492,MATCH(290,'Output Utente'!$Q$2:$Q$492,0)),"")</f>
        <v>Haps</v>
      </c>
      <c r="E293" s="7" t="str">
        <f aca="false">IFERROR(INDEX('Input Giocatori 2026_27'!$D$3:$D$493,MATCH($B293,'Input Giocatori 2026_27'!$A$3:$A$493,0)),"")</f>
        <v>Venezia</v>
      </c>
      <c r="F293" s="50" t="n">
        <f aca="false">IFERROR(INDEX('Output Utente'!$N$2:$N$492,MATCH(290,'Output Utente'!$Q$2:$Q$492,0)),"")</f>
        <v>5</v>
      </c>
      <c r="G293" s="50" t="n">
        <f aca="false">IFERROR(INDEX('Output Utente'!$O$2:$O$492,MATCH(290,'Output Utente'!$Q$2:$Q$492,0)),"")</f>
        <v>11</v>
      </c>
      <c r="H293" s="7" t="str">
        <f aca="false">IFERROR(INDEX('Output Utente'!$P$2:$P$492,MATCH(290,'Output Utente'!$Q$2:$Q$492,0)),"")</f>
        <v>Nella Media</v>
      </c>
      <c r="I293" s="50" t="n">
        <f aca="false">IFERROR(INDEX('Output Utente'!$F$2:$F$492,MATCH(290,'Output Utente'!$Q$2:$Q$492,0)),"")</f>
        <v>5</v>
      </c>
      <c r="J293" s="50" t="n">
        <f aca="false">IFERROR(INDEX('Output Utente'!$G$2:$G$492,MATCH(290,'Output Utente'!$Q$2:$Q$492,0)),"")</f>
        <v>4</v>
      </c>
      <c r="K293" s="50" t="n">
        <f aca="false">IFERROR(INDEX('Output Utente'!$H$2:$H$492,MATCH(290,'Output Utente'!$Q$2:$Q$492,0)),"")</f>
        <v>6</v>
      </c>
      <c r="L293" s="7" t="str">
        <f aca="false">IFERROR(INDEX('Output Utente'!$E$2:$E$492,MATCH(290,'Output Utente'!$Q$2:$Q$492,0)),"")</f>
        <v>NO</v>
      </c>
      <c r="M293" s="7" t="str">
        <f aca="false">IFERROR(INDEX('Output Utente'!$U$2:$U$492,MATCH(290,'Output Utente'!$Q$2:$Q$492,0)),"")</f>
        <v>OK</v>
      </c>
      <c r="N293" s="7" t="str">
        <f aca="false">IFERROR(INDEX('Output Utente'!$AE$2:$AE$492,MATCH(290,'Output Utente'!$Q$2:$Q$492,0)),"")</f>
        <v>🟡 Attesa rischiosa</v>
      </c>
    </row>
    <row r="294" customFormat="false" ht="15" hidden="false" customHeight="true" outlineLevel="0" collapsed="false">
      <c r="A294" s="49" t="n">
        <v>291</v>
      </c>
      <c r="B294" s="7" t="n">
        <f aca="false">IFERROR(INDEX('Output Utente'!$A$2:$A$492,MATCH(291,'Output Utente'!$Q$2:$Q$492,0)),"")</f>
        <v>2115</v>
      </c>
      <c r="C294" s="7" t="str">
        <f aca="false">IFERROR(INDEX('Output Utente'!$B$2:$B$492,MATCH(291,'Output Utente'!$Q$2:$Q$492,0)),"")</f>
        <v>D</v>
      </c>
      <c r="D294" s="7" t="str">
        <f aca="false">IFERROR(INDEX('Output Utente'!$C$2:$C$492,MATCH(291,'Output Utente'!$Q$2:$Q$492,0)),"")</f>
        <v>Delli Carri</v>
      </c>
      <c r="E294" s="7" t="str">
        <f aca="false">IFERROR(INDEX('Input Giocatori 2026_27'!$D$3:$D$493,MATCH($B294,'Input Giocatori 2026_27'!$A$3:$A$493,0)),"")</f>
        <v>Monza</v>
      </c>
      <c r="F294" s="50" t="n">
        <f aca="false">IFERROR(INDEX('Output Utente'!$N$2:$N$492,MATCH(291,'Output Utente'!$Q$2:$Q$492,0)),"")</f>
        <v>4</v>
      </c>
      <c r="G294" s="50" t="n">
        <f aca="false">IFERROR(INDEX('Output Utente'!$O$2:$O$492,MATCH(291,'Output Utente'!$Q$2:$Q$492,0)),"")</f>
        <v>11</v>
      </c>
      <c r="H294" s="7" t="str">
        <f aca="false">IFERROR(INDEX('Output Utente'!$P$2:$P$492,MATCH(291,'Output Utente'!$Q$2:$Q$492,0)),"")</f>
        <v>Nella Media</v>
      </c>
      <c r="I294" s="50" t="n">
        <f aca="false">IFERROR(INDEX('Output Utente'!$F$2:$F$492,MATCH(291,'Output Utente'!$Q$2:$Q$492,0)),"")</f>
        <v>5</v>
      </c>
      <c r="J294" s="50" t="n">
        <f aca="false">IFERROR(INDEX('Output Utente'!$G$2:$G$492,MATCH(291,'Output Utente'!$Q$2:$Q$492,0)),"")</f>
        <v>4</v>
      </c>
      <c r="K294" s="50" t="n">
        <f aca="false">IFERROR(INDEX('Output Utente'!$H$2:$H$492,MATCH(291,'Output Utente'!$Q$2:$Q$492,0)),"")</f>
        <v>6</v>
      </c>
      <c r="L294" s="7" t="str">
        <f aca="false">IFERROR(INDEX('Output Utente'!$E$2:$E$492,MATCH(291,'Output Utente'!$Q$2:$Q$492,0)),"")</f>
        <v>NO</v>
      </c>
      <c r="M294" s="7" t="str">
        <f aca="false">IFERROR(INDEX('Output Utente'!$U$2:$U$492,MATCH(291,'Output Utente'!$Q$2:$Q$492,0)),"")</f>
        <v>OK</v>
      </c>
      <c r="N294" s="7" t="str">
        <f aca="false">IFERROR(INDEX('Output Utente'!$AE$2:$AE$492,MATCH(291,'Output Utente'!$Q$2:$Q$492,0)),"")</f>
        <v>🟡 Attesa rischiosa</v>
      </c>
    </row>
    <row r="295" customFormat="false" ht="15" hidden="false" customHeight="true" outlineLevel="0" collapsed="false">
      <c r="A295" s="49" t="n">
        <v>292</v>
      </c>
      <c r="B295" s="7" t="n">
        <f aca="false">IFERROR(INDEX('Output Utente'!$A$2:$A$492,MATCH(292,'Output Utente'!$Q$2:$Q$492,0)),"")</f>
        <v>4856</v>
      </c>
      <c r="C295" s="7" t="str">
        <f aca="false">IFERROR(INDEX('Output Utente'!$B$2:$B$492,MATCH(292,'Output Utente'!$Q$2:$Q$492,0)),"")</f>
        <v>C</v>
      </c>
      <c r="D295" s="7" t="str">
        <f aca="false">IFERROR(INDEX('Output Utente'!$C$2:$C$492,MATCH(292,'Output Utente'!$Q$2:$Q$492,0)),"")</f>
        <v>Chukwueze</v>
      </c>
      <c r="E295" s="7" t="str">
        <f aca="false">IFERROR(INDEX('Input Giocatori 2026_27'!$D$3:$D$493,MATCH($B295,'Input Giocatori 2026_27'!$A$3:$A$493,0)),"")</f>
        <v>Milan</v>
      </c>
      <c r="F295" s="50" t="n">
        <f aca="false">IFERROR(INDEX('Output Utente'!$N$2:$N$492,MATCH(292,'Output Utente'!$Q$2:$Q$492,0)),"")</f>
        <v>6</v>
      </c>
      <c r="G295" s="50" t="n">
        <f aca="false">IFERROR(INDEX('Output Utente'!$O$2:$O$492,MATCH(292,'Output Utente'!$Q$2:$Q$492,0)),"")</f>
        <v>11</v>
      </c>
      <c r="H295" s="7" t="str">
        <f aca="false">IFERROR(INDEX('Output Utente'!$P$2:$P$492,MATCH(292,'Output Utente'!$Q$2:$Q$492,0)),"")</f>
        <v>Nella Media</v>
      </c>
      <c r="I295" s="50" t="n">
        <f aca="false">IFERROR(INDEX('Output Utente'!$F$2:$F$492,MATCH(292,'Output Utente'!$Q$2:$Q$492,0)),"")</f>
        <v>6</v>
      </c>
      <c r="J295" s="50" t="n">
        <f aca="false">IFERROR(INDEX('Output Utente'!$G$2:$G$492,MATCH(292,'Output Utente'!$Q$2:$Q$492,0)),"")</f>
        <v>4</v>
      </c>
      <c r="K295" s="50" t="n">
        <f aca="false">IFERROR(INDEX('Output Utente'!$H$2:$H$492,MATCH(292,'Output Utente'!$Q$2:$Q$492,0)),"")</f>
        <v>7</v>
      </c>
      <c r="L295" s="7" t="str">
        <f aca="false">IFERROR(INDEX('Output Utente'!$E$2:$E$492,MATCH(292,'Output Utente'!$Q$2:$Q$492,0)),"")</f>
        <v>NO</v>
      </c>
      <c r="M295" s="7" t="str">
        <f aca="false">IFERROR(INDEX('Output Utente'!$U$2:$U$492,MATCH(292,'Output Utente'!$Q$2:$Q$492,0)),"")</f>
        <v>OK</v>
      </c>
      <c r="N295" s="7" t="str">
        <f aca="false">IFERROR(INDEX('Output Utente'!$AE$2:$AE$492,MATCH(292,'Output Utente'!$Q$2:$Q$492,0)),"")</f>
        <v>🟡 Attesa rischiosa</v>
      </c>
    </row>
    <row r="296" customFormat="false" ht="15" hidden="false" customHeight="true" outlineLevel="0" collapsed="false">
      <c r="A296" s="49" t="n">
        <v>293</v>
      </c>
      <c r="B296" s="7" t="n">
        <f aca="false">IFERROR(INDEX('Output Utente'!$A$2:$A$492,MATCH(293,'Output Utente'!$Q$2:$Q$492,0)),"")</f>
        <v>2857</v>
      </c>
      <c r="C296" s="7" t="str">
        <f aca="false">IFERROR(INDEX('Output Utente'!$B$2:$B$492,MATCH(293,'Output Utente'!$Q$2:$Q$492,0)),"")</f>
        <v>C</v>
      </c>
      <c r="D296" s="7" t="str">
        <f aca="false">IFERROR(INDEX('Output Utente'!$C$2:$C$492,MATCH(293,'Output Utente'!$Q$2:$Q$492,0)),"")</f>
        <v>Traorè Hj.</v>
      </c>
      <c r="E296" s="7" t="str">
        <f aca="false">IFERROR(INDEX('Input Giocatori 2026_27'!$D$3:$D$493,MATCH($B296,'Input Giocatori 2026_27'!$A$3:$A$493,0)),"")</f>
        <v>Genoa</v>
      </c>
      <c r="F296" s="50" t="n">
        <f aca="false">IFERROR(INDEX('Output Utente'!$N$2:$N$492,MATCH(293,'Output Utente'!$Q$2:$Q$492,0)),"")</f>
        <v>5</v>
      </c>
      <c r="G296" s="50" t="n">
        <f aca="false">IFERROR(INDEX('Output Utente'!$O$2:$O$492,MATCH(293,'Output Utente'!$Q$2:$Q$492,0)),"")</f>
        <v>11</v>
      </c>
      <c r="H296" s="7" t="str">
        <f aca="false">IFERROR(INDEX('Output Utente'!$P$2:$P$492,MATCH(293,'Output Utente'!$Q$2:$Q$492,0)),"")</f>
        <v>Nella Media</v>
      </c>
      <c r="I296" s="50" t="n">
        <f aca="false">IFERROR(INDEX('Output Utente'!$F$2:$F$492,MATCH(293,'Output Utente'!$Q$2:$Q$492,0)),"")</f>
        <v>6</v>
      </c>
      <c r="J296" s="50" t="n">
        <f aca="false">IFERROR(INDEX('Output Utente'!$G$2:$G$492,MATCH(293,'Output Utente'!$Q$2:$Q$492,0)),"")</f>
        <v>4</v>
      </c>
      <c r="K296" s="50" t="n">
        <f aca="false">IFERROR(INDEX('Output Utente'!$H$2:$H$492,MATCH(293,'Output Utente'!$Q$2:$Q$492,0)),"")</f>
        <v>7</v>
      </c>
      <c r="L296" s="7" t="str">
        <f aca="false">IFERROR(INDEX('Output Utente'!$E$2:$E$492,MATCH(293,'Output Utente'!$Q$2:$Q$492,0)),"")</f>
        <v>NO</v>
      </c>
      <c r="M296" s="7" t="str">
        <f aca="false">IFERROR(INDEX('Output Utente'!$U$2:$U$492,MATCH(293,'Output Utente'!$Q$2:$Q$492,0)),"")</f>
        <v>OK</v>
      </c>
      <c r="N296" s="7" t="str">
        <f aca="false">IFERROR(INDEX('Output Utente'!$AE$2:$AE$492,MATCH(293,'Output Utente'!$Q$2:$Q$492,0)),"")</f>
        <v>🟡 Attesa rischiosa</v>
      </c>
    </row>
    <row r="297" customFormat="false" ht="15" hidden="false" customHeight="true" outlineLevel="0" collapsed="false">
      <c r="A297" s="49" t="n">
        <v>294</v>
      </c>
      <c r="B297" s="7" t="n">
        <f aca="false">IFERROR(INDEX('Output Utente'!$A$2:$A$492,MATCH(294,'Output Utente'!$Q$2:$Q$492,0)),"")</f>
        <v>7473</v>
      </c>
      <c r="C297" s="7" t="str">
        <f aca="false">IFERROR(INDEX('Output Utente'!$B$2:$B$492,MATCH(294,'Output Utente'!$Q$2:$Q$492,0)),"")</f>
        <v>C</v>
      </c>
      <c r="D297" s="7" t="str">
        <f aca="false">IFERROR(INDEX('Output Utente'!$C$2:$C$492,MATCH(294,'Output Utente'!$Q$2:$Q$492,0)),"")</f>
        <v>Cichella</v>
      </c>
      <c r="E297" s="7" t="str">
        <f aca="false">IFERROR(INDEX('Input Giocatori 2026_27'!$D$3:$D$493,MATCH($B297,'Input Giocatori 2026_27'!$A$3:$A$493,0)),"")</f>
        <v>Frosinone</v>
      </c>
      <c r="F297" s="50" t="n">
        <f aca="false">IFERROR(INDEX('Output Utente'!$N$2:$N$492,MATCH(294,'Output Utente'!$Q$2:$Q$492,0)),"")</f>
        <v>4</v>
      </c>
      <c r="G297" s="50" t="n">
        <f aca="false">IFERROR(INDEX('Output Utente'!$O$2:$O$492,MATCH(294,'Output Utente'!$Q$2:$Q$492,0)),"")</f>
        <v>11</v>
      </c>
      <c r="H297" s="7" t="str">
        <f aca="false">IFERROR(INDEX('Output Utente'!$P$2:$P$492,MATCH(294,'Output Utente'!$Q$2:$Q$492,0)),"")</f>
        <v>Nella Media</v>
      </c>
      <c r="I297" s="50" t="n">
        <f aca="false">IFERROR(INDEX('Output Utente'!$F$2:$F$492,MATCH(294,'Output Utente'!$Q$2:$Q$492,0)),"")</f>
        <v>6</v>
      </c>
      <c r="J297" s="50" t="n">
        <f aca="false">IFERROR(INDEX('Output Utente'!$G$2:$G$492,MATCH(294,'Output Utente'!$Q$2:$Q$492,0)),"")</f>
        <v>4</v>
      </c>
      <c r="K297" s="50" t="n">
        <f aca="false">IFERROR(INDEX('Output Utente'!$H$2:$H$492,MATCH(294,'Output Utente'!$Q$2:$Q$492,0)),"")</f>
        <v>7</v>
      </c>
      <c r="L297" s="7" t="str">
        <f aca="false">IFERROR(INDEX('Output Utente'!$E$2:$E$492,MATCH(294,'Output Utente'!$Q$2:$Q$492,0)),"")</f>
        <v>NO</v>
      </c>
      <c r="M297" s="7" t="str">
        <f aca="false">IFERROR(INDEX('Output Utente'!$U$2:$U$492,MATCH(294,'Output Utente'!$Q$2:$Q$492,0)),"")</f>
        <v>OK</v>
      </c>
      <c r="N297" s="7" t="str">
        <f aca="false">IFERROR(INDEX('Output Utente'!$AE$2:$AE$492,MATCH(294,'Output Utente'!$Q$2:$Q$492,0)),"")</f>
        <v>🟡 Attesa rischiosa</v>
      </c>
    </row>
    <row r="298" customFormat="false" ht="15" hidden="false" customHeight="true" outlineLevel="0" collapsed="false">
      <c r="A298" s="49" t="n">
        <v>295</v>
      </c>
      <c r="B298" s="7" t="n">
        <f aca="false">IFERROR(INDEX('Output Utente'!$A$2:$A$492,MATCH(295,'Output Utente'!$Q$2:$Q$492,0)),"")</f>
        <v>7341</v>
      </c>
      <c r="C298" s="7" t="str">
        <f aca="false">IFERROR(INDEX('Output Utente'!$B$2:$B$492,MATCH(295,'Output Utente'!$Q$2:$Q$492,0)),"")</f>
        <v>C</v>
      </c>
      <c r="D298" s="7" t="str">
        <f aca="false">IFERROR(INDEX('Output Utente'!$C$2:$C$492,MATCH(295,'Output Utente'!$Q$2:$Q$492,0)),"")</f>
        <v>Amorim</v>
      </c>
      <c r="E298" s="7" t="str">
        <f aca="false">IFERROR(INDEX('Input Giocatori 2026_27'!$D$3:$D$493,MATCH($B298,'Input Giocatori 2026_27'!$A$3:$A$493,0)),"")</f>
        <v>Genoa</v>
      </c>
      <c r="F298" s="50" t="n">
        <f aca="false">IFERROR(INDEX('Output Utente'!$N$2:$N$492,MATCH(295,'Output Utente'!$Q$2:$Q$492,0)),"")</f>
        <v>4</v>
      </c>
      <c r="G298" s="50" t="n">
        <f aca="false">IFERROR(INDEX('Output Utente'!$O$2:$O$492,MATCH(295,'Output Utente'!$Q$2:$Q$492,0)),"")</f>
        <v>11</v>
      </c>
      <c r="H298" s="7" t="str">
        <f aca="false">IFERROR(INDEX('Output Utente'!$P$2:$P$492,MATCH(295,'Output Utente'!$Q$2:$Q$492,0)),"")</f>
        <v>Nella Media</v>
      </c>
      <c r="I298" s="50" t="n">
        <f aca="false">IFERROR(INDEX('Output Utente'!$F$2:$F$492,MATCH(295,'Output Utente'!$Q$2:$Q$492,0)),"")</f>
        <v>6</v>
      </c>
      <c r="J298" s="50" t="n">
        <f aca="false">IFERROR(INDEX('Output Utente'!$G$2:$G$492,MATCH(295,'Output Utente'!$Q$2:$Q$492,0)),"")</f>
        <v>4</v>
      </c>
      <c r="K298" s="50" t="n">
        <f aca="false">IFERROR(INDEX('Output Utente'!$H$2:$H$492,MATCH(295,'Output Utente'!$Q$2:$Q$492,0)),"")</f>
        <v>7</v>
      </c>
      <c r="L298" s="7" t="str">
        <f aca="false">IFERROR(INDEX('Output Utente'!$E$2:$E$492,MATCH(295,'Output Utente'!$Q$2:$Q$492,0)),"")</f>
        <v>NO</v>
      </c>
      <c r="M298" s="7" t="str">
        <f aca="false">IFERROR(INDEX('Output Utente'!$U$2:$U$492,MATCH(295,'Output Utente'!$Q$2:$Q$492,0)),"")</f>
        <v>OK</v>
      </c>
      <c r="N298" s="7" t="str">
        <f aca="false">IFERROR(INDEX('Output Utente'!$AE$2:$AE$492,MATCH(295,'Output Utente'!$Q$2:$Q$492,0)),"")</f>
        <v>🟡 Attesa rischiosa</v>
      </c>
    </row>
    <row r="299" customFormat="false" ht="15" hidden="false" customHeight="true" outlineLevel="0" collapsed="false">
      <c r="A299" s="49" t="n">
        <v>296</v>
      </c>
      <c r="B299" s="7" t="n">
        <f aca="false">IFERROR(INDEX('Output Utente'!$A$2:$A$492,MATCH(296,'Output Utente'!$Q$2:$Q$492,0)),"")</f>
        <v>7322</v>
      </c>
      <c r="C299" s="7" t="str">
        <f aca="false">IFERROR(INDEX('Output Utente'!$B$2:$B$492,MATCH(296,'Output Utente'!$Q$2:$Q$492,0)),"")</f>
        <v>C</v>
      </c>
      <c r="D299" s="7" t="str">
        <f aca="false">IFERROR(INDEX('Output Utente'!$C$2:$C$492,MATCH(296,'Output Utente'!$Q$2:$Q$492,0)),"")</f>
        <v>Ngom</v>
      </c>
      <c r="E299" s="7" t="str">
        <f aca="false">IFERROR(INDEX('Input Giocatori 2026_27'!$D$3:$D$493,MATCH($B299,'Input Giocatori 2026_27'!$A$3:$A$493,0)),"")</f>
        <v>Lecce</v>
      </c>
      <c r="F299" s="50" t="n">
        <f aca="false">IFERROR(INDEX('Output Utente'!$N$2:$N$492,MATCH(296,'Output Utente'!$Q$2:$Q$492,0)),"")</f>
        <v>4</v>
      </c>
      <c r="G299" s="50" t="n">
        <f aca="false">IFERROR(INDEX('Output Utente'!$O$2:$O$492,MATCH(296,'Output Utente'!$Q$2:$Q$492,0)),"")</f>
        <v>11</v>
      </c>
      <c r="H299" s="7" t="str">
        <f aca="false">IFERROR(INDEX('Output Utente'!$P$2:$P$492,MATCH(296,'Output Utente'!$Q$2:$Q$492,0)),"")</f>
        <v>Nella Media</v>
      </c>
      <c r="I299" s="50" t="n">
        <f aca="false">IFERROR(INDEX('Output Utente'!$F$2:$F$492,MATCH(296,'Output Utente'!$Q$2:$Q$492,0)),"")</f>
        <v>6</v>
      </c>
      <c r="J299" s="50" t="n">
        <f aca="false">IFERROR(INDEX('Output Utente'!$G$2:$G$492,MATCH(296,'Output Utente'!$Q$2:$Q$492,0)),"")</f>
        <v>4</v>
      </c>
      <c r="K299" s="50" t="n">
        <f aca="false">IFERROR(INDEX('Output Utente'!$H$2:$H$492,MATCH(296,'Output Utente'!$Q$2:$Q$492,0)),"")</f>
        <v>7</v>
      </c>
      <c r="L299" s="7" t="str">
        <f aca="false">IFERROR(INDEX('Output Utente'!$E$2:$E$492,MATCH(296,'Output Utente'!$Q$2:$Q$492,0)),"")</f>
        <v>NO</v>
      </c>
      <c r="M299" s="7" t="str">
        <f aca="false">IFERROR(INDEX('Output Utente'!$U$2:$U$492,MATCH(296,'Output Utente'!$Q$2:$Q$492,0)),"")</f>
        <v>OK</v>
      </c>
      <c r="N299" s="7" t="str">
        <f aca="false">IFERROR(INDEX('Output Utente'!$AE$2:$AE$492,MATCH(296,'Output Utente'!$Q$2:$Q$492,0)),"")</f>
        <v>🟡 Attesa rischiosa</v>
      </c>
    </row>
    <row r="300" customFormat="false" ht="15" hidden="false" customHeight="true" outlineLevel="0" collapsed="false">
      <c r="A300" s="49" t="n">
        <v>297</v>
      </c>
      <c r="B300" s="7" t="n">
        <f aca="false">IFERROR(INDEX('Output Utente'!$A$2:$A$492,MATCH(297,'Output Utente'!$Q$2:$Q$492,0)),"")</f>
        <v>5453</v>
      </c>
      <c r="C300" s="7" t="str">
        <f aca="false">IFERROR(INDEX('Output Utente'!$B$2:$B$492,MATCH(297,'Output Utente'!$Q$2:$Q$492,0)),"")</f>
        <v>C</v>
      </c>
      <c r="D300" s="7" t="str">
        <f aca="false">IFERROR(INDEX('Output Utente'!$C$2:$C$492,MATCH(297,'Output Utente'!$Q$2:$Q$492,0)),"")</f>
        <v>Ricci S.</v>
      </c>
      <c r="E300" s="7" t="str">
        <f aca="false">IFERROR(INDEX('Input Giocatori 2026_27'!$D$3:$D$493,MATCH($B300,'Input Giocatori 2026_27'!$A$3:$A$493,0)),"")</f>
        <v>Milan</v>
      </c>
      <c r="F300" s="50" t="n">
        <f aca="false">IFERROR(INDEX('Output Utente'!$N$2:$N$492,MATCH(297,'Output Utente'!$Q$2:$Q$492,0)),"")</f>
        <v>4</v>
      </c>
      <c r="G300" s="50" t="n">
        <f aca="false">IFERROR(INDEX('Output Utente'!$O$2:$O$492,MATCH(297,'Output Utente'!$Q$2:$Q$492,0)),"")</f>
        <v>11</v>
      </c>
      <c r="H300" s="7" t="str">
        <f aca="false">IFERROR(INDEX('Output Utente'!$P$2:$P$492,MATCH(297,'Output Utente'!$Q$2:$Q$492,0)),"")</f>
        <v>Nella Media</v>
      </c>
      <c r="I300" s="50" t="n">
        <f aca="false">IFERROR(INDEX('Output Utente'!$F$2:$F$492,MATCH(297,'Output Utente'!$Q$2:$Q$492,0)),"")</f>
        <v>6</v>
      </c>
      <c r="J300" s="50" t="n">
        <f aca="false">IFERROR(INDEX('Output Utente'!$G$2:$G$492,MATCH(297,'Output Utente'!$Q$2:$Q$492,0)),"")</f>
        <v>4</v>
      </c>
      <c r="K300" s="50" t="n">
        <f aca="false">IFERROR(INDEX('Output Utente'!$H$2:$H$492,MATCH(297,'Output Utente'!$Q$2:$Q$492,0)),"")</f>
        <v>7</v>
      </c>
      <c r="L300" s="7" t="str">
        <f aca="false">IFERROR(INDEX('Output Utente'!$E$2:$E$492,MATCH(297,'Output Utente'!$Q$2:$Q$492,0)),"")</f>
        <v>NO</v>
      </c>
      <c r="M300" s="7" t="str">
        <f aca="false">IFERROR(INDEX('Output Utente'!$U$2:$U$492,MATCH(297,'Output Utente'!$Q$2:$Q$492,0)),"")</f>
        <v>OK</v>
      </c>
      <c r="N300" s="7" t="str">
        <f aca="false">IFERROR(INDEX('Output Utente'!$AE$2:$AE$492,MATCH(297,'Output Utente'!$Q$2:$Q$492,0)),"")</f>
        <v>🟡 Attesa rischiosa</v>
      </c>
    </row>
    <row r="301" customFormat="false" ht="15" hidden="false" customHeight="true" outlineLevel="0" collapsed="false">
      <c r="A301" s="49" t="n">
        <v>298</v>
      </c>
      <c r="B301" s="7" t="n">
        <f aca="false">IFERROR(INDEX('Output Utente'!$A$2:$A$492,MATCH(298,'Output Utente'!$Q$2:$Q$492,0)),"")</f>
        <v>7203</v>
      </c>
      <c r="C301" s="7" t="str">
        <f aca="false">IFERROR(INDEX('Output Utente'!$B$2:$B$492,MATCH(298,'Output Utente'!$Q$2:$Q$492,0)),"")</f>
        <v>C</v>
      </c>
      <c r="D301" s="7" t="str">
        <f aca="false">IFERROR(INDEX('Output Utente'!$C$2:$C$492,MATCH(298,'Output Utente'!$Q$2:$Q$492,0)),"")</f>
        <v>Jashari</v>
      </c>
      <c r="E301" s="7" t="str">
        <f aca="false">IFERROR(INDEX('Input Giocatori 2026_27'!$D$3:$D$493,MATCH($B301,'Input Giocatori 2026_27'!$A$3:$A$493,0)),"")</f>
        <v>Milan</v>
      </c>
      <c r="F301" s="50" t="n">
        <f aca="false">IFERROR(INDEX('Output Utente'!$N$2:$N$492,MATCH(298,'Output Utente'!$Q$2:$Q$492,0)),"")</f>
        <v>4</v>
      </c>
      <c r="G301" s="50" t="n">
        <f aca="false">IFERROR(INDEX('Output Utente'!$O$2:$O$492,MATCH(298,'Output Utente'!$Q$2:$Q$492,0)),"")</f>
        <v>11</v>
      </c>
      <c r="H301" s="7" t="str">
        <f aca="false">IFERROR(INDEX('Output Utente'!$P$2:$P$492,MATCH(298,'Output Utente'!$Q$2:$Q$492,0)),"")</f>
        <v>Nella Media</v>
      </c>
      <c r="I301" s="50" t="n">
        <f aca="false">IFERROR(INDEX('Output Utente'!$F$2:$F$492,MATCH(298,'Output Utente'!$Q$2:$Q$492,0)),"")</f>
        <v>6</v>
      </c>
      <c r="J301" s="50" t="n">
        <f aca="false">IFERROR(INDEX('Output Utente'!$G$2:$G$492,MATCH(298,'Output Utente'!$Q$2:$Q$492,0)),"")</f>
        <v>4</v>
      </c>
      <c r="K301" s="50" t="n">
        <f aca="false">IFERROR(INDEX('Output Utente'!$H$2:$H$492,MATCH(298,'Output Utente'!$Q$2:$Q$492,0)),"")</f>
        <v>7</v>
      </c>
      <c r="L301" s="7" t="str">
        <f aca="false">IFERROR(INDEX('Output Utente'!$E$2:$E$492,MATCH(298,'Output Utente'!$Q$2:$Q$492,0)),"")</f>
        <v>NO</v>
      </c>
      <c r="M301" s="7" t="str">
        <f aca="false">IFERROR(INDEX('Output Utente'!$U$2:$U$492,MATCH(298,'Output Utente'!$Q$2:$Q$492,0)),"")</f>
        <v>OK</v>
      </c>
      <c r="N301" s="7" t="str">
        <f aca="false">IFERROR(INDEX('Output Utente'!$AE$2:$AE$492,MATCH(298,'Output Utente'!$Q$2:$Q$492,0)),"")</f>
        <v>🟡 Attesa rischiosa</v>
      </c>
    </row>
    <row r="302" customFormat="false" ht="15" hidden="false" customHeight="true" outlineLevel="0" collapsed="false">
      <c r="A302" s="49" t="n">
        <v>299</v>
      </c>
      <c r="B302" s="7" t="n">
        <f aca="false">IFERROR(INDEX('Output Utente'!$A$2:$A$492,MATCH(299,'Output Utente'!$Q$2:$Q$492,0)),"")</f>
        <v>4199</v>
      </c>
      <c r="C302" s="7" t="str">
        <f aca="false">IFERROR(INDEX('Output Utente'!$B$2:$B$492,MATCH(299,'Output Utente'!$Q$2:$Q$492,0)),"")</f>
        <v>C</v>
      </c>
      <c r="D302" s="7" t="str">
        <f aca="false">IFERROR(INDEX('Output Utente'!$C$2:$C$492,MATCH(299,'Output Utente'!$Q$2:$Q$492,0)),"")</f>
        <v>Loftus-Cheek</v>
      </c>
      <c r="E302" s="7" t="str">
        <f aca="false">IFERROR(INDEX('Input Giocatori 2026_27'!$D$3:$D$493,MATCH($B302,'Input Giocatori 2026_27'!$A$3:$A$493,0)),"")</f>
        <v>Milan</v>
      </c>
      <c r="F302" s="50" t="n">
        <f aca="false">IFERROR(INDEX('Output Utente'!$N$2:$N$492,MATCH(299,'Output Utente'!$Q$2:$Q$492,0)),"")</f>
        <v>4</v>
      </c>
      <c r="G302" s="50" t="n">
        <f aca="false">IFERROR(INDEX('Output Utente'!$O$2:$O$492,MATCH(299,'Output Utente'!$Q$2:$Q$492,0)),"")</f>
        <v>11</v>
      </c>
      <c r="H302" s="7" t="str">
        <f aca="false">IFERROR(INDEX('Output Utente'!$P$2:$P$492,MATCH(299,'Output Utente'!$Q$2:$Q$492,0)),"")</f>
        <v>Nella Media</v>
      </c>
      <c r="I302" s="50" t="n">
        <f aca="false">IFERROR(INDEX('Output Utente'!$F$2:$F$492,MATCH(299,'Output Utente'!$Q$2:$Q$492,0)),"")</f>
        <v>6</v>
      </c>
      <c r="J302" s="50" t="n">
        <f aca="false">IFERROR(INDEX('Output Utente'!$G$2:$G$492,MATCH(299,'Output Utente'!$Q$2:$Q$492,0)),"")</f>
        <v>4</v>
      </c>
      <c r="K302" s="50" t="n">
        <f aca="false">IFERROR(INDEX('Output Utente'!$H$2:$H$492,MATCH(299,'Output Utente'!$Q$2:$Q$492,0)),"")</f>
        <v>7</v>
      </c>
      <c r="L302" s="7" t="str">
        <f aca="false">IFERROR(INDEX('Output Utente'!$E$2:$E$492,MATCH(299,'Output Utente'!$Q$2:$Q$492,0)),"")</f>
        <v>NO</v>
      </c>
      <c r="M302" s="7" t="str">
        <f aca="false">IFERROR(INDEX('Output Utente'!$U$2:$U$492,MATCH(299,'Output Utente'!$Q$2:$Q$492,0)),"")</f>
        <v>OK</v>
      </c>
      <c r="N302" s="7" t="str">
        <f aca="false">IFERROR(INDEX('Output Utente'!$AE$2:$AE$492,MATCH(299,'Output Utente'!$Q$2:$Q$492,0)),"")</f>
        <v>🟡 Attesa rischiosa</v>
      </c>
    </row>
    <row r="303" customFormat="false" ht="15" hidden="false" customHeight="true" outlineLevel="0" collapsed="false">
      <c r="A303" s="49" t="n">
        <v>300</v>
      </c>
      <c r="B303" s="7" t="n">
        <f aca="false">IFERROR(INDEX('Output Utente'!$A$2:$A$492,MATCH(300,'Output Utente'!$Q$2:$Q$492,0)),"")</f>
        <v>5813</v>
      </c>
      <c r="C303" s="7" t="str">
        <f aca="false">IFERROR(INDEX('Output Utente'!$B$2:$B$492,MATCH(300,'Output Utente'!$Q$2:$Q$492,0)),"")</f>
        <v>C</v>
      </c>
      <c r="D303" s="7" t="str">
        <f aca="false">IFERROR(INDEX('Output Utente'!$C$2:$C$492,MATCH(300,'Output Utente'!$Q$2:$Q$492,0)),"")</f>
        <v>Miretti</v>
      </c>
      <c r="E303" s="7" t="str">
        <f aca="false">IFERROR(INDEX('Input Giocatori 2026_27'!$D$3:$D$493,MATCH($B303,'Input Giocatori 2026_27'!$A$3:$A$493,0)),"")</f>
        <v>Juventus</v>
      </c>
      <c r="F303" s="50" t="n">
        <f aca="false">IFERROR(INDEX('Output Utente'!$N$2:$N$492,MATCH(300,'Output Utente'!$Q$2:$Q$492,0)),"")</f>
        <v>3</v>
      </c>
      <c r="G303" s="50" t="n">
        <f aca="false">IFERROR(INDEX('Output Utente'!$O$2:$O$492,MATCH(300,'Output Utente'!$Q$2:$Q$492,0)),"")</f>
        <v>11</v>
      </c>
      <c r="H303" s="7" t="str">
        <f aca="false">IFERROR(INDEX('Output Utente'!$P$2:$P$492,MATCH(300,'Output Utente'!$Q$2:$Q$492,0)),"")</f>
        <v>Nella Media</v>
      </c>
      <c r="I303" s="50" t="n">
        <f aca="false">IFERROR(INDEX('Output Utente'!$F$2:$F$492,MATCH(300,'Output Utente'!$Q$2:$Q$492,0)),"")</f>
        <v>6</v>
      </c>
      <c r="J303" s="50" t="n">
        <f aca="false">IFERROR(INDEX('Output Utente'!$G$2:$G$492,MATCH(300,'Output Utente'!$Q$2:$Q$492,0)),"")</f>
        <v>4</v>
      </c>
      <c r="K303" s="50" t="n">
        <f aca="false">IFERROR(INDEX('Output Utente'!$H$2:$H$492,MATCH(300,'Output Utente'!$Q$2:$Q$492,0)),"")</f>
        <v>7</v>
      </c>
      <c r="L303" s="7" t="str">
        <f aca="false">IFERROR(INDEX('Output Utente'!$E$2:$E$492,MATCH(300,'Output Utente'!$Q$2:$Q$492,0)),"")</f>
        <v>NO</v>
      </c>
      <c r="M303" s="7" t="str">
        <f aca="false">IFERROR(INDEX('Output Utente'!$U$2:$U$492,MATCH(300,'Output Utente'!$Q$2:$Q$492,0)),"")</f>
        <v>OK</v>
      </c>
      <c r="N303" s="7" t="str">
        <f aca="false">IFERROR(INDEX('Output Utente'!$AE$2:$AE$492,MATCH(300,'Output Utente'!$Q$2:$Q$492,0)),"")</f>
        <v>🟡 Attesa rischiosa</v>
      </c>
    </row>
    <row r="304" customFormat="false" ht="15" hidden="false" customHeight="true" outlineLevel="0" collapsed="false">
      <c r="A304" s="49" t="n">
        <v>301</v>
      </c>
      <c r="B304" s="7" t="n">
        <f aca="false">IFERROR(INDEX('Output Utente'!$A$2:$A$492,MATCH(301,'Output Utente'!$Q$2:$Q$492,0)),"")</f>
        <v>7342</v>
      </c>
      <c r="C304" s="7" t="str">
        <f aca="false">IFERROR(INDEX('Output Utente'!$B$2:$B$492,MATCH(301,'Output Utente'!$Q$2:$Q$492,0)),"")</f>
        <v>A</v>
      </c>
      <c r="D304" s="7" t="str">
        <f aca="false">IFERROR(INDEX('Output Utente'!$C$2:$C$492,MATCH(301,'Output Utente'!$Q$2:$Q$492,0)),"")</f>
        <v>Elphege</v>
      </c>
      <c r="E304" s="7" t="str">
        <f aca="false">IFERROR(INDEX('Input Giocatori 2026_27'!$D$3:$D$493,MATCH($B304,'Input Giocatori 2026_27'!$A$3:$A$493,0)),"")</f>
        <v>Parma</v>
      </c>
      <c r="F304" s="50" t="n">
        <f aca="false">IFERROR(INDEX('Output Utente'!$N$2:$N$492,MATCH(301,'Output Utente'!$Q$2:$Q$492,0)),"")</f>
        <v>3</v>
      </c>
      <c r="G304" s="50" t="n">
        <f aca="false">IFERROR(INDEX('Output Utente'!$O$2:$O$492,MATCH(301,'Output Utente'!$Q$2:$Q$492,0)),"")</f>
        <v>11</v>
      </c>
      <c r="H304" s="7" t="str">
        <f aca="false">IFERROR(INDEX('Output Utente'!$P$2:$P$492,MATCH(301,'Output Utente'!$Q$2:$Q$492,0)),"")</f>
        <v>Scommessa/Riserva</v>
      </c>
      <c r="I304" s="50" t="n">
        <f aca="false">IFERROR(INDEX('Output Utente'!$F$2:$F$492,MATCH(301,'Output Utente'!$Q$2:$Q$492,0)),"")</f>
        <v>10</v>
      </c>
      <c r="J304" s="50" t="n">
        <f aca="false">IFERROR(INDEX('Output Utente'!$G$2:$G$492,MATCH(301,'Output Utente'!$Q$2:$Q$492,0)),"")</f>
        <v>6</v>
      </c>
      <c r="K304" s="50" t="n">
        <f aca="false">IFERROR(INDEX('Output Utente'!$H$2:$H$492,MATCH(301,'Output Utente'!$Q$2:$Q$492,0)),"")</f>
        <v>11</v>
      </c>
      <c r="L304" s="7" t="str">
        <f aca="false">IFERROR(INDEX('Output Utente'!$E$2:$E$492,MATCH(301,'Output Utente'!$Q$2:$Q$492,0)),"")</f>
        <v>NO</v>
      </c>
      <c r="M304" s="7" t="str">
        <f aca="false">IFERROR(INDEX('Output Utente'!$U$2:$U$492,MATCH(301,'Output Utente'!$Q$2:$Q$492,0)),"")</f>
        <v>OK</v>
      </c>
      <c r="N304" s="7" t="str">
        <f aca="false">IFERROR(INDEX('Output Utente'!$AE$2:$AE$492,MATCH(301,'Output Utente'!$Q$2:$Q$492,0)),"")</f>
        <v>🔴 Non aspettare</v>
      </c>
    </row>
    <row r="305" customFormat="false" ht="15" hidden="false" customHeight="true" outlineLevel="0" collapsed="false">
      <c r="A305" s="49" t="n">
        <v>302</v>
      </c>
      <c r="B305" s="7" t="n">
        <f aca="false">IFERROR(INDEX('Output Utente'!$A$2:$A$492,MATCH(302,'Output Utente'!$Q$2:$Q$492,0)),"")</f>
        <v>218</v>
      </c>
      <c r="C305" s="7" t="str">
        <f aca="false">IFERROR(INDEX('Output Utente'!$B$2:$B$492,MATCH(302,'Output Utente'!$Q$2:$Q$492,0)),"")</f>
        <v>P</v>
      </c>
      <c r="D305" s="7" t="str">
        <f aca="false">IFERROR(INDEX('Output Utente'!$C$2:$C$492,MATCH(302,'Output Utente'!$Q$2:$Q$492,0)),"")</f>
        <v>Perin</v>
      </c>
      <c r="E305" s="7" t="str">
        <f aca="false">IFERROR(INDEX('Input Giocatori 2026_27'!$D$3:$D$493,MATCH($B305,'Input Giocatori 2026_27'!$A$3:$A$493,0)),"")</f>
        <v>Juventus</v>
      </c>
      <c r="F305" s="50" t="n">
        <f aca="false">IFERROR(INDEX('Output Utente'!$N$2:$N$492,MATCH(302,'Output Utente'!$Q$2:$Q$492,0)),"")</f>
        <v>6</v>
      </c>
      <c r="G305" s="50" t="n">
        <f aca="false">IFERROR(INDEX('Output Utente'!$O$2:$O$492,MATCH(302,'Output Utente'!$Q$2:$Q$492,0)),"")</f>
        <v>10</v>
      </c>
      <c r="H305" s="7" t="str">
        <f aca="false">IFERROR(INDEX('Output Utente'!$P$2:$P$492,MATCH(302,'Output Utente'!$Q$2:$Q$492,0)),"")</f>
        <v>Buono</v>
      </c>
      <c r="I305" s="50" t="n">
        <f aca="false">IFERROR(INDEX('Output Utente'!$F$2:$F$492,MATCH(302,'Output Utente'!$Q$2:$Q$492,0)),"")</f>
        <v>11</v>
      </c>
      <c r="J305" s="50" t="n">
        <f aca="false">IFERROR(INDEX('Output Utente'!$G$2:$G$492,MATCH(302,'Output Utente'!$Q$2:$Q$492,0)),"")</f>
        <v>9</v>
      </c>
      <c r="K305" s="50" t="n">
        <f aca="false">IFERROR(INDEX('Output Utente'!$H$2:$H$492,MATCH(302,'Output Utente'!$Q$2:$Q$492,0)),"")</f>
        <v>12</v>
      </c>
      <c r="L305" s="7" t="str">
        <f aca="false">IFERROR(INDEX('Output Utente'!$E$2:$E$492,MATCH(302,'Output Utente'!$Q$2:$Q$492,0)),"")</f>
        <v>NO</v>
      </c>
      <c r="M305" s="7" t="str">
        <f aca="false">IFERROR(INDEX('Output Utente'!$U$2:$U$492,MATCH(302,'Output Utente'!$Q$2:$Q$492,0)),"")</f>
        <v>OK</v>
      </c>
      <c r="N305" s="7" t="str">
        <f aca="false">IFERROR(INDEX('Output Utente'!$AE$2:$AE$492,MATCH(302,'Output Utente'!$Q$2:$Q$492,0)),"")</f>
        <v>🟡 Attesa rischiosa</v>
      </c>
    </row>
    <row r="306" customFormat="false" ht="15" hidden="false" customHeight="true" outlineLevel="0" collapsed="false">
      <c r="A306" s="49" t="n">
        <v>303</v>
      </c>
      <c r="B306" s="7" t="n">
        <f aca="false">IFERROR(INDEX('Output Utente'!$A$2:$A$492,MATCH(303,'Output Utente'!$Q$2:$Q$492,0)),"")</f>
        <v>2170</v>
      </c>
      <c r="C306" s="7" t="str">
        <f aca="false">IFERROR(INDEX('Output Utente'!$B$2:$B$492,MATCH(303,'Output Utente'!$Q$2:$Q$492,0)),"")</f>
        <v>P</v>
      </c>
      <c r="D306" s="7" t="str">
        <f aca="false">IFERROR(INDEX('Output Utente'!$C$2:$C$492,MATCH(303,'Output Utente'!$Q$2:$Q$492,0)),"")</f>
        <v>Milinkovic-Savic V.</v>
      </c>
      <c r="E306" s="7" t="str">
        <f aca="false">IFERROR(INDEX('Input Giocatori 2026_27'!$D$3:$D$493,MATCH($B306,'Input Giocatori 2026_27'!$A$3:$A$493,0)),"")</f>
        <v>Napoli</v>
      </c>
      <c r="F306" s="50" t="n">
        <f aca="false">IFERROR(INDEX('Output Utente'!$N$2:$N$492,MATCH(303,'Output Utente'!$Q$2:$Q$492,0)),"")</f>
        <v>5</v>
      </c>
      <c r="G306" s="50" t="n">
        <f aca="false">IFERROR(INDEX('Output Utente'!$O$2:$O$492,MATCH(303,'Output Utente'!$Q$2:$Q$492,0)),"")</f>
        <v>10</v>
      </c>
      <c r="H306" s="7" t="str">
        <f aca="false">IFERROR(INDEX('Output Utente'!$P$2:$P$492,MATCH(303,'Output Utente'!$Q$2:$Q$492,0)),"")</f>
        <v>Buono</v>
      </c>
      <c r="I306" s="50" t="n">
        <f aca="false">IFERROR(INDEX('Output Utente'!$F$2:$F$492,MATCH(303,'Output Utente'!$Q$2:$Q$492,0)),"")</f>
        <v>12</v>
      </c>
      <c r="J306" s="50" t="n">
        <f aca="false">IFERROR(INDEX('Output Utente'!$G$2:$G$492,MATCH(303,'Output Utente'!$Q$2:$Q$492,0)),"")</f>
        <v>9</v>
      </c>
      <c r="K306" s="50" t="n">
        <f aca="false">IFERROR(INDEX('Output Utente'!$H$2:$H$492,MATCH(303,'Output Utente'!$Q$2:$Q$492,0)),"")</f>
        <v>13</v>
      </c>
      <c r="L306" s="7" t="str">
        <f aca="false">IFERROR(INDEX('Output Utente'!$E$2:$E$492,MATCH(303,'Output Utente'!$Q$2:$Q$492,0)),"")</f>
        <v>NO</v>
      </c>
      <c r="M306" s="7" t="str">
        <f aca="false">IFERROR(INDEX('Output Utente'!$U$2:$U$492,MATCH(303,'Output Utente'!$Q$2:$Q$492,0)),"")</f>
        <v>OK</v>
      </c>
      <c r="N306" s="7" t="str">
        <f aca="false">IFERROR(INDEX('Output Utente'!$AE$2:$AE$492,MATCH(303,'Output Utente'!$Q$2:$Q$492,0)),"")</f>
        <v>🟡 Attesa rischiosa</v>
      </c>
    </row>
    <row r="307" customFormat="false" ht="15" hidden="false" customHeight="true" outlineLevel="0" collapsed="false">
      <c r="A307" s="49" t="n">
        <v>304</v>
      </c>
      <c r="B307" s="7" t="n">
        <f aca="false">IFERROR(INDEX('Output Utente'!$A$2:$A$492,MATCH(304,'Output Utente'!$Q$2:$Q$492,0)),"")</f>
        <v>7014</v>
      </c>
      <c r="C307" s="7" t="str">
        <f aca="false">IFERROR(INDEX('Output Utente'!$B$2:$B$492,MATCH(304,'Output Utente'!$Q$2:$Q$492,0)),"")</f>
        <v>D</v>
      </c>
      <c r="D307" s="7" t="str">
        <f aca="false">IFERROR(INDEX('Output Utente'!$C$2:$C$492,MATCH(304,'Output Utente'!$Q$2:$Q$492,0)),"")</f>
        <v>Smolcic I.</v>
      </c>
      <c r="E307" s="7" t="str">
        <f aca="false">IFERROR(INDEX('Input Giocatori 2026_27'!$D$3:$D$493,MATCH($B307,'Input Giocatori 2026_27'!$A$3:$A$493,0)),"")</f>
        <v>Como</v>
      </c>
      <c r="F307" s="50" t="n">
        <f aca="false">IFERROR(INDEX('Output Utente'!$N$2:$N$492,MATCH(304,'Output Utente'!$Q$2:$Q$492,0)),"")</f>
        <v>4</v>
      </c>
      <c r="G307" s="50" t="n">
        <f aca="false">IFERROR(INDEX('Output Utente'!$O$2:$O$492,MATCH(304,'Output Utente'!$Q$2:$Q$492,0)),"")</f>
        <v>10</v>
      </c>
      <c r="H307" s="7" t="str">
        <f aca="false">IFERROR(INDEX('Output Utente'!$P$2:$P$492,MATCH(304,'Output Utente'!$Q$2:$Q$492,0)),"")</f>
        <v>Nella Media</v>
      </c>
      <c r="I307" s="50" t="n">
        <f aca="false">IFERROR(INDEX('Output Utente'!$F$2:$F$492,MATCH(304,'Output Utente'!$Q$2:$Q$492,0)),"")</f>
        <v>5</v>
      </c>
      <c r="J307" s="50" t="n">
        <f aca="false">IFERROR(INDEX('Output Utente'!$G$2:$G$492,MATCH(304,'Output Utente'!$Q$2:$Q$492,0)),"")</f>
        <v>4</v>
      </c>
      <c r="K307" s="50" t="n">
        <f aca="false">IFERROR(INDEX('Output Utente'!$H$2:$H$492,MATCH(304,'Output Utente'!$Q$2:$Q$492,0)),"")</f>
        <v>5</v>
      </c>
      <c r="L307" s="7" t="str">
        <f aca="false">IFERROR(INDEX('Output Utente'!$E$2:$E$492,MATCH(304,'Output Utente'!$Q$2:$Q$492,0)),"")</f>
        <v>NO</v>
      </c>
      <c r="M307" s="7" t="str">
        <f aca="false">IFERROR(INDEX('Output Utente'!$U$2:$U$492,MATCH(304,'Output Utente'!$Q$2:$Q$492,0)),"")</f>
        <v>OK</v>
      </c>
      <c r="N307" s="7" t="str">
        <f aca="false">IFERROR(INDEX('Output Utente'!$AE$2:$AE$492,MATCH(304,'Output Utente'!$Q$2:$Q$492,0)),"")</f>
        <v>🟡 Attesa rischiosa</v>
      </c>
    </row>
    <row r="308" customFormat="false" ht="15" hidden="false" customHeight="true" outlineLevel="0" collapsed="false">
      <c r="A308" s="49" t="n">
        <v>305</v>
      </c>
      <c r="B308" s="7" t="n">
        <f aca="false">IFERROR(INDEX('Output Utente'!$A$2:$A$492,MATCH(305,'Output Utente'!$Q$2:$Q$492,0)),"")</f>
        <v>7467</v>
      </c>
      <c r="C308" s="7" t="str">
        <f aca="false">IFERROR(INDEX('Output Utente'!$B$2:$B$492,MATCH(305,'Output Utente'!$Q$2:$Q$492,0)),"")</f>
        <v>D</v>
      </c>
      <c r="D308" s="7" t="str">
        <f aca="false">IFERROR(INDEX('Output Utente'!$C$2:$C$492,MATCH(305,'Output Utente'!$Q$2:$Q$492,0)),"")</f>
        <v>Calvani</v>
      </c>
      <c r="E308" s="7" t="str">
        <f aca="false">IFERROR(INDEX('Input Giocatori 2026_27'!$D$3:$D$493,MATCH($B308,'Input Giocatori 2026_27'!$A$3:$A$493,0)),"")</f>
        <v>Frosinone</v>
      </c>
      <c r="F308" s="50" t="n">
        <f aca="false">IFERROR(INDEX('Output Utente'!$N$2:$N$492,MATCH(305,'Output Utente'!$Q$2:$Q$492,0)),"")</f>
        <v>4</v>
      </c>
      <c r="G308" s="50" t="n">
        <f aca="false">IFERROR(INDEX('Output Utente'!$O$2:$O$492,MATCH(305,'Output Utente'!$Q$2:$Q$492,0)),"")</f>
        <v>10</v>
      </c>
      <c r="H308" s="7" t="str">
        <f aca="false">IFERROR(INDEX('Output Utente'!$P$2:$P$492,MATCH(305,'Output Utente'!$Q$2:$Q$492,0)),"")</f>
        <v>Nella Media</v>
      </c>
      <c r="I308" s="50" t="n">
        <f aca="false">IFERROR(INDEX('Output Utente'!$F$2:$F$492,MATCH(305,'Output Utente'!$Q$2:$Q$492,0)),"")</f>
        <v>5</v>
      </c>
      <c r="J308" s="50" t="n">
        <f aca="false">IFERROR(INDEX('Output Utente'!$G$2:$G$492,MATCH(305,'Output Utente'!$Q$2:$Q$492,0)),"")</f>
        <v>4</v>
      </c>
      <c r="K308" s="50" t="n">
        <f aca="false">IFERROR(INDEX('Output Utente'!$H$2:$H$492,MATCH(305,'Output Utente'!$Q$2:$Q$492,0)),"")</f>
        <v>5</v>
      </c>
      <c r="L308" s="7" t="str">
        <f aca="false">IFERROR(INDEX('Output Utente'!$E$2:$E$492,MATCH(305,'Output Utente'!$Q$2:$Q$492,0)),"")</f>
        <v>NO</v>
      </c>
      <c r="M308" s="7" t="str">
        <f aca="false">IFERROR(INDEX('Output Utente'!$U$2:$U$492,MATCH(305,'Output Utente'!$Q$2:$Q$492,0)),"")</f>
        <v>OK</v>
      </c>
      <c r="N308" s="7" t="str">
        <f aca="false">IFERROR(INDEX('Output Utente'!$AE$2:$AE$492,MATCH(305,'Output Utente'!$Q$2:$Q$492,0)),"")</f>
        <v>🟡 Attesa rischiosa</v>
      </c>
    </row>
    <row r="309" customFormat="false" ht="15" hidden="false" customHeight="true" outlineLevel="0" collapsed="false">
      <c r="A309" s="49" t="n">
        <v>306</v>
      </c>
      <c r="B309" s="7" t="n">
        <f aca="false">IFERROR(INDEX('Output Utente'!$A$2:$A$492,MATCH(306,'Output Utente'!$Q$2:$Q$492,0)),"")</f>
        <v>5831</v>
      </c>
      <c r="C309" s="7" t="str">
        <f aca="false">IFERROR(INDEX('Output Utente'!$B$2:$B$492,MATCH(306,'Output Utente'!$Q$2:$Q$492,0)),"")</f>
        <v>D</v>
      </c>
      <c r="D309" s="7" t="str">
        <f aca="false">IFERROR(INDEX('Output Utente'!$C$2:$C$492,MATCH(306,'Output Utente'!$Q$2:$Q$492,0)),"")</f>
        <v>Gatti</v>
      </c>
      <c r="E309" s="7" t="str">
        <f aca="false">IFERROR(INDEX('Input Giocatori 2026_27'!$D$3:$D$493,MATCH($B309,'Input Giocatori 2026_27'!$A$3:$A$493,0)),"")</f>
        <v>Juventus</v>
      </c>
      <c r="F309" s="50" t="n">
        <f aca="false">IFERROR(INDEX('Output Utente'!$N$2:$N$492,MATCH(306,'Output Utente'!$Q$2:$Q$492,0)),"")</f>
        <v>4</v>
      </c>
      <c r="G309" s="50" t="n">
        <f aca="false">IFERROR(INDEX('Output Utente'!$O$2:$O$492,MATCH(306,'Output Utente'!$Q$2:$Q$492,0)),"")</f>
        <v>10</v>
      </c>
      <c r="H309" s="7" t="str">
        <f aca="false">IFERROR(INDEX('Output Utente'!$P$2:$P$492,MATCH(306,'Output Utente'!$Q$2:$Q$492,0)),"")</f>
        <v>Nella Media</v>
      </c>
      <c r="I309" s="50" t="n">
        <f aca="false">IFERROR(INDEX('Output Utente'!$F$2:$F$492,MATCH(306,'Output Utente'!$Q$2:$Q$492,0)),"")</f>
        <v>5</v>
      </c>
      <c r="J309" s="50" t="n">
        <f aca="false">IFERROR(INDEX('Output Utente'!$G$2:$G$492,MATCH(306,'Output Utente'!$Q$2:$Q$492,0)),"")</f>
        <v>4</v>
      </c>
      <c r="K309" s="50" t="n">
        <f aca="false">IFERROR(INDEX('Output Utente'!$H$2:$H$492,MATCH(306,'Output Utente'!$Q$2:$Q$492,0)),"")</f>
        <v>5</v>
      </c>
      <c r="L309" s="7" t="str">
        <f aca="false">IFERROR(INDEX('Output Utente'!$E$2:$E$492,MATCH(306,'Output Utente'!$Q$2:$Q$492,0)),"")</f>
        <v>NO</v>
      </c>
      <c r="M309" s="7" t="str">
        <f aca="false">IFERROR(INDEX('Output Utente'!$U$2:$U$492,MATCH(306,'Output Utente'!$Q$2:$Q$492,0)),"")</f>
        <v>OK</v>
      </c>
      <c r="N309" s="7" t="str">
        <f aca="false">IFERROR(INDEX('Output Utente'!$AE$2:$AE$492,MATCH(306,'Output Utente'!$Q$2:$Q$492,0)),"")</f>
        <v>🟡 Attesa rischiosa</v>
      </c>
    </row>
    <row r="310" customFormat="false" ht="15" hidden="false" customHeight="true" outlineLevel="0" collapsed="false">
      <c r="A310" s="49" t="n">
        <v>307</v>
      </c>
      <c r="B310" s="7" t="n">
        <f aca="false">IFERROR(INDEX('Output Utente'!$A$2:$A$492,MATCH(307,'Output Utente'!$Q$2:$Q$492,0)),"")</f>
        <v>5307</v>
      </c>
      <c r="C310" s="7" t="str">
        <f aca="false">IFERROR(INDEX('Output Utente'!$B$2:$B$492,MATCH(307,'Output Utente'!$Q$2:$Q$492,0)),"")</f>
        <v>D</v>
      </c>
      <c r="D310" s="7" t="str">
        <f aca="false">IFERROR(INDEX('Output Utente'!$C$2:$C$492,MATCH(307,'Output Utente'!$Q$2:$Q$492,0)),"")</f>
        <v>Valenti</v>
      </c>
      <c r="E310" s="7" t="str">
        <f aca="false">IFERROR(INDEX('Input Giocatori 2026_27'!$D$3:$D$493,MATCH($B310,'Input Giocatori 2026_27'!$A$3:$A$493,0)),"")</f>
        <v>Parma</v>
      </c>
      <c r="F310" s="50" t="n">
        <f aca="false">IFERROR(INDEX('Output Utente'!$N$2:$N$492,MATCH(307,'Output Utente'!$Q$2:$Q$492,0)),"")</f>
        <v>4</v>
      </c>
      <c r="G310" s="50" t="n">
        <f aca="false">IFERROR(INDEX('Output Utente'!$O$2:$O$492,MATCH(307,'Output Utente'!$Q$2:$Q$492,0)),"")</f>
        <v>10</v>
      </c>
      <c r="H310" s="7" t="str">
        <f aca="false">IFERROR(INDEX('Output Utente'!$P$2:$P$492,MATCH(307,'Output Utente'!$Q$2:$Q$492,0)),"")</f>
        <v>Nella Media</v>
      </c>
      <c r="I310" s="50" t="n">
        <f aca="false">IFERROR(INDEX('Output Utente'!$F$2:$F$492,MATCH(307,'Output Utente'!$Q$2:$Q$492,0)),"")</f>
        <v>5</v>
      </c>
      <c r="J310" s="50" t="n">
        <f aca="false">IFERROR(INDEX('Output Utente'!$G$2:$G$492,MATCH(307,'Output Utente'!$Q$2:$Q$492,0)),"")</f>
        <v>4</v>
      </c>
      <c r="K310" s="50" t="n">
        <f aca="false">IFERROR(INDEX('Output Utente'!$H$2:$H$492,MATCH(307,'Output Utente'!$Q$2:$Q$492,0)),"")</f>
        <v>5</v>
      </c>
      <c r="L310" s="7" t="str">
        <f aca="false">IFERROR(INDEX('Output Utente'!$E$2:$E$492,MATCH(307,'Output Utente'!$Q$2:$Q$492,0)),"")</f>
        <v>NO</v>
      </c>
      <c r="M310" s="7" t="str">
        <f aca="false">IFERROR(INDEX('Output Utente'!$U$2:$U$492,MATCH(307,'Output Utente'!$Q$2:$Q$492,0)),"")</f>
        <v>OK</v>
      </c>
      <c r="N310" s="7" t="str">
        <f aca="false">IFERROR(INDEX('Output Utente'!$AE$2:$AE$492,MATCH(307,'Output Utente'!$Q$2:$Q$492,0)),"")</f>
        <v>🟡 Attesa rischiosa</v>
      </c>
    </row>
    <row r="311" customFormat="false" ht="15" hidden="false" customHeight="true" outlineLevel="0" collapsed="false">
      <c r="A311" s="49" t="n">
        <v>308</v>
      </c>
      <c r="B311" s="7" t="n">
        <f aca="false">IFERROR(INDEX('Output Utente'!$A$2:$A$492,MATCH(308,'Output Utente'!$Q$2:$Q$492,0)),"")</f>
        <v>6631</v>
      </c>
      <c r="C311" s="7" t="str">
        <f aca="false">IFERROR(INDEX('Output Utente'!$B$2:$B$492,MATCH(308,'Output Utente'!$Q$2:$Q$492,0)),"")</f>
        <v>D</v>
      </c>
      <c r="D311" s="7" t="str">
        <f aca="false">IFERROR(INDEX('Output Utente'!$C$2:$C$492,MATCH(308,'Output Utente'!$Q$2:$Q$492,0)),"")</f>
        <v>Ghilardi</v>
      </c>
      <c r="E311" s="7" t="str">
        <f aca="false">IFERROR(INDEX('Input Giocatori 2026_27'!$D$3:$D$493,MATCH($B311,'Input Giocatori 2026_27'!$A$3:$A$493,0)),"")</f>
        <v>Roma</v>
      </c>
      <c r="F311" s="50" t="n">
        <f aca="false">IFERROR(INDEX('Output Utente'!$N$2:$N$492,MATCH(308,'Output Utente'!$Q$2:$Q$492,0)),"")</f>
        <v>4</v>
      </c>
      <c r="G311" s="50" t="n">
        <f aca="false">IFERROR(INDEX('Output Utente'!$O$2:$O$492,MATCH(308,'Output Utente'!$Q$2:$Q$492,0)),"")</f>
        <v>10</v>
      </c>
      <c r="H311" s="7" t="str">
        <f aca="false">IFERROR(INDEX('Output Utente'!$P$2:$P$492,MATCH(308,'Output Utente'!$Q$2:$Q$492,0)),"")</f>
        <v>Nella Media</v>
      </c>
      <c r="I311" s="50" t="n">
        <f aca="false">IFERROR(INDEX('Output Utente'!$F$2:$F$492,MATCH(308,'Output Utente'!$Q$2:$Q$492,0)),"")</f>
        <v>5</v>
      </c>
      <c r="J311" s="50" t="n">
        <f aca="false">IFERROR(INDEX('Output Utente'!$G$2:$G$492,MATCH(308,'Output Utente'!$Q$2:$Q$492,0)),"")</f>
        <v>4</v>
      </c>
      <c r="K311" s="50" t="n">
        <f aca="false">IFERROR(INDEX('Output Utente'!$H$2:$H$492,MATCH(308,'Output Utente'!$Q$2:$Q$492,0)),"")</f>
        <v>5</v>
      </c>
      <c r="L311" s="7" t="str">
        <f aca="false">IFERROR(INDEX('Output Utente'!$E$2:$E$492,MATCH(308,'Output Utente'!$Q$2:$Q$492,0)),"")</f>
        <v>NO</v>
      </c>
      <c r="M311" s="7" t="str">
        <f aca="false">IFERROR(INDEX('Output Utente'!$U$2:$U$492,MATCH(308,'Output Utente'!$Q$2:$Q$492,0)),"")</f>
        <v>OK</v>
      </c>
      <c r="N311" s="7" t="str">
        <f aca="false">IFERROR(INDEX('Output Utente'!$AE$2:$AE$492,MATCH(308,'Output Utente'!$Q$2:$Q$492,0)),"")</f>
        <v>🟡 Attesa rischiosa</v>
      </c>
    </row>
    <row r="312" customFormat="false" ht="15" hidden="false" customHeight="true" outlineLevel="0" collapsed="false">
      <c r="A312" s="49" t="n">
        <v>309</v>
      </c>
      <c r="B312" s="7" t="n">
        <f aca="false">IFERROR(INDEX('Output Utente'!$A$2:$A$492,MATCH(309,'Output Utente'!$Q$2:$Q$492,0)),"")</f>
        <v>4374</v>
      </c>
      <c r="C312" s="7" t="str">
        <f aca="false">IFERROR(INDEX('Output Utente'!$B$2:$B$492,MATCH(309,'Output Utente'!$Q$2:$Q$492,0)),"")</f>
        <v>D</v>
      </c>
      <c r="D312" s="7" t="str">
        <f aca="false">IFERROR(INDEX('Output Utente'!$C$2:$C$492,MATCH(309,'Output Utente'!$Q$2:$Q$492,0)),"")</f>
        <v>Walukiewicz</v>
      </c>
      <c r="E312" s="7" t="str">
        <f aca="false">IFERROR(INDEX('Input Giocatori 2026_27'!$D$3:$D$493,MATCH($B312,'Input Giocatori 2026_27'!$A$3:$A$493,0)),"")</f>
        <v>Sassuolo</v>
      </c>
      <c r="F312" s="50" t="n">
        <f aca="false">IFERROR(INDEX('Output Utente'!$N$2:$N$492,MATCH(309,'Output Utente'!$Q$2:$Q$492,0)),"")</f>
        <v>4</v>
      </c>
      <c r="G312" s="50" t="n">
        <f aca="false">IFERROR(INDEX('Output Utente'!$O$2:$O$492,MATCH(309,'Output Utente'!$Q$2:$Q$492,0)),"")</f>
        <v>10</v>
      </c>
      <c r="H312" s="7" t="str">
        <f aca="false">IFERROR(INDEX('Output Utente'!$P$2:$P$492,MATCH(309,'Output Utente'!$Q$2:$Q$492,0)),"")</f>
        <v>Nella Media</v>
      </c>
      <c r="I312" s="50" t="n">
        <f aca="false">IFERROR(INDEX('Output Utente'!$F$2:$F$492,MATCH(309,'Output Utente'!$Q$2:$Q$492,0)),"")</f>
        <v>5</v>
      </c>
      <c r="J312" s="50" t="n">
        <f aca="false">IFERROR(INDEX('Output Utente'!$G$2:$G$492,MATCH(309,'Output Utente'!$Q$2:$Q$492,0)),"")</f>
        <v>4</v>
      </c>
      <c r="K312" s="50" t="n">
        <f aca="false">IFERROR(INDEX('Output Utente'!$H$2:$H$492,MATCH(309,'Output Utente'!$Q$2:$Q$492,0)),"")</f>
        <v>5</v>
      </c>
      <c r="L312" s="7" t="str">
        <f aca="false">IFERROR(INDEX('Output Utente'!$E$2:$E$492,MATCH(309,'Output Utente'!$Q$2:$Q$492,0)),"")</f>
        <v>NO</v>
      </c>
      <c r="M312" s="7" t="str">
        <f aca="false">IFERROR(INDEX('Output Utente'!$U$2:$U$492,MATCH(309,'Output Utente'!$Q$2:$Q$492,0)),"")</f>
        <v>OK</v>
      </c>
      <c r="N312" s="7" t="str">
        <f aca="false">IFERROR(INDEX('Output Utente'!$AE$2:$AE$492,MATCH(309,'Output Utente'!$Q$2:$Q$492,0)),"")</f>
        <v>🟡 Attesa rischiosa</v>
      </c>
    </row>
    <row r="313" customFormat="false" ht="15" hidden="false" customHeight="true" outlineLevel="0" collapsed="false">
      <c r="A313" s="49" t="n">
        <v>310</v>
      </c>
      <c r="B313" s="7" t="n">
        <f aca="false">IFERROR(INDEX('Output Utente'!$A$2:$A$492,MATCH(310,'Output Utente'!$Q$2:$Q$492,0)),"")</f>
        <v>7526</v>
      </c>
      <c r="C313" s="7" t="str">
        <f aca="false">IFERROR(INDEX('Output Utente'!$B$2:$B$492,MATCH(310,'Output Utente'!$Q$2:$Q$492,0)),"")</f>
        <v>D</v>
      </c>
      <c r="D313" s="7" t="str">
        <f aca="false">IFERROR(INDEX('Output Utente'!$C$2:$C$492,MATCH(310,'Output Utente'!$Q$2:$Q$492,0)),"")</f>
        <v>Comert</v>
      </c>
      <c r="E313" s="7" t="str">
        <f aca="false">IFERROR(INDEX('Input Giocatori 2026_27'!$D$3:$D$493,MATCH($B313,'Input Giocatori 2026_27'!$A$3:$A$493,0)),"")</f>
        <v>Torino</v>
      </c>
      <c r="F313" s="50" t="n">
        <f aca="false">IFERROR(INDEX('Output Utente'!$N$2:$N$492,MATCH(310,'Output Utente'!$Q$2:$Q$492,0)),"")</f>
        <v>4</v>
      </c>
      <c r="G313" s="50" t="n">
        <f aca="false">IFERROR(INDEX('Output Utente'!$O$2:$O$492,MATCH(310,'Output Utente'!$Q$2:$Q$492,0)),"")</f>
        <v>10</v>
      </c>
      <c r="H313" s="7" t="str">
        <f aca="false">IFERROR(INDEX('Output Utente'!$P$2:$P$492,MATCH(310,'Output Utente'!$Q$2:$Q$492,0)),"")</f>
        <v>Nella Media</v>
      </c>
      <c r="I313" s="50" t="n">
        <f aca="false">IFERROR(INDEX('Output Utente'!$F$2:$F$492,MATCH(310,'Output Utente'!$Q$2:$Q$492,0)),"")</f>
        <v>5</v>
      </c>
      <c r="J313" s="50" t="n">
        <f aca="false">IFERROR(INDEX('Output Utente'!$G$2:$G$492,MATCH(310,'Output Utente'!$Q$2:$Q$492,0)),"")</f>
        <v>4</v>
      </c>
      <c r="K313" s="50" t="n">
        <f aca="false">IFERROR(INDEX('Output Utente'!$H$2:$H$492,MATCH(310,'Output Utente'!$Q$2:$Q$492,0)),"")</f>
        <v>5</v>
      </c>
      <c r="L313" s="7" t="str">
        <f aca="false">IFERROR(INDEX('Output Utente'!$E$2:$E$492,MATCH(310,'Output Utente'!$Q$2:$Q$492,0)),"")</f>
        <v>NO</v>
      </c>
      <c r="M313" s="7" t="str">
        <f aca="false">IFERROR(INDEX('Output Utente'!$U$2:$U$492,MATCH(310,'Output Utente'!$Q$2:$Q$492,0)),"")</f>
        <v>OK</v>
      </c>
      <c r="N313" s="7" t="str">
        <f aca="false">IFERROR(INDEX('Output Utente'!$AE$2:$AE$492,MATCH(310,'Output Utente'!$Q$2:$Q$492,0)),"")</f>
        <v>🟡 Attesa rischiosa</v>
      </c>
    </row>
    <row r="314" customFormat="false" ht="15" hidden="false" customHeight="true" outlineLevel="0" collapsed="false">
      <c r="A314" s="49" t="n">
        <v>311</v>
      </c>
      <c r="B314" s="7" t="n">
        <f aca="false">IFERROR(INDEX('Output Utente'!$A$2:$A$492,MATCH(311,'Output Utente'!$Q$2:$Q$492,0)),"")</f>
        <v>5820</v>
      </c>
      <c r="C314" s="7" t="str">
        <f aca="false">IFERROR(INDEX('Output Utente'!$B$2:$B$492,MATCH(311,'Output Utente'!$Q$2:$Q$492,0)),"")</f>
        <v>D</v>
      </c>
      <c r="D314" s="7" t="str">
        <f aca="false">IFERROR(INDEX('Output Utente'!$C$2:$C$492,MATCH(311,'Output Utente'!$Q$2:$Q$492,0)),"")</f>
        <v>Bertola</v>
      </c>
      <c r="E314" s="7" t="str">
        <f aca="false">IFERROR(INDEX('Input Giocatori 2026_27'!$D$3:$D$493,MATCH($B314,'Input Giocatori 2026_27'!$A$3:$A$493,0)),"")</f>
        <v>Udinese</v>
      </c>
      <c r="F314" s="50" t="n">
        <f aca="false">IFERROR(INDEX('Output Utente'!$N$2:$N$492,MATCH(311,'Output Utente'!$Q$2:$Q$492,0)),"")</f>
        <v>4</v>
      </c>
      <c r="G314" s="50" t="n">
        <f aca="false">IFERROR(INDEX('Output Utente'!$O$2:$O$492,MATCH(311,'Output Utente'!$Q$2:$Q$492,0)),"")</f>
        <v>10</v>
      </c>
      <c r="H314" s="7" t="str">
        <f aca="false">IFERROR(INDEX('Output Utente'!$P$2:$P$492,MATCH(311,'Output Utente'!$Q$2:$Q$492,0)),"")</f>
        <v>Nella Media</v>
      </c>
      <c r="I314" s="50" t="n">
        <f aca="false">IFERROR(INDEX('Output Utente'!$F$2:$F$492,MATCH(311,'Output Utente'!$Q$2:$Q$492,0)),"")</f>
        <v>5</v>
      </c>
      <c r="J314" s="50" t="n">
        <f aca="false">IFERROR(INDEX('Output Utente'!$G$2:$G$492,MATCH(311,'Output Utente'!$Q$2:$Q$492,0)),"")</f>
        <v>4</v>
      </c>
      <c r="K314" s="50" t="n">
        <f aca="false">IFERROR(INDEX('Output Utente'!$H$2:$H$492,MATCH(311,'Output Utente'!$Q$2:$Q$492,0)),"")</f>
        <v>5</v>
      </c>
      <c r="L314" s="7" t="str">
        <f aca="false">IFERROR(INDEX('Output Utente'!$E$2:$E$492,MATCH(311,'Output Utente'!$Q$2:$Q$492,0)),"")</f>
        <v>NO</v>
      </c>
      <c r="M314" s="7" t="str">
        <f aca="false">IFERROR(INDEX('Output Utente'!$U$2:$U$492,MATCH(311,'Output Utente'!$Q$2:$Q$492,0)),"")</f>
        <v>OK</v>
      </c>
      <c r="N314" s="7" t="str">
        <f aca="false">IFERROR(INDEX('Output Utente'!$AE$2:$AE$492,MATCH(311,'Output Utente'!$Q$2:$Q$492,0)),"")</f>
        <v>🟡 Attesa rischiosa</v>
      </c>
    </row>
    <row r="315" customFormat="false" ht="15" hidden="false" customHeight="true" outlineLevel="0" collapsed="false">
      <c r="A315" s="49" t="n">
        <v>312</v>
      </c>
      <c r="B315" s="7" t="n">
        <f aca="false">IFERROR(INDEX('Output Utente'!$A$2:$A$492,MATCH(312,'Output Utente'!$Q$2:$Q$492,0)),"")</f>
        <v>5527</v>
      </c>
      <c r="C315" s="7" t="str">
        <f aca="false">IFERROR(INDEX('Output Utente'!$B$2:$B$492,MATCH(312,'Output Utente'!$Q$2:$Q$492,0)),"")</f>
        <v>D</v>
      </c>
      <c r="D315" s="7" t="str">
        <f aca="false">IFERROR(INDEX('Output Utente'!$C$2:$C$492,MATCH(312,'Output Utente'!$Q$2:$Q$492,0)),"")</f>
        <v>Zanoli</v>
      </c>
      <c r="E315" s="7" t="str">
        <f aca="false">IFERROR(INDEX('Input Giocatori 2026_27'!$D$3:$D$493,MATCH($B315,'Input Giocatori 2026_27'!$A$3:$A$493,0)),"")</f>
        <v>Udinese</v>
      </c>
      <c r="F315" s="50" t="n">
        <f aca="false">IFERROR(INDEX('Output Utente'!$N$2:$N$492,MATCH(312,'Output Utente'!$Q$2:$Q$492,0)),"")</f>
        <v>4</v>
      </c>
      <c r="G315" s="50" t="n">
        <f aca="false">IFERROR(INDEX('Output Utente'!$O$2:$O$492,MATCH(312,'Output Utente'!$Q$2:$Q$492,0)),"")</f>
        <v>10</v>
      </c>
      <c r="H315" s="7" t="str">
        <f aca="false">IFERROR(INDEX('Output Utente'!$P$2:$P$492,MATCH(312,'Output Utente'!$Q$2:$Q$492,0)),"")</f>
        <v>Nella Media</v>
      </c>
      <c r="I315" s="50" t="n">
        <f aca="false">IFERROR(INDEX('Output Utente'!$F$2:$F$492,MATCH(312,'Output Utente'!$Q$2:$Q$492,0)),"")</f>
        <v>5</v>
      </c>
      <c r="J315" s="50" t="n">
        <f aca="false">IFERROR(INDEX('Output Utente'!$G$2:$G$492,MATCH(312,'Output Utente'!$Q$2:$Q$492,0)),"")</f>
        <v>4</v>
      </c>
      <c r="K315" s="50" t="n">
        <f aca="false">IFERROR(INDEX('Output Utente'!$H$2:$H$492,MATCH(312,'Output Utente'!$Q$2:$Q$492,0)),"")</f>
        <v>5</v>
      </c>
      <c r="L315" s="7" t="str">
        <f aca="false">IFERROR(INDEX('Output Utente'!$E$2:$E$492,MATCH(312,'Output Utente'!$Q$2:$Q$492,0)),"")</f>
        <v>NO</v>
      </c>
      <c r="M315" s="7" t="str">
        <f aca="false">IFERROR(INDEX('Output Utente'!$U$2:$U$492,MATCH(312,'Output Utente'!$Q$2:$Q$492,0)),"")</f>
        <v>OK</v>
      </c>
      <c r="N315" s="7" t="str">
        <f aca="false">IFERROR(INDEX('Output Utente'!$AE$2:$AE$492,MATCH(312,'Output Utente'!$Q$2:$Q$492,0)),"")</f>
        <v>🟡 Attesa rischiosa</v>
      </c>
    </row>
    <row r="316" customFormat="false" ht="15" hidden="false" customHeight="true" outlineLevel="0" collapsed="false">
      <c r="A316" s="49" t="n">
        <v>313</v>
      </c>
      <c r="B316" s="7" t="n">
        <f aca="false">IFERROR(INDEX('Output Utente'!$A$2:$A$492,MATCH(313,'Output Utente'!$Q$2:$Q$492,0)),"")</f>
        <v>7538</v>
      </c>
      <c r="C316" s="7" t="str">
        <f aca="false">IFERROR(INDEX('Output Utente'!$B$2:$B$492,MATCH(313,'Output Utente'!$Q$2:$Q$492,0)),"")</f>
        <v>D</v>
      </c>
      <c r="D316" s="7" t="str">
        <f aca="false">IFERROR(INDEX('Output Utente'!$C$2:$C$492,MATCH(313,'Output Utente'!$Q$2:$Q$492,0)),"")</f>
        <v>Halhal</v>
      </c>
      <c r="E316" s="7" t="str">
        <f aca="false">IFERROR(INDEX('Input Giocatori 2026_27'!$D$3:$D$493,MATCH($B316,'Input Giocatori 2026_27'!$A$3:$A$493,0)),"")</f>
        <v>Venezia</v>
      </c>
      <c r="F316" s="50" t="n">
        <f aca="false">IFERROR(INDEX('Output Utente'!$N$2:$N$492,MATCH(313,'Output Utente'!$Q$2:$Q$492,0)),"")</f>
        <v>4</v>
      </c>
      <c r="G316" s="50" t="n">
        <f aca="false">IFERROR(INDEX('Output Utente'!$O$2:$O$492,MATCH(313,'Output Utente'!$Q$2:$Q$492,0)),"")</f>
        <v>10</v>
      </c>
      <c r="H316" s="7" t="str">
        <f aca="false">IFERROR(INDEX('Output Utente'!$P$2:$P$492,MATCH(313,'Output Utente'!$Q$2:$Q$492,0)),"")</f>
        <v>Nella Media</v>
      </c>
      <c r="I316" s="50" t="n">
        <f aca="false">IFERROR(INDEX('Output Utente'!$F$2:$F$492,MATCH(313,'Output Utente'!$Q$2:$Q$492,0)),"")</f>
        <v>5</v>
      </c>
      <c r="J316" s="50" t="n">
        <f aca="false">IFERROR(INDEX('Output Utente'!$G$2:$G$492,MATCH(313,'Output Utente'!$Q$2:$Q$492,0)),"")</f>
        <v>4</v>
      </c>
      <c r="K316" s="50" t="n">
        <f aca="false">IFERROR(INDEX('Output Utente'!$H$2:$H$492,MATCH(313,'Output Utente'!$Q$2:$Q$492,0)),"")</f>
        <v>5</v>
      </c>
      <c r="L316" s="7" t="str">
        <f aca="false">IFERROR(INDEX('Output Utente'!$E$2:$E$492,MATCH(313,'Output Utente'!$Q$2:$Q$492,0)),"")</f>
        <v>NO</v>
      </c>
      <c r="M316" s="7" t="str">
        <f aca="false">IFERROR(INDEX('Output Utente'!$U$2:$U$492,MATCH(313,'Output Utente'!$Q$2:$Q$492,0)),"")</f>
        <v>OK</v>
      </c>
      <c r="N316" s="7" t="str">
        <f aca="false">IFERROR(INDEX('Output Utente'!$AE$2:$AE$492,MATCH(313,'Output Utente'!$Q$2:$Q$492,0)),"")</f>
        <v>🟡 Attesa rischiosa</v>
      </c>
    </row>
    <row r="317" customFormat="false" ht="15" hidden="false" customHeight="true" outlineLevel="0" collapsed="false">
      <c r="A317" s="49" t="n">
        <v>314</v>
      </c>
      <c r="B317" s="7" t="n">
        <f aca="false">IFERROR(INDEX('Output Utente'!$A$2:$A$492,MATCH(314,'Output Utente'!$Q$2:$Q$492,0)),"")</f>
        <v>7268</v>
      </c>
      <c r="C317" s="7" t="str">
        <f aca="false">IFERROR(INDEX('Output Utente'!$B$2:$B$492,MATCH(314,'Output Utente'!$Q$2:$Q$492,0)),"")</f>
        <v>D</v>
      </c>
      <c r="D317" s="7" t="str">
        <f aca="false">IFERROR(INDEX('Output Utente'!$C$2:$C$492,MATCH(314,'Output Utente'!$Q$2:$Q$492,0)),"")</f>
        <v>Rodriguez Ju.</v>
      </c>
      <c r="E317" s="7" t="str">
        <f aca="false">IFERROR(INDEX('Input Giocatori 2026_27'!$D$3:$D$493,MATCH($B317,'Input Giocatori 2026_27'!$A$3:$A$493,0)),"")</f>
        <v>Cagliari</v>
      </c>
      <c r="F317" s="50" t="n">
        <f aca="false">IFERROR(INDEX('Output Utente'!$N$2:$N$492,MATCH(314,'Output Utente'!$Q$2:$Q$492,0)),"")</f>
        <v>3</v>
      </c>
      <c r="G317" s="50" t="n">
        <f aca="false">IFERROR(INDEX('Output Utente'!$O$2:$O$492,MATCH(314,'Output Utente'!$Q$2:$Q$492,0)),"")</f>
        <v>10</v>
      </c>
      <c r="H317" s="7" t="str">
        <f aca="false">IFERROR(INDEX('Output Utente'!$P$2:$P$492,MATCH(314,'Output Utente'!$Q$2:$Q$492,0)),"")</f>
        <v>Nella Media</v>
      </c>
      <c r="I317" s="50" t="n">
        <f aca="false">IFERROR(INDEX('Output Utente'!$F$2:$F$492,MATCH(314,'Output Utente'!$Q$2:$Q$492,0)),"")</f>
        <v>5</v>
      </c>
      <c r="J317" s="50" t="n">
        <f aca="false">IFERROR(INDEX('Output Utente'!$G$2:$G$492,MATCH(314,'Output Utente'!$Q$2:$Q$492,0)),"")</f>
        <v>4</v>
      </c>
      <c r="K317" s="50" t="n">
        <f aca="false">IFERROR(INDEX('Output Utente'!$H$2:$H$492,MATCH(314,'Output Utente'!$Q$2:$Q$492,0)),"")</f>
        <v>5</v>
      </c>
      <c r="L317" s="7" t="str">
        <f aca="false">IFERROR(INDEX('Output Utente'!$E$2:$E$492,MATCH(314,'Output Utente'!$Q$2:$Q$492,0)),"")</f>
        <v>NO</v>
      </c>
      <c r="M317" s="7" t="str">
        <f aca="false">IFERROR(INDEX('Output Utente'!$U$2:$U$492,MATCH(314,'Output Utente'!$Q$2:$Q$492,0)),"")</f>
        <v>OK</v>
      </c>
      <c r="N317" s="7" t="str">
        <f aca="false">IFERROR(INDEX('Output Utente'!$AE$2:$AE$492,MATCH(314,'Output Utente'!$Q$2:$Q$492,0)),"")</f>
        <v>🟡 Attesa rischiosa</v>
      </c>
    </row>
    <row r="318" customFormat="false" ht="15" hidden="false" customHeight="true" outlineLevel="0" collapsed="false">
      <c r="A318" s="49" t="n">
        <v>315</v>
      </c>
      <c r="B318" s="7" t="n">
        <f aca="false">IFERROR(INDEX('Output Utente'!$A$2:$A$492,MATCH(315,'Output Utente'!$Q$2:$Q$492,0)),"")</f>
        <v>7012</v>
      </c>
      <c r="C318" s="7" t="str">
        <f aca="false">IFERROR(INDEX('Output Utente'!$B$2:$B$492,MATCH(315,'Output Utente'!$Q$2:$Q$492,0)),"")</f>
        <v>D</v>
      </c>
      <c r="D318" s="7" t="str">
        <f aca="false">IFERROR(INDEX('Output Utente'!$C$2:$C$492,MATCH(315,'Output Utente'!$Q$2:$Q$492,0)),"")</f>
        <v>Provstgaard</v>
      </c>
      <c r="E318" s="7" t="str">
        <f aca="false">IFERROR(INDEX('Input Giocatori 2026_27'!$D$3:$D$493,MATCH($B318,'Input Giocatori 2026_27'!$A$3:$A$493,0)),"")</f>
        <v>Lazio</v>
      </c>
      <c r="F318" s="50" t="n">
        <f aca="false">IFERROR(INDEX('Output Utente'!$N$2:$N$492,MATCH(315,'Output Utente'!$Q$2:$Q$492,0)),"")</f>
        <v>3</v>
      </c>
      <c r="G318" s="50" t="n">
        <f aca="false">IFERROR(INDEX('Output Utente'!$O$2:$O$492,MATCH(315,'Output Utente'!$Q$2:$Q$492,0)),"")</f>
        <v>10</v>
      </c>
      <c r="H318" s="7" t="str">
        <f aca="false">IFERROR(INDEX('Output Utente'!$P$2:$P$492,MATCH(315,'Output Utente'!$Q$2:$Q$492,0)),"")</f>
        <v>Nella Media</v>
      </c>
      <c r="I318" s="50" t="n">
        <f aca="false">IFERROR(INDEX('Output Utente'!$F$2:$F$492,MATCH(315,'Output Utente'!$Q$2:$Q$492,0)),"")</f>
        <v>5</v>
      </c>
      <c r="J318" s="50" t="n">
        <f aca="false">IFERROR(INDEX('Output Utente'!$G$2:$G$492,MATCH(315,'Output Utente'!$Q$2:$Q$492,0)),"")</f>
        <v>4</v>
      </c>
      <c r="K318" s="50" t="n">
        <f aca="false">IFERROR(INDEX('Output Utente'!$H$2:$H$492,MATCH(315,'Output Utente'!$Q$2:$Q$492,0)),"")</f>
        <v>5</v>
      </c>
      <c r="L318" s="7" t="str">
        <f aca="false">IFERROR(INDEX('Output Utente'!$E$2:$E$492,MATCH(315,'Output Utente'!$Q$2:$Q$492,0)),"")</f>
        <v>NO</v>
      </c>
      <c r="M318" s="7" t="str">
        <f aca="false">IFERROR(INDEX('Output Utente'!$U$2:$U$492,MATCH(315,'Output Utente'!$Q$2:$Q$492,0)),"")</f>
        <v>OK</v>
      </c>
      <c r="N318" s="7" t="str">
        <f aca="false">IFERROR(INDEX('Output Utente'!$AE$2:$AE$492,MATCH(315,'Output Utente'!$Q$2:$Q$492,0)),"")</f>
        <v>🟡 Attesa rischiosa</v>
      </c>
    </row>
    <row r="319" customFormat="false" ht="15" hidden="false" customHeight="true" outlineLevel="0" collapsed="false">
      <c r="A319" s="49" t="n">
        <v>316</v>
      </c>
      <c r="B319" s="7" t="n">
        <f aca="false">IFERROR(INDEX('Output Utente'!$A$2:$A$492,MATCH(316,'Output Utente'!$Q$2:$Q$492,0)),"")</f>
        <v>7255</v>
      </c>
      <c r="C319" s="7" t="str">
        <f aca="false">IFERROR(INDEX('Output Utente'!$B$2:$B$492,MATCH(316,'Output Utente'!$Q$2:$Q$492,0)),"")</f>
        <v>D</v>
      </c>
      <c r="D319" s="7" t="str">
        <f aca="false">IFERROR(INDEX('Output Utente'!$C$2:$C$492,MATCH(316,'Output Utente'!$Q$2:$Q$492,0)),"")</f>
        <v>Britschgi</v>
      </c>
      <c r="E319" s="7" t="str">
        <f aca="false">IFERROR(INDEX('Input Giocatori 2026_27'!$D$3:$D$493,MATCH($B319,'Input Giocatori 2026_27'!$A$3:$A$493,0)),"")</f>
        <v>Parma</v>
      </c>
      <c r="F319" s="50" t="n">
        <f aca="false">IFERROR(INDEX('Output Utente'!$N$2:$N$492,MATCH(316,'Output Utente'!$Q$2:$Q$492,0)),"")</f>
        <v>3</v>
      </c>
      <c r="G319" s="50" t="n">
        <f aca="false">IFERROR(INDEX('Output Utente'!$O$2:$O$492,MATCH(316,'Output Utente'!$Q$2:$Q$492,0)),"")</f>
        <v>10</v>
      </c>
      <c r="H319" s="7" t="str">
        <f aca="false">IFERROR(INDEX('Output Utente'!$P$2:$P$492,MATCH(316,'Output Utente'!$Q$2:$Q$492,0)),"")</f>
        <v>Nella Media</v>
      </c>
      <c r="I319" s="50" t="n">
        <f aca="false">IFERROR(INDEX('Output Utente'!$F$2:$F$492,MATCH(316,'Output Utente'!$Q$2:$Q$492,0)),"")</f>
        <v>5</v>
      </c>
      <c r="J319" s="50" t="n">
        <f aca="false">IFERROR(INDEX('Output Utente'!$G$2:$G$492,MATCH(316,'Output Utente'!$Q$2:$Q$492,0)),"")</f>
        <v>4</v>
      </c>
      <c r="K319" s="50" t="n">
        <f aca="false">IFERROR(INDEX('Output Utente'!$H$2:$H$492,MATCH(316,'Output Utente'!$Q$2:$Q$492,0)),"")</f>
        <v>5</v>
      </c>
      <c r="L319" s="7" t="str">
        <f aca="false">IFERROR(INDEX('Output Utente'!$E$2:$E$492,MATCH(316,'Output Utente'!$Q$2:$Q$492,0)),"")</f>
        <v>NO</v>
      </c>
      <c r="M319" s="7" t="str">
        <f aca="false">IFERROR(INDEX('Output Utente'!$U$2:$U$492,MATCH(316,'Output Utente'!$Q$2:$Q$492,0)),"")</f>
        <v>OK</v>
      </c>
      <c r="N319" s="7" t="str">
        <f aca="false">IFERROR(INDEX('Output Utente'!$AE$2:$AE$492,MATCH(316,'Output Utente'!$Q$2:$Q$492,0)),"")</f>
        <v>🟡 Attesa rischiosa</v>
      </c>
    </row>
    <row r="320" customFormat="false" ht="15" hidden="false" customHeight="true" outlineLevel="0" collapsed="false">
      <c r="A320" s="49" t="n">
        <v>317</v>
      </c>
      <c r="B320" s="7" t="n">
        <f aca="false">IFERROR(INDEX('Output Utente'!$A$2:$A$492,MATCH(317,'Output Utente'!$Q$2:$Q$492,0)),"")</f>
        <v>6640</v>
      </c>
      <c r="C320" s="7" t="str">
        <f aca="false">IFERROR(INDEX('Output Utente'!$B$2:$B$492,MATCH(317,'Output Utente'!$Q$2:$Q$492,0)),"")</f>
        <v>C</v>
      </c>
      <c r="D320" s="7" t="str">
        <f aca="false">IFERROR(INDEX('Output Utente'!$C$2:$C$492,MATCH(317,'Output Utente'!$Q$2:$Q$492,0)),"")</f>
        <v>Felici</v>
      </c>
      <c r="E320" s="7" t="str">
        <f aca="false">IFERROR(INDEX('Input Giocatori 2026_27'!$D$3:$D$493,MATCH($B320,'Input Giocatori 2026_27'!$A$3:$A$493,0)),"")</f>
        <v>Cagliari</v>
      </c>
      <c r="F320" s="50" t="n">
        <f aca="false">IFERROR(INDEX('Output Utente'!$N$2:$N$492,MATCH(317,'Output Utente'!$Q$2:$Q$492,0)),"")</f>
        <v>5</v>
      </c>
      <c r="G320" s="50" t="n">
        <f aca="false">IFERROR(INDEX('Output Utente'!$O$2:$O$492,MATCH(317,'Output Utente'!$Q$2:$Q$492,0)),"")</f>
        <v>10</v>
      </c>
      <c r="H320" s="7" t="str">
        <f aca="false">IFERROR(INDEX('Output Utente'!$P$2:$P$492,MATCH(317,'Output Utente'!$Q$2:$Q$492,0)),"")</f>
        <v>Scommessa/Riserva</v>
      </c>
      <c r="I320" s="50" t="n">
        <f aca="false">IFERROR(INDEX('Output Utente'!$F$2:$F$492,MATCH(317,'Output Utente'!$Q$2:$Q$492,0)),"")</f>
        <v>5</v>
      </c>
      <c r="J320" s="50" t="n">
        <f aca="false">IFERROR(INDEX('Output Utente'!$G$2:$G$492,MATCH(317,'Output Utente'!$Q$2:$Q$492,0)),"")</f>
        <v>4</v>
      </c>
      <c r="K320" s="50" t="n">
        <f aca="false">IFERROR(INDEX('Output Utente'!$H$2:$H$492,MATCH(317,'Output Utente'!$Q$2:$Q$492,0)),"")</f>
        <v>6</v>
      </c>
      <c r="L320" s="7" t="str">
        <f aca="false">IFERROR(INDEX('Output Utente'!$E$2:$E$492,MATCH(317,'Output Utente'!$Q$2:$Q$492,0)),"")</f>
        <v>NO</v>
      </c>
      <c r="M320" s="7" t="str">
        <f aca="false">IFERROR(INDEX('Output Utente'!$U$2:$U$492,MATCH(317,'Output Utente'!$Q$2:$Q$492,0)),"")</f>
        <v>OK</v>
      </c>
      <c r="N320" s="7" t="str">
        <f aca="false">IFERROR(INDEX('Output Utente'!$AE$2:$AE$492,MATCH(317,'Output Utente'!$Q$2:$Q$492,0)),"")</f>
        <v>🟡 Attesa rischiosa</v>
      </c>
    </row>
    <row r="321" customFormat="false" ht="15" hidden="false" customHeight="true" outlineLevel="0" collapsed="false">
      <c r="A321" s="49" t="n">
        <v>318</v>
      </c>
      <c r="B321" s="7" t="n">
        <f aca="false">IFERROR(INDEX('Output Utente'!$A$2:$A$492,MATCH(318,'Output Utente'!$Q$2:$Q$492,0)),"")</f>
        <v>7127</v>
      </c>
      <c r="C321" s="7" t="str">
        <f aca="false">IFERROR(INDEX('Output Utente'!$B$2:$B$492,MATCH(318,'Output Utente'!$Q$2:$Q$492,0)),"")</f>
        <v>C</v>
      </c>
      <c r="D321" s="7" t="str">
        <f aca="false">IFERROR(INDEX('Output Utente'!$C$2:$C$492,MATCH(318,'Output Utente'!$Q$2:$Q$492,0)),"")</f>
        <v>Addai</v>
      </c>
      <c r="E321" s="7" t="str">
        <f aca="false">IFERROR(INDEX('Input Giocatori 2026_27'!$D$3:$D$493,MATCH($B321,'Input Giocatori 2026_27'!$A$3:$A$493,0)),"")</f>
        <v>Como</v>
      </c>
      <c r="F321" s="50" t="n">
        <f aca="false">IFERROR(INDEX('Output Utente'!$N$2:$N$492,MATCH(318,'Output Utente'!$Q$2:$Q$492,0)),"")</f>
        <v>5</v>
      </c>
      <c r="G321" s="50" t="n">
        <f aca="false">IFERROR(INDEX('Output Utente'!$O$2:$O$492,MATCH(318,'Output Utente'!$Q$2:$Q$492,0)),"")</f>
        <v>10</v>
      </c>
      <c r="H321" s="7" t="str">
        <f aca="false">IFERROR(INDEX('Output Utente'!$P$2:$P$492,MATCH(318,'Output Utente'!$Q$2:$Q$492,0)),"")</f>
        <v>Scommessa/Riserva</v>
      </c>
      <c r="I321" s="50" t="n">
        <f aca="false">IFERROR(INDEX('Output Utente'!$F$2:$F$492,MATCH(318,'Output Utente'!$Q$2:$Q$492,0)),"")</f>
        <v>5</v>
      </c>
      <c r="J321" s="50" t="n">
        <f aca="false">IFERROR(INDEX('Output Utente'!$G$2:$G$492,MATCH(318,'Output Utente'!$Q$2:$Q$492,0)),"")</f>
        <v>4</v>
      </c>
      <c r="K321" s="50" t="n">
        <f aca="false">IFERROR(INDEX('Output Utente'!$H$2:$H$492,MATCH(318,'Output Utente'!$Q$2:$Q$492,0)),"")</f>
        <v>6</v>
      </c>
      <c r="L321" s="7" t="str">
        <f aca="false">IFERROR(INDEX('Output Utente'!$E$2:$E$492,MATCH(318,'Output Utente'!$Q$2:$Q$492,0)),"")</f>
        <v>NO</v>
      </c>
      <c r="M321" s="7" t="str">
        <f aca="false">IFERROR(INDEX('Output Utente'!$U$2:$U$492,MATCH(318,'Output Utente'!$Q$2:$Q$492,0)),"")</f>
        <v>OK</v>
      </c>
      <c r="N321" s="7" t="str">
        <f aca="false">IFERROR(INDEX('Output Utente'!$AE$2:$AE$492,MATCH(318,'Output Utente'!$Q$2:$Q$492,0)),"")</f>
        <v>🟡 Attesa rischiosa</v>
      </c>
    </row>
    <row r="322" customFormat="false" ht="15" hidden="false" customHeight="true" outlineLevel="0" collapsed="false">
      <c r="A322" s="49" t="n">
        <v>319</v>
      </c>
      <c r="B322" s="7" t="n">
        <f aca="false">IFERROR(INDEX('Output Utente'!$A$2:$A$492,MATCH(319,'Output Utente'!$Q$2:$Q$492,0)),"")</f>
        <v>6054</v>
      </c>
      <c r="C322" s="7" t="str">
        <f aca="false">IFERROR(INDEX('Output Utente'!$B$2:$B$492,MATCH(319,'Output Utente'!$Q$2:$Q$492,0)),"")</f>
        <v>C</v>
      </c>
      <c r="D322" s="7" t="str">
        <f aca="false">IFERROR(INDEX('Output Utente'!$C$2:$C$492,MATCH(319,'Output Utente'!$Q$2:$Q$492,0)),"")</f>
        <v>Moro N.</v>
      </c>
      <c r="E322" s="7" t="str">
        <f aca="false">IFERROR(INDEX('Input Giocatori 2026_27'!$D$3:$D$493,MATCH($B322,'Input Giocatori 2026_27'!$A$3:$A$493,0)),"")</f>
        <v>Bologna</v>
      </c>
      <c r="F322" s="50" t="n">
        <f aca="false">IFERROR(INDEX('Output Utente'!$N$2:$N$492,MATCH(319,'Output Utente'!$Q$2:$Q$492,0)),"")</f>
        <v>4</v>
      </c>
      <c r="G322" s="50" t="n">
        <f aca="false">IFERROR(INDEX('Output Utente'!$O$2:$O$492,MATCH(319,'Output Utente'!$Q$2:$Q$492,0)),"")</f>
        <v>10</v>
      </c>
      <c r="H322" s="7" t="str">
        <f aca="false">IFERROR(INDEX('Output Utente'!$P$2:$P$492,MATCH(319,'Output Utente'!$Q$2:$Q$492,0)),"")</f>
        <v>Scommessa/Riserva</v>
      </c>
      <c r="I322" s="50" t="n">
        <f aca="false">IFERROR(INDEX('Output Utente'!$F$2:$F$492,MATCH(319,'Output Utente'!$Q$2:$Q$492,0)),"")</f>
        <v>5</v>
      </c>
      <c r="J322" s="50" t="n">
        <f aca="false">IFERROR(INDEX('Output Utente'!$G$2:$G$492,MATCH(319,'Output Utente'!$Q$2:$Q$492,0)),"")</f>
        <v>4</v>
      </c>
      <c r="K322" s="50" t="n">
        <f aca="false">IFERROR(INDEX('Output Utente'!$H$2:$H$492,MATCH(319,'Output Utente'!$Q$2:$Q$492,0)),"")</f>
        <v>6</v>
      </c>
      <c r="L322" s="7" t="str">
        <f aca="false">IFERROR(INDEX('Output Utente'!$E$2:$E$492,MATCH(319,'Output Utente'!$Q$2:$Q$492,0)),"")</f>
        <v>NO</v>
      </c>
      <c r="M322" s="7" t="str">
        <f aca="false">IFERROR(INDEX('Output Utente'!$U$2:$U$492,MATCH(319,'Output Utente'!$Q$2:$Q$492,0)),"")</f>
        <v>OK</v>
      </c>
      <c r="N322" s="7" t="str">
        <f aca="false">IFERROR(INDEX('Output Utente'!$AE$2:$AE$492,MATCH(319,'Output Utente'!$Q$2:$Q$492,0)),"")</f>
        <v>🟡 Attesa rischiosa</v>
      </c>
    </row>
    <row r="323" customFormat="false" ht="15" hidden="false" customHeight="true" outlineLevel="0" collapsed="false">
      <c r="A323" s="49" t="n">
        <v>320</v>
      </c>
      <c r="B323" s="7" t="n">
        <f aca="false">IFERROR(INDEX('Output Utente'!$A$2:$A$492,MATCH(320,'Output Utente'!$Q$2:$Q$492,0)),"")</f>
        <v>6252</v>
      </c>
      <c r="C323" s="7" t="str">
        <f aca="false">IFERROR(INDEX('Output Utente'!$B$2:$B$492,MATCH(320,'Output Utente'!$Q$2:$Q$492,0)),"")</f>
        <v>C</v>
      </c>
      <c r="D323" s="7" t="str">
        <f aca="false">IFERROR(INDEX('Output Utente'!$C$2:$C$492,MATCH(320,'Output Utente'!$Q$2:$Q$492,0)),"")</f>
        <v>Folorunsho</v>
      </c>
      <c r="E323" s="7" t="str">
        <f aca="false">IFERROR(INDEX('Input Giocatori 2026_27'!$D$3:$D$493,MATCH($B323,'Input Giocatori 2026_27'!$A$3:$A$493,0)),"")</f>
        <v>Napoli</v>
      </c>
      <c r="F323" s="50" t="n">
        <f aca="false">IFERROR(INDEX('Output Utente'!$N$2:$N$492,MATCH(320,'Output Utente'!$Q$2:$Q$492,0)),"")</f>
        <v>4</v>
      </c>
      <c r="G323" s="50" t="n">
        <f aca="false">IFERROR(INDEX('Output Utente'!$O$2:$O$492,MATCH(320,'Output Utente'!$Q$2:$Q$492,0)),"")</f>
        <v>10</v>
      </c>
      <c r="H323" s="7" t="str">
        <f aca="false">IFERROR(INDEX('Output Utente'!$P$2:$P$492,MATCH(320,'Output Utente'!$Q$2:$Q$492,0)),"")</f>
        <v>Scommessa/Riserva</v>
      </c>
      <c r="I323" s="50" t="n">
        <f aca="false">IFERROR(INDEX('Output Utente'!$F$2:$F$492,MATCH(320,'Output Utente'!$Q$2:$Q$492,0)),"")</f>
        <v>5</v>
      </c>
      <c r="J323" s="50" t="n">
        <f aca="false">IFERROR(INDEX('Output Utente'!$G$2:$G$492,MATCH(320,'Output Utente'!$Q$2:$Q$492,0)),"")</f>
        <v>4</v>
      </c>
      <c r="K323" s="50" t="n">
        <f aca="false">IFERROR(INDEX('Output Utente'!$H$2:$H$492,MATCH(320,'Output Utente'!$Q$2:$Q$492,0)),"")</f>
        <v>6</v>
      </c>
      <c r="L323" s="7" t="str">
        <f aca="false">IFERROR(INDEX('Output Utente'!$E$2:$E$492,MATCH(320,'Output Utente'!$Q$2:$Q$492,0)),"")</f>
        <v>NO</v>
      </c>
      <c r="M323" s="7" t="str">
        <f aca="false">IFERROR(INDEX('Output Utente'!$U$2:$U$492,MATCH(320,'Output Utente'!$Q$2:$Q$492,0)),"")</f>
        <v>OK</v>
      </c>
      <c r="N323" s="7" t="str">
        <f aca="false">IFERROR(INDEX('Output Utente'!$AE$2:$AE$492,MATCH(320,'Output Utente'!$Q$2:$Q$492,0)),"")</f>
        <v>🟡 Attesa rischiosa</v>
      </c>
    </row>
    <row r="324" customFormat="false" ht="15" hidden="false" customHeight="true" outlineLevel="0" collapsed="false">
      <c r="A324" s="49" t="n">
        <v>321</v>
      </c>
      <c r="B324" s="7" t="n">
        <f aca="false">IFERROR(INDEX('Output Utente'!$A$2:$A$492,MATCH(321,'Output Utente'!$Q$2:$Q$492,0)),"")</f>
        <v>6005</v>
      </c>
      <c r="C324" s="7" t="str">
        <f aca="false">IFERROR(INDEX('Output Utente'!$B$2:$B$492,MATCH(321,'Output Utente'!$Q$2:$Q$492,0)),"")</f>
        <v>C</v>
      </c>
      <c r="D324" s="7" t="str">
        <f aca="false">IFERROR(INDEX('Output Utente'!$C$2:$C$492,MATCH(321,'Output Utente'!$Q$2:$Q$492,0)),"")</f>
        <v>Ilkhan</v>
      </c>
      <c r="E324" s="7" t="str">
        <f aca="false">IFERROR(INDEX('Input Giocatori 2026_27'!$D$3:$D$493,MATCH($B324,'Input Giocatori 2026_27'!$A$3:$A$493,0)),"")</f>
        <v>Torino</v>
      </c>
      <c r="F324" s="50" t="n">
        <f aca="false">IFERROR(INDEX('Output Utente'!$N$2:$N$492,MATCH(321,'Output Utente'!$Q$2:$Q$492,0)),"")</f>
        <v>4</v>
      </c>
      <c r="G324" s="50" t="n">
        <f aca="false">IFERROR(INDEX('Output Utente'!$O$2:$O$492,MATCH(321,'Output Utente'!$Q$2:$Q$492,0)),"")</f>
        <v>10</v>
      </c>
      <c r="H324" s="7" t="str">
        <f aca="false">IFERROR(INDEX('Output Utente'!$P$2:$P$492,MATCH(321,'Output Utente'!$Q$2:$Q$492,0)),"")</f>
        <v>Scommessa/Riserva</v>
      </c>
      <c r="I324" s="50" t="n">
        <f aca="false">IFERROR(INDEX('Output Utente'!$F$2:$F$492,MATCH(321,'Output Utente'!$Q$2:$Q$492,0)),"")</f>
        <v>5</v>
      </c>
      <c r="J324" s="50" t="n">
        <f aca="false">IFERROR(INDEX('Output Utente'!$G$2:$G$492,MATCH(321,'Output Utente'!$Q$2:$Q$492,0)),"")</f>
        <v>4</v>
      </c>
      <c r="K324" s="50" t="n">
        <f aca="false">IFERROR(INDEX('Output Utente'!$H$2:$H$492,MATCH(321,'Output Utente'!$Q$2:$Q$492,0)),"")</f>
        <v>6</v>
      </c>
      <c r="L324" s="7" t="str">
        <f aca="false">IFERROR(INDEX('Output Utente'!$E$2:$E$492,MATCH(321,'Output Utente'!$Q$2:$Q$492,0)),"")</f>
        <v>NO</v>
      </c>
      <c r="M324" s="7" t="str">
        <f aca="false">IFERROR(INDEX('Output Utente'!$U$2:$U$492,MATCH(321,'Output Utente'!$Q$2:$Q$492,0)),"")</f>
        <v>OK</v>
      </c>
      <c r="N324" s="7" t="str">
        <f aca="false">IFERROR(INDEX('Output Utente'!$AE$2:$AE$492,MATCH(321,'Output Utente'!$Q$2:$Q$492,0)),"")</f>
        <v>🟡 Attesa rischiosa</v>
      </c>
    </row>
    <row r="325" customFormat="false" ht="15" hidden="false" customHeight="true" outlineLevel="0" collapsed="false">
      <c r="A325" s="49" t="n">
        <v>322</v>
      </c>
      <c r="B325" s="7" t="n">
        <f aca="false">IFERROR(INDEX('Output Utente'!$A$2:$A$492,MATCH(322,'Output Utente'!$Q$2:$Q$492,0)),"")</f>
        <v>6503</v>
      </c>
      <c r="C325" s="7" t="str">
        <f aca="false">IFERROR(INDEX('Output Utente'!$B$2:$B$492,MATCH(322,'Output Utente'!$Q$2:$Q$492,0)),"")</f>
        <v>C</v>
      </c>
      <c r="D325" s="7" t="str">
        <f aca="false">IFERROR(INDEX('Output Utente'!$C$2:$C$492,MATCH(322,'Output Utente'!$Q$2:$Q$492,0)),"")</f>
        <v>Stankovic A.</v>
      </c>
      <c r="E325" s="7" t="str">
        <f aca="false">IFERROR(INDEX('Input Giocatori 2026_27'!$D$3:$D$493,MATCH($B325,'Input Giocatori 2026_27'!$A$3:$A$493,0)),"")</f>
        <v>Inter</v>
      </c>
      <c r="F325" s="50" t="n">
        <f aca="false">IFERROR(INDEX('Output Utente'!$N$2:$N$492,MATCH(322,'Output Utente'!$Q$2:$Q$492,0)),"")</f>
        <v>3</v>
      </c>
      <c r="G325" s="50" t="n">
        <f aca="false">IFERROR(INDEX('Output Utente'!$O$2:$O$492,MATCH(322,'Output Utente'!$Q$2:$Q$492,0)),"")</f>
        <v>10</v>
      </c>
      <c r="H325" s="7" t="str">
        <f aca="false">IFERROR(INDEX('Output Utente'!$P$2:$P$492,MATCH(322,'Output Utente'!$Q$2:$Q$492,0)),"")</f>
        <v>Scommessa/Riserva</v>
      </c>
      <c r="I325" s="50" t="n">
        <f aca="false">IFERROR(INDEX('Output Utente'!$F$2:$F$492,MATCH(322,'Output Utente'!$Q$2:$Q$492,0)),"")</f>
        <v>5</v>
      </c>
      <c r="J325" s="50" t="n">
        <f aca="false">IFERROR(INDEX('Output Utente'!$G$2:$G$492,MATCH(322,'Output Utente'!$Q$2:$Q$492,0)),"")</f>
        <v>4</v>
      </c>
      <c r="K325" s="50" t="n">
        <f aca="false">IFERROR(INDEX('Output Utente'!$H$2:$H$492,MATCH(322,'Output Utente'!$Q$2:$Q$492,0)),"")</f>
        <v>6</v>
      </c>
      <c r="L325" s="7" t="str">
        <f aca="false">IFERROR(INDEX('Output Utente'!$E$2:$E$492,MATCH(322,'Output Utente'!$Q$2:$Q$492,0)),"")</f>
        <v>NO</v>
      </c>
      <c r="M325" s="7" t="str">
        <f aca="false">IFERROR(INDEX('Output Utente'!$U$2:$U$492,MATCH(322,'Output Utente'!$Q$2:$Q$492,0)),"")</f>
        <v>OK</v>
      </c>
      <c r="N325" s="7" t="str">
        <f aca="false">IFERROR(INDEX('Output Utente'!$AE$2:$AE$492,MATCH(322,'Output Utente'!$Q$2:$Q$492,0)),"")</f>
        <v>🟡 Attesa rischiosa</v>
      </c>
    </row>
    <row r="326" customFormat="false" ht="15" hidden="false" customHeight="true" outlineLevel="0" collapsed="false">
      <c r="A326" s="49" t="n">
        <v>323</v>
      </c>
      <c r="B326" s="7" t="n">
        <f aca="false">IFERROR(INDEX('Output Utente'!$A$2:$A$492,MATCH(323,'Output Utente'!$Q$2:$Q$492,0)),"")</f>
        <v>313</v>
      </c>
      <c r="C326" s="7" t="str">
        <f aca="false">IFERROR(INDEX('Output Utente'!$B$2:$B$492,MATCH(323,'Output Utente'!$Q$2:$Q$492,0)),"")</f>
        <v>A</v>
      </c>
      <c r="D326" s="7" t="str">
        <f aca="false">IFERROR(INDEX('Output Utente'!$C$2:$C$492,MATCH(323,'Output Utente'!$Q$2:$Q$492,0)),"")</f>
        <v>Morata</v>
      </c>
      <c r="E326" s="7" t="str">
        <f aca="false">IFERROR(INDEX('Input Giocatori 2026_27'!$D$3:$D$493,MATCH($B326,'Input Giocatori 2026_27'!$A$3:$A$493,0)),"")</f>
        <v>Como</v>
      </c>
      <c r="F326" s="50" t="n">
        <f aca="false">IFERROR(INDEX('Output Utente'!$N$2:$N$492,MATCH(323,'Output Utente'!$Q$2:$Q$492,0)),"")</f>
        <v>4</v>
      </c>
      <c r="G326" s="50" t="n">
        <f aca="false">IFERROR(INDEX('Output Utente'!$O$2:$O$492,MATCH(323,'Output Utente'!$Q$2:$Q$492,0)),"")</f>
        <v>10</v>
      </c>
      <c r="H326" s="7" t="str">
        <f aca="false">IFERROR(INDEX('Output Utente'!$P$2:$P$492,MATCH(323,'Output Utente'!$Q$2:$Q$492,0)),"")</f>
        <v>Scommessa/Riserva</v>
      </c>
      <c r="I326" s="50" t="n">
        <f aca="false">IFERROR(INDEX('Output Utente'!$F$2:$F$492,MATCH(323,'Output Utente'!$Q$2:$Q$492,0)),"")</f>
        <v>9</v>
      </c>
      <c r="J326" s="50" t="n">
        <f aca="false">IFERROR(INDEX('Output Utente'!$G$2:$G$492,MATCH(323,'Output Utente'!$Q$2:$Q$492,0)),"")</f>
        <v>5</v>
      </c>
      <c r="K326" s="50" t="n">
        <f aca="false">IFERROR(INDEX('Output Utente'!$H$2:$H$492,MATCH(323,'Output Utente'!$Q$2:$Q$492,0)),"")</f>
        <v>10</v>
      </c>
      <c r="L326" s="7" t="str">
        <f aca="false">IFERROR(INDEX('Output Utente'!$E$2:$E$492,MATCH(323,'Output Utente'!$Q$2:$Q$492,0)),"")</f>
        <v>NO</v>
      </c>
      <c r="M326" s="7" t="str">
        <f aca="false">IFERROR(INDEX('Output Utente'!$U$2:$U$492,MATCH(323,'Output Utente'!$Q$2:$Q$492,0)),"")</f>
        <v>OK</v>
      </c>
      <c r="N326" s="7" t="str">
        <f aca="false">IFERROR(INDEX('Output Utente'!$AE$2:$AE$492,MATCH(323,'Output Utente'!$Q$2:$Q$492,0)),"")</f>
        <v>🔴 Non aspettare</v>
      </c>
    </row>
    <row r="327" customFormat="false" ht="15" hidden="false" customHeight="true" outlineLevel="0" collapsed="false">
      <c r="A327" s="49" t="n">
        <v>324</v>
      </c>
      <c r="B327" s="7" t="n">
        <f aca="false">IFERROR(INDEX('Output Utente'!$A$2:$A$492,MATCH(324,'Output Utente'!$Q$2:$Q$492,0)),"")</f>
        <v>7162</v>
      </c>
      <c r="C327" s="7" t="str">
        <f aca="false">IFERROR(INDEX('Output Utente'!$B$2:$B$492,MATCH(324,'Output Utente'!$Q$2:$Q$492,0)),"")</f>
        <v>A</v>
      </c>
      <c r="D327" s="7" t="str">
        <f aca="false">IFERROR(INDEX('Output Utente'!$C$2:$C$492,MATCH(324,'Output Utente'!$Q$2:$Q$492,0)),"")</f>
        <v>Giovane</v>
      </c>
      <c r="E327" s="7" t="str">
        <f aca="false">IFERROR(INDEX('Input Giocatori 2026_27'!$D$3:$D$493,MATCH($B327,'Input Giocatori 2026_27'!$A$3:$A$493,0)),"")</f>
        <v>Napoli</v>
      </c>
      <c r="F327" s="50" t="n">
        <f aca="false">IFERROR(INDEX('Output Utente'!$N$2:$N$492,MATCH(324,'Output Utente'!$Q$2:$Q$492,0)),"")</f>
        <v>4</v>
      </c>
      <c r="G327" s="50" t="n">
        <f aca="false">IFERROR(INDEX('Output Utente'!$O$2:$O$492,MATCH(324,'Output Utente'!$Q$2:$Q$492,0)),"")</f>
        <v>10</v>
      </c>
      <c r="H327" s="7" t="str">
        <f aca="false">IFERROR(INDEX('Output Utente'!$P$2:$P$492,MATCH(324,'Output Utente'!$Q$2:$Q$492,0)),"")</f>
        <v>Scommessa/Riserva</v>
      </c>
      <c r="I327" s="50" t="n">
        <f aca="false">IFERROR(INDEX('Output Utente'!$F$2:$F$492,MATCH(324,'Output Utente'!$Q$2:$Q$492,0)),"")</f>
        <v>9</v>
      </c>
      <c r="J327" s="50" t="n">
        <f aca="false">IFERROR(INDEX('Output Utente'!$G$2:$G$492,MATCH(324,'Output Utente'!$Q$2:$Q$492,0)),"")</f>
        <v>6</v>
      </c>
      <c r="K327" s="50" t="n">
        <f aca="false">IFERROR(INDEX('Output Utente'!$H$2:$H$492,MATCH(324,'Output Utente'!$Q$2:$Q$492,0)),"")</f>
        <v>10</v>
      </c>
      <c r="L327" s="7" t="str">
        <f aca="false">IFERROR(INDEX('Output Utente'!$E$2:$E$492,MATCH(324,'Output Utente'!$Q$2:$Q$492,0)),"")</f>
        <v>NO</v>
      </c>
      <c r="M327" s="7" t="str">
        <f aca="false">IFERROR(INDEX('Output Utente'!$U$2:$U$492,MATCH(324,'Output Utente'!$Q$2:$Q$492,0)),"")</f>
        <v>OK</v>
      </c>
      <c r="N327" s="7" t="str">
        <f aca="false">IFERROR(INDEX('Output Utente'!$AE$2:$AE$492,MATCH(324,'Output Utente'!$Q$2:$Q$492,0)),"")</f>
        <v>🔴 Non aspettare</v>
      </c>
    </row>
    <row r="328" customFormat="false" ht="15" hidden="false" customHeight="true" outlineLevel="0" collapsed="false">
      <c r="A328" s="49" t="n">
        <v>325</v>
      </c>
      <c r="B328" s="7" t="n">
        <f aca="false">IFERROR(INDEX('Output Utente'!$A$2:$A$492,MATCH(325,'Output Utente'!$Q$2:$Q$492,0)),"")</f>
        <v>6822</v>
      </c>
      <c r="C328" s="7" t="str">
        <f aca="false">IFERROR(INDEX('Output Utente'!$B$2:$B$492,MATCH(325,'Output Utente'!$Q$2:$Q$492,0)),"")</f>
        <v>A</v>
      </c>
      <c r="D328" s="7" t="str">
        <f aca="false">IFERROR(INDEX('Output Utente'!$C$2:$C$492,MATCH(325,'Output Utente'!$Q$2:$Q$492,0)),"")</f>
        <v>Ekhator</v>
      </c>
      <c r="E328" s="7" t="str">
        <f aca="false">IFERROR(INDEX('Input Giocatori 2026_27'!$D$3:$D$493,MATCH($B328,'Input Giocatori 2026_27'!$A$3:$A$493,0)),"")</f>
        <v>Juventus</v>
      </c>
      <c r="F328" s="50" t="n">
        <f aca="false">IFERROR(INDEX('Output Utente'!$N$2:$N$492,MATCH(325,'Output Utente'!$Q$2:$Q$492,0)),"")</f>
        <v>3</v>
      </c>
      <c r="G328" s="50" t="n">
        <f aca="false">IFERROR(INDEX('Output Utente'!$O$2:$O$492,MATCH(325,'Output Utente'!$Q$2:$Q$492,0)),"")</f>
        <v>10</v>
      </c>
      <c r="H328" s="7" t="str">
        <f aca="false">IFERROR(INDEX('Output Utente'!$P$2:$P$492,MATCH(325,'Output Utente'!$Q$2:$Q$492,0)),"")</f>
        <v>Scommessa/Riserva</v>
      </c>
      <c r="I328" s="50" t="n">
        <f aca="false">IFERROR(INDEX('Output Utente'!$F$2:$F$492,MATCH(325,'Output Utente'!$Q$2:$Q$492,0)),"")</f>
        <v>9</v>
      </c>
      <c r="J328" s="50" t="n">
        <f aca="false">IFERROR(INDEX('Output Utente'!$G$2:$G$492,MATCH(325,'Output Utente'!$Q$2:$Q$492,0)),"")</f>
        <v>5</v>
      </c>
      <c r="K328" s="50" t="n">
        <f aca="false">IFERROR(INDEX('Output Utente'!$H$2:$H$492,MATCH(325,'Output Utente'!$Q$2:$Q$492,0)),"")</f>
        <v>10</v>
      </c>
      <c r="L328" s="7" t="str">
        <f aca="false">IFERROR(INDEX('Output Utente'!$E$2:$E$492,MATCH(325,'Output Utente'!$Q$2:$Q$492,0)),"")</f>
        <v>NO</v>
      </c>
      <c r="M328" s="7" t="str">
        <f aca="false">IFERROR(INDEX('Output Utente'!$U$2:$U$492,MATCH(325,'Output Utente'!$Q$2:$Q$492,0)),"")</f>
        <v>OK</v>
      </c>
      <c r="N328" s="7" t="str">
        <f aca="false">IFERROR(INDEX('Output Utente'!$AE$2:$AE$492,MATCH(325,'Output Utente'!$Q$2:$Q$492,0)),"")</f>
        <v>🔴 Non aspettare</v>
      </c>
    </row>
    <row r="329" customFormat="false" ht="15" hidden="false" customHeight="true" outlineLevel="0" collapsed="false">
      <c r="A329" s="49" t="n">
        <v>326</v>
      </c>
      <c r="B329" s="7" t="n">
        <f aca="false">IFERROR(INDEX('Output Utente'!$A$2:$A$492,MATCH(326,'Output Utente'!$Q$2:$Q$492,0)),"")</f>
        <v>7120</v>
      </c>
      <c r="C329" s="7" t="str">
        <f aca="false">IFERROR(INDEX('Output Utente'!$B$2:$B$492,MATCH(326,'Output Utente'!$Q$2:$Q$492,0)),"")</f>
        <v>A</v>
      </c>
      <c r="D329" s="7" t="str">
        <f aca="false">IFERROR(INDEX('Output Utente'!$C$2:$C$492,MATCH(326,'Output Utente'!$Q$2:$Q$492,0)),"")</f>
        <v>Lang</v>
      </c>
      <c r="E329" s="7" t="str">
        <f aca="false">IFERROR(INDEX('Input Giocatori 2026_27'!$D$3:$D$493,MATCH($B329,'Input Giocatori 2026_27'!$A$3:$A$493,0)),"")</f>
        <v>Napoli</v>
      </c>
      <c r="F329" s="50" t="n">
        <f aca="false">IFERROR(INDEX('Output Utente'!$N$2:$N$492,MATCH(326,'Output Utente'!$Q$2:$Q$492,0)),"")</f>
        <v>3</v>
      </c>
      <c r="G329" s="50" t="n">
        <f aca="false">IFERROR(INDEX('Output Utente'!$O$2:$O$492,MATCH(326,'Output Utente'!$Q$2:$Q$492,0)),"")</f>
        <v>10</v>
      </c>
      <c r="H329" s="7" t="str">
        <f aca="false">IFERROR(INDEX('Output Utente'!$P$2:$P$492,MATCH(326,'Output Utente'!$Q$2:$Q$492,0)),"")</f>
        <v>Scommessa/Riserva</v>
      </c>
      <c r="I329" s="50" t="n">
        <f aca="false">IFERROR(INDEX('Output Utente'!$F$2:$F$492,MATCH(326,'Output Utente'!$Q$2:$Q$492,0)),"")</f>
        <v>9</v>
      </c>
      <c r="J329" s="50" t="n">
        <f aca="false">IFERROR(INDEX('Output Utente'!$G$2:$G$492,MATCH(326,'Output Utente'!$Q$2:$Q$492,0)),"")</f>
        <v>5</v>
      </c>
      <c r="K329" s="50" t="n">
        <f aca="false">IFERROR(INDEX('Output Utente'!$H$2:$H$492,MATCH(326,'Output Utente'!$Q$2:$Q$492,0)),"")</f>
        <v>10</v>
      </c>
      <c r="L329" s="7" t="str">
        <f aca="false">IFERROR(INDEX('Output Utente'!$E$2:$E$492,MATCH(326,'Output Utente'!$Q$2:$Q$492,0)),"")</f>
        <v>NO</v>
      </c>
      <c r="M329" s="7" t="str">
        <f aca="false">IFERROR(INDEX('Output Utente'!$U$2:$U$492,MATCH(326,'Output Utente'!$Q$2:$Q$492,0)),"")</f>
        <v>OK</v>
      </c>
      <c r="N329" s="7" t="str">
        <f aca="false">IFERROR(INDEX('Output Utente'!$AE$2:$AE$492,MATCH(326,'Output Utente'!$Q$2:$Q$492,0)),"")</f>
        <v>🔴 Non aspettare</v>
      </c>
    </row>
    <row r="330" customFormat="false" ht="15" hidden="false" customHeight="true" outlineLevel="0" collapsed="false">
      <c r="A330" s="49" t="n">
        <v>327</v>
      </c>
      <c r="B330" s="7" t="n">
        <f aca="false">IFERROR(INDEX('Output Utente'!$A$2:$A$492,MATCH(327,'Output Utente'!$Q$2:$Q$492,0)),"")</f>
        <v>6215</v>
      </c>
      <c r="C330" s="7" t="str">
        <f aca="false">IFERROR(INDEX('Output Utente'!$B$2:$B$492,MATCH(327,'Output Utente'!$Q$2:$Q$492,0)),"")</f>
        <v>A</v>
      </c>
      <c r="D330" s="7" t="str">
        <f aca="false">IFERROR(INDEX('Output Utente'!$C$2:$C$492,MATCH(327,'Output Utente'!$Q$2:$Q$492,0)),"")</f>
        <v>Lucca</v>
      </c>
      <c r="E330" s="7" t="str">
        <f aca="false">IFERROR(INDEX('Input Giocatori 2026_27'!$D$3:$D$493,MATCH($B330,'Input Giocatori 2026_27'!$A$3:$A$493,0)),"")</f>
        <v>Napoli</v>
      </c>
      <c r="F330" s="50" t="n">
        <f aca="false">IFERROR(INDEX('Output Utente'!$N$2:$N$492,MATCH(327,'Output Utente'!$Q$2:$Q$492,0)),"")</f>
        <v>3</v>
      </c>
      <c r="G330" s="50" t="n">
        <f aca="false">IFERROR(INDEX('Output Utente'!$O$2:$O$492,MATCH(327,'Output Utente'!$Q$2:$Q$492,0)),"")</f>
        <v>10</v>
      </c>
      <c r="H330" s="7" t="str">
        <f aca="false">IFERROR(INDEX('Output Utente'!$P$2:$P$492,MATCH(327,'Output Utente'!$Q$2:$Q$492,0)),"")</f>
        <v>Scommessa/Riserva</v>
      </c>
      <c r="I330" s="50" t="n">
        <f aca="false">IFERROR(INDEX('Output Utente'!$F$2:$F$492,MATCH(327,'Output Utente'!$Q$2:$Q$492,0)),"")</f>
        <v>9</v>
      </c>
      <c r="J330" s="50" t="n">
        <f aca="false">IFERROR(INDEX('Output Utente'!$G$2:$G$492,MATCH(327,'Output Utente'!$Q$2:$Q$492,0)),"")</f>
        <v>5</v>
      </c>
      <c r="K330" s="50" t="n">
        <f aca="false">IFERROR(INDEX('Output Utente'!$H$2:$H$492,MATCH(327,'Output Utente'!$Q$2:$Q$492,0)),"")</f>
        <v>10</v>
      </c>
      <c r="L330" s="7" t="str">
        <f aca="false">IFERROR(INDEX('Output Utente'!$E$2:$E$492,MATCH(327,'Output Utente'!$Q$2:$Q$492,0)),"")</f>
        <v>NO</v>
      </c>
      <c r="M330" s="7" t="str">
        <f aca="false">IFERROR(INDEX('Output Utente'!$U$2:$U$492,MATCH(327,'Output Utente'!$Q$2:$Q$492,0)),"")</f>
        <v>OK</v>
      </c>
      <c r="N330" s="7" t="str">
        <f aca="false">IFERROR(INDEX('Output Utente'!$AE$2:$AE$492,MATCH(327,'Output Utente'!$Q$2:$Q$492,0)),"")</f>
        <v>🔴 Non aspettare</v>
      </c>
    </row>
    <row r="331" customFormat="false" ht="15" hidden="false" customHeight="true" outlineLevel="0" collapsed="false">
      <c r="A331" s="49" t="n">
        <v>328</v>
      </c>
      <c r="B331" s="7" t="n">
        <f aca="false">IFERROR(INDEX('Output Utente'!$A$2:$A$492,MATCH(328,'Output Utente'!$Q$2:$Q$492,0)),"")</f>
        <v>4461</v>
      </c>
      <c r="C331" s="7" t="str">
        <f aca="false">IFERROR(INDEX('Output Utente'!$B$2:$B$492,MATCH(328,'Output Utente'!$Q$2:$Q$492,0)),"")</f>
        <v>D</v>
      </c>
      <c r="D331" s="7" t="str">
        <f aca="false">IFERROR(INDEX('Output Utente'!$C$2:$C$492,MATCH(328,'Output Utente'!$Q$2:$Q$492,0)),"")</f>
        <v>Zappa</v>
      </c>
      <c r="E331" s="7" t="str">
        <f aca="false">IFERROR(INDEX('Input Giocatori 2026_27'!$D$3:$D$493,MATCH($B331,'Input Giocatori 2026_27'!$A$3:$A$493,0)),"")</f>
        <v>Cagliari</v>
      </c>
      <c r="F331" s="50" t="n">
        <f aca="false">IFERROR(INDEX('Output Utente'!$N$2:$N$492,MATCH(328,'Output Utente'!$Q$2:$Q$492,0)),"")</f>
        <v>4</v>
      </c>
      <c r="G331" s="50" t="n">
        <f aca="false">IFERROR(INDEX('Output Utente'!$O$2:$O$492,MATCH(328,'Output Utente'!$Q$2:$Q$492,0)),"")</f>
        <v>9</v>
      </c>
      <c r="H331" s="7" t="str">
        <f aca="false">IFERROR(INDEX('Output Utente'!$P$2:$P$492,MATCH(328,'Output Utente'!$Q$2:$Q$492,0)),"")</f>
        <v>Nella Media</v>
      </c>
      <c r="I331" s="50" t="n">
        <f aca="false">IFERROR(INDEX('Output Utente'!$F$2:$F$492,MATCH(328,'Output Utente'!$Q$2:$Q$492,0)),"")</f>
        <v>4</v>
      </c>
      <c r="J331" s="50" t="n">
        <f aca="false">IFERROR(INDEX('Output Utente'!$G$2:$G$492,MATCH(328,'Output Utente'!$Q$2:$Q$492,0)),"")</f>
        <v>3</v>
      </c>
      <c r="K331" s="50" t="n">
        <f aca="false">IFERROR(INDEX('Output Utente'!$H$2:$H$492,MATCH(328,'Output Utente'!$Q$2:$Q$492,0)),"")</f>
        <v>5</v>
      </c>
      <c r="L331" s="7" t="str">
        <f aca="false">IFERROR(INDEX('Output Utente'!$E$2:$E$492,MATCH(328,'Output Utente'!$Q$2:$Q$492,0)),"")</f>
        <v>NO</v>
      </c>
      <c r="M331" s="7" t="str">
        <f aca="false">IFERROR(INDEX('Output Utente'!$U$2:$U$492,MATCH(328,'Output Utente'!$Q$2:$Q$492,0)),"")</f>
        <v>OK</v>
      </c>
      <c r="N331" s="7" t="str">
        <f aca="false">IFERROR(INDEX('Output Utente'!$AE$2:$AE$492,MATCH(328,'Output Utente'!$Q$2:$Q$492,0)),"")</f>
        <v>🟡 Attesa rischiosa</v>
      </c>
    </row>
    <row r="332" customFormat="false" ht="15" hidden="false" customHeight="true" outlineLevel="0" collapsed="false">
      <c r="A332" s="49" t="n">
        <v>329</v>
      </c>
      <c r="B332" s="7" t="n">
        <f aca="false">IFERROR(INDEX('Output Utente'!$A$2:$A$492,MATCH(329,'Output Utente'!$Q$2:$Q$492,0)),"")</f>
        <v>7537</v>
      </c>
      <c r="C332" s="7" t="str">
        <f aca="false">IFERROR(INDEX('Output Utente'!$B$2:$B$492,MATCH(329,'Output Utente'!$Q$2:$Q$492,0)),"")</f>
        <v>D</v>
      </c>
      <c r="D332" s="7" t="str">
        <f aca="false">IFERROR(INDEX('Output Utente'!$C$2:$C$492,MATCH(329,'Output Utente'!$Q$2:$Q$492,0)),"")</f>
        <v>Mitaj</v>
      </c>
      <c r="E332" s="7" t="str">
        <f aca="false">IFERROR(INDEX('Input Giocatori 2026_27'!$D$3:$D$493,MATCH($B332,'Input Giocatori 2026_27'!$A$3:$A$493,0)),"")</f>
        <v>Genoa</v>
      </c>
      <c r="F332" s="50" t="n">
        <f aca="false">IFERROR(INDEX('Output Utente'!$N$2:$N$492,MATCH(329,'Output Utente'!$Q$2:$Q$492,0)),"")</f>
        <v>4</v>
      </c>
      <c r="G332" s="50" t="n">
        <f aca="false">IFERROR(INDEX('Output Utente'!$O$2:$O$492,MATCH(329,'Output Utente'!$Q$2:$Q$492,0)),"")</f>
        <v>9</v>
      </c>
      <c r="H332" s="7" t="str">
        <f aca="false">IFERROR(INDEX('Output Utente'!$P$2:$P$492,MATCH(329,'Output Utente'!$Q$2:$Q$492,0)),"")</f>
        <v>Nella Media</v>
      </c>
      <c r="I332" s="50" t="n">
        <f aca="false">IFERROR(INDEX('Output Utente'!$F$2:$F$492,MATCH(329,'Output Utente'!$Q$2:$Q$492,0)),"")</f>
        <v>4</v>
      </c>
      <c r="J332" s="50" t="n">
        <f aca="false">IFERROR(INDEX('Output Utente'!$G$2:$G$492,MATCH(329,'Output Utente'!$Q$2:$Q$492,0)),"")</f>
        <v>3</v>
      </c>
      <c r="K332" s="50" t="n">
        <f aca="false">IFERROR(INDEX('Output Utente'!$H$2:$H$492,MATCH(329,'Output Utente'!$Q$2:$Q$492,0)),"")</f>
        <v>5</v>
      </c>
      <c r="L332" s="7" t="str">
        <f aca="false">IFERROR(INDEX('Output Utente'!$E$2:$E$492,MATCH(329,'Output Utente'!$Q$2:$Q$492,0)),"")</f>
        <v>NO</v>
      </c>
      <c r="M332" s="7" t="str">
        <f aca="false">IFERROR(INDEX('Output Utente'!$U$2:$U$492,MATCH(329,'Output Utente'!$Q$2:$Q$492,0)),"")</f>
        <v>OK</v>
      </c>
      <c r="N332" s="7" t="str">
        <f aca="false">IFERROR(INDEX('Output Utente'!$AE$2:$AE$492,MATCH(329,'Output Utente'!$Q$2:$Q$492,0)),"")</f>
        <v>🟡 Attesa rischiosa</v>
      </c>
    </row>
    <row r="333" customFormat="false" ht="15" hidden="false" customHeight="true" outlineLevel="0" collapsed="false">
      <c r="A333" s="49" t="n">
        <v>330</v>
      </c>
      <c r="B333" s="7" t="n">
        <f aca="false">IFERROR(INDEX('Output Utente'!$A$2:$A$492,MATCH(330,'Output Utente'!$Q$2:$Q$492,0)),"")</f>
        <v>4263</v>
      </c>
      <c r="C333" s="7" t="str">
        <f aca="false">IFERROR(INDEX('Output Utente'!$B$2:$B$492,MATCH(330,'Output Utente'!$Q$2:$Q$492,0)),"")</f>
        <v>D</v>
      </c>
      <c r="D333" s="7" t="str">
        <f aca="false">IFERROR(INDEX('Output Utente'!$C$2:$C$492,MATCH(330,'Output Utente'!$Q$2:$Q$492,0)),"")</f>
        <v>Kabasele</v>
      </c>
      <c r="E333" s="7" t="str">
        <f aca="false">IFERROR(INDEX('Input Giocatori 2026_27'!$D$3:$D$493,MATCH($B333,'Input Giocatori 2026_27'!$A$3:$A$493,0)),"")</f>
        <v>Udinese</v>
      </c>
      <c r="F333" s="50" t="n">
        <f aca="false">IFERROR(INDEX('Output Utente'!$N$2:$N$492,MATCH(330,'Output Utente'!$Q$2:$Q$492,0)),"")</f>
        <v>4</v>
      </c>
      <c r="G333" s="50" t="n">
        <f aca="false">IFERROR(INDEX('Output Utente'!$O$2:$O$492,MATCH(330,'Output Utente'!$Q$2:$Q$492,0)),"")</f>
        <v>9</v>
      </c>
      <c r="H333" s="7" t="str">
        <f aca="false">IFERROR(INDEX('Output Utente'!$P$2:$P$492,MATCH(330,'Output Utente'!$Q$2:$Q$492,0)),"")</f>
        <v>Nella Media</v>
      </c>
      <c r="I333" s="50" t="n">
        <f aca="false">IFERROR(INDEX('Output Utente'!$F$2:$F$492,MATCH(330,'Output Utente'!$Q$2:$Q$492,0)),"")</f>
        <v>4</v>
      </c>
      <c r="J333" s="50" t="n">
        <f aca="false">IFERROR(INDEX('Output Utente'!$G$2:$G$492,MATCH(330,'Output Utente'!$Q$2:$Q$492,0)),"")</f>
        <v>3</v>
      </c>
      <c r="K333" s="50" t="n">
        <f aca="false">IFERROR(INDEX('Output Utente'!$H$2:$H$492,MATCH(330,'Output Utente'!$Q$2:$Q$492,0)),"")</f>
        <v>5</v>
      </c>
      <c r="L333" s="7" t="str">
        <f aca="false">IFERROR(INDEX('Output Utente'!$E$2:$E$492,MATCH(330,'Output Utente'!$Q$2:$Q$492,0)),"")</f>
        <v>NO</v>
      </c>
      <c r="M333" s="7" t="str">
        <f aca="false">IFERROR(INDEX('Output Utente'!$U$2:$U$492,MATCH(330,'Output Utente'!$Q$2:$Q$492,0)),"")</f>
        <v>OK</v>
      </c>
      <c r="N333" s="7" t="str">
        <f aca="false">IFERROR(INDEX('Output Utente'!$AE$2:$AE$492,MATCH(330,'Output Utente'!$Q$2:$Q$492,0)),"")</f>
        <v>🟡 Attesa rischiosa</v>
      </c>
    </row>
    <row r="334" customFormat="false" ht="15" hidden="false" customHeight="true" outlineLevel="0" collapsed="false">
      <c r="A334" s="49" t="n">
        <v>331</v>
      </c>
      <c r="B334" s="7" t="n">
        <f aca="false">IFERROR(INDEX('Output Utente'!$A$2:$A$492,MATCH(331,'Output Utente'!$Q$2:$Q$492,0)),"")</f>
        <v>5273</v>
      </c>
      <c r="C334" s="7" t="str">
        <f aca="false">IFERROR(INDEX('Output Utente'!$B$2:$B$492,MATCH(331,'Output Utente'!$Q$2:$Q$492,0)),"")</f>
        <v>D</v>
      </c>
      <c r="D334" s="7" t="str">
        <f aca="false">IFERROR(INDEX('Output Utente'!$C$2:$C$492,MATCH(331,'Output Utente'!$Q$2:$Q$492,0)),"")</f>
        <v>Estupinan</v>
      </c>
      <c r="E334" s="7" t="str">
        <f aca="false">IFERROR(INDEX('Input Giocatori 2026_27'!$D$3:$D$493,MATCH($B334,'Input Giocatori 2026_27'!$A$3:$A$493,0)),"")</f>
        <v>Milan</v>
      </c>
      <c r="F334" s="50" t="n">
        <f aca="false">IFERROR(INDEX('Output Utente'!$N$2:$N$492,MATCH(331,'Output Utente'!$Q$2:$Q$492,0)),"")</f>
        <v>3</v>
      </c>
      <c r="G334" s="50" t="n">
        <f aca="false">IFERROR(INDEX('Output Utente'!$O$2:$O$492,MATCH(331,'Output Utente'!$Q$2:$Q$492,0)),"")</f>
        <v>9</v>
      </c>
      <c r="H334" s="7" t="str">
        <f aca="false">IFERROR(INDEX('Output Utente'!$P$2:$P$492,MATCH(331,'Output Utente'!$Q$2:$Q$492,0)),"")</f>
        <v>Nella Media</v>
      </c>
      <c r="I334" s="50" t="n">
        <f aca="false">IFERROR(INDEX('Output Utente'!$F$2:$F$492,MATCH(331,'Output Utente'!$Q$2:$Q$492,0)),"")</f>
        <v>4</v>
      </c>
      <c r="J334" s="50" t="n">
        <f aca="false">IFERROR(INDEX('Output Utente'!$G$2:$G$492,MATCH(331,'Output Utente'!$Q$2:$Q$492,0)),"")</f>
        <v>3</v>
      </c>
      <c r="K334" s="50" t="n">
        <f aca="false">IFERROR(INDEX('Output Utente'!$H$2:$H$492,MATCH(331,'Output Utente'!$Q$2:$Q$492,0)),"")</f>
        <v>5</v>
      </c>
      <c r="L334" s="7" t="str">
        <f aca="false">IFERROR(INDEX('Output Utente'!$E$2:$E$492,MATCH(331,'Output Utente'!$Q$2:$Q$492,0)),"")</f>
        <v>NO</v>
      </c>
      <c r="M334" s="7" t="str">
        <f aca="false">IFERROR(INDEX('Output Utente'!$U$2:$U$492,MATCH(331,'Output Utente'!$Q$2:$Q$492,0)),"")</f>
        <v>OK</v>
      </c>
      <c r="N334" s="7" t="str">
        <f aca="false">IFERROR(INDEX('Output Utente'!$AE$2:$AE$492,MATCH(331,'Output Utente'!$Q$2:$Q$492,0)),"")</f>
        <v>🟡 Attesa rischiosa</v>
      </c>
    </row>
    <row r="335" customFormat="false" ht="15" hidden="false" customHeight="true" outlineLevel="0" collapsed="false">
      <c r="A335" s="49" t="n">
        <v>332</v>
      </c>
      <c r="B335" s="7" t="n">
        <f aca="false">IFERROR(INDEX('Output Utente'!$A$2:$A$492,MATCH(332,'Output Utente'!$Q$2:$Q$492,0)),"")</f>
        <v>7238</v>
      </c>
      <c r="C335" s="7" t="str">
        <f aca="false">IFERROR(INDEX('Output Utente'!$B$2:$B$492,MATCH(332,'Output Utente'!$Q$2:$Q$492,0)),"")</f>
        <v>D</v>
      </c>
      <c r="D335" s="7" t="str">
        <f aca="false">IFERROR(INDEX('Output Utente'!$C$2:$C$492,MATCH(332,'Output Utente'!$Q$2:$Q$492,0)),"")</f>
        <v>Kouadio</v>
      </c>
      <c r="E335" s="7" t="str">
        <f aca="false">IFERROR(INDEX('Input Giocatori 2026_27'!$D$3:$D$493,MATCH($B335,'Input Giocatori 2026_27'!$A$3:$A$493,0)),"")</f>
        <v>Monza</v>
      </c>
      <c r="F335" s="50" t="n">
        <f aca="false">IFERROR(INDEX('Output Utente'!$N$2:$N$492,MATCH(332,'Output Utente'!$Q$2:$Q$492,0)),"")</f>
        <v>3</v>
      </c>
      <c r="G335" s="50" t="n">
        <f aca="false">IFERROR(INDEX('Output Utente'!$O$2:$O$492,MATCH(332,'Output Utente'!$Q$2:$Q$492,0)),"")</f>
        <v>9</v>
      </c>
      <c r="H335" s="7" t="str">
        <f aca="false">IFERROR(INDEX('Output Utente'!$P$2:$P$492,MATCH(332,'Output Utente'!$Q$2:$Q$492,0)),"")</f>
        <v>Nella Media</v>
      </c>
      <c r="I335" s="50" t="n">
        <f aca="false">IFERROR(INDEX('Output Utente'!$F$2:$F$492,MATCH(332,'Output Utente'!$Q$2:$Q$492,0)),"")</f>
        <v>4</v>
      </c>
      <c r="J335" s="50" t="n">
        <f aca="false">IFERROR(INDEX('Output Utente'!$G$2:$G$492,MATCH(332,'Output Utente'!$Q$2:$Q$492,0)),"")</f>
        <v>3</v>
      </c>
      <c r="K335" s="50" t="n">
        <f aca="false">IFERROR(INDEX('Output Utente'!$H$2:$H$492,MATCH(332,'Output Utente'!$Q$2:$Q$492,0)),"")</f>
        <v>5</v>
      </c>
      <c r="L335" s="7" t="str">
        <f aca="false">IFERROR(INDEX('Output Utente'!$E$2:$E$492,MATCH(332,'Output Utente'!$Q$2:$Q$492,0)),"")</f>
        <v>NO</v>
      </c>
      <c r="M335" s="7" t="str">
        <f aca="false">IFERROR(INDEX('Output Utente'!$U$2:$U$492,MATCH(332,'Output Utente'!$Q$2:$Q$492,0)),"")</f>
        <v>OK</v>
      </c>
      <c r="N335" s="7" t="str">
        <f aca="false">IFERROR(INDEX('Output Utente'!$AE$2:$AE$492,MATCH(332,'Output Utente'!$Q$2:$Q$492,0)),"")</f>
        <v>🟡 Attesa rischiosa</v>
      </c>
    </row>
    <row r="336" customFormat="false" ht="15" hidden="false" customHeight="true" outlineLevel="0" collapsed="false">
      <c r="A336" s="49" t="n">
        <v>333</v>
      </c>
      <c r="B336" s="7" t="n">
        <f aca="false">IFERROR(INDEX('Output Utente'!$A$2:$A$492,MATCH(333,'Output Utente'!$Q$2:$Q$492,0)),"")</f>
        <v>4925</v>
      </c>
      <c r="C336" s="7" t="str">
        <f aca="false">IFERROR(INDEX('Output Utente'!$B$2:$B$492,MATCH(333,'Output Utente'!$Q$2:$Q$492,0)),"")</f>
        <v>D</v>
      </c>
      <c r="D336" s="7" t="str">
        <f aca="false">IFERROR(INDEX('Output Utente'!$C$2:$C$492,MATCH(333,'Output Utente'!$Q$2:$Q$492,0)),"")</f>
        <v>Carboni A.</v>
      </c>
      <c r="E336" s="7" t="str">
        <f aca="false">IFERROR(INDEX('Input Giocatori 2026_27'!$D$3:$D$493,MATCH($B336,'Input Giocatori 2026_27'!$A$3:$A$493,0)),"")</f>
        <v>Monza</v>
      </c>
      <c r="F336" s="50" t="n">
        <f aca="false">IFERROR(INDEX('Output Utente'!$N$2:$N$492,MATCH(333,'Output Utente'!$Q$2:$Q$492,0)),"")</f>
        <v>3</v>
      </c>
      <c r="G336" s="50" t="n">
        <f aca="false">IFERROR(INDEX('Output Utente'!$O$2:$O$492,MATCH(333,'Output Utente'!$Q$2:$Q$492,0)),"")</f>
        <v>9</v>
      </c>
      <c r="H336" s="7" t="str">
        <f aca="false">IFERROR(INDEX('Output Utente'!$P$2:$P$492,MATCH(333,'Output Utente'!$Q$2:$Q$492,0)),"")</f>
        <v>Nella Media</v>
      </c>
      <c r="I336" s="50" t="n">
        <f aca="false">IFERROR(INDEX('Output Utente'!$F$2:$F$492,MATCH(333,'Output Utente'!$Q$2:$Q$492,0)),"")</f>
        <v>4</v>
      </c>
      <c r="J336" s="50" t="n">
        <f aca="false">IFERROR(INDEX('Output Utente'!$G$2:$G$492,MATCH(333,'Output Utente'!$Q$2:$Q$492,0)),"")</f>
        <v>3</v>
      </c>
      <c r="K336" s="50" t="n">
        <f aca="false">IFERROR(INDEX('Output Utente'!$H$2:$H$492,MATCH(333,'Output Utente'!$Q$2:$Q$492,0)),"")</f>
        <v>5</v>
      </c>
      <c r="L336" s="7" t="str">
        <f aca="false">IFERROR(INDEX('Output Utente'!$E$2:$E$492,MATCH(333,'Output Utente'!$Q$2:$Q$492,0)),"")</f>
        <v>NO</v>
      </c>
      <c r="M336" s="7" t="str">
        <f aca="false">IFERROR(INDEX('Output Utente'!$U$2:$U$492,MATCH(333,'Output Utente'!$Q$2:$Q$492,0)),"")</f>
        <v>OK</v>
      </c>
      <c r="N336" s="7" t="str">
        <f aca="false">IFERROR(INDEX('Output Utente'!$AE$2:$AE$492,MATCH(333,'Output Utente'!$Q$2:$Q$492,0)),"")</f>
        <v>🟡 Attesa rischiosa</v>
      </c>
    </row>
    <row r="337" customFormat="false" ht="15" hidden="false" customHeight="true" outlineLevel="0" collapsed="false">
      <c r="A337" s="49" t="n">
        <v>334</v>
      </c>
      <c r="B337" s="7" t="n">
        <f aca="false">IFERROR(INDEX('Output Utente'!$A$2:$A$492,MATCH(334,'Output Utente'!$Q$2:$Q$492,0)),"")</f>
        <v>6506</v>
      </c>
      <c r="C337" s="7" t="str">
        <f aca="false">IFERROR(INDEX('Output Utente'!$B$2:$B$492,MATCH(334,'Output Utente'!$Q$2:$Q$492,0)),"")</f>
        <v>C</v>
      </c>
      <c r="D337" s="7" t="str">
        <f aca="false">IFERROR(INDEX('Output Utente'!$C$2:$C$492,MATCH(334,'Output Utente'!$Q$2:$Q$492,0)),"")</f>
        <v>Fini </v>
      </c>
      <c r="E337" s="7" t="str">
        <f aca="false">IFERROR(INDEX('Input Giocatori 2026_27'!$D$3:$D$493,MATCH($B337,'Input Giocatori 2026_27'!$A$3:$A$493,0)),"")</f>
        <v>Frosinone</v>
      </c>
      <c r="F337" s="50" t="n">
        <f aca="false">IFERROR(INDEX('Output Utente'!$N$2:$N$492,MATCH(334,'Output Utente'!$Q$2:$Q$492,0)),"")</f>
        <v>3</v>
      </c>
      <c r="G337" s="50" t="n">
        <f aca="false">IFERROR(INDEX('Output Utente'!$O$2:$O$492,MATCH(334,'Output Utente'!$Q$2:$Q$492,0)),"")</f>
        <v>9</v>
      </c>
      <c r="H337" s="7" t="str">
        <f aca="false">IFERROR(INDEX('Output Utente'!$P$2:$P$492,MATCH(334,'Output Utente'!$Q$2:$Q$492,0)),"")</f>
        <v>Scommessa/Riserva</v>
      </c>
      <c r="I337" s="50" t="n">
        <f aca="false">IFERROR(INDEX('Output Utente'!$F$2:$F$492,MATCH(334,'Output Utente'!$Q$2:$Q$492,0)),"")</f>
        <v>4</v>
      </c>
      <c r="J337" s="50" t="n">
        <f aca="false">IFERROR(INDEX('Output Utente'!$G$2:$G$492,MATCH(334,'Output Utente'!$Q$2:$Q$492,0)),"")</f>
        <v>3</v>
      </c>
      <c r="K337" s="50" t="n">
        <f aca="false">IFERROR(INDEX('Output Utente'!$H$2:$H$492,MATCH(334,'Output Utente'!$Q$2:$Q$492,0)),"")</f>
        <v>5</v>
      </c>
      <c r="L337" s="7" t="str">
        <f aca="false">IFERROR(INDEX('Output Utente'!$E$2:$E$492,MATCH(334,'Output Utente'!$Q$2:$Q$492,0)),"")</f>
        <v>NO</v>
      </c>
      <c r="M337" s="7" t="str">
        <f aca="false">IFERROR(INDEX('Output Utente'!$U$2:$U$492,MATCH(334,'Output Utente'!$Q$2:$Q$492,0)),"")</f>
        <v>OK</v>
      </c>
      <c r="N337" s="7" t="str">
        <f aca="false">IFERROR(INDEX('Output Utente'!$AE$2:$AE$492,MATCH(334,'Output Utente'!$Q$2:$Q$492,0)),"")</f>
        <v>🟡 Attesa rischiosa</v>
      </c>
    </row>
    <row r="338" customFormat="false" ht="15" hidden="false" customHeight="true" outlineLevel="0" collapsed="false">
      <c r="A338" s="49" t="n">
        <v>335</v>
      </c>
      <c r="B338" s="7" t="n">
        <f aca="false">IFERROR(INDEX('Output Utente'!$A$2:$A$492,MATCH(335,'Output Utente'!$Q$2:$Q$492,0)),"")</f>
        <v>5131</v>
      </c>
      <c r="C338" s="7" t="str">
        <f aca="false">IFERROR(INDEX('Output Utente'!$B$2:$B$492,MATCH(335,'Output Utente'!$Q$2:$Q$492,0)),"")</f>
        <v>C</v>
      </c>
      <c r="D338" s="7" t="str">
        <f aca="false">IFERROR(INDEX('Output Utente'!$C$2:$C$492,MATCH(335,'Output Utente'!$Q$2:$Q$492,0)),"")</f>
        <v>Gilmour</v>
      </c>
      <c r="E338" s="7" t="str">
        <f aca="false">IFERROR(INDEX('Input Giocatori 2026_27'!$D$3:$D$493,MATCH($B338,'Input Giocatori 2026_27'!$A$3:$A$493,0)),"")</f>
        <v>Napoli</v>
      </c>
      <c r="F338" s="50" t="n">
        <f aca="false">IFERROR(INDEX('Output Utente'!$N$2:$N$492,MATCH(335,'Output Utente'!$Q$2:$Q$492,0)),"")</f>
        <v>3</v>
      </c>
      <c r="G338" s="50" t="n">
        <f aca="false">IFERROR(INDEX('Output Utente'!$O$2:$O$492,MATCH(335,'Output Utente'!$Q$2:$Q$492,0)),"")</f>
        <v>9</v>
      </c>
      <c r="H338" s="7" t="str">
        <f aca="false">IFERROR(INDEX('Output Utente'!$P$2:$P$492,MATCH(335,'Output Utente'!$Q$2:$Q$492,0)),"")</f>
        <v>Scommessa/Riserva</v>
      </c>
      <c r="I338" s="50" t="n">
        <f aca="false">IFERROR(INDEX('Output Utente'!$F$2:$F$492,MATCH(335,'Output Utente'!$Q$2:$Q$492,0)),"")</f>
        <v>5</v>
      </c>
      <c r="J338" s="50" t="n">
        <f aca="false">IFERROR(INDEX('Output Utente'!$G$2:$G$492,MATCH(335,'Output Utente'!$Q$2:$Q$492,0)),"")</f>
        <v>3</v>
      </c>
      <c r="K338" s="50" t="n">
        <f aca="false">IFERROR(INDEX('Output Utente'!$H$2:$H$492,MATCH(335,'Output Utente'!$Q$2:$Q$492,0)),"")</f>
        <v>6</v>
      </c>
      <c r="L338" s="7" t="str">
        <f aca="false">IFERROR(INDEX('Output Utente'!$E$2:$E$492,MATCH(335,'Output Utente'!$Q$2:$Q$492,0)),"")</f>
        <v>NO</v>
      </c>
      <c r="M338" s="7" t="str">
        <f aca="false">IFERROR(INDEX('Output Utente'!$U$2:$U$492,MATCH(335,'Output Utente'!$Q$2:$Q$492,0)),"")</f>
        <v>OK</v>
      </c>
      <c r="N338" s="7" t="str">
        <f aca="false">IFERROR(INDEX('Output Utente'!$AE$2:$AE$492,MATCH(335,'Output Utente'!$Q$2:$Q$492,0)),"")</f>
        <v>🟡 Attesa rischiosa</v>
      </c>
    </row>
    <row r="339" customFormat="false" ht="15" hidden="false" customHeight="true" outlineLevel="0" collapsed="false">
      <c r="A339" s="49" t="n">
        <v>336</v>
      </c>
      <c r="B339" s="7" t="n">
        <f aca="false">IFERROR(INDEX('Output Utente'!$A$2:$A$492,MATCH(336,'Output Utente'!$Q$2:$Q$492,0)),"")</f>
        <v>6243</v>
      </c>
      <c r="C339" s="7" t="str">
        <f aca="false">IFERROR(INDEX('Output Utente'!$B$2:$B$492,MATCH(336,'Output Utente'!$Q$2:$Q$492,0)),"")</f>
        <v>A</v>
      </c>
      <c r="D339" s="7" t="str">
        <f aca="false">IFERROR(INDEX('Output Utente'!$C$2:$C$492,MATCH(336,'Output Utente'!$Q$2:$Q$492,0)),"")</f>
        <v>Borrelli</v>
      </c>
      <c r="E339" s="7" t="str">
        <f aca="false">IFERROR(INDEX('Input Giocatori 2026_27'!$D$3:$D$493,MATCH($B339,'Input Giocatori 2026_27'!$A$3:$A$493,0)),"")</f>
        <v>Cagliari</v>
      </c>
      <c r="F339" s="50" t="n">
        <f aca="false">IFERROR(INDEX('Output Utente'!$N$2:$N$492,MATCH(336,'Output Utente'!$Q$2:$Q$492,0)),"")</f>
        <v>4</v>
      </c>
      <c r="G339" s="50" t="n">
        <f aca="false">IFERROR(INDEX('Output Utente'!$O$2:$O$492,MATCH(336,'Output Utente'!$Q$2:$Q$492,0)),"")</f>
        <v>9</v>
      </c>
      <c r="H339" s="7" t="str">
        <f aca="false">IFERROR(INDEX('Output Utente'!$P$2:$P$492,MATCH(336,'Output Utente'!$Q$2:$Q$492,0)),"")</f>
        <v>Scommessa/Riserva</v>
      </c>
      <c r="I339" s="50" t="n">
        <f aca="false">IFERROR(INDEX('Output Utente'!$F$2:$F$492,MATCH(336,'Output Utente'!$Q$2:$Q$492,0)),"")</f>
        <v>8</v>
      </c>
      <c r="J339" s="50" t="n">
        <f aca="false">IFERROR(INDEX('Output Utente'!$G$2:$G$492,MATCH(336,'Output Utente'!$Q$2:$Q$492,0)),"")</f>
        <v>5</v>
      </c>
      <c r="K339" s="50" t="n">
        <f aca="false">IFERROR(INDEX('Output Utente'!$H$2:$H$492,MATCH(336,'Output Utente'!$Q$2:$Q$492,0)),"")</f>
        <v>9</v>
      </c>
      <c r="L339" s="7" t="str">
        <f aca="false">IFERROR(INDEX('Output Utente'!$E$2:$E$492,MATCH(336,'Output Utente'!$Q$2:$Q$492,0)),"")</f>
        <v>NO</v>
      </c>
      <c r="M339" s="7" t="str">
        <f aca="false">IFERROR(INDEX('Output Utente'!$U$2:$U$492,MATCH(336,'Output Utente'!$Q$2:$Q$492,0)),"")</f>
        <v>OK</v>
      </c>
      <c r="N339" s="7" t="str">
        <f aca="false">IFERROR(INDEX('Output Utente'!$AE$2:$AE$492,MATCH(336,'Output Utente'!$Q$2:$Q$492,0)),"")</f>
        <v>🔴 Non aspettare</v>
      </c>
    </row>
    <row r="340" customFormat="false" ht="15" hidden="false" customHeight="true" outlineLevel="0" collapsed="false">
      <c r="A340" s="49" t="n">
        <v>337</v>
      </c>
      <c r="B340" s="7" t="n">
        <f aca="false">IFERROR(INDEX('Output Utente'!$A$2:$A$492,MATCH(337,'Output Utente'!$Q$2:$Q$492,0)),"")</f>
        <v>7374</v>
      </c>
      <c r="C340" s="7" t="str">
        <f aca="false">IFERROR(INDEX('Output Utente'!$B$2:$B$492,MATCH(337,'Output Utente'!$Q$2:$Q$492,0)),"")</f>
        <v>A</v>
      </c>
      <c r="D340" s="7" t="str">
        <f aca="false">IFERROR(INDEX('Output Utente'!$C$2:$C$492,MATCH(337,'Output Utente'!$Q$2:$Q$492,0)),"")</f>
        <v>Mendy P.</v>
      </c>
      <c r="E340" s="7" t="str">
        <f aca="false">IFERROR(INDEX('Input Giocatori 2026_27'!$D$3:$D$493,MATCH($B340,'Input Giocatori 2026_27'!$A$3:$A$493,0)),"")</f>
        <v>Cagliari</v>
      </c>
      <c r="F340" s="50" t="n">
        <f aca="false">IFERROR(INDEX('Output Utente'!$N$2:$N$492,MATCH(337,'Output Utente'!$Q$2:$Q$492,0)),"")</f>
        <v>4</v>
      </c>
      <c r="G340" s="50" t="n">
        <f aca="false">IFERROR(INDEX('Output Utente'!$O$2:$O$492,MATCH(337,'Output Utente'!$Q$2:$Q$492,0)),"")</f>
        <v>9</v>
      </c>
      <c r="H340" s="7" t="str">
        <f aca="false">IFERROR(INDEX('Output Utente'!$P$2:$P$492,MATCH(337,'Output Utente'!$Q$2:$Q$492,0)),"")</f>
        <v>Scommessa/Riserva</v>
      </c>
      <c r="I340" s="50" t="n">
        <f aca="false">IFERROR(INDEX('Output Utente'!$F$2:$F$492,MATCH(337,'Output Utente'!$Q$2:$Q$492,0)),"")</f>
        <v>8</v>
      </c>
      <c r="J340" s="50" t="n">
        <f aca="false">IFERROR(INDEX('Output Utente'!$G$2:$G$492,MATCH(337,'Output Utente'!$Q$2:$Q$492,0)),"")</f>
        <v>5</v>
      </c>
      <c r="K340" s="50" t="n">
        <f aca="false">IFERROR(INDEX('Output Utente'!$H$2:$H$492,MATCH(337,'Output Utente'!$Q$2:$Q$492,0)),"")</f>
        <v>9</v>
      </c>
      <c r="L340" s="7" t="str">
        <f aca="false">IFERROR(INDEX('Output Utente'!$E$2:$E$492,MATCH(337,'Output Utente'!$Q$2:$Q$492,0)),"")</f>
        <v>NO</v>
      </c>
      <c r="M340" s="7" t="str">
        <f aca="false">IFERROR(INDEX('Output Utente'!$U$2:$U$492,MATCH(337,'Output Utente'!$Q$2:$Q$492,0)),"")</f>
        <v>OK</v>
      </c>
      <c r="N340" s="7" t="str">
        <f aca="false">IFERROR(INDEX('Output Utente'!$AE$2:$AE$492,MATCH(337,'Output Utente'!$Q$2:$Q$492,0)),"")</f>
        <v>🔴 Non aspettare</v>
      </c>
    </row>
    <row r="341" customFormat="false" ht="15" hidden="false" customHeight="true" outlineLevel="0" collapsed="false">
      <c r="A341" s="49" t="n">
        <v>338</v>
      </c>
      <c r="B341" s="7" t="n">
        <f aca="false">IFERROR(INDEX('Output Utente'!$A$2:$A$492,MATCH(338,'Output Utente'!$Q$2:$Q$492,0)),"")</f>
        <v>7453</v>
      </c>
      <c r="C341" s="7" t="str">
        <f aca="false">IFERROR(INDEX('Output Utente'!$B$2:$B$492,MATCH(338,'Output Utente'!$Q$2:$Q$492,0)),"")</f>
        <v>A</v>
      </c>
      <c r="D341" s="7" t="str">
        <f aca="false">IFERROR(INDEX('Output Utente'!$C$2:$C$492,MATCH(338,'Output Utente'!$Q$2:$Q$492,0)),"")</f>
        <v>Havel</v>
      </c>
      <c r="E341" s="7" t="str">
        <f aca="false">IFERROR(INDEX('Input Giocatori 2026_27'!$D$3:$D$493,MATCH($B341,'Input Giocatori 2026_27'!$A$3:$A$493,0)),"")</f>
        <v>Genoa</v>
      </c>
      <c r="F341" s="50" t="n">
        <f aca="false">IFERROR(INDEX('Output Utente'!$N$2:$N$492,MATCH(338,'Output Utente'!$Q$2:$Q$492,0)),"")</f>
        <v>4</v>
      </c>
      <c r="G341" s="50" t="n">
        <f aca="false">IFERROR(INDEX('Output Utente'!$O$2:$O$492,MATCH(338,'Output Utente'!$Q$2:$Q$492,0)),"")</f>
        <v>9</v>
      </c>
      <c r="H341" s="7" t="str">
        <f aca="false">IFERROR(INDEX('Output Utente'!$P$2:$P$492,MATCH(338,'Output Utente'!$Q$2:$Q$492,0)),"")</f>
        <v>Scommessa/Riserva</v>
      </c>
      <c r="I341" s="50" t="n">
        <f aca="false">IFERROR(INDEX('Output Utente'!$F$2:$F$492,MATCH(338,'Output Utente'!$Q$2:$Q$492,0)),"")</f>
        <v>8</v>
      </c>
      <c r="J341" s="50" t="n">
        <f aca="false">IFERROR(INDEX('Output Utente'!$G$2:$G$492,MATCH(338,'Output Utente'!$Q$2:$Q$492,0)),"")</f>
        <v>5</v>
      </c>
      <c r="K341" s="50" t="n">
        <f aca="false">IFERROR(INDEX('Output Utente'!$H$2:$H$492,MATCH(338,'Output Utente'!$Q$2:$Q$492,0)),"")</f>
        <v>9</v>
      </c>
      <c r="L341" s="7" t="str">
        <f aca="false">IFERROR(INDEX('Output Utente'!$E$2:$E$492,MATCH(338,'Output Utente'!$Q$2:$Q$492,0)),"")</f>
        <v>NO</v>
      </c>
      <c r="M341" s="7" t="str">
        <f aca="false">IFERROR(INDEX('Output Utente'!$U$2:$U$492,MATCH(338,'Output Utente'!$Q$2:$Q$492,0)),"")</f>
        <v>OK</v>
      </c>
      <c r="N341" s="7" t="str">
        <f aca="false">IFERROR(INDEX('Output Utente'!$AE$2:$AE$492,MATCH(338,'Output Utente'!$Q$2:$Q$492,0)),"")</f>
        <v>🔴 Non aspettare</v>
      </c>
    </row>
    <row r="342" customFormat="false" ht="15" hidden="false" customHeight="true" outlineLevel="0" collapsed="false">
      <c r="A342" s="49" t="n">
        <v>339</v>
      </c>
      <c r="B342" s="7" t="n">
        <f aca="false">IFERROR(INDEX('Output Utente'!$A$2:$A$492,MATCH(339,'Output Utente'!$Q$2:$Q$492,0)),"")</f>
        <v>7349</v>
      </c>
      <c r="C342" s="7" t="str">
        <f aca="false">IFERROR(INDEX('Output Utente'!$B$2:$B$492,MATCH(339,'Output Utente'!$Q$2:$Q$492,0)),"")</f>
        <v>A</v>
      </c>
      <c r="D342" s="7" t="str">
        <f aca="false">IFERROR(INDEX('Output Utente'!$C$2:$C$492,MATCH(339,'Output Utente'!$Q$2:$Q$492,0)),"")</f>
        <v>Kulenovic</v>
      </c>
      <c r="E342" s="7" t="str">
        <f aca="false">IFERROR(INDEX('Input Giocatori 2026_27'!$D$3:$D$493,MATCH($B342,'Input Giocatori 2026_27'!$A$3:$A$493,0)),"")</f>
        <v>Torino</v>
      </c>
      <c r="F342" s="50" t="n">
        <f aca="false">IFERROR(INDEX('Output Utente'!$N$2:$N$492,MATCH(339,'Output Utente'!$Q$2:$Q$492,0)),"")</f>
        <v>4</v>
      </c>
      <c r="G342" s="50" t="n">
        <f aca="false">IFERROR(INDEX('Output Utente'!$O$2:$O$492,MATCH(339,'Output Utente'!$Q$2:$Q$492,0)),"")</f>
        <v>9</v>
      </c>
      <c r="H342" s="7" t="str">
        <f aca="false">IFERROR(INDEX('Output Utente'!$P$2:$P$492,MATCH(339,'Output Utente'!$Q$2:$Q$492,0)),"")</f>
        <v>Scommessa/Riserva</v>
      </c>
      <c r="I342" s="50" t="n">
        <f aca="false">IFERROR(INDEX('Output Utente'!$F$2:$F$492,MATCH(339,'Output Utente'!$Q$2:$Q$492,0)),"")</f>
        <v>8</v>
      </c>
      <c r="J342" s="50" t="n">
        <f aca="false">IFERROR(INDEX('Output Utente'!$G$2:$G$492,MATCH(339,'Output Utente'!$Q$2:$Q$492,0)),"")</f>
        <v>5</v>
      </c>
      <c r="K342" s="50" t="n">
        <f aca="false">IFERROR(INDEX('Output Utente'!$H$2:$H$492,MATCH(339,'Output Utente'!$Q$2:$Q$492,0)),"")</f>
        <v>9</v>
      </c>
      <c r="L342" s="7" t="str">
        <f aca="false">IFERROR(INDEX('Output Utente'!$E$2:$E$492,MATCH(339,'Output Utente'!$Q$2:$Q$492,0)),"")</f>
        <v>NO</v>
      </c>
      <c r="M342" s="7" t="str">
        <f aca="false">IFERROR(INDEX('Output Utente'!$U$2:$U$492,MATCH(339,'Output Utente'!$Q$2:$Q$492,0)),"")</f>
        <v>OK</v>
      </c>
      <c r="N342" s="7" t="str">
        <f aca="false">IFERROR(INDEX('Output Utente'!$AE$2:$AE$492,MATCH(339,'Output Utente'!$Q$2:$Q$492,0)),"")</f>
        <v>🔴 Non aspettare</v>
      </c>
    </row>
    <row r="343" customFormat="false" ht="15" hidden="false" customHeight="true" outlineLevel="0" collapsed="false">
      <c r="A343" s="49" t="n">
        <v>340</v>
      </c>
      <c r="B343" s="7" t="n">
        <f aca="false">IFERROR(INDEX('Output Utente'!$A$2:$A$492,MATCH(340,'Output Utente'!$Q$2:$Q$492,0)),"")</f>
        <v>7001</v>
      </c>
      <c r="C343" s="7" t="str">
        <f aca="false">IFERROR(INDEX('Output Utente'!$B$2:$B$492,MATCH(340,'Output Utente'!$Q$2:$Q$492,0)),"")</f>
        <v>A</v>
      </c>
      <c r="D343" s="7" t="str">
        <f aca="false">IFERROR(INDEX('Output Utente'!$C$2:$C$492,MATCH(340,'Output Utente'!$Q$2:$Q$492,0)),"")</f>
        <v>N'Dri</v>
      </c>
      <c r="E343" s="7" t="str">
        <f aca="false">IFERROR(INDEX('Input Giocatori 2026_27'!$D$3:$D$493,MATCH($B343,'Input Giocatori 2026_27'!$A$3:$A$493,0)),"")</f>
        <v>Lecce</v>
      </c>
      <c r="F343" s="50" t="n">
        <f aca="false">IFERROR(INDEX('Output Utente'!$N$2:$N$492,MATCH(340,'Output Utente'!$Q$2:$Q$492,0)),"")</f>
        <v>3</v>
      </c>
      <c r="G343" s="50" t="n">
        <f aca="false">IFERROR(INDEX('Output Utente'!$O$2:$O$492,MATCH(340,'Output Utente'!$Q$2:$Q$492,0)),"")</f>
        <v>9</v>
      </c>
      <c r="H343" s="7" t="str">
        <f aca="false">IFERROR(INDEX('Output Utente'!$P$2:$P$492,MATCH(340,'Output Utente'!$Q$2:$Q$492,0)),"")</f>
        <v>Scommessa/Riserva</v>
      </c>
      <c r="I343" s="50" t="n">
        <f aca="false">IFERROR(INDEX('Output Utente'!$F$2:$F$492,MATCH(340,'Output Utente'!$Q$2:$Q$492,0)),"")</f>
        <v>8</v>
      </c>
      <c r="J343" s="50" t="n">
        <f aca="false">IFERROR(INDEX('Output Utente'!$G$2:$G$492,MATCH(340,'Output Utente'!$Q$2:$Q$492,0)),"")</f>
        <v>5</v>
      </c>
      <c r="K343" s="50" t="n">
        <f aca="false">IFERROR(INDEX('Output Utente'!$H$2:$H$492,MATCH(340,'Output Utente'!$Q$2:$Q$492,0)),"")</f>
        <v>9</v>
      </c>
      <c r="L343" s="7" t="str">
        <f aca="false">IFERROR(INDEX('Output Utente'!$E$2:$E$492,MATCH(340,'Output Utente'!$Q$2:$Q$492,0)),"")</f>
        <v>NO</v>
      </c>
      <c r="M343" s="7" t="str">
        <f aca="false">IFERROR(INDEX('Output Utente'!$U$2:$U$492,MATCH(340,'Output Utente'!$Q$2:$Q$492,0)),"")</f>
        <v>OK</v>
      </c>
      <c r="N343" s="7" t="str">
        <f aca="false">IFERROR(INDEX('Output Utente'!$AE$2:$AE$492,MATCH(340,'Output Utente'!$Q$2:$Q$492,0)),"")</f>
        <v>🔴 Non aspettare</v>
      </c>
    </row>
    <row r="344" customFormat="false" ht="15" hidden="false" customHeight="true" outlineLevel="0" collapsed="false">
      <c r="A344" s="49" t="n">
        <v>341</v>
      </c>
      <c r="B344" s="7" t="n">
        <f aca="false">IFERROR(INDEX('Output Utente'!$A$2:$A$492,MATCH(341,'Output Utente'!$Q$2:$Q$492,0)),"")</f>
        <v>6415</v>
      </c>
      <c r="C344" s="7" t="str">
        <f aca="false">IFERROR(INDEX('Output Utente'!$B$2:$B$492,MATCH(341,'Output Utente'!$Q$2:$Q$492,0)),"")</f>
        <v>P</v>
      </c>
      <c r="D344" s="7" t="str">
        <f aca="false">IFERROR(INDEX('Output Utente'!$C$2:$C$492,MATCH(341,'Output Utente'!$Q$2:$Q$492,0)),"")</f>
        <v>Palmisani</v>
      </c>
      <c r="E344" s="7" t="str">
        <f aca="false">IFERROR(INDEX('Input Giocatori 2026_27'!$D$3:$D$493,MATCH($B344,'Input Giocatori 2026_27'!$A$3:$A$493,0)),"")</f>
        <v>Frosinone</v>
      </c>
      <c r="F344" s="50" t="n">
        <f aca="false">IFERROR(INDEX('Output Utente'!$N$2:$N$492,MATCH(341,'Output Utente'!$Q$2:$Q$492,0)),"")</f>
        <v>4</v>
      </c>
      <c r="G344" s="50" t="n">
        <f aca="false">IFERROR(INDEX('Output Utente'!$O$2:$O$492,MATCH(341,'Output Utente'!$Q$2:$Q$492,0)),"")</f>
        <v>8</v>
      </c>
      <c r="H344" s="7" t="str">
        <f aca="false">IFERROR(INDEX('Output Utente'!$P$2:$P$492,MATCH(341,'Output Utente'!$Q$2:$Q$492,0)),"")</f>
        <v>Buono</v>
      </c>
      <c r="I344" s="50" t="n">
        <f aca="false">IFERROR(INDEX('Output Utente'!$F$2:$F$492,MATCH(341,'Output Utente'!$Q$2:$Q$492,0)),"")</f>
        <v>9</v>
      </c>
      <c r="J344" s="50" t="n">
        <f aca="false">IFERROR(INDEX('Output Utente'!$G$2:$G$492,MATCH(341,'Output Utente'!$Q$2:$Q$492,0)),"")</f>
        <v>7</v>
      </c>
      <c r="K344" s="50" t="n">
        <f aca="false">IFERROR(INDEX('Output Utente'!$H$2:$H$492,MATCH(341,'Output Utente'!$Q$2:$Q$492,0)),"")</f>
        <v>10</v>
      </c>
      <c r="L344" s="7" t="str">
        <f aca="false">IFERROR(INDEX('Output Utente'!$E$2:$E$492,MATCH(341,'Output Utente'!$Q$2:$Q$492,0)),"")</f>
        <v>NO</v>
      </c>
      <c r="M344" s="7" t="str">
        <f aca="false">IFERROR(INDEX('Output Utente'!$U$2:$U$492,MATCH(341,'Output Utente'!$Q$2:$Q$492,0)),"")</f>
        <v>OK</v>
      </c>
      <c r="N344" s="7" t="str">
        <f aca="false">IFERROR(INDEX('Output Utente'!$AE$2:$AE$492,MATCH(341,'Output Utente'!$Q$2:$Q$492,0)),"")</f>
        <v>🟡 Attesa rischiosa</v>
      </c>
    </row>
    <row r="345" customFormat="false" ht="15" hidden="false" customHeight="true" outlineLevel="0" collapsed="false">
      <c r="A345" s="49" t="n">
        <v>342</v>
      </c>
      <c r="B345" s="7" t="n">
        <f aca="false">IFERROR(INDEX('Output Utente'!$A$2:$A$492,MATCH(342,'Output Utente'!$Q$2:$Q$492,0)),"")</f>
        <v>7463</v>
      </c>
      <c r="C345" s="7" t="str">
        <f aca="false">IFERROR(INDEX('Output Utente'!$B$2:$B$492,MATCH(342,'Output Utente'!$Q$2:$Q$492,0)),"")</f>
        <v>P</v>
      </c>
      <c r="D345" s="7" t="str">
        <f aca="false">IFERROR(INDEX('Output Utente'!$C$2:$C$492,MATCH(342,'Output Utente'!$Q$2:$Q$492,0)),"")</f>
        <v>Desplanches</v>
      </c>
      <c r="E345" s="7" t="str">
        <f aca="false">IFERROR(INDEX('Input Giocatori 2026_27'!$D$3:$D$493,MATCH($B345,'Input Giocatori 2026_27'!$A$3:$A$493,0)),"")</f>
        <v>Frosinone</v>
      </c>
      <c r="F345" s="50" t="n">
        <f aca="false">IFERROR(INDEX('Output Utente'!$N$2:$N$492,MATCH(342,'Output Utente'!$Q$2:$Q$492,0)),"")</f>
        <v>2</v>
      </c>
      <c r="G345" s="50" t="n">
        <f aca="false">IFERROR(INDEX('Output Utente'!$O$2:$O$492,MATCH(342,'Output Utente'!$Q$2:$Q$492,0)),"")</f>
        <v>8</v>
      </c>
      <c r="H345" s="7" t="str">
        <f aca="false">IFERROR(INDEX('Output Utente'!$P$2:$P$492,MATCH(342,'Output Utente'!$Q$2:$Q$492,0)),"")</f>
        <v>Buono</v>
      </c>
      <c r="I345" s="50" t="n">
        <f aca="false">IFERROR(INDEX('Output Utente'!$F$2:$F$492,MATCH(342,'Output Utente'!$Q$2:$Q$492,0)),"")</f>
        <v>9</v>
      </c>
      <c r="J345" s="50" t="n">
        <f aca="false">IFERROR(INDEX('Output Utente'!$G$2:$G$492,MATCH(342,'Output Utente'!$Q$2:$Q$492,0)),"")</f>
        <v>7</v>
      </c>
      <c r="K345" s="50" t="n">
        <f aca="false">IFERROR(INDEX('Output Utente'!$H$2:$H$492,MATCH(342,'Output Utente'!$Q$2:$Q$492,0)),"")</f>
        <v>10</v>
      </c>
      <c r="L345" s="7" t="str">
        <f aca="false">IFERROR(INDEX('Output Utente'!$E$2:$E$492,MATCH(342,'Output Utente'!$Q$2:$Q$492,0)),"")</f>
        <v>NO</v>
      </c>
      <c r="M345" s="7" t="str">
        <f aca="false">IFERROR(INDEX('Output Utente'!$U$2:$U$492,MATCH(342,'Output Utente'!$Q$2:$Q$492,0)),"")</f>
        <v>OK</v>
      </c>
      <c r="N345" s="7" t="str">
        <f aca="false">IFERROR(INDEX('Output Utente'!$AE$2:$AE$492,MATCH(342,'Output Utente'!$Q$2:$Q$492,0)),"")</f>
        <v>🟡 Attesa rischiosa</v>
      </c>
    </row>
    <row r="346" customFormat="false" ht="15" hidden="false" customHeight="true" outlineLevel="0" collapsed="false">
      <c r="A346" s="49" t="n">
        <v>343</v>
      </c>
      <c r="B346" s="7" t="n">
        <f aca="false">IFERROR(INDEX('Output Utente'!$A$2:$A$492,MATCH(343,'Output Utente'!$Q$2:$Q$492,0)),"")</f>
        <v>5603</v>
      </c>
      <c r="C346" s="7" t="str">
        <f aca="false">IFERROR(INDEX('Output Utente'!$B$2:$B$492,MATCH(343,'Output Utente'!$Q$2:$Q$492,0)),"")</f>
        <v>D</v>
      </c>
      <c r="D346" s="7" t="str">
        <f aca="false">IFERROR(INDEX('Output Utente'!$C$2:$C$492,MATCH(343,'Output Utente'!$Q$2:$Q$492,0)),"")</f>
        <v>Pongracic</v>
      </c>
      <c r="E346" s="7" t="str">
        <f aca="false">IFERROR(INDEX('Input Giocatori 2026_27'!$D$3:$D$493,MATCH($B346,'Input Giocatori 2026_27'!$A$3:$A$493,0)),"")</f>
        <v>Fiorentina</v>
      </c>
      <c r="F346" s="50" t="n">
        <f aca="false">IFERROR(INDEX('Output Utente'!$N$2:$N$492,MATCH(343,'Output Utente'!$Q$2:$Q$492,0)),"")</f>
        <v>4</v>
      </c>
      <c r="G346" s="50" t="n">
        <f aca="false">IFERROR(INDEX('Output Utente'!$O$2:$O$492,MATCH(343,'Output Utente'!$Q$2:$Q$492,0)),"")</f>
        <v>8</v>
      </c>
      <c r="H346" s="7" t="str">
        <f aca="false">IFERROR(INDEX('Output Utente'!$P$2:$P$492,MATCH(343,'Output Utente'!$Q$2:$Q$492,0)),"")</f>
        <v>Nella Media</v>
      </c>
      <c r="I346" s="50" t="n">
        <f aca="false">IFERROR(INDEX('Output Utente'!$F$2:$F$492,MATCH(343,'Output Utente'!$Q$2:$Q$492,0)),"")</f>
        <v>4</v>
      </c>
      <c r="J346" s="50" t="n">
        <f aca="false">IFERROR(INDEX('Output Utente'!$G$2:$G$492,MATCH(343,'Output Utente'!$Q$2:$Q$492,0)),"")</f>
        <v>3</v>
      </c>
      <c r="K346" s="50" t="n">
        <f aca="false">IFERROR(INDEX('Output Utente'!$H$2:$H$492,MATCH(343,'Output Utente'!$Q$2:$Q$492,0)),"")</f>
        <v>4</v>
      </c>
      <c r="L346" s="7" t="str">
        <f aca="false">IFERROR(INDEX('Output Utente'!$E$2:$E$492,MATCH(343,'Output Utente'!$Q$2:$Q$492,0)),"")</f>
        <v>NO</v>
      </c>
      <c r="M346" s="7" t="str">
        <f aca="false">IFERROR(INDEX('Output Utente'!$U$2:$U$492,MATCH(343,'Output Utente'!$Q$2:$Q$492,0)),"")</f>
        <v>OK</v>
      </c>
      <c r="N346" s="7" t="str">
        <f aca="false">IFERROR(INDEX('Output Utente'!$AE$2:$AE$492,MATCH(343,'Output Utente'!$Q$2:$Q$492,0)),"")</f>
        <v>🟡 Attesa rischiosa</v>
      </c>
    </row>
    <row r="347" customFormat="false" ht="15" hidden="false" customHeight="true" outlineLevel="0" collapsed="false">
      <c r="A347" s="49" t="n">
        <v>344</v>
      </c>
      <c r="B347" s="7" t="n">
        <f aca="false">IFERROR(INDEX('Output Utente'!$A$2:$A$492,MATCH(344,'Output Utente'!$Q$2:$Q$492,0)),"")</f>
        <v>7312</v>
      </c>
      <c r="C347" s="7" t="str">
        <f aca="false">IFERROR(INDEX('Output Utente'!$B$2:$B$492,MATCH(344,'Output Utente'!$Q$2:$Q$492,0)),"")</f>
        <v>D</v>
      </c>
      <c r="D347" s="7" t="str">
        <f aca="false">IFERROR(INDEX('Output Utente'!$C$2:$C$492,MATCH(344,'Output Utente'!$Q$2:$Q$492,0)),"")</f>
        <v>Arizala</v>
      </c>
      <c r="E347" s="7" t="str">
        <f aca="false">IFERROR(INDEX('Input Giocatori 2026_27'!$D$3:$D$493,MATCH($B347,'Input Giocatori 2026_27'!$A$3:$A$493,0)),"")</f>
        <v>Udinese</v>
      </c>
      <c r="F347" s="50" t="n">
        <f aca="false">IFERROR(INDEX('Output Utente'!$N$2:$N$492,MATCH(344,'Output Utente'!$Q$2:$Q$492,0)),"")</f>
        <v>4</v>
      </c>
      <c r="G347" s="50" t="n">
        <f aca="false">IFERROR(INDEX('Output Utente'!$O$2:$O$492,MATCH(344,'Output Utente'!$Q$2:$Q$492,0)),"")</f>
        <v>8</v>
      </c>
      <c r="H347" s="7" t="str">
        <f aca="false">IFERROR(INDEX('Output Utente'!$P$2:$P$492,MATCH(344,'Output Utente'!$Q$2:$Q$492,0)),"")</f>
        <v>Nella Media</v>
      </c>
      <c r="I347" s="50" t="n">
        <f aca="false">IFERROR(INDEX('Output Utente'!$F$2:$F$492,MATCH(344,'Output Utente'!$Q$2:$Q$492,0)),"")</f>
        <v>4</v>
      </c>
      <c r="J347" s="50" t="n">
        <f aca="false">IFERROR(INDEX('Output Utente'!$G$2:$G$492,MATCH(344,'Output Utente'!$Q$2:$Q$492,0)),"")</f>
        <v>3</v>
      </c>
      <c r="K347" s="50" t="n">
        <f aca="false">IFERROR(INDEX('Output Utente'!$H$2:$H$492,MATCH(344,'Output Utente'!$Q$2:$Q$492,0)),"")</f>
        <v>4</v>
      </c>
      <c r="L347" s="7" t="str">
        <f aca="false">IFERROR(INDEX('Output Utente'!$E$2:$E$492,MATCH(344,'Output Utente'!$Q$2:$Q$492,0)),"")</f>
        <v>NO</v>
      </c>
      <c r="M347" s="7" t="str">
        <f aca="false">IFERROR(INDEX('Output Utente'!$U$2:$U$492,MATCH(344,'Output Utente'!$Q$2:$Q$492,0)),"")</f>
        <v>OK</v>
      </c>
      <c r="N347" s="7" t="str">
        <f aca="false">IFERROR(INDEX('Output Utente'!$AE$2:$AE$492,MATCH(344,'Output Utente'!$Q$2:$Q$492,0)),"")</f>
        <v>🟡 Attesa rischiosa</v>
      </c>
    </row>
    <row r="348" customFormat="false" ht="15" hidden="false" customHeight="true" outlineLevel="0" collapsed="false">
      <c r="A348" s="49" t="n">
        <v>345</v>
      </c>
      <c r="B348" s="7" t="n">
        <f aca="false">IFERROR(INDEX('Output Utente'!$A$2:$A$492,MATCH(345,'Output Utente'!$Q$2:$Q$492,0)),"")</f>
        <v>5757</v>
      </c>
      <c r="C348" s="7" t="str">
        <f aca="false">IFERROR(INDEX('Output Utente'!$B$2:$B$492,MATCH(345,'Output Utente'!$Q$2:$Q$492,0)),"")</f>
        <v>D</v>
      </c>
      <c r="D348" s="7" t="str">
        <f aca="false">IFERROR(INDEX('Output Utente'!$C$2:$C$492,MATCH(345,'Output Utente'!$Q$2:$Q$492,0)),"")</f>
        <v>Cittadini</v>
      </c>
      <c r="E348" s="7" t="str">
        <f aca="false">IFERROR(INDEX('Input Giocatori 2026_27'!$D$3:$D$493,MATCH($B348,'Input Giocatori 2026_27'!$A$3:$A$493,0)),"")</f>
        <v>Frosinone</v>
      </c>
      <c r="F348" s="50" t="n">
        <f aca="false">IFERROR(INDEX('Output Utente'!$N$2:$N$492,MATCH(345,'Output Utente'!$Q$2:$Q$492,0)),"")</f>
        <v>3</v>
      </c>
      <c r="G348" s="50" t="n">
        <f aca="false">IFERROR(INDEX('Output Utente'!$O$2:$O$492,MATCH(345,'Output Utente'!$Q$2:$Q$492,0)),"")</f>
        <v>8</v>
      </c>
      <c r="H348" s="7" t="str">
        <f aca="false">IFERROR(INDEX('Output Utente'!$P$2:$P$492,MATCH(345,'Output Utente'!$Q$2:$Q$492,0)),"")</f>
        <v>Nella Media</v>
      </c>
      <c r="I348" s="50" t="n">
        <f aca="false">IFERROR(INDEX('Output Utente'!$F$2:$F$492,MATCH(345,'Output Utente'!$Q$2:$Q$492,0)),"")</f>
        <v>4</v>
      </c>
      <c r="J348" s="50" t="n">
        <f aca="false">IFERROR(INDEX('Output Utente'!$G$2:$G$492,MATCH(345,'Output Utente'!$Q$2:$Q$492,0)),"")</f>
        <v>3</v>
      </c>
      <c r="K348" s="50" t="n">
        <f aca="false">IFERROR(INDEX('Output Utente'!$H$2:$H$492,MATCH(345,'Output Utente'!$Q$2:$Q$492,0)),"")</f>
        <v>4</v>
      </c>
      <c r="L348" s="7" t="str">
        <f aca="false">IFERROR(INDEX('Output Utente'!$E$2:$E$492,MATCH(345,'Output Utente'!$Q$2:$Q$492,0)),"")</f>
        <v>NO</v>
      </c>
      <c r="M348" s="7" t="str">
        <f aca="false">IFERROR(INDEX('Output Utente'!$U$2:$U$492,MATCH(345,'Output Utente'!$Q$2:$Q$492,0)),"")</f>
        <v>OK</v>
      </c>
      <c r="N348" s="7" t="str">
        <f aca="false">IFERROR(INDEX('Output Utente'!$AE$2:$AE$492,MATCH(345,'Output Utente'!$Q$2:$Q$492,0)),"")</f>
        <v>🟡 Attesa rischiosa</v>
      </c>
    </row>
    <row r="349" customFormat="false" ht="15" hidden="false" customHeight="true" outlineLevel="0" collapsed="false">
      <c r="A349" s="49" t="n">
        <v>346</v>
      </c>
      <c r="B349" s="7" t="n">
        <f aca="false">IFERROR(INDEX('Output Utente'!$A$2:$A$492,MATCH(346,'Output Utente'!$Q$2:$Q$492,0)),"")</f>
        <v>7211</v>
      </c>
      <c r="C349" s="7" t="str">
        <f aca="false">IFERROR(INDEX('Output Utente'!$B$2:$B$492,MATCH(346,'Output Utente'!$Q$2:$Q$492,0)),"")</f>
        <v>D</v>
      </c>
      <c r="D349" s="7" t="str">
        <f aca="false">IFERROR(INDEX('Output Utente'!$C$2:$C$492,MATCH(346,'Output Utente'!$Q$2:$Q$492,0)),"")</f>
        <v>Athekame</v>
      </c>
      <c r="E349" s="7" t="str">
        <f aca="false">IFERROR(INDEX('Input Giocatori 2026_27'!$D$3:$D$493,MATCH($B349,'Input Giocatori 2026_27'!$A$3:$A$493,0)),"")</f>
        <v>Milan</v>
      </c>
      <c r="F349" s="50" t="n">
        <f aca="false">IFERROR(INDEX('Output Utente'!$N$2:$N$492,MATCH(346,'Output Utente'!$Q$2:$Q$492,0)),"")</f>
        <v>3</v>
      </c>
      <c r="G349" s="50" t="n">
        <f aca="false">IFERROR(INDEX('Output Utente'!$O$2:$O$492,MATCH(346,'Output Utente'!$Q$2:$Q$492,0)),"")</f>
        <v>8</v>
      </c>
      <c r="H349" s="7" t="str">
        <f aca="false">IFERROR(INDEX('Output Utente'!$P$2:$P$492,MATCH(346,'Output Utente'!$Q$2:$Q$492,0)),"")</f>
        <v>Nella Media</v>
      </c>
      <c r="I349" s="50" t="n">
        <f aca="false">IFERROR(INDEX('Output Utente'!$F$2:$F$492,MATCH(346,'Output Utente'!$Q$2:$Q$492,0)),"")</f>
        <v>4</v>
      </c>
      <c r="J349" s="50" t="n">
        <f aca="false">IFERROR(INDEX('Output Utente'!$G$2:$G$492,MATCH(346,'Output Utente'!$Q$2:$Q$492,0)),"")</f>
        <v>3</v>
      </c>
      <c r="K349" s="50" t="n">
        <f aca="false">IFERROR(INDEX('Output Utente'!$H$2:$H$492,MATCH(346,'Output Utente'!$Q$2:$Q$492,0)),"")</f>
        <v>4</v>
      </c>
      <c r="L349" s="7" t="str">
        <f aca="false">IFERROR(INDEX('Output Utente'!$E$2:$E$492,MATCH(346,'Output Utente'!$Q$2:$Q$492,0)),"")</f>
        <v>NO</v>
      </c>
      <c r="M349" s="7" t="str">
        <f aca="false">IFERROR(INDEX('Output Utente'!$U$2:$U$492,MATCH(346,'Output Utente'!$Q$2:$Q$492,0)),"")</f>
        <v>OK</v>
      </c>
      <c r="N349" s="7" t="str">
        <f aca="false">IFERROR(INDEX('Output Utente'!$AE$2:$AE$492,MATCH(346,'Output Utente'!$Q$2:$Q$492,0)),"")</f>
        <v>🟡 Attesa rischiosa</v>
      </c>
    </row>
    <row r="350" customFormat="false" ht="15" hidden="false" customHeight="true" outlineLevel="0" collapsed="false">
      <c r="A350" s="49" t="n">
        <v>347</v>
      </c>
      <c r="B350" s="7" t="n">
        <f aca="false">IFERROR(INDEX('Output Utente'!$A$2:$A$492,MATCH(347,'Output Utente'!$Q$2:$Q$492,0)),"")</f>
        <v>7235</v>
      </c>
      <c r="C350" s="7" t="str">
        <f aca="false">IFERROR(INDEX('Output Utente'!$B$2:$B$492,MATCH(347,'Output Utente'!$Q$2:$Q$492,0)),"")</f>
        <v>D</v>
      </c>
      <c r="D350" s="7" t="str">
        <f aca="false">IFERROR(INDEX('Output Utente'!$C$2:$C$492,MATCH(347,'Output Utente'!$Q$2:$Q$492,0)),"")</f>
        <v>Troilo</v>
      </c>
      <c r="E350" s="7" t="str">
        <f aca="false">IFERROR(INDEX('Input Giocatori 2026_27'!$D$3:$D$493,MATCH($B350,'Input Giocatori 2026_27'!$A$3:$A$493,0)),"")</f>
        <v>Parma</v>
      </c>
      <c r="F350" s="50" t="n">
        <f aca="false">IFERROR(INDEX('Output Utente'!$N$2:$N$492,MATCH(347,'Output Utente'!$Q$2:$Q$492,0)),"")</f>
        <v>3</v>
      </c>
      <c r="G350" s="50" t="n">
        <f aca="false">IFERROR(INDEX('Output Utente'!$O$2:$O$492,MATCH(347,'Output Utente'!$Q$2:$Q$492,0)),"")</f>
        <v>8</v>
      </c>
      <c r="H350" s="7" t="str">
        <f aca="false">IFERROR(INDEX('Output Utente'!$P$2:$P$492,MATCH(347,'Output Utente'!$Q$2:$Q$492,0)),"")</f>
        <v>Nella Media</v>
      </c>
      <c r="I350" s="50" t="n">
        <f aca="false">IFERROR(INDEX('Output Utente'!$F$2:$F$492,MATCH(347,'Output Utente'!$Q$2:$Q$492,0)),"")</f>
        <v>4</v>
      </c>
      <c r="J350" s="50" t="n">
        <f aca="false">IFERROR(INDEX('Output Utente'!$G$2:$G$492,MATCH(347,'Output Utente'!$Q$2:$Q$492,0)),"")</f>
        <v>3</v>
      </c>
      <c r="K350" s="50" t="n">
        <f aca="false">IFERROR(INDEX('Output Utente'!$H$2:$H$492,MATCH(347,'Output Utente'!$Q$2:$Q$492,0)),"")</f>
        <v>4</v>
      </c>
      <c r="L350" s="7" t="str">
        <f aca="false">IFERROR(INDEX('Output Utente'!$E$2:$E$492,MATCH(347,'Output Utente'!$Q$2:$Q$492,0)),"")</f>
        <v>NO</v>
      </c>
      <c r="M350" s="7" t="str">
        <f aca="false">IFERROR(INDEX('Output Utente'!$U$2:$U$492,MATCH(347,'Output Utente'!$Q$2:$Q$492,0)),"")</f>
        <v>OK</v>
      </c>
      <c r="N350" s="7" t="str">
        <f aca="false">IFERROR(INDEX('Output Utente'!$AE$2:$AE$492,MATCH(347,'Output Utente'!$Q$2:$Q$492,0)),"")</f>
        <v>🟡 Attesa rischiosa</v>
      </c>
    </row>
    <row r="351" customFormat="false" ht="15" hidden="false" customHeight="true" outlineLevel="0" collapsed="false">
      <c r="A351" s="49" t="n">
        <v>348</v>
      </c>
      <c r="B351" s="7" t="n">
        <f aca="false">IFERROR(INDEX('Output Utente'!$A$2:$A$492,MATCH(348,'Output Utente'!$Q$2:$Q$492,0)),"")</f>
        <v>2263</v>
      </c>
      <c r="C351" s="7" t="str">
        <f aca="false">IFERROR(INDEX('Output Utente'!$B$2:$B$492,MATCH(348,'Output Utente'!$Q$2:$Q$492,0)),"")</f>
        <v>D</v>
      </c>
      <c r="D351" s="7" t="str">
        <f aca="false">IFERROR(INDEX('Output Utente'!$C$2:$C$492,MATCH(348,'Output Utente'!$Q$2:$Q$492,0)),"")</f>
        <v>Lazzari</v>
      </c>
      <c r="E351" s="7" t="str">
        <f aca="false">IFERROR(INDEX('Input Giocatori 2026_27'!$D$3:$D$493,MATCH($B351,'Input Giocatori 2026_27'!$A$3:$A$493,0)),"")</f>
        <v>Lazio</v>
      </c>
      <c r="F351" s="50" t="n">
        <f aca="false">IFERROR(INDEX('Output Utente'!$N$2:$N$492,MATCH(348,'Output Utente'!$Q$2:$Q$492,0)),"")</f>
        <v>2</v>
      </c>
      <c r="G351" s="50" t="n">
        <f aca="false">IFERROR(INDEX('Output Utente'!$O$2:$O$492,MATCH(348,'Output Utente'!$Q$2:$Q$492,0)),"")</f>
        <v>8</v>
      </c>
      <c r="H351" s="7" t="str">
        <f aca="false">IFERROR(INDEX('Output Utente'!$P$2:$P$492,MATCH(348,'Output Utente'!$Q$2:$Q$492,0)),"")</f>
        <v>Nella Media</v>
      </c>
      <c r="I351" s="50" t="n">
        <f aca="false">IFERROR(INDEX('Output Utente'!$F$2:$F$492,MATCH(348,'Output Utente'!$Q$2:$Q$492,0)),"")</f>
        <v>4</v>
      </c>
      <c r="J351" s="50" t="n">
        <f aca="false">IFERROR(INDEX('Output Utente'!$G$2:$G$492,MATCH(348,'Output Utente'!$Q$2:$Q$492,0)),"")</f>
        <v>3</v>
      </c>
      <c r="K351" s="50" t="n">
        <f aca="false">IFERROR(INDEX('Output Utente'!$H$2:$H$492,MATCH(348,'Output Utente'!$Q$2:$Q$492,0)),"")</f>
        <v>4</v>
      </c>
      <c r="L351" s="7" t="str">
        <f aca="false">IFERROR(INDEX('Output Utente'!$E$2:$E$492,MATCH(348,'Output Utente'!$Q$2:$Q$492,0)),"")</f>
        <v>NO</v>
      </c>
      <c r="M351" s="7" t="str">
        <f aca="false">IFERROR(INDEX('Output Utente'!$U$2:$U$492,MATCH(348,'Output Utente'!$Q$2:$Q$492,0)),"")</f>
        <v>OK</v>
      </c>
      <c r="N351" s="7" t="str">
        <f aca="false">IFERROR(INDEX('Output Utente'!$AE$2:$AE$492,MATCH(348,'Output Utente'!$Q$2:$Q$492,0)),"")</f>
        <v>🟡 Attesa rischiosa</v>
      </c>
    </row>
    <row r="352" customFormat="false" ht="15" hidden="false" customHeight="true" outlineLevel="0" collapsed="false">
      <c r="A352" s="49" t="n">
        <v>349</v>
      </c>
      <c r="B352" s="7" t="n">
        <f aca="false">IFERROR(INDEX('Output Utente'!$A$2:$A$492,MATCH(349,'Output Utente'!$Q$2:$Q$492,0)),"")</f>
        <v>7407</v>
      </c>
      <c r="C352" s="7" t="str">
        <f aca="false">IFERROR(INDEX('Output Utente'!$B$2:$B$492,MATCH(349,'Output Utente'!$Q$2:$Q$492,0)),"")</f>
        <v>D</v>
      </c>
      <c r="D352" s="7" t="str">
        <f aca="false">IFERROR(INDEX('Output Utente'!$C$2:$C$492,MATCH(349,'Output Utente'!$Q$2:$Q$492,0)),"")</f>
        <v>Cuenca A.</v>
      </c>
      <c r="E352" s="7" t="str">
        <f aca="false">IFERROR(INDEX('Input Giocatori 2026_27'!$D$3:$D$493,MATCH($B352,'Input Giocatori 2026_27'!$A$3:$A$493,0)),"")</f>
        <v>Como</v>
      </c>
      <c r="F352" s="50" t="n">
        <f aca="false">IFERROR(INDEX('Output Utente'!$N$2:$N$492,MATCH(349,'Output Utente'!$Q$2:$Q$492,0)),"")</f>
        <v>1</v>
      </c>
      <c r="G352" s="50" t="n">
        <f aca="false">IFERROR(INDEX('Output Utente'!$O$2:$O$492,MATCH(349,'Output Utente'!$Q$2:$Q$492,0)),"")</f>
        <v>8</v>
      </c>
      <c r="H352" s="7" t="str">
        <f aca="false">IFERROR(INDEX('Output Utente'!$P$2:$P$492,MATCH(349,'Output Utente'!$Q$2:$Q$492,0)),"")</f>
        <v>Nella Media</v>
      </c>
      <c r="I352" s="50" t="n">
        <f aca="false">IFERROR(INDEX('Output Utente'!$F$2:$F$492,MATCH(349,'Output Utente'!$Q$2:$Q$492,0)),"")</f>
        <v>4</v>
      </c>
      <c r="J352" s="50" t="n">
        <f aca="false">IFERROR(INDEX('Output Utente'!$G$2:$G$492,MATCH(349,'Output Utente'!$Q$2:$Q$492,0)),"")</f>
        <v>3</v>
      </c>
      <c r="K352" s="50" t="n">
        <f aca="false">IFERROR(INDEX('Output Utente'!$H$2:$H$492,MATCH(349,'Output Utente'!$Q$2:$Q$492,0)),"")</f>
        <v>4</v>
      </c>
      <c r="L352" s="7" t="str">
        <f aca="false">IFERROR(INDEX('Output Utente'!$E$2:$E$492,MATCH(349,'Output Utente'!$Q$2:$Q$492,0)),"")</f>
        <v>NO</v>
      </c>
      <c r="M352" s="7" t="str">
        <f aca="false">IFERROR(INDEX('Output Utente'!$U$2:$U$492,MATCH(349,'Output Utente'!$Q$2:$Q$492,0)),"")</f>
        <v>OK</v>
      </c>
      <c r="N352" s="7" t="str">
        <f aca="false">IFERROR(INDEX('Output Utente'!$AE$2:$AE$492,MATCH(349,'Output Utente'!$Q$2:$Q$492,0)),"")</f>
        <v>🟡 Attesa rischiosa</v>
      </c>
    </row>
    <row r="353" customFormat="false" ht="15" hidden="false" customHeight="true" outlineLevel="0" collapsed="false">
      <c r="A353" s="49" t="n">
        <v>350</v>
      </c>
      <c r="B353" s="7" t="n">
        <f aca="false">IFERROR(INDEX('Output Utente'!$A$2:$A$492,MATCH(350,'Output Utente'!$Q$2:$Q$492,0)),"")</f>
        <v>6206</v>
      </c>
      <c r="C353" s="7" t="str">
        <f aca="false">IFERROR(INDEX('Output Utente'!$B$2:$B$492,MATCH(350,'Output Utente'!$Q$2:$Q$492,0)),"")</f>
        <v>C</v>
      </c>
      <c r="D353" s="7" t="str">
        <f aca="false">IFERROR(INDEX('Output Utente'!$C$2:$C$492,MATCH(350,'Output Utente'!$Q$2:$Q$492,0)),"")</f>
        <v>Fabbian</v>
      </c>
      <c r="E353" s="7" t="str">
        <f aca="false">IFERROR(INDEX('Input Giocatori 2026_27'!$D$3:$D$493,MATCH($B353,'Input Giocatori 2026_27'!$A$3:$A$493,0)),"")</f>
        <v>Fiorentina</v>
      </c>
      <c r="F353" s="50" t="n">
        <f aca="false">IFERROR(INDEX('Output Utente'!$N$2:$N$492,MATCH(350,'Output Utente'!$Q$2:$Q$492,0)),"")</f>
        <v>4</v>
      </c>
      <c r="G353" s="50" t="n">
        <f aca="false">IFERROR(INDEX('Output Utente'!$O$2:$O$492,MATCH(350,'Output Utente'!$Q$2:$Q$492,0)),"")</f>
        <v>8</v>
      </c>
      <c r="H353" s="7" t="str">
        <f aca="false">IFERROR(INDEX('Output Utente'!$P$2:$P$492,MATCH(350,'Output Utente'!$Q$2:$Q$492,0)),"")</f>
        <v>Scommessa/Riserva</v>
      </c>
      <c r="I353" s="50" t="n">
        <f aca="false">IFERROR(INDEX('Output Utente'!$F$2:$F$492,MATCH(350,'Output Utente'!$Q$2:$Q$492,0)),"")</f>
        <v>4</v>
      </c>
      <c r="J353" s="50" t="n">
        <f aca="false">IFERROR(INDEX('Output Utente'!$G$2:$G$492,MATCH(350,'Output Utente'!$Q$2:$Q$492,0)),"")</f>
        <v>3</v>
      </c>
      <c r="K353" s="50" t="n">
        <f aca="false">IFERROR(INDEX('Output Utente'!$H$2:$H$492,MATCH(350,'Output Utente'!$Q$2:$Q$492,0)),"")</f>
        <v>5</v>
      </c>
      <c r="L353" s="7" t="str">
        <f aca="false">IFERROR(INDEX('Output Utente'!$E$2:$E$492,MATCH(350,'Output Utente'!$Q$2:$Q$492,0)),"")</f>
        <v>NO</v>
      </c>
      <c r="M353" s="7" t="str">
        <f aca="false">IFERROR(INDEX('Output Utente'!$U$2:$U$492,MATCH(350,'Output Utente'!$Q$2:$Q$492,0)),"")</f>
        <v>OK</v>
      </c>
      <c r="N353" s="7" t="str">
        <f aca="false">IFERROR(INDEX('Output Utente'!$AE$2:$AE$492,MATCH(350,'Output Utente'!$Q$2:$Q$492,0)),"")</f>
        <v>🟡 Attesa rischiosa</v>
      </c>
    </row>
    <row r="354" customFormat="false" ht="15" hidden="false" customHeight="true" outlineLevel="0" collapsed="false">
      <c r="A354" s="49" t="n">
        <v>351</v>
      </c>
      <c r="B354" s="7" t="n">
        <f aca="false">IFERROR(INDEX('Output Utente'!$A$2:$A$492,MATCH(351,'Output Utente'!$Q$2:$Q$492,0)),"")</f>
        <v>6895</v>
      </c>
      <c r="C354" s="7" t="str">
        <f aca="false">IFERROR(INDEX('Output Utente'!$B$2:$B$492,MATCH(351,'Output Utente'!$Q$2:$Q$492,0)),"")</f>
        <v>C</v>
      </c>
      <c r="D354" s="7" t="str">
        <f aca="false">IFERROR(INDEX('Output Utente'!$C$2:$C$492,MATCH(351,'Output Utente'!$Q$2:$Q$492,0)),"")</f>
        <v>Dominguez B.</v>
      </c>
      <c r="E354" s="7" t="str">
        <f aca="false">IFERROR(INDEX('Input Giocatori 2026_27'!$D$3:$D$493,MATCH($B354,'Input Giocatori 2026_27'!$A$3:$A$493,0)),"")</f>
        <v>Bologna</v>
      </c>
      <c r="F354" s="50" t="n">
        <f aca="false">IFERROR(INDEX('Output Utente'!$N$2:$N$492,MATCH(351,'Output Utente'!$Q$2:$Q$492,0)),"")</f>
        <v>3</v>
      </c>
      <c r="G354" s="50" t="n">
        <f aca="false">IFERROR(INDEX('Output Utente'!$O$2:$O$492,MATCH(351,'Output Utente'!$Q$2:$Q$492,0)),"")</f>
        <v>8</v>
      </c>
      <c r="H354" s="7" t="str">
        <f aca="false">IFERROR(INDEX('Output Utente'!$P$2:$P$492,MATCH(351,'Output Utente'!$Q$2:$Q$492,0)),"")</f>
        <v>Scommessa/Riserva</v>
      </c>
      <c r="I354" s="50" t="n">
        <f aca="false">IFERROR(INDEX('Output Utente'!$F$2:$F$492,MATCH(351,'Output Utente'!$Q$2:$Q$492,0)),"")</f>
        <v>4</v>
      </c>
      <c r="J354" s="50" t="n">
        <f aca="false">IFERROR(INDEX('Output Utente'!$G$2:$G$492,MATCH(351,'Output Utente'!$Q$2:$Q$492,0)),"")</f>
        <v>3</v>
      </c>
      <c r="K354" s="50" t="n">
        <f aca="false">IFERROR(INDEX('Output Utente'!$H$2:$H$492,MATCH(351,'Output Utente'!$Q$2:$Q$492,0)),"")</f>
        <v>5</v>
      </c>
      <c r="L354" s="7" t="str">
        <f aca="false">IFERROR(INDEX('Output Utente'!$E$2:$E$492,MATCH(351,'Output Utente'!$Q$2:$Q$492,0)),"")</f>
        <v>NO</v>
      </c>
      <c r="M354" s="7" t="str">
        <f aca="false">IFERROR(INDEX('Output Utente'!$U$2:$U$492,MATCH(351,'Output Utente'!$Q$2:$Q$492,0)),"")</f>
        <v>OK</v>
      </c>
      <c r="N354" s="7" t="str">
        <f aca="false">IFERROR(INDEX('Output Utente'!$AE$2:$AE$492,MATCH(351,'Output Utente'!$Q$2:$Q$492,0)),"")</f>
        <v>🟡 Attesa rischiosa</v>
      </c>
    </row>
    <row r="355" customFormat="false" ht="15" hidden="false" customHeight="true" outlineLevel="0" collapsed="false">
      <c r="A355" s="49" t="n">
        <v>352</v>
      </c>
      <c r="B355" s="7" t="n">
        <f aca="false">IFERROR(INDEX('Output Utente'!$A$2:$A$492,MATCH(352,'Output Utente'!$Q$2:$Q$492,0)),"")</f>
        <v>1871</v>
      </c>
      <c r="C355" s="7" t="str">
        <f aca="false">IFERROR(INDEX('Output Utente'!$B$2:$B$492,MATCH(352,'Output Utente'!$Q$2:$Q$492,0)),"")</f>
        <v>C</v>
      </c>
      <c r="D355" s="7" t="str">
        <f aca="false">IFERROR(INDEX('Output Utente'!$C$2:$C$492,MATCH(352,'Output Utente'!$Q$2:$Q$492,0)),"")</f>
        <v>Deiola</v>
      </c>
      <c r="E355" s="7" t="str">
        <f aca="false">IFERROR(INDEX('Input Giocatori 2026_27'!$D$3:$D$493,MATCH($B355,'Input Giocatori 2026_27'!$A$3:$A$493,0)),"")</f>
        <v>Cagliari</v>
      </c>
      <c r="F355" s="50" t="n">
        <f aca="false">IFERROR(INDEX('Output Utente'!$N$2:$N$492,MATCH(352,'Output Utente'!$Q$2:$Q$492,0)),"")</f>
        <v>3</v>
      </c>
      <c r="G355" s="50" t="n">
        <f aca="false">IFERROR(INDEX('Output Utente'!$O$2:$O$492,MATCH(352,'Output Utente'!$Q$2:$Q$492,0)),"")</f>
        <v>8</v>
      </c>
      <c r="H355" s="7" t="str">
        <f aca="false">IFERROR(INDEX('Output Utente'!$P$2:$P$492,MATCH(352,'Output Utente'!$Q$2:$Q$492,0)),"")</f>
        <v>Scommessa/Riserva</v>
      </c>
      <c r="I355" s="50" t="n">
        <f aca="false">IFERROR(INDEX('Output Utente'!$F$2:$F$492,MATCH(352,'Output Utente'!$Q$2:$Q$492,0)),"")</f>
        <v>4</v>
      </c>
      <c r="J355" s="50" t="n">
        <f aca="false">IFERROR(INDEX('Output Utente'!$G$2:$G$492,MATCH(352,'Output Utente'!$Q$2:$Q$492,0)),"")</f>
        <v>3</v>
      </c>
      <c r="K355" s="50" t="n">
        <f aca="false">IFERROR(INDEX('Output Utente'!$H$2:$H$492,MATCH(352,'Output Utente'!$Q$2:$Q$492,0)),"")</f>
        <v>5</v>
      </c>
      <c r="L355" s="7" t="str">
        <f aca="false">IFERROR(INDEX('Output Utente'!$E$2:$E$492,MATCH(352,'Output Utente'!$Q$2:$Q$492,0)),"")</f>
        <v>NO</v>
      </c>
      <c r="M355" s="7" t="str">
        <f aca="false">IFERROR(INDEX('Output Utente'!$U$2:$U$492,MATCH(352,'Output Utente'!$Q$2:$Q$492,0)),"")</f>
        <v>OK</v>
      </c>
      <c r="N355" s="7" t="str">
        <f aca="false">IFERROR(INDEX('Output Utente'!$AE$2:$AE$492,MATCH(352,'Output Utente'!$Q$2:$Q$492,0)),"")</f>
        <v>🟡 Attesa rischiosa</v>
      </c>
    </row>
    <row r="356" customFormat="false" ht="15" hidden="false" customHeight="true" outlineLevel="0" collapsed="false">
      <c r="A356" s="49" t="n">
        <v>353</v>
      </c>
      <c r="B356" s="7" t="n">
        <f aca="false">IFERROR(INDEX('Output Utente'!$A$2:$A$492,MATCH(353,'Output Utente'!$Q$2:$Q$492,0)),"")</f>
        <v>6241</v>
      </c>
      <c r="C356" s="7" t="str">
        <f aca="false">IFERROR(INDEX('Output Utente'!$B$2:$B$492,MATCH(353,'Output Utente'!$Q$2:$Q$492,0)),"")</f>
        <v>C</v>
      </c>
      <c r="D356" s="7" t="str">
        <f aca="false">IFERROR(INDEX('Output Utente'!$C$2:$C$492,MATCH(353,'Output Utente'!$Q$2:$Q$492,0)),"")</f>
        <v>Gelli F.</v>
      </c>
      <c r="E356" s="7" t="str">
        <f aca="false">IFERROR(INDEX('Input Giocatori 2026_27'!$D$3:$D$493,MATCH($B356,'Input Giocatori 2026_27'!$A$3:$A$493,0)),"")</f>
        <v>Frosinone</v>
      </c>
      <c r="F356" s="50" t="n">
        <f aca="false">IFERROR(INDEX('Output Utente'!$N$2:$N$492,MATCH(353,'Output Utente'!$Q$2:$Q$492,0)),"")</f>
        <v>3</v>
      </c>
      <c r="G356" s="50" t="n">
        <f aca="false">IFERROR(INDEX('Output Utente'!$O$2:$O$492,MATCH(353,'Output Utente'!$Q$2:$Q$492,0)),"")</f>
        <v>8</v>
      </c>
      <c r="H356" s="7" t="str">
        <f aca="false">IFERROR(INDEX('Output Utente'!$P$2:$P$492,MATCH(353,'Output Utente'!$Q$2:$Q$492,0)),"")</f>
        <v>Scommessa/Riserva</v>
      </c>
      <c r="I356" s="50" t="n">
        <f aca="false">IFERROR(INDEX('Output Utente'!$F$2:$F$492,MATCH(353,'Output Utente'!$Q$2:$Q$492,0)),"")</f>
        <v>4</v>
      </c>
      <c r="J356" s="50" t="n">
        <f aca="false">IFERROR(INDEX('Output Utente'!$G$2:$G$492,MATCH(353,'Output Utente'!$Q$2:$Q$492,0)),"")</f>
        <v>3</v>
      </c>
      <c r="K356" s="50" t="n">
        <f aca="false">IFERROR(INDEX('Output Utente'!$H$2:$H$492,MATCH(353,'Output Utente'!$Q$2:$Q$492,0)),"")</f>
        <v>5</v>
      </c>
      <c r="L356" s="7" t="str">
        <f aca="false">IFERROR(INDEX('Output Utente'!$E$2:$E$492,MATCH(353,'Output Utente'!$Q$2:$Q$492,0)),"")</f>
        <v>NO</v>
      </c>
      <c r="M356" s="7" t="str">
        <f aca="false">IFERROR(INDEX('Output Utente'!$U$2:$U$492,MATCH(353,'Output Utente'!$Q$2:$Q$492,0)),"")</f>
        <v>OK</v>
      </c>
      <c r="N356" s="7" t="str">
        <f aca="false">IFERROR(INDEX('Output Utente'!$AE$2:$AE$492,MATCH(353,'Output Utente'!$Q$2:$Q$492,0)),"")</f>
        <v>🟡 Attesa rischiosa</v>
      </c>
    </row>
    <row r="357" customFormat="false" ht="15" hidden="false" customHeight="true" outlineLevel="0" collapsed="false">
      <c r="A357" s="49" t="n">
        <v>354</v>
      </c>
      <c r="B357" s="7" t="n">
        <f aca="false">IFERROR(INDEX('Output Utente'!$A$2:$A$492,MATCH(354,'Output Utente'!$Q$2:$Q$492,0)),"")</f>
        <v>4970</v>
      </c>
      <c r="C357" s="7" t="str">
        <f aca="false">IFERROR(INDEX('Output Utente'!$B$2:$B$492,MATCH(354,'Output Utente'!$Q$2:$Q$492,0)),"")</f>
        <v>C</v>
      </c>
      <c r="D357" s="7" t="str">
        <f aca="false">IFERROR(INDEX('Output Utente'!$C$2:$C$492,MATCH(354,'Output Utente'!$Q$2:$Q$492,0)),"")</f>
        <v>Messias</v>
      </c>
      <c r="E357" s="7" t="str">
        <f aca="false">IFERROR(INDEX('Input Giocatori 2026_27'!$D$3:$D$493,MATCH($B357,'Input Giocatori 2026_27'!$A$3:$A$493,0)),"")</f>
        <v>Genoa</v>
      </c>
      <c r="F357" s="50" t="n">
        <f aca="false">IFERROR(INDEX('Output Utente'!$N$2:$N$492,MATCH(354,'Output Utente'!$Q$2:$Q$492,0)),"")</f>
        <v>3</v>
      </c>
      <c r="G357" s="50" t="n">
        <f aca="false">IFERROR(INDEX('Output Utente'!$O$2:$O$492,MATCH(354,'Output Utente'!$Q$2:$Q$492,0)),"")</f>
        <v>8</v>
      </c>
      <c r="H357" s="7" t="str">
        <f aca="false">IFERROR(INDEX('Output Utente'!$P$2:$P$492,MATCH(354,'Output Utente'!$Q$2:$Q$492,0)),"")</f>
        <v>Scommessa/Riserva</v>
      </c>
      <c r="I357" s="50" t="n">
        <f aca="false">IFERROR(INDEX('Output Utente'!$F$2:$F$492,MATCH(354,'Output Utente'!$Q$2:$Q$492,0)),"")</f>
        <v>4</v>
      </c>
      <c r="J357" s="50" t="n">
        <f aca="false">IFERROR(INDEX('Output Utente'!$G$2:$G$492,MATCH(354,'Output Utente'!$Q$2:$Q$492,0)),"")</f>
        <v>3</v>
      </c>
      <c r="K357" s="50" t="n">
        <f aca="false">IFERROR(INDEX('Output Utente'!$H$2:$H$492,MATCH(354,'Output Utente'!$Q$2:$Q$492,0)),"")</f>
        <v>5</v>
      </c>
      <c r="L357" s="7" t="str">
        <f aca="false">IFERROR(INDEX('Output Utente'!$E$2:$E$492,MATCH(354,'Output Utente'!$Q$2:$Q$492,0)),"")</f>
        <v>NO</v>
      </c>
      <c r="M357" s="7" t="str">
        <f aca="false">IFERROR(INDEX('Output Utente'!$U$2:$U$492,MATCH(354,'Output Utente'!$Q$2:$Q$492,0)),"")</f>
        <v>OK</v>
      </c>
      <c r="N357" s="7" t="str">
        <f aca="false">IFERROR(INDEX('Output Utente'!$AE$2:$AE$492,MATCH(354,'Output Utente'!$Q$2:$Q$492,0)),"")</f>
        <v>🟡 Attesa rischiosa</v>
      </c>
    </row>
    <row r="358" customFormat="false" ht="15" hidden="false" customHeight="true" outlineLevel="0" collapsed="false">
      <c r="A358" s="49" t="n">
        <v>355</v>
      </c>
      <c r="B358" s="7" t="n">
        <f aca="false">IFERROR(INDEX('Output Utente'!$A$2:$A$492,MATCH(355,'Output Utente'!$Q$2:$Q$492,0)),"")</f>
        <v>5578</v>
      </c>
      <c r="C358" s="7" t="str">
        <f aca="false">IFERROR(INDEX('Output Utente'!$B$2:$B$492,MATCH(355,'Output Utente'!$Q$2:$Q$492,0)),"")</f>
        <v>D</v>
      </c>
      <c r="D358" s="7" t="str">
        <f aca="false">IFERROR(INDEX('Output Utente'!$C$2:$C$492,MATCH(355,'Output Utente'!$Q$2:$Q$492,0)),"")</f>
        <v>Kossounou</v>
      </c>
      <c r="E358" s="7" t="str">
        <f aca="false">IFERROR(INDEX('Input Giocatori 2026_27'!$D$3:$D$493,MATCH($B358,'Input Giocatori 2026_27'!$A$3:$A$493,0)),"")</f>
        <v>Atalanta</v>
      </c>
      <c r="F358" s="50" t="n">
        <f aca="false">IFERROR(INDEX('Output Utente'!$N$2:$N$492,MATCH(355,'Output Utente'!$Q$2:$Q$492,0)),"")</f>
        <v>3</v>
      </c>
      <c r="G358" s="50" t="n">
        <f aca="false">IFERROR(INDEX('Output Utente'!$O$2:$O$492,MATCH(355,'Output Utente'!$Q$2:$Q$492,0)),"")</f>
        <v>7</v>
      </c>
      <c r="H358" s="7" t="str">
        <f aca="false">IFERROR(INDEX('Output Utente'!$P$2:$P$492,MATCH(355,'Output Utente'!$Q$2:$Q$492,0)),"")</f>
        <v>Scommessa/Riserva</v>
      </c>
      <c r="I358" s="50" t="n">
        <f aca="false">IFERROR(INDEX('Output Utente'!$F$2:$F$492,MATCH(355,'Output Utente'!$Q$2:$Q$492,0)),"")</f>
        <v>3</v>
      </c>
      <c r="J358" s="50" t="n">
        <f aca="false">IFERROR(INDEX('Output Utente'!$G$2:$G$492,MATCH(355,'Output Utente'!$Q$2:$Q$492,0)),"")</f>
        <v>2</v>
      </c>
      <c r="K358" s="50" t="n">
        <f aca="false">IFERROR(INDEX('Output Utente'!$H$2:$H$492,MATCH(355,'Output Utente'!$Q$2:$Q$492,0)),"")</f>
        <v>4</v>
      </c>
      <c r="L358" s="7" t="str">
        <f aca="false">IFERROR(INDEX('Output Utente'!$E$2:$E$492,MATCH(355,'Output Utente'!$Q$2:$Q$492,0)),"")</f>
        <v>NO</v>
      </c>
      <c r="M358" s="7" t="str">
        <f aca="false">IFERROR(INDEX('Output Utente'!$U$2:$U$492,MATCH(355,'Output Utente'!$Q$2:$Q$492,0)),"")</f>
        <v>OK</v>
      </c>
      <c r="N358" s="7" t="str">
        <f aca="false">IFERROR(INDEX('Output Utente'!$AE$2:$AE$492,MATCH(355,'Output Utente'!$Q$2:$Q$492,0)),"")</f>
        <v>🟡 Attesa rischiosa</v>
      </c>
    </row>
    <row r="359" customFormat="false" ht="15" hidden="false" customHeight="true" outlineLevel="0" collapsed="false">
      <c r="A359" s="49" t="n">
        <v>356</v>
      </c>
      <c r="B359" s="7" t="n">
        <f aca="false">IFERROR(INDEX('Output Utente'!$A$2:$A$492,MATCH(356,'Output Utente'!$Q$2:$Q$492,0)),"")</f>
        <v>7125</v>
      </c>
      <c r="C359" s="7" t="str">
        <f aca="false">IFERROR(INDEX('Output Utente'!$B$2:$B$492,MATCH(356,'Output Utente'!$Q$2:$Q$492,0)),"")</f>
        <v>D</v>
      </c>
      <c r="D359" s="7" t="str">
        <f aca="false">IFERROR(INDEX('Output Utente'!$C$2:$C$492,MATCH(356,'Output Utente'!$Q$2:$Q$492,0)),"")</f>
        <v>Idrissi R.</v>
      </c>
      <c r="E359" s="7" t="str">
        <f aca="false">IFERROR(INDEX('Input Giocatori 2026_27'!$D$3:$D$493,MATCH($B359,'Input Giocatori 2026_27'!$A$3:$A$493,0)),"")</f>
        <v>Cagliari</v>
      </c>
      <c r="F359" s="50" t="n">
        <f aca="false">IFERROR(INDEX('Output Utente'!$N$2:$N$492,MATCH(356,'Output Utente'!$Q$2:$Q$492,0)),"")</f>
        <v>3</v>
      </c>
      <c r="G359" s="50" t="n">
        <f aca="false">IFERROR(INDEX('Output Utente'!$O$2:$O$492,MATCH(356,'Output Utente'!$Q$2:$Q$492,0)),"")</f>
        <v>7</v>
      </c>
      <c r="H359" s="7" t="str">
        <f aca="false">IFERROR(INDEX('Output Utente'!$P$2:$P$492,MATCH(356,'Output Utente'!$Q$2:$Q$492,0)),"")</f>
        <v>Scommessa/Riserva</v>
      </c>
      <c r="I359" s="50" t="n">
        <f aca="false">IFERROR(INDEX('Output Utente'!$F$2:$F$492,MATCH(356,'Output Utente'!$Q$2:$Q$492,0)),"")</f>
        <v>3</v>
      </c>
      <c r="J359" s="50" t="n">
        <f aca="false">IFERROR(INDEX('Output Utente'!$G$2:$G$492,MATCH(356,'Output Utente'!$Q$2:$Q$492,0)),"")</f>
        <v>2</v>
      </c>
      <c r="K359" s="50" t="n">
        <f aca="false">IFERROR(INDEX('Output Utente'!$H$2:$H$492,MATCH(356,'Output Utente'!$Q$2:$Q$492,0)),"")</f>
        <v>4</v>
      </c>
      <c r="L359" s="7" t="str">
        <f aca="false">IFERROR(INDEX('Output Utente'!$E$2:$E$492,MATCH(356,'Output Utente'!$Q$2:$Q$492,0)),"")</f>
        <v>NO</v>
      </c>
      <c r="M359" s="7" t="str">
        <f aca="false">IFERROR(INDEX('Output Utente'!$U$2:$U$492,MATCH(356,'Output Utente'!$Q$2:$Q$492,0)),"")</f>
        <v>OK</v>
      </c>
      <c r="N359" s="7" t="str">
        <f aca="false">IFERROR(INDEX('Output Utente'!$AE$2:$AE$492,MATCH(356,'Output Utente'!$Q$2:$Q$492,0)),"")</f>
        <v>🟡 Attesa rischiosa</v>
      </c>
    </row>
    <row r="360" customFormat="false" ht="15" hidden="false" customHeight="true" outlineLevel="0" collapsed="false">
      <c r="A360" s="49" t="n">
        <v>357</v>
      </c>
      <c r="B360" s="7" t="n">
        <f aca="false">IFERROR(INDEX('Output Utente'!$A$2:$A$492,MATCH(357,'Output Utente'!$Q$2:$Q$492,0)),"")</f>
        <v>4378</v>
      </c>
      <c r="C360" s="7" t="str">
        <f aca="false">IFERROR(INDEX('Output Utente'!$B$2:$B$492,MATCH(357,'Output Utente'!$Q$2:$Q$492,0)),"")</f>
        <v>D</v>
      </c>
      <c r="D360" s="7" t="str">
        <f aca="false">IFERROR(INDEX('Output Utente'!$C$2:$C$492,MATCH(357,'Output Utente'!$Q$2:$Q$492,0)),"")</f>
        <v>Ranieri L.</v>
      </c>
      <c r="E360" s="7" t="str">
        <f aca="false">IFERROR(INDEX('Input Giocatori 2026_27'!$D$3:$D$493,MATCH($B360,'Input Giocatori 2026_27'!$A$3:$A$493,0)),"")</f>
        <v>Fiorentina</v>
      </c>
      <c r="F360" s="50" t="n">
        <f aca="false">IFERROR(INDEX('Output Utente'!$N$2:$N$492,MATCH(357,'Output Utente'!$Q$2:$Q$492,0)),"")</f>
        <v>3</v>
      </c>
      <c r="G360" s="50" t="n">
        <f aca="false">IFERROR(INDEX('Output Utente'!$O$2:$O$492,MATCH(357,'Output Utente'!$Q$2:$Q$492,0)),"")</f>
        <v>7</v>
      </c>
      <c r="H360" s="7" t="str">
        <f aca="false">IFERROR(INDEX('Output Utente'!$P$2:$P$492,MATCH(357,'Output Utente'!$Q$2:$Q$492,0)),"")</f>
        <v>Scommessa/Riserva</v>
      </c>
      <c r="I360" s="50" t="n">
        <f aca="false">IFERROR(INDEX('Output Utente'!$F$2:$F$492,MATCH(357,'Output Utente'!$Q$2:$Q$492,0)),"")</f>
        <v>3</v>
      </c>
      <c r="J360" s="50" t="n">
        <f aca="false">IFERROR(INDEX('Output Utente'!$G$2:$G$492,MATCH(357,'Output Utente'!$Q$2:$Q$492,0)),"")</f>
        <v>2</v>
      </c>
      <c r="K360" s="50" t="n">
        <f aca="false">IFERROR(INDEX('Output Utente'!$H$2:$H$492,MATCH(357,'Output Utente'!$Q$2:$Q$492,0)),"")</f>
        <v>4</v>
      </c>
      <c r="L360" s="7" t="str">
        <f aca="false">IFERROR(INDEX('Output Utente'!$E$2:$E$492,MATCH(357,'Output Utente'!$Q$2:$Q$492,0)),"")</f>
        <v>NO</v>
      </c>
      <c r="M360" s="7" t="str">
        <f aca="false">IFERROR(INDEX('Output Utente'!$U$2:$U$492,MATCH(357,'Output Utente'!$Q$2:$Q$492,0)),"")</f>
        <v>OK</v>
      </c>
      <c r="N360" s="7" t="str">
        <f aca="false">IFERROR(INDEX('Output Utente'!$AE$2:$AE$492,MATCH(357,'Output Utente'!$Q$2:$Q$492,0)),"")</f>
        <v>🟡 Attesa rischiosa</v>
      </c>
    </row>
    <row r="361" customFormat="false" ht="15" hidden="false" customHeight="true" outlineLevel="0" collapsed="false">
      <c r="A361" s="49" t="n">
        <v>358</v>
      </c>
      <c r="B361" s="7" t="n">
        <f aca="false">IFERROR(INDEX('Output Utente'!$A$2:$A$492,MATCH(358,'Output Utente'!$Q$2:$Q$492,0)),"")</f>
        <v>7175</v>
      </c>
      <c r="C361" s="7" t="str">
        <f aca="false">IFERROR(INDEX('Output Utente'!$B$2:$B$492,MATCH(358,'Output Utente'!$Q$2:$Q$492,0)),"")</f>
        <v>D</v>
      </c>
      <c r="D361" s="7" t="str">
        <f aca="false">IFERROR(INDEX('Output Utente'!$C$2:$C$492,MATCH(358,'Output Utente'!$Q$2:$Q$492,0)),"")</f>
        <v>Joao Mario</v>
      </c>
      <c r="E361" s="7" t="str">
        <f aca="false">IFERROR(INDEX('Input Giocatori 2026_27'!$D$3:$D$493,MATCH($B361,'Input Giocatori 2026_27'!$A$3:$A$493,0)),"")</f>
        <v>Fiorentina</v>
      </c>
      <c r="F361" s="50" t="n">
        <f aca="false">IFERROR(INDEX('Output Utente'!$N$2:$N$492,MATCH(358,'Output Utente'!$Q$2:$Q$492,0)),"")</f>
        <v>3</v>
      </c>
      <c r="G361" s="50" t="n">
        <f aca="false">IFERROR(INDEX('Output Utente'!$O$2:$O$492,MATCH(358,'Output Utente'!$Q$2:$Q$492,0)),"")</f>
        <v>7</v>
      </c>
      <c r="H361" s="7" t="str">
        <f aca="false">IFERROR(INDEX('Output Utente'!$P$2:$P$492,MATCH(358,'Output Utente'!$Q$2:$Q$492,0)),"")</f>
        <v>Scommessa/Riserva</v>
      </c>
      <c r="I361" s="50" t="n">
        <f aca="false">IFERROR(INDEX('Output Utente'!$F$2:$F$492,MATCH(358,'Output Utente'!$Q$2:$Q$492,0)),"")</f>
        <v>3</v>
      </c>
      <c r="J361" s="50" t="n">
        <f aca="false">IFERROR(INDEX('Output Utente'!$G$2:$G$492,MATCH(358,'Output Utente'!$Q$2:$Q$492,0)),"")</f>
        <v>2</v>
      </c>
      <c r="K361" s="50" t="n">
        <f aca="false">IFERROR(INDEX('Output Utente'!$H$2:$H$492,MATCH(358,'Output Utente'!$Q$2:$Q$492,0)),"")</f>
        <v>4</v>
      </c>
      <c r="L361" s="7" t="str">
        <f aca="false">IFERROR(INDEX('Output Utente'!$E$2:$E$492,MATCH(358,'Output Utente'!$Q$2:$Q$492,0)),"")</f>
        <v>NO</v>
      </c>
      <c r="M361" s="7" t="str">
        <f aca="false">IFERROR(INDEX('Output Utente'!$U$2:$U$492,MATCH(358,'Output Utente'!$Q$2:$Q$492,0)),"")</f>
        <v>OK</v>
      </c>
      <c r="N361" s="7" t="str">
        <f aca="false">IFERROR(INDEX('Output Utente'!$AE$2:$AE$492,MATCH(358,'Output Utente'!$Q$2:$Q$492,0)),"")</f>
        <v>🟡 Attesa rischiosa</v>
      </c>
    </row>
    <row r="362" customFormat="false" ht="15" hidden="false" customHeight="true" outlineLevel="0" collapsed="false">
      <c r="A362" s="49" t="n">
        <v>359</v>
      </c>
      <c r="B362" s="7" t="n">
        <f aca="false">IFERROR(INDEX('Output Utente'!$A$2:$A$492,MATCH(359,'Output Utente'!$Q$2:$Q$492,0)),"")</f>
        <v>7540</v>
      </c>
      <c r="C362" s="7" t="str">
        <f aca="false">IFERROR(INDEX('Output Utente'!$B$2:$B$492,MATCH(359,'Output Utente'!$Q$2:$Q$492,0)),"")</f>
        <v>D</v>
      </c>
      <c r="D362" s="7" t="str">
        <f aca="false">IFERROR(INDEX('Output Utente'!$C$2:$C$492,MATCH(359,'Output Utente'!$Q$2:$Q$492,0)),"")</f>
        <v>Akpoguma</v>
      </c>
      <c r="E362" s="7" t="str">
        <f aca="false">IFERROR(INDEX('Input Giocatori 2026_27'!$D$3:$D$493,MATCH($B362,'Input Giocatori 2026_27'!$A$3:$A$493,0)),"")</f>
        <v>Frosinone</v>
      </c>
      <c r="F362" s="50" t="n">
        <f aca="false">IFERROR(INDEX('Output Utente'!$N$2:$N$492,MATCH(359,'Output Utente'!$Q$2:$Q$492,0)),"")</f>
        <v>3</v>
      </c>
      <c r="G362" s="50" t="n">
        <f aca="false">IFERROR(INDEX('Output Utente'!$O$2:$O$492,MATCH(359,'Output Utente'!$Q$2:$Q$492,0)),"")</f>
        <v>7</v>
      </c>
      <c r="H362" s="7" t="str">
        <f aca="false">IFERROR(INDEX('Output Utente'!$P$2:$P$492,MATCH(359,'Output Utente'!$Q$2:$Q$492,0)),"")</f>
        <v>Scommessa/Riserva</v>
      </c>
      <c r="I362" s="50" t="n">
        <f aca="false">IFERROR(INDEX('Output Utente'!$F$2:$F$492,MATCH(359,'Output Utente'!$Q$2:$Q$492,0)),"")</f>
        <v>3</v>
      </c>
      <c r="J362" s="50" t="n">
        <f aca="false">IFERROR(INDEX('Output Utente'!$G$2:$G$492,MATCH(359,'Output Utente'!$Q$2:$Q$492,0)),"")</f>
        <v>2</v>
      </c>
      <c r="K362" s="50" t="n">
        <f aca="false">IFERROR(INDEX('Output Utente'!$H$2:$H$492,MATCH(359,'Output Utente'!$Q$2:$Q$492,0)),"")</f>
        <v>4</v>
      </c>
      <c r="L362" s="7" t="str">
        <f aca="false">IFERROR(INDEX('Output Utente'!$E$2:$E$492,MATCH(359,'Output Utente'!$Q$2:$Q$492,0)),"")</f>
        <v>NO</v>
      </c>
      <c r="M362" s="7" t="str">
        <f aca="false">IFERROR(INDEX('Output Utente'!$U$2:$U$492,MATCH(359,'Output Utente'!$Q$2:$Q$492,0)),"")</f>
        <v>OK</v>
      </c>
      <c r="N362" s="7" t="str">
        <f aca="false">IFERROR(INDEX('Output Utente'!$AE$2:$AE$492,MATCH(359,'Output Utente'!$Q$2:$Q$492,0)),"")</f>
        <v>🟡 Attesa rischiosa</v>
      </c>
    </row>
    <row r="363" customFormat="false" ht="15" hidden="false" customHeight="true" outlineLevel="0" collapsed="false">
      <c r="A363" s="49" t="n">
        <v>360</v>
      </c>
      <c r="B363" s="7" t="n">
        <f aca="false">IFERROR(INDEX('Output Utente'!$A$2:$A$492,MATCH(360,'Output Utente'!$Q$2:$Q$492,0)),"")</f>
        <v>6892</v>
      </c>
      <c r="C363" s="7" t="str">
        <f aca="false">IFERROR(INDEX('Output Utente'!$B$2:$B$492,MATCH(360,'Output Utente'!$Q$2:$Q$492,0)),"")</f>
        <v>D</v>
      </c>
      <c r="D363" s="7" t="str">
        <f aca="false">IFERROR(INDEX('Output Utente'!$C$2:$C$492,MATCH(360,'Output Utente'!$Q$2:$Q$492,0)),"")</f>
        <v>Schingtienne</v>
      </c>
      <c r="E363" s="7" t="str">
        <f aca="false">IFERROR(INDEX('Input Giocatori 2026_27'!$D$3:$D$493,MATCH($B363,'Input Giocatori 2026_27'!$A$3:$A$493,0)),"")</f>
        <v>Venezia</v>
      </c>
      <c r="F363" s="50" t="n">
        <f aca="false">IFERROR(INDEX('Output Utente'!$N$2:$N$492,MATCH(360,'Output Utente'!$Q$2:$Q$492,0)),"")</f>
        <v>3</v>
      </c>
      <c r="G363" s="50" t="n">
        <f aca="false">IFERROR(INDEX('Output Utente'!$O$2:$O$492,MATCH(360,'Output Utente'!$Q$2:$Q$492,0)),"")</f>
        <v>7</v>
      </c>
      <c r="H363" s="7" t="str">
        <f aca="false">IFERROR(INDEX('Output Utente'!$P$2:$P$492,MATCH(360,'Output Utente'!$Q$2:$Q$492,0)),"")</f>
        <v>Scommessa/Riserva</v>
      </c>
      <c r="I363" s="50" t="n">
        <f aca="false">IFERROR(INDEX('Output Utente'!$F$2:$F$492,MATCH(360,'Output Utente'!$Q$2:$Q$492,0)),"")</f>
        <v>3</v>
      </c>
      <c r="J363" s="50" t="n">
        <f aca="false">IFERROR(INDEX('Output Utente'!$G$2:$G$492,MATCH(360,'Output Utente'!$Q$2:$Q$492,0)),"")</f>
        <v>2</v>
      </c>
      <c r="K363" s="50" t="n">
        <f aca="false">IFERROR(INDEX('Output Utente'!$H$2:$H$492,MATCH(360,'Output Utente'!$Q$2:$Q$492,0)),"")</f>
        <v>4</v>
      </c>
      <c r="L363" s="7" t="str">
        <f aca="false">IFERROR(INDEX('Output Utente'!$E$2:$E$492,MATCH(360,'Output Utente'!$Q$2:$Q$492,0)),"")</f>
        <v>NO</v>
      </c>
      <c r="M363" s="7" t="str">
        <f aca="false">IFERROR(INDEX('Output Utente'!$U$2:$U$492,MATCH(360,'Output Utente'!$Q$2:$Q$492,0)),"")</f>
        <v>OK</v>
      </c>
      <c r="N363" s="7" t="str">
        <f aca="false">IFERROR(INDEX('Output Utente'!$AE$2:$AE$492,MATCH(360,'Output Utente'!$Q$2:$Q$492,0)),"")</f>
        <v>🟡 Attesa rischiosa</v>
      </c>
    </row>
    <row r="364" customFormat="false" ht="15" hidden="false" customHeight="true" outlineLevel="0" collapsed="false">
      <c r="A364" s="49" t="n">
        <v>361</v>
      </c>
      <c r="B364" s="7" t="n">
        <f aca="false">IFERROR(INDEX('Output Utente'!$A$2:$A$492,MATCH(361,'Output Utente'!$Q$2:$Q$492,0)),"")</f>
        <v>6673</v>
      </c>
      <c r="C364" s="7" t="str">
        <f aca="false">IFERROR(INDEX('Output Utente'!$B$2:$B$492,MATCH(361,'Output Utente'!$Q$2:$Q$492,0)),"")</f>
        <v>D</v>
      </c>
      <c r="D364" s="7" t="str">
        <f aca="false">IFERROR(INDEX('Output Utente'!$C$2:$C$492,MATCH(361,'Output Utente'!$Q$2:$Q$492,0)),"")</f>
        <v>Sverko</v>
      </c>
      <c r="E364" s="7" t="str">
        <f aca="false">IFERROR(INDEX('Input Giocatori 2026_27'!$D$3:$D$493,MATCH($B364,'Input Giocatori 2026_27'!$A$3:$A$493,0)),"")</f>
        <v>Venezia</v>
      </c>
      <c r="F364" s="50" t="n">
        <f aca="false">IFERROR(INDEX('Output Utente'!$N$2:$N$492,MATCH(361,'Output Utente'!$Q$2:$Q$492,0)),"")</f>
        <v>3</v>
      </c>
      <c r="G364" s="50" t="n">
        <f aca="false">IFERROR(INDEX('Output Utente'!$O$2:$O$492,MATCH(361,'Output Utente'!$Q$2:$Q$492,0)),"")</f>
        <v>7</v>
      </c>
      <c r="H364" s="7" t="str">
        <f aca="false">IFERROR(INDEX('Output Utente'!$P$2:$P$492,MATCH(361,'Output Utente'!$Q$2:$Q$492,0)),"")</f>
        <v>Scommessa/Riserva</v>
      </c>
      <c r="I364" s="50" t="n">
        <f aca="false">IFERROR(INDEX('Output Utente'!$F$2:$F$492,MATCH(361,'Output Utente'!$Q$2:$Q$492,0)),"")</f>
        <v>3</v>
      </c>
      <c r="J364" s="50" t="n">
        <f aca="false">IFERROR(INDEX('Output Utente'!$G$2:$G$492,MATCH(361,'Output Utente'!$Q$2:$Q$492,0)),"")</f>
        <v>2</v>
      </c>
      <c r="K364" s="50" t="n">
        <f aca="false">IFERROR(INDEX('Output Utente'!$H$2:$H$492,MATCH(361,'Output Utente'!$Q$2:$Q$492,0)),"")</f>
        <v>4</v>
      </c>
      <c r="L364" s="7" t="str">
        <f aca="false">IFERROR(INDEX('Output Utente'!$E$2:$E$492,MATCH(361,'Output Utente'!$Q$2:$Q$492,0)),"")</f>
        <v>NO</v>
      </c>
      <c r="M364" s="7" t="str">
        <f aca="false">IFERROR(INDEX('Output Utente'!$U$2:$U$492,MATCH(361,'Output Utente'!$Q$2:$Q$492,0)),"")</f>
        <v>OK</v>
      </c>
      <c r="N364" s="7" t="str">
        <f aca="false">IFERROR(INDEX('Output Utente'!$AE$2:$AE$492,MATCH(361,'Output Utente'!$Q$2:$Q$492,0)),"")</f>
        <v>🟡 Attesa rischiosa</v>
      </c>
    </row>
    <row r="365" customFormat="false" ht="15" hidden="false" customHeight="true" outlineLevel="0" collapsed="false">
      <c r="A365" s="49" t="n">
        <v>362</v>
      </c>
      <c r="B365" s="7" t="n">
        <f aca="false">IFERROR(INDEX('Output Utente'!$A$2:$A$492,MATCH(362,'Output Utente'!$Q$2:$Q$492,0)),"")</f>
        <v>6821</v>
      </c>
      <c r="C365" s="7" t="str">
        <f aca="false">IFERROR(INDEX('Output Utente'!$B$2:$B$492,MATCH(362,'Output Utente'!$Q$2:$Q$492,0)),"")</f>
        <v>D</v>
      </c>
      <c r="D365" s="7" t="str">
        <f aca="false">IFERROR(INDEX('Output Utente'!$C$2:$C$492,MATCH(362,'Output Utente'!$Q$2:$Q$492,0)),"")</f>
        <v>Hainaut</v>
      </c>
      <c r="E365" s="7" t="str">
        <f aca="false">IFERROR(INDEX('Input Giocatori 2026_27'!$D$3:$D$493,MATCH($B365,'Input Giocatori 2026_27'!$A$3:$A$493,0)),"")</f>
        <v>Venezia</v>
      </c>
      <c r="F365" s="50" t="n">
        <f aca="false">IFERROR(INDEX('Output Utente'!$N$2:$N$492,MATCH(362,'Output Utente'!$Q$2:$Q$492,0)),"")</f>
        <v>3</v>
      </c>
      <c r="G365" s="50" t="n">
        <f aca="false">IFERROR(INDEX('Output Utente'!$O$2:$O$492,MATCH(362,'Output Utente'!$Q$2:$Q$492,0)),"")</f>
        <v>7</v>
      </c>
      <c r="H365" s="7" t="str">
        <f aca="false">IFERROR(INDEX('Output Utente'!$P$2:$P$492,MATCH(362,'Output Utente'!$Q$2:$Q$492,0)),"")</f>
        <v>Scommessa/Riserva</v>
      </c>
      <c r="I365" s="50" t="n">
        <f aca="false">IFERROR(INDEX('Output Utente'!$F$2:$F$492,MATCH(362,'Output Utente'!$Q$2:$Q$492,0)),"")</f>
        <v>3</v>
      </c>
      <c r="J365" s="50" t="n">
        <f aca="false">IFERROR(INDEX('Output Utente'!$G$2:$G$492,MATCH(362,'Output Utente'!$Q$2:$Q$492,0)),"")</f>
        <v>2</v>
      </c>
      <c r="K365" s="50" t="n">
        <f aca="false">IFERROR(INDEX('Output Utente'!$H$2:$H$492,MATCH(362,'Output Utente'!$Q$2:$Q$492,0)),"")</f>
        <v>4</v>
      </c>
      <c r="L365" s="7" t="str">
        <f aca="false">IFERROR(INDEX('Output Utente'!$E$2:$E$492,MATCH(362,'Output Utente'!$Q$2:$Q$492,0)),"")</f>
        <v>NO</v>
      </c>
      <c r="M365" s="7" t="str">
        <f aca="false">IFERROR(INDEX('Output Utente'!$U$2:$U$492,MATCH(362,'Output Utente'!$Q$2:$Q$492,0)),"")</f>
        <v>OK</v>
      </c>
      <c r="N365" s="7" t="str">
        <f aca="false">IFERROR(INDEX('Output Utente'!$AE$2:$AE$492,MATCH(362,'Output Utente'!$Q$2:$Q$492,0)),"")</f>
        <v>🟡 Attesa rischiosa</v>
      </c>
    </row>
    <row r="366" customFormat="false" ht="15" hidden="false" customHeight="true" outlineLevel="0" collapsed="false">
      <c r="A366" s="49" t="n">
        <v>363</v>
      </c>
      <c r="B366" s="7" t="n">
        <f aca="false">IFERROR(INDEX('Output Utente'!$A$2:$A$492,MATCH(363,'Output Utente'!$Q$2:$Q$492,0)),"")</f>
        <v>7413</v>
      </c>
      <c r="C366" s="7" t="str">
        <f aca="false">IFERROR(INDEX('Output Utente'!$B$2:$B$492,MATCH(363,'Output Utente'!$Q$2:$Q$492,0)),"")</f>
        <v>D</v>
      </c>
      <c r="D366" s="7" t="str">
        <f aca="false">IFERROR(INDEX('Output Utente'!$C$2:$C$492,MATCH(363,'Output Utente'!$Q$2:$Q$492,0)),"")</f>
        <v>Puczka</v>
      </c>
      <c r="E366" s="7" t="str">
        <f aca="false">IFERROR(INDEX('Input Giocatori 2026_27'!$D$3:$D$493,MATCH($B366,'Input Giocatori 2026_27'!$A$3:$A$493,0)),"")</f>
        <v>Genoa</v>
      </c>
      <c r="F366" s="50" t="n">
        <f aca="false">IFERROR(INDEX('Output Utente'!$N$2:$N$492,MATCH(363,'Output Utente'!$Q$2:$Q$492,0)),"")</f>
        <v>2</v>
      </c>
      <c r="G366" s="50" t="n">
        <f aca="false">IFERROR(INDEX('Output Utente'!$O$2:$O$492,MATCH(363,'Output Utente'!$Q$2:$Q$492,0)),"")</f>
        <v>7</v>
      </c>
      <c r="H366" s="7" t="str">
        <f aca="false">IFERROR(INDEX('Output Utente'!$P$2:$P$492,MATCH(363,'Output Utente'!$Q$2:$Q$492,0)),"")</f>
        <v>Scommessa/Riserva</v>
      </c>
      <c r="I366" s="50" t="n">
        <f aca="false">IFERROR(INDEX('Output Utente'!$F$2:$F$492,MATCH(363,'Output Utente'!$Q$2:$Q$492,0)),"")</f>
        <v>3</v>
      </c>
      <c r="J366" s="50" t="n">
        <f aca="false">IFERROR(INDEX('Output Utente'!$G$2:$G$492,MATCH(363,'Output Utente'!$Q$2:$Q$492,0)),"")</f>
        <v>2</v>
      </c>
      <c r="K366" s="50" t="n">
        <f aca="false">IFERROR(INDEX('Output Utente'!$H$2:$H$492,MATCH(363,'Output Utente'!$Q$2:$Q$492,0)),"")</f>
        <v>4</v>
      </c>
      <c r="L366" s="7" t="str">
        <f aca="false">IFERROR(INDEX('Output Utente'!$E$2:$E$492,MATCH(363,'Output Utente'!$Q$2:$Q$492,0)),"")</f>
        <v>NO</v>
      </c>
      <c r="M366" s="7" t="str">
        <f aca="false">IFERROR(INDEX('Output Utente'!$U$2:$U$492,MATCH(363,'Output Utente'!$Q$2:$Q$492,0)),"")</f>
        <v>OK</v>
      </c>
      <c r="N366" s="7" t="str">
        <f aca="false">IFERROR(INDEX('Output Utente'!$AE$2:$AE$492,MATCH(363,'Output Utente'!$Q$2:$Q$492,0)),"")</f>
        <v>🟡 Attesa rischiosa</v>
      </c>
    </row>
    <row r="367" customFormat="false" ht="15" hidden="false" customHeight="true" outlineLevel="0" collapsed="false">
      <c r="A367" s="49" t="n">
        <v>364</v>
      </c>
      <c r="B367" s="7" t="n">
        <f aca="false">IFERROR(INDEX('Output Utente'!$A$2:$A$492,MATCH(364,'Output Utente'!$Q$2:$Q$492,0)),"")</f>
        <v>6424</v>
      </c>
      <c r="C367" s="7" t="str">
        <f aca="false">IFERROR(INDEX('Output Utente'!$B$2:$B$492,MATCH(364,'Output Utente'!$Q$2:$Q$492,0)),"")</f>
        <v>C</v>
      </c>
      <c r="D367" s="7" t="str">
        <f aca="false">IFERROR(INDEX('Output Utente'!$C$2:$C$492,MATCH(364,'Output Utente'!$Q$2:$Q$492,0)),"")</f>
        <v>Prati</v>
      </c>
      <c r="E367" s="7" t="str">
        <f aca="false">IFERROR(INDEX('Input Giocatori 2026_27'!$D$3:$D$493,MATCH($B367,'Input Giocatori 2026_27'!$A$3:$A$493,0)),"")</f>
        <v>Cagliari</v>
      </c>
      <c r="F367" s="50" t="n">
        <f aca="false">IFERROR(INDEX('Output Utente'!$N$2:$N$492,MATCH(364,'Output Utente'!$Q$2:$Q$492,0)),"")</f>
        <v>4</v>
      </c>
      <c r="G367" s="50" t="n">
        <f aca="false">IFERROR(INDEX('Output Utente'!$O$2:$O$492,MATCH(364,'Output Utente'!$Q$2:$Q$492,0)),"")</f>
        <v>7</v>
      </c>
      <c r="H367" s="7" t="str">
        <f aca="false">IFERROR(INDEX('Output Utente'!$P$2:$P$492,MATCH(364,'Output Utente'!$Q$2:$Q$492,0)),"")</f>
        <v>Scommessa/Riserva</v>
      </c>
      <c r="I367" s="50" t="n">
        <f aca="false">IFERROR(INDEX('Output Utente'!$F$2:$F$492,MATCH(364,'Output Utente'!$Q$2:$Q$492,0)),"")</f>
        <v>4</v>
      </c>
      <c r="J367" s="50" t="n">
        <f aca="false">IFERROR(INDEX('Output Utente'!$G$2:$G$492,MATCH(364,'Output Utente'!$Q$2:$Q$492,0)),"")</f>
        <v>3</v>
      </c>
      <c r="K367" s="50" t="n">
        <f aca="false">IFERROR(INDEX('Output Utente'!$H$2:$H$492,MATCH(364,'Output Utente'!$Q$2:$Q$492,0)),"")</f>
        <v>4</v>
      </c>
      <c r="L367" s="7" t="str">
        <f aca="false">IFERROR(INDEX('Output Utente'!$E$2:$E$492,MATCH(364,'Output Utente'!$Q$2:$Q$492,0)),"")</f>
        <v>NO</v>
      </c>
      <c r="M367" s="7" t="str">
        <f aca="false">IFERROR(INDEX('Output Utente'!$U$2:$U$492,MATCH(364,'Output Utente'!$Q$2:$Q$492,0)),"")</f>
        <v>OK</v>
      </c>
      <c r="N367" s="7" t="str">
        <f aca="false">IFERROR(INDEX('Output Utente'!$AE$2:$AE$492,MATCH(364,'Output Utente'!$Q$2:$Q$492,0)),"")</f>
        <v>🟡 Attesa rischiosa</v>
      </c>
    </row>
    <row r="368" customFormat="false" ht="15" hidden="false" customHeight="true" outlineLevel="0" collapsed="false">
      <c r="A368" s="49" t="n">
        <v>365</v>
      </c>
      <c r="B368" s="7" t="n">
        <f aca="false">IFERROR(INDEX('Output Utente'!$A$2:$A$492,MATCH(365,'Output Utente'!$Q$2:$Q$492,0)),"")</f>
        <v>6024</v>
      </c>
      <c r="C368" s="7" t="str">
        <f aca="false">IFERROR(INDEX('Output Utente'!$B$2:$B$492,MATCH(365,'Output Utente'!$Q$2:$Q$492,0)),"")</f>
        <v>C</v>
      </c>
      <c r="D368" s="7" t="str">
        <f aca="false">IFERROR(INDEX('Output Utente'!$C$2:$C$492,MATCH(365,'Output Utente'!$Q$2:$Q$492,0)),"")</f>
        <v>Sulemana I.</v>
      </c>
      <c r="E368" s="7" t="str">
        <f aca="false">IFERROR(INDEX('Input Giocatori 2026_27'!$D$3:$D$493,MATCH($B368,'Input Giocatori 2026_27'!$A$3:$A$493,0)),"")</f>
        <v>Atalanta</v>
      </c>
      <c r="F368" s="50" t="n">
        <f aca="false">IFERROR(INDEX('Output Utente'!$N$2:$N$492,MATCH(365,'Output Utente'!$Q$2:$Q$492,0)),"")</f>
        <v>3</v>
      </c>
      <c r="G368" s="50" t="n">
        <f aca="false">IFERROR(INDEX('Output Utente'!$O$2:$O$492,MATCH(365,'Output Utente'!$Q$2:$Q$492,0)),"")</f>
        <v>7</v>
      </c>
      <c r="H368" s="7" t="str">
        <f aca="false">IFERROR(INDEX('Output Utente'!$P$2:$P$492,MATCH(365,'Output Utente'!$Q$2:$Q$492,0)),"")</f>
        <v>Scommessa/Riserva</v>
      </c>
      <c r="I368" s="50" t="n">
        <f aca="false">IFERROR(INDEX('Output Utente'!$F$2:$F$492,MATCH(365,'Output Utente'!$Q$2:$Q$492,0)),"")</f>
        <v>4</v>
      </c>
      <c r="J368" s="50" t="n">
        <f aca="false">IFERROR(INDEX('Output Utente'!$G$2:$G$492,MATCH(365,'Output Utente'!$Q$2:$Q$492,0)),"")</f>
        <v>3</v>
      </c>
      <c r="K368" s="50" t="n">
        <f aca="false">IFERROR(INDEX('Output Utente'!$H$2:$H$492,MATCH(365,'Output Utente'!$Q$2:$Q$492,0)),"")</f>
        <v>4</v>
      </c>
      <c r="L368" s="7" t="str">
        <f aca="false">IFERROR(INDEX('Output Utente'!$E$2:$E$492,MATCH(365,'Output Utente'!$Q$2:$Q$492,0)),"")</f>
        <v>NO</v>
      </c>
      <c r="M368" s="7" t="str">
        <f aca="false">IFERROR(INDEX('Output Utente'!$U$2:$U$492,MATCH(365,'Output Utente'!$Q$2:$Q$492,0)),"")</f>
        <v>OK</v>
      </c>
      <c r="N368" s="7" t="str">
        <f aca="false">IFERROR(INDEX('Output Utente'!$AE$2:$AE$492,MATCH(365,'Output Utente'!$Q$2:$Q$492,0)),"")</f>
        <v>🟡 Attesa rischiosa</v>
      </c>
    </row>
    <row r="369" customFormat="false" ht="15" hidden="false" customHeight="true" outlineLevel="0" collapsed="false">
      <c r="A369" s="49" t="n">
        <v>366</v>
      </c>
      <c r="B369" s="7" t="n">
        <f aca="false">IFERROR(INDEX('Output Utente'!$A$2:$A$492,MATCH(366,'Output Utente'!$Q$2:$Q$492,0)),"")</f>
        <v>4947</v>
      </c>
      <c r="C369" s="7" t="str">
        <f aca="false">IFERROR(INDEX('Output Utente'!$B$2:$B$492,MATCH(366,'Output Utente'!$Q$2:$Q$492,0)),"")</f>
        <v>C</v>
      </c>
      <c r="D369" s="7" t="str">
        <f aca="false">IFERROR(INDEX('Output Utente'!$C$2:$C$492,MATCH(366,'Output Utente'!$Q$2:$Q$492,0)),"")</f>
        <v>Brescianini</v>
      </c>
      <c r="E369" s="7" t="str">
        <f aca="false">IFERROR(INDEX('Input Giocatori 2026_27'!$D$3:$D$493,MATCH($B369,'Input Giocatori 2026_27'!$A$3:$A$493,0)),"")</f>
        <v>Fiorentina</v>
      </c>
      <c r="F369" s="50" t="n">
        <f aca="false">IFERROR(INDEX('Output Utente'!$N$2:$N$492,MATCH(366,'Output Utente'!$Q$2:$Q$492,0)),"")</f>
        <v>3</v>
      </c>
      <c r="G369" s="50" t="n">
        <f aca="false">IFERROR(INDEX('Output Utente'!$O$2:$O$492,MATCH(366,'Output Utente'!$Q$2:$Q$492,0)),"")</f>
        <v>7</v>
      </c>
      <c r="H369" s="7" t="str">
        <f aca="false">IFERROR(INDEX('Output Utente'!$P$2:$P$492,MATCH(366,'Output Utente'!$Q$2:$Q$492,0)),"")</f>
        <v>Scommessa/Riserva</v>
      </c>
      <c r="I369" s="50" t="n">
        <f aca="false">IFERROR(INDEX('Output Utente'!$F$2:$F$492,MATCH(366,'Output Utente'!$Q$2:$Q$492,0)),"")</f>
        <v>4</v>
      </c>
      <c r="J369" s="50" t="n">
        <f aca="false">IFERROR(INDEX('Output Utente'!$G$2:$G$492,MATCH(366,'Output Utente'!$Q$2:$Q$492,0)),"")</f>
        <v>3</v>
      </c>
      <c r="K369" s="50" t="n">
        <f aca="false">IFERROR(INDEX('Output Utente'!$H$2:$H$492,MATCH(366,'Output Utente'!$Q$2:$Q$492,0)),"")</f>
        <v>4</v>
      </c>
      <c r="L369" s="7" t="str">
        <f aca="false">IFERROR(INDEX('Output Utente'!$E$2:$E$492,MATCH(366,'Output Utente'!$Q$2:$Q$492,0)),"")</f>
        <v>NO</v>
      </c>
      <c r="M369" s="7" t="str">
        <f aca="false">IFERROR(INDEX('Output Utente'!$U$2:$U$492,MATCH(366,'Output Utente'!$Q$2:$Q$492,0)),"")</f>
        <v>OK</v>
      </c>
      <c r="N369" s="7" t="str">
        <f aca="false">IFERROR(INDEX('Output Utente'!$AE$2:$AE$492,MATCH(366,'Output Utente'!$Q$2:$Q$492,0)),"")</f>
        <v>🟡 Attesa rischiosa</v>
      </c>
    </row>
    <row r="370" customFormat="false" ht="15" hidden="false" customHeight="true" outlineLevel="0" collapsed="false">
      <c r="A370" s="49" t="n">
        <v>367</v>
      </c>
      <c r="B370" s="7" t="n">
        <f aca="false">IFERROR(INDEX('Output Utente'!$A$2:$A$492,MATCH(367,'Output Utente'!$Q$2:$Q$492,0)),"")</f>
        <v>7477</v>
      </c>
      <c r="C370" s="7" t="str">
        <f aca="false">IFERROR(INDEX('Output Utente'!$B$2:$B$492,MATCH(367,'Output Utente'!$Q$2:$Q$492,0)),"")</f>
        <v>C</v>
      </c>
      <c r="D370" s="7" t="str">
        <f aca="false">IFERROR(INDEX('Output Utente'!$C$2:$C$492,MATCH(367,'Output Utente'!$Q$2:$Q$492,0)),"")</f>
        <v>Colombo L.</v>
      </c>
      <c r="E370" s="7" t="str">
        <f aca="false">IFERROR(INDEX('Input Giocatori 2026_27'!$D$3:$D$493,MATCH($B370,'Input Giocatori 2026_27'!$A$3:$A$493,0)),"")</f>
        <v>Monza</v>
      </c>
      <c r="F370" s="50" t="n">
        <f aca="false">IFERROR(INDEX('Output Utente'!$N$2:$N$492,MATCH(367,'Output Utente'!$Q$2:$Q$492,0)),"")</f>
        <v>3</v>
      </c>
      <c r="G370" s="50" t="n">
        <f aca="false">IFERROR(INDEX('Output Utente'!$O$2:$O$492,MATCH(367,'Output Utente'!$Q$2:$Q$492,0)),"")</f>
        <v>7</v>
      </c>
      <c r="H370" s="7" t="str">
        <f aca="false">IFERROR(INDEX('Output Utente'!$P$2:$P$492,MATCH(367,'Output Utente'!$Q$2:$Q$492,0)),"")</f>
        <v>Scommessa/Riserva</v>
      </c>
      <c r="I370" s="50" t="n">
        <f aca="false">IFERROR(INDEX('Output Utente'!$F$2:$F$492,MATCH(367,'Output Utente'!$Q$2:$Q$492,0)),"")</f>
        <v>4</v>
      </c>
      <c r="J370" s="50" t="n">
        <f aca="false">IFERROR(INDEX('Output Utente'!$G$2:$G$492,MATCH(367,'Output Utente'!$Q$2:$Q$492,0)),"")</f>
        <v>3</v>
      </c>
      <c r="K370" s="50" t="n">
        <f aca="false">IFERROR(INDEX('Output Utente'!$H$2:$H$492,MATCH(367,'Output Utente'!$Q$2:$Q$492,0)),"")</f>
        <v>4</v>
      </c>
      <c r="L370" s="7" t="str">
        <f aca="false">IFERROR(INDEX('Output Utente'!$E$2:$E$492,MATCH(367,'Output Utente'!$Q$2:$Q$492,0)),"")</f>
        <v>NO</v>
      </c>
      <c r="M370" s="7" t="str">
        <f aca="false">IFERROR(INDEX('Output Utente'!$U$2:$U$492,MATCH(367,'Output Utente'!$Q$2:$Q$492,0)),"")</f>
        <v>OK</v>
      </c>
      <c r="N370" s="7" t="str">
        <f aca="false">IFERROR(INDEX('Output Utente'!$AE$2:$AE$492,MATCH(367,'Output Utente'!$Q$2:$Q$492,0)),"")</f>
        <v>🟡 Attesa rischiosa</v>
      </c>
    </row>
    <row r="371" customFormat="false" ht="15" hidden="false" customHeight="true" outlineLevel="0" collapsed="false">
      <c r="A371" s="49" t="n">
        <v>368</v>
      </c>
      <c r="B371" s="7" t="n">
        <f aca="false">IFERROR(INDEX('Output Utente'!$A$2:$A$492,MATCH(368,'Output Utente'!$Q$2:$Q$492,0)),"")</f>
        <v>5872</v>
      </c>
      <c r="C371" s="7" t="str">
        <f aca="false">IFERROR(INDEX('Output Utente'!$B$2:$B$492,MATCH(368,'Output Utente'!$Q$2:$Q$492,0)),"")</f>
        <v>C</v>
      </c>
      <c r="D371" s="7" t="str">
        <f aca="false">IFERROR(INDEX('Output Utente'!$C$2:$C$492,MATCH(368,'Output Utente'!$Q$2:$Q$492,0)),"")</f>
        <v>Helgason</v>
      </c>
      <c r="E371" s="7" t="str">
        <f aca="false">IFERROR(INDEX('Input Giocatori 2026_27'!$D$3:$D$493,MATCH($B371,'Input Giocatori 2026_27'!$A$3:$A$493,0)),"")</f>
        <v>Venezia</v>
      </c>
      <c r="F371" s="50" t="n">
        <f aca="false">IFERROR(INDEX('Output Utente'!$N$2:$N$492,MATCH(368,'Output Utente'!$Q$2:$Q$492,0)),"")</f>
        <v>3</v>
      </c>
      <c r="G371" s="50" t="n">
        <f aca="false">IFERROR(INDEX('Output Utente'!$O$2:$O$492,MATCH(368,'Output Utente'!$Q$2:$Q$492,0)),"")</f>
        <v>7</v>
      </c>
      <c r="H371" s="7" t="str">
        <f aca="false">IFERROR(INDEX('Output Utente'!$P$2:$P$492,MATCH(368,'Output Utente'!$Q$2:$Q$492,0)),"")</f>
        <v>Scommessa/Riserva</v>
      </c>
      <c r="I371" s="50" t="n">
        <f aca="false">IFERROR(INDEX('Output Utente'!$F$2:$F$492,MATCH(368,'Output Utente'!$Q$2:$Q$492,0)),"")</f>
        <v>4</v>
      </c>
      <c r="J371" s="50" t="n">
        <f aca="false">IFERROR(INDEX('Output Utente'!$G$2:$G$492,MATCH(368,'Output Utente'!$Q$2:$Q$492,0)),"")</f>
        <v>3</v>
      </c>
      <c r="K371" s="50" t="n">
        <f aca="false">IFERROR(INDEX('Output Utente'!$H$2:$H$492,MATCH(368,'Output Utente'!$Q$2:$Q$492,0)),"")</f>
        <v>4</v>
      </c>
      <c r="L371" s="7" t="str">
        <f aca="false">IFERROR(INDEX('Output Utente'!$E$2:$E$492,MATCH(368,'Output Utente'!$Q$2:$Q$492,0)),"")</f>
        <v>NO</v>
      </c>
      <c r="M371" s="7" t="str">
        <f aca="false">IFERROR(INDEX('Output Utente'!$U$2:$U$492,MATCH(368,'Output Utente'!$Q$2:$Q$492,0)),"")</f>
        <v>OK</v>
      </c>
      <c r="N371" s="7" t="str">
        <f aca="false">IFERROR(INDEX('Output Utente'!$AE$2:$AE$492,MATCH(368,'Output Utente'!$Q$2:$Q$492,0)),"")</f>
        <v>🟡 Attesa rischiosa</v>
      </c>
    </row>
    <row r="372" customFormat="false" ht="15" hidden="false" customHeight="true" outlineLevel="0" collapsed="false">
      <c r="A372" s="49" t="n">
        <v>369</v>
      </c>
      <c r="B372" s="7" t="n">
        <f aca="false">IFERROR(INDEX('Output Utente'!$A$2:$A$492,MATCH(369,'Output Utente'!$Q$2:$Q$492,0)),"")</f>
        <v>7272</v>
      </c>
      <c r="C372" s="7" t="str">
        <f aca="false">IFERROR(INDEX('Output Utente'!$B$2:$B$492,MATCH(369,'Output Utente'!$Q$2:$Q$492,0)),"")</f>
        <v>A</v>
      </c>
      <c r="D372" s="7" t="str">
        <f aca="false">IFERROR(INDEX('Output Utente'!$C$2:$C$492,MATCH(369,'Output Utente'!$Q$2:$Q$492,0)),"")</f>
        <v>Gueye</v>
      </c>
      <c r="E372" s="7" t="str">
        <f aca="false">IFERROR(INDEX('Input Giocatori 2026_27'!$D$3:$D$493,MATCH($B372,'Input Giocatori 2026_27'!$A$3:$A$493,0)),"")</f>
        <v>Udinese</v>
      </c>
      <c r="F372" s="50" t="n">
        <f aca="false">IFERROR(INDEX('Output Utente'!$N$2:$N$492,MATCH(369,'Output Utente'!$Q$2:$Q$492,0)),"")</f>
        <v>4</v>
      </c>
      <c r="G372" s="50" t="n">
        <f aca="false">IFERROR(INDEX('Output Utente'!$O$2:$O$492,MATCH(369,'Output Utente'!$Q$2:$Q$492,0)),"")</f>
        <v>7</v>
      </c>
      <c r="H372" s="7" t="str">
        <f aca="false">IFERROR(INDEX('Output Utente'!$P$2:$P$492,MATCH(369,'Output Utente'!$Q$2:$Q$492,0)),"")</f>
        <v>Scommessa/Riserva</v>
      </c>
      <c r="I372" s="50" t="n">
        <f aca="false">IFERROR(INDEX('Output Utente'!$F$2:$F$492,MATCH(369,'Output Utente'!$Q$2:$Q$492,0)),"")</f>
        <v>6</v>
      </c>
      <c r="J372" s="50" t="n">
        <f aca="false">IFERROR(INDEX('Output Utente'!$G$2:$G$492,MATCH(369,'Output Utente'!$Q$2:$Q$492,0)),"")</f>
        <v>4</v>
      </c>
      <c r="K372" s="50" t="n">
        <f aca="false">IFERROR(INDEX('Output Utente'!$H$2:$H$492,MATCH(369,'Output Utente'!$Q$2:$Q$492,0)),"")</f>
        <v>7</v>
      </c>
      <c r="L372" s="7" t="str">
        <f aca="false">IFERROR(INDEX('Output Utente'!$E$2:$E$492,MATCH(369,'Output Utente'!$Q$2:$Q$492,0)),"")</f>
        <v>NO</v>
      </c>
      <c r="M372" s="7" t="str">
        <f aca="false">IFERROR(INDEX('Output Utente'!$U$2:$U$492,MATCH(369,'Output Utente'!$Q$2:$Q$492,0)),"")</f>
        <v>OK</v>
      </c>
      <c r="N372" s="7" t="str">
        <f aca="false">IFERROR(INDEX('Output Utente'!$AE$2:$AE$492,MATCH(369,'Output Utente'!$Q$2:$Q$492,0)),"")</f>
        <v>🔴 Non aspettare</v>
      </c>
    </row>
    <row r="373" customFormat="false" ht="15" hidden="false" customHeight="true" outlineLevel="0" collapsed="false">
      <c r="A373" s="49" t="n">
        <v>370</v>
      </c>
      <c r="B373" s="7" t="n">
        <f aca="false">IFERROR(INDEX('Output Utente'!$A$2:$A$492,MATCH(370,'Output Utente'!$Q$2:$Q$492,0)),"")</f>
        <v>7523</v>
      </c>
      <c r="C373" s="7" t="str">
        <f aca="false">IFERROR(INDEX('Output Utente'!$B$2:$B$492,MATCH(370,'Output Utente'!$Q$2:$Q$492,0)),"")</f>
        <v>A</v>
      </c>
      <c r="D373" s="7" t="str">
        <f aca="false">IFERROR(INDEX('Output Utente'!$C$2:$C$492,MATCH(370,'Output Utente'!$Q$2:$Q$492,0)),"")</f>
        <v>Varela G.</v>
      </c>
      <c r="E373" s="7" t="str">
        <f aca="false">IFERROR(INDEX('Input Giocatori 2026_27'!$D$3:$D$493,MATCH($B373,'Input Giocatori 2026_27'!$A$3:$A$493,0)),"")</f>
        <v>Monza</v>
      </c>
      <c r="F373" s="50" t="n">
        <f aca="false">IFERROR(INDEX('Output Utente'!$N$2:$N$492,MATCH(370,'Output Utente'!$Q$2:$Q$492,0)),"")</f>
        <v>3</v>
      </c>
      <c r="G373" s="50" t="n">
        <f aca="false">IFERROR(INDEX('Output Utente'!$O$2:$O$492,MATCH(370,'Output Utente'!$Q$2:$Q$492,0)),"")</f>
        <v>7</v>
      </c>
      <c r="H373" s="7" t="str">
        <f aca="false">IFERROR(INDEX('Output Utente'!$P$2:$P$492,MATCH(370,'Output Utente'!$Q$2:$Q$492,0)),"")</f>
        <v>Scommessa/Riserva</v>
      </c>
      <c r="I373" s="50" t="n">
        <f aca="false">IFERROR(INDEX('Output Utente'!$F$2:$F$492,MATCH(370,'Output Utente'!$Q$2:$Q$492,0)),"")</f>
        <v>6</v>
      </c>
      <c r="J373" s="50" t="n">
        <f aca="false">IFERROR(INDEX('Output Utente'!$G$2:$G$492,MATCH(370,'Output Utente'!$Q$2:$Q$492,0)),"")</f>
        <v>4</v>
      </c>
      <c r="K373" s="50" t="n">
        <f aca="false">IFERROR(INDEX('Output Utente'!$H$2:$H$492,MATCH(370,'Output Utente'!$Q$2:$Q$492,0)),"")</f>
        <v>7</v>
      </c>
      <c r="L373" s="7" t="str">
        <f aca="false">IFERROR(INDEX('Output Utente'!$E$2:$E$492,MATCH(370,'Output Utente'!$Q$2:$Q$492,0)),"")</f>
        <v>NO</v>
      </c>
      <c r="M373" s="7" t="str">
        <f aca="false">IFERROR(INDEX('Output Utente'!$U$2:$U$492,MATCH(370,'Output Utente'!$Q$2:$Q$492,0)),"")</f>
        <v>OK</v>
      </c>
      <c r="N373" s="7" t="str">
        <f aca="false">IFERROR(INDEX('Output Utente'!$AE$2:$AE$492,MATCH(370,'Output Utente'!$Q$2:$Q$492,0)),"")</f>
        <v>🔴 Non aspettare</v>
      </c>
    </row>
    <row r="374" customFormat="false" ht="15" hidden="false" customHeight="true" outlineLevel="0" collapsed="false">
      <c r="A374" s="49" t="n">
        <v>371</v>
      </c>
      <c r="B374" s="7" t="n">
        <f aca="false">IFERROR(INDEX('Output Utente'!$A$2:$A$492,MATCH(371,'Output Utente'!$Q$2:$Q$492,0)),"")</f>
        <v>5498</v>
      </c>
      <c r="C374" s="7" t="str">
        <f aca="false">IFERROR(INDEX('Output Utente'!$B$2:$B$492,MATCH(371,'Output Utente'!$Q$2:$Q$492,0)),"")</f>
        <v>D</v>
      </c>
      <c r="D374" s="7" t="str">
        <f aca="false">IFERROR(INDEX('Output Utente'!$C$2:$C$492,MATCH(371,'Output Utente'!$Q$2:$Q$492,0)),"")</f>
        <v>Casale</v>
      </c>
      <c r="E374" s="7" t="str">
        <f aca="false">IFERROR(INDEX('Input Giocatori 2026_27'!$D$3:$D$493,MATCH($B374,'Input Giocatori 2026_27'!$A$3:$A$493,0)),"")</f>
        <v>Bologna</v>
      </c>
      <c r="F374" s="50" t="n">
        <f aca="false">IFERROR(INDEX('Output Utente'!$N$2:$N$492,MATCH(371,'Output Utente'!$Q$2:$Q$492,0)),"")</f>
        <v>3</v>
      </c>
      <c r="G374" s="50" t="n">
        <f aca="false">IFERROR(INDEX('Output Utente'!$O$2:$O$492,MATCH(371,'Output Utente'!$Q$2:$Q$492,0)),"")</f>
        <v>6</v>
      </c>
      <c r="H374" s="7" t="str">
        <f aca="false">IFERROR(INDEX('Output Utente'!$P$2:$P$492,MATCH(371,'Output Utente'!$Q$2:$Q$492,0)),"")</f>
        <v>Scommessa/Riserva</v>
      </c>
      <c r="I374" s="50" t="n">
        <f aca="false">IFERROR(INDEX('Output Utente'!$F$2:$F$492,MATCH(371,'Output Utente'!$Q$2:$Q$492,0)),"")</f>
        <v>3</v>
      </c>
      <c r="J374" s="50" t="n">
        <f aca="false">IFERROR(INDEX('Output Utente'!$G$2:$G$492,MATCH(371,'Output Utente'!$Q$2:$Q$492,0)),"")</f>
        <v>2</v>
      </c>
      <c r="K374" s="50" t="n">
        <f aca="false">IFERROR(INDEX('Output Utente'!$H$2:$H$492,MATCH(371,'Output Utente'!$Q$2:$Q$492,0)),"")</f>
        <v>3</v>
      </c>
      <c r="L374" s="7" t="str">
        <f aca="false">IFERROR(INDEX('Output Utente'!$E$2:$E$492,MATCH(371,'Output Utente'!$Q$2:$Q$492,0)),"")</f>
        <v>NO</v>
      </c>
      <c r="M374" s="7" t="str">
        <f aca="false">IFERROR(INDEX('Output Utente'!$U$2:$U$492,MATCH(371,'Output Utente'!$Q$2:$Q$492,0)),"")</f>
        <v>OK</v>
      </c>
      <c r="N374" s="7" t="str">
        <f aca="false">IFERROR(INDEX('Output Utente'!$AE$2:$AE$492,MATCH(371,'Output Utente'!$Q$2:$Q$492,0)),"")</f>
        <v>🟡 Attesa rischiosa</v>
      </c>
    </row>
    <row r="375" customFormat="false" ht="15" hidden="false" customHeight="true" outlineLevel="0" collapsed="false">
      <c r="A375" s="49" t="n">
        <v>372</v>
      </c>
      <c r="B375" s="7" t="n">
        <f aca="false">IFERROR(INDEX('Output Utente'!$A$2:$A$492,MATCH(372,'Output Utente'!$Q$2:$Q$492,0)),"")</f>
        <v>7483</v>
      </c>
      <c r="C375" s="7" t="str">
        <f aca="false">IFERROR(INDEX('Output Utente'!$B$2:$B$492,MATCH(372,'Output Utente'!$Q$2:$Q$492,0)),"")</f>
        <v>D</v>
      </c>
      <c r="D375" s="7" t="str">
        <f aca="false">IFERROR(INDEX('Output Utente'!$C$2:$C$492,MATCH(372,'Output Utente'!$Q$2:$Q$492,0)),"")</f>
        <v>Alhassane</v>
      </c>
      <c r="E375" s="7" t="str">
        <f aca="false">IFERROR(INDEX('Input Giocatori 2026_27'!$D$3:$D$493,MATCH($B375,'Input Giocatori 2026_27'!$A$3:$A$493,0)),"")</f>
        <v>Bologna</v>
      </c>
      <c r="F375" s="50" t="n">
        <f aca="false">IFERROR(INDEX('Output Utente'!$N$2:$N$492,MATCH(372,'Output Utente'!$Q$2:$Q$492,0)),"")</f>
        <v>2</v>
      </c>
      <c r="G375" s="50" t="n">
        <f aca="false">IFERROR(INDEX('Output Utente'!$O$2:$O$492,MATCH(372,'Output Utente'!$Q$2:$Q$492,0)),"")</f>
        <v>6</v>
      </c>
      <c r="H375" s="7" t="str">
        <f aca="false">IFERROR(INDEX('Output Utente'!$P$2:$P$492,MATCH(372,'Output Utente'!$Q$2:$Q$492,0)),"")</f>
        <v>Scommessa/Riserva</v>
      </c>
      <c r="I375" s="50" t="n">
        <f aca="false">IFERROR(INDEX('Output Utente'!$F$2:$F$492,MATCH(372,'Output Utente'!$Q$2:$Q$492,0)),"")</f>
        <v>3</v>
      </c>
      <c r="J375" s="50" t="n">
        <f aca="false">IFERROR(INDEX('Output Utente'!$G$2:$G$492,MATCH(372,'Output Utente'!$Q$2:$Q$492,0)),"")</f>
        <v>2</v>
      </c>
      <c r="K375" s="50" t="n">
        <f aca="false">IFERROR(INDEX('Output Utente'!$H$2:$H$492,MATCH(372,'Output Utente'!$Q$2:$Q$492,0)),"")</f>
        <v>3</v>
      </c>
      <c r="L375" s="7" t="str">
        <f aca="false">IFERROR(INDEX('Output Utente'!$E$2:$E$492,MATCH(372,'Output Utente'!$Q$2:$Q$492,0)),"")</f>
        <v>NO</v>
      </c>
      <c r="M375" s="7" t="str">
        <f aca="false">IFERROR(INDEX('Output Utente'!$U$2:$U$492,MATCH(372,'Output Utente'!$Q$2:$Q$492,0)),"")</f>
        <v>OK</v>
      </c>
      <c r="N375" s="7" t="str">
        <f aca="false">IFERROR(INDEX('Output Utente'!$AE$2:$AE$492,MATCH(372,'Output Utente'!$Q$2:$Q$492,0)),"")</f>
        <v>🟡 Attesa rischiosa</v>
      </c>
    </row>
    <row r="376" customFormat="false" ht="15" hidden="false" customHeight="true" outlineLevel="0" collapsed="false">
      <c r="A376" s="49" t="n">
        <v>373</v>
      </c>
      <c r="B376" s="7" t="n">
        <f aca="false">IFERROR(INDEX('Output Utente'!$A$2:$A$492,MATCH(373,'Output Utente'!$Q$2:$Q$492,0)),"")</f>
        <v>6638</v>
      </c>
      <c r="C376" s="7" t="str">
        <f aca="false">IFERROR(INDEX('Output Utente'!$B$2:$B$492,MATCH(373,'Output Utente'!$Q$2:$Q$492,0)),"")</f>
        <v>D</v>
      </c>
      <c r="D376" s="7" t="str">
        <f aca="false">IFERROR(INDEX('Output Utente'!$C$2:$C$492,MATCH(373,'Output Utente'!$Q$2:$Q$492,0)),"")</f>
        <v>Marin R.</v>
      </c>
      <c r="E376" s="7" t="str">
        <f aca="false">IFERROR(INDEX('Input Giocatori 2026_27'!$D$3:$D$493,MATCH($B376,'Input Giocatori 2026_27'!$A$3:$A$493,0)),"")</f>
        <v>Napoli</v>
      </c>
      <c r="F376" s="50" t="n">
        <f aca="false">IFERROR(INDEX('Output Utente'!$N$2:$N$492,MATCH(373,'Output Utente'!$Q$2:$Q$492,0)),"")</f>
        <v>2</v>
      </c>
      <c r="G376" s="50" t="n">
        <f aca="false">IFERROR(INDEX('Output Utente'!$O$2:$O$492,MATCH(373,'Output Utente'!$Q$2:$Q$492,0)),"")</f>
        <v>6</v>
      </c>
      <c r="H376" s="7" t="str">
        <f aca="false">IFERROR(INDEX('Output Utente'!$P$2:$P$492,MATCH(373,'Output Utente'!$Q$2:$Q$492,0)),"")</f>
        <v>Scommessa/Riserva</v>
      </c>
      <c r="I376" s="50" t="n">
        <f aca="false">IFERROR(INDEX('Output Utente'!$F$2:$F$492,MATCH(373,'Output Utente'!$Q$2:$Q$492,0)),"")</f>
        <v>3</v>
      </c>
      <c r="J376" s="50" t="n">
        <f aca="false">IFERROR(INDEX('Output Utente'!$G$2:$G$492,MATCH(373,'Output Utente'!$Q$2:$Q$492,0)),"")</f>
        <v>2</v>
      </c>
      <c r="K376" s="50" t="n">
        <f aca="false">IFERROR(INDEX('Output Utente'!$H$2:$H$492,MATCH(373,'Output Utente'!$Q$2:$Q$492,0)),"")</f>
        <v>3</v>
      </c>
      <c r="L376" s="7" t="str">
        <f aca="false">IFERROR(INDEX('Output Utente'!$E$2:$E$492,MATCH(373,'Output Utente'!$Q$2:$Q$492,0)),"")</f>
        <v>NO</v>
      </c>
      <c r="M376" s="7" t="str">
        <f aca="false">IFERROR(INDEX('Output Utente'!$U$2:$U$492,MATCH(373,'Output Utente'!$Q$2:$Q$492,0)),"")</f>
        <v>OK</v>
      </c>
      <c r="N376" s="7" t="str">
        <f aca="false">IFERROR(INDEX('Output Utente'!$AE$2:$AE$492,MATCH(373,'Output Utente'!$Q$2:$Q$492,0)),"")</f>
        <v>🟡 Attesa rischiosa</v>
      </c>
    </row>
    <row r="377" customFormat="false" ht="15" hidden="false" customHeight="true" outlineLevel="0" collapsed="false">
      <c r="A377" s="49" t="n">
        <v>374</v>
      </c>
      <c r="B377" s="7" t="n">
        <f aca="false">IFERROR(INDEX('Output Utente'!$A$2:$A$492,MATCH(374,'Output Utente'!$Q$2:$Q$492,0)),"")</f>
        <v>6980</v>
      </c>
      <c r="C377" s="7" t="str">
        <f aca="false">IFERROR(INDEX('Output Utente'!$B$2:$B$492,MATCH(374,'Output Utente'!$Q$2:$Q$492,0)),"")</f>
        <v>C</v>
      </c>
      <c r="D377" s="7" t="str">
        <f aca="false">IFERROR(INDEX('Output Utente'!$C$2:$C$492,MATCH(374,'Output Utente'!$Q$2:$Q$492,0)),"")</f>
        <v>Venturino</v>
      </c>
      <c r="E377" s="7" t="str">
        <f aca="false">IFERROR(INDEX('Input Giocatori 2026_27'!$D$3:$D$493,MATCH($B377,'Input Giocatori 2026_27'!$A$3:$A$493,0)),"")</f>
        <v>Genoa</v>
      </c>
      <c r="F377" s="50" t="n">
        <f aca="false">IFERROR(INDEX('Output Utente'!$N$2:$N$492,MATCH(374,'Output Utente'!$Q$2:$Q$492,0)),"")</f>
        <v>2</v>
      </c>
      <c r="G377" s="50" t="n">
        <f aca="false">IFERROR(INDEX('Output Utente'!$O$2:$O$492,MATCH(374,'Output Utente'!$Q$2:$Q$492,0)),"")</f>
        <v>6</v>
      </c>
      <c r="H377" s="7" t="str">
        <f aca="false">IFERROR(INDEX('Output Utente'!$P$2:$P$492,MATCH(374,'Output Utente'!$Q$2:$Q$492,0)),"")</f>
        <v>Scommessa/Riserva</v>
      </c>
      <c r="I377" s="50" t="n">
        <f aca="false">IFERROR(INDEX('Output Utente'!$F$2:$F$492,MATCH(374,'Output Utente'!$Q$2:$Q$492,0)),"")</f>
        <v>3</v>
      </c>
      <c r="J377" s="50" t="n">
        <f aca="false">IFERROR(INDEX('Output Utente'!$G$2:$G$492,MATCH(374,'Output Utente'!$Q$2:$Q$492,0)),"")</f>
        <v>2</v>
      </c>
      <c r="K377" s="50" t="n">
        <f aca="false">IFERROR(INDEX('Output Utente'!$H$2:$H$492,MATCH(374,'Output Utente'!$Q$2:$Q$492,0)),"")</f>
        <v>4</v>
      </c>
      <c r="L377" s="7" t="str">
        <f aca="false">IFERROR(INDEX('Output Utente'!$E$2:$E$492,MATCH(374,'Output Utente'!$Q$2:$Q$492,0)),"")</f>
        <v>NO</v>
      </c>
      <c r="M377" s="7" t="str">
        <f aca="false">IFERROR(INDEX('Output Utente'!$U$2:$U$492,MATCH(374,'Output Utente'!$Q$2:$Q$492,0)),"")</f>
        <v>OK</v>
      </c>
      <c r="N377" s="7" t="str">
        <f aca="false">IFERROR(INDEX('Output Utente'!$AE$2:$AE$492,MATCH(374,'Output Utente'!$Q$2:$Q$492,0)),"")</f>
        <v>🟡 Attesa rischiosa</v>
      </c>
    </row>
    <row r="378" customFormat="false" ht="15" hidden="false" customHeight="true" outlineLevel="0" collapsed="false">
      <c r="A378" s="49" t="n">
        <v>375</v>
      </c>
      <c r="B378" s="7" t="n">
        <f aca="false">IFERROR(INDEX('Output Utente'!$A$2:$A$492,MATCH(375,'Output Utente'!$Q$2:$Q$492,0)),"")</f>
        <v>5295</v>
      </c>
      <c r="C378" s="7" t="str">
        <f aca="false">IFERROR(INDEX('Output Utente'!$B$2:$B$492,MATCH(375,'Output Utente'!$Q$2:$Q$492,0)),"")</f>
        <v>C</v>
      </c>
      <c r="D378" s="7" t="str">
        <f aca="false">IFERROR(INDEX('Output Utente'!$C$2:$C$492,MATCH(375,'Output Utente'!$Q$2:$Q$492,0)),"")</f>
        <v>Musah</v>
      </c>
      <c r="E378" s="7" t="str">
        <f aca="false">IFERROR(INDEX('Input Giocatori 2026_27'!$D$3:$D$493,MATCH($B378,'Input Giocatori 2026_27'!$A$3:$A$493,0)),"")</f>
        <v>Milan</v>
      </c>
      <c r="F378" s="50" t="n">
        <f aca="false">IFERROR(INDEX('Output Utente'!$N$2:$N$492,MATCH(375,'Output Utente'!$Q$2:$Q$492,0)),"")</f>
        <v>2</v>
      </c>
      <c r="G378" s="50" t="n">
        <f aca="false">IFERROR(INDEX('Output Utente'!$O$2:$O$492,MATCH(375,'Output Utente'!$Q$2:$Q$492,0)),"")</f>
        <v>6</v>
      </c>
      <c r="H378" s="7" t="str">
        <f aca="false">IFERROR(INDEX('Output Utente'!$P$2:$P$492,MATCH(375,'Output Utente'!$Q$2:$Q$492,0)),"")</f>
        <v>Scommessa/Riserva</v>
      </c>
      <c r="I378" s="50" t="n">
        <f aca="false">IFERROR(INDEX('Output Utente'!$F$2:$F$492,MATCH(375,'Output Utente'!$Q$2:$Q$492,0)),"")</f>
        <v>3</v>
      </c>
      <c r="J378" s="50" t="n">
        <f aca="false">IFERROR(INDEX('Output Utente'!$G$2:$G$492,MATCH(375,'Output Utente'!$Q$2:$Q$492,0)),"")</f>
        <v>2</v>
      </c>
      <c r="K378" s="50" t="n">
        <f aca="false">IFERROR(INDEX('Output Utente'!$H$2:$H$492,MATCH(375,'Output Utente'!$Q$2:$Q$492,0)),"")</f>
        <v>4</v>
      </c>
      <c r="L378" s="7" t="str">
        <f aca="false">IFERROR(INDEX('Output Utente'!$E$2:$E$492,MATCH(375,'Output Utente'!$Q$2:$Q$492,0)),"")</f>
        <v>NO</v>
      </c>
      <c r="M378" s="7" t="str">
        <f aca="false">IFERROR(INDEX('Output Utente'!$U$2:$U$492,MATCH(375,'Output Utente'!$Q$2:$Q$492,0)),"")</f>
        <v>OK</v>
      </c>
      <c r="N378" s="7" t="str">
        <f aca="false">IFERROR(INDEX('Output Utente'!$AE$2:$AE$492,MATCH(375,'Output Utente'!$Q$2:$Q$492,0)),"")</f>
        <v>🟡 Attesa rischiosa</v>
      </c>
    </row>
    <row r="379" customFormat="false" ht="15" hidden="false" customHeight="true" outlineLevel="0" collapsed="false">
      <c r="A379" s="49" t="n">
        <v>376</v>
      </c>
      <c r="B379" s="7" t="n">
        <f aca="false">IFERROR(INDEX('Output Utente'!$A$2:$A$492,MATCH(376,'Output Utente'!$Q$2:$Q$492,0)),"")</f>
        <v>5880</v>
      </c>
      <c r="C379" s="7" t="str">
        <f aca="false">IFERROR(INDEX('Output Utente'!$B$2:$B$492,MATCH(376,'Output Utente'!$Q$2:$Q$492,0)),"")</f>
        <v>C</v>
      </c>
      <c r="D379" s="7" t="str">
        <f aca="false">IFERROR(INDEX('Output Utente'!$C$2:$C$492,MATCH(376,'Output Utente'!$Q$2:$Q$492,0)),"")</f>
        <v>Ciurria</v>
      </c>
      <c r="E379" s="7" t="str">
        <f aca="false">IFERROR(INDEX('Input Giocatori 2026_27'!$D$3:$D$493,MATCH($B379,'Input Giocatori 2026_27'!$A$3:$A$493,0)),"")</f>
        <v>Monza</v>
      </c>
      <c r="F379" s="50" t="n">
        <f aca="false">IFERROR(INDEX('Output Utente'!$N$2:$N$492,MATCH(376,'Output Utente'!$Q$2:$Q$492,0)),"")</f>
        <v>2</v>
      </c>
      <c r="G379" s="50" t="n">
        <f aca="false">IFERROR(INDEX('Output Utente'!$O$2:$O$492,MATCH(376,'Output Utente'!$Q$2:$Q$492,0)),"")</f>
        <v>6</v>
      </c>
      <c r="H379" s="7" t="str">
        <f aca="false">IFERROR(INDEX('Output Utente'!$P$2:$P$492,MATCH(376,'Output Utente'!$Q$2:$Q$492,0)),"")</f>
        <v>Scommessa/Riserva</v>
      </c>
      <c r="I379" s="50" t="n">
        <f aca="false">IFERROR(INDEX('Output Utente'!$F$2:$F$492,MATCH(376,'Output Utente'!$Q$2:$Q$492,0)),"")</f>
        <v>3</v>
      </c>
      <c r="J379" s="50" t="n">
        <f aca="false">IFERROR(INDEX('Output Utente'!$G$2:$G$492,MATCH(376,'Output Utente'!$Q$2:$Q$492,0)),"")</f>
        <v>2</v>
      </c>
      <c r="K379" s="50" t="n">
        <f aca="false">IFERROR(INDEX('Output Utente'!$H$2:$H$492,MATCH(376,'Output Utente'!$Q$2:$Q$492,0)),"")</f>
        <v>4</v>
      </c>
      <c r="L379" s="7" t="str">
        <f aca="false">IFERROR(INDEX('Output Utente'!$E$2:$E$492,MATCH(376,'Output Utente'!$Q$2:$Q$492,0)),"")</f>
        <v>NO</v>
      </c>
      <c r="M379" s="7" t="str">
        <f aca="false">IFERROR(INDEX('Output Utente'!$U$2:$U$492,MATCH(376,'Output Utente'!$Q$2:$Q$492,0)),"")</f>
        <v>OK</v>
      </c>
      <c r="N379" s="7" t="str">
        <f aca="false">IFERROR(INDEX('Output Utente'!$AE$2:$AE$492,MATCH(376,'Output Utente'!$Q$2:$Q$492,0)),"")</f>
        <v>🟡 Attesa rischiosa</v>
      </c>
    </row>
    <row r="380" customFormat="false" ht="15" hidden="false" customHeight="true" outlineLevel="0" collapsed="false">
      <c r="A380" s="49" t="n">
        <v>377</v>
      </c>
      <c r="B380" s="7" t="n">
        <f aca="false">IFERROR(INDEX('Output Utente'!$A$2:$A$492,MATCH(377,'Output Utente'!$Q$2:$Q$492,0)),"")</f>
        <v>7418</v>
      </c>
      <c r="C380" s="7" t="str">
        <f aca="false">IFERROR(INDEX('Output Utente'!$B$2:$B$492,MATCH(377,'Output Utente'!$Q$2:$Q$492,0)),"")</f>
        <v>C</v>
      </c>
      <c r="D380" s="7" t="str">
        <f aca="false">IFERROR(INDEX('Output Utente'!$C$2:$C$492,MATCH(377,'Output Utente'!$Q$2:$Q$492,0)),"")</f>
        <v>Chakvetadze</v>
      </c>
      <c r="E380" s="7" t="str">
        <f aca="false">IFERROR(INDEX('Input Giocatori 2026_27'!$D$3:$D$493,MATCH($B380,'Input Giocatori 2026_27'!$A$3:$A$493,0)),"")</f>
        <v>Udinese</v>
      </c>
      <c r="F380" s="50" t="n">
        <f aca="false">IFERROR(INDEX('Output Utente'!$N$2:$N$492,MATCH(377,'Output Utente'!$Q$2:$Q$492,0)),"")</f>
        <v>2</v>
      </c>
      <c r="G380" s="50" t="n">
        <f aca="false">IFERROR(INDEX('Output Utente'!$O$2:$O$492,MATCH(377,'Output Utente'!$Q$2:$Q$492,0)),"")</f>
        <v>6</v>
      </c>
      <c r="H380" s="7" t="str">
        <f aca="false">IFERROR(INDEX('Output Utente'!$P$2:$P$492,MATCH(377,'Output Utente'!$Q$2:$Q$492,0)),"")</f>
        <v>Scommessa/Riserva</v>
      </c>
      <c r="I380" s="50" t="n">
        <f aca="false">IFERROR(INDEX('Output Utente'!$F$2:$F$492,MATCH(377,'Output Utente'!$Q$2:$Q$492,0)),"")</f>
        <v>3</v>
      </c>
      <c r="J380" s="50" t="n">
        <f aca="false">IFERROR(INDEX('Output Utente'!$G$2:$G$492,MATCH(377,'Output Utente'!$Q$2:$Q$492,0)),"")</f>
        <v>2</v>
      </c>
      <c r="K380" s="50" t="n">
        <f aca="false">IFERROR(INDEX('Output Utente'!$H$2:$H$492,MATCH(377,'Output Utente'!$Q$2:$Q$492,0)),"")</f>
        <v>4</v>
      </c>
      <c r="L380" s="7" t="str">
        <f aca="false">IFERROR(INDEX('Output Utente'!$E$2:$E$492,MATCH(377,'Output Utente'!$Q$2:$Q$492,0)),"")</f>
        <v>NO</v>
      </c>
      <c r="M380" s="7" t="str">
        <f aca="false">IFERROR(INDEX('Output Utente'!$U$2:$U$492,MATCH(377,'Output Utente'!$Q$2:$Q$492,0)),"")</f>
        <v>OK</v>
      </c>
      <c r="N380" s="7" t="str">
        <f aca="false">IFERROR(INDEX('Output Utente'!$AE$2:$AE$492,MATCH(377,'Output Utente'!$Q$2:$Q$492,0)),"")</f>
        <v>🟡 Attesa rischiosa</v>
      </c>
    </row>
    <row r="381" customFormat="false" ht="15" hidden="false" customHeight="true" outlineLevel="0" collapsed="false">
      <c r="A381" s="49" t="n">
        <v>378</v>
      </c>
      <c r="B381" s="7" t="n">
        <f aca="false">IFERROR(INDEX('Output Utente'!$A$2:$A$492,MATCH(378,'Output Utente'!$Q$2:$Q$492,0)),"")</f>
        <v>7411</v>
      </c>
      <c r="C381" s="7" t="str">
        <f aca="false">IFERROR(INDEX('Output Utente'!$B$2:$B$492,MATCH(378,'Output Utente'!$Q$2:$Q$492,0)),"")</f>
        <v>P</v>
      </c>
      <c r="D381" s="7" t="str">
        <f aca="false">IFERROR(INDEX('Output Utente'!$C$2:$C$492,MATCH(378,'Output Utente'!$Q$2:$Q$492,0)),"")</f>
        <v>Daffara</v>
      </c>
      <c r="E381" s="7" t="str">
        <f aca="false">IFERROR(INDEX('Input Giocatori 2026_27'!$D$3:$D$493,MATCH($B381,'Input Giocatori 2026_27'!$A$3:$A$493,0)),"")</f>
        <v>Parma</v>
      </c>
      <c r="F381" s="50" t="n">
        <f aca="false">IFERROR(INDEX('Output Utente'!$N$2:$N$492,MATCH(378,'Output Utente'!$Q$2:$Q$492,0)),"")</f>
        <v>7</v>
      </c>
      <c r="G381" s="50" t="n">
        <f aca="false">IFERROR(INDEX('Output Utente'!$O$2:$O$492,MATCH(378,'Output Utente'!$Q$2:$Q$492,0)),"")</f>
        <v>5</v>
      </c>
      <c r="H381" s="7" t="str">
        <f aca="false">IFERROR(INDEX('Output Utente'!$P$2:$P$492,MATCH(378,'Output Utente'!$Q$2:$Q$492,0)),"")</f>
        <v>Buono</v>
      </c>
      <c r="I381" s="50" t="n">
        <f aca="false">IFERROR(INDEX('Output Utente'!$F$2:$F$492,MATCH(378,'Output Utente'!$Q$2:$Q$492,0)),"")</f>
        <v>6</v>
      </c>
      <c r="J381" s="50" t="n">
        <f aca="false">IFERROR(INDEX('Output Utente'!$G$2:$G$492,MATCH(378,'Output Utente'!$Q$2:$Q$492,0)),"")</f>
        <v>5</v>
      </c>
      <c r="K381" s="50" t="n">
        <f aca="false">IFERROR(INDEX('Output Utente'!$H$2:$H$492,MATCH(378,'Output Utente'!$Q$2:$Q$492,0)),"")</f>
        <v>6</v>
      </c>
      <c r="L381" s="7" t="str">
        <f aca="false">IFERROR(INDEX('Output Utente'!$E$2:$E$492,MATCH(378,'Output Utente'!$Q$2:$Q$492,0)),"")</f>
        <v>NO</v>
      </c>
      <c r="M381" s="7" t="str">
        <f aca="false">IFERROR(INDEX('Output Utente'!$U$2:$U$492,MATCH(378,'Output Utente'!$Q$2:$Q$492,0)),"")</f>
        <v>OK</v>
      </c>
      <c r="N381" s="7" t="str">
        <f aca="false">IFERROR(INDEX('Output Utente'!$AE$2:$AE$492,MATCH(378,'Output Utente'!$Q$2:$Q$492,0)),"")</f>
        <v>🟡 Attesa rischiosa</v>
      </c>
    </row>
    <row r="382" customFormat="false" ht="15" hidden="false" customHeight="true" outlineLevel="0" collapsed="false">
      <c r="A382" s="49" t="n">
        <v>379</v>
      </c>
      <c r="B382" s="7" t="n">
        <f aca="false">IFERROR(INDEX('Output Utente'!$A$2:$A$492,MATCH(379,'Output Utente'!$Q$2:$Q$492,0)),"")</f>
        <v>2814</v>
      </c>
      <c r="C382" s="7" t="str">
        <f aca="false">IFERROR(INDEX('Output Utente'!$B$2:$B$492,MATCH(379,'Output Utente'!$Q$2:$Q$492,0)),"")</f>
        <v>P</v>
      </c>
      <c r="D382" s="7" t="str">
        <f aca="false">IFERROR(INDEX('Output Utente'!$C$2:$C$492,MATCH(379,'Output Utente'!$Q$2:$Q$492,0)),"")</f>
        <v>Provedel</v>
      </c>
      <c r="E382" s="7" t="str">
        <f aca="false">IFERROR(INDEX('Input Giocatori 2026_27'!$D$3:$D$493,MATCH($B382,'Input Giocatori 2026_27'!$A$3:$A$493,0)),"")</f>
        <v>Inter</v>
      </c>
      <c r="F382" s="50" t="n">
        <f aca="false">IFERROR(INDEX('Output Utente'!$N$2:$N$492,MATCH(379,'Output Utente'!$Q$2:$Q$492,0)),"")</f>
        <v>2</v>
      </c>
      <c r="G382" s="50" t="n">
        <f aca="false">IFERROR(INDEX('Output Utente'!$O$2:$O$492,MATCH(379,'Output Utente'!$Q$2:$Q$492,0)),"")</f>
        <v>5</v>
      </c>
      <c r="H382" s="7" t="str">
        <f aca="false">IFERROR(INDEX('Output Utente'!$P$2:$P$492,MATCH(379,'Output Utente'!$Q$2:$Q$492,0)),"")</f>
        <v>Buono</v>
      </c>
      <c r="I382" s="50" t="n">
        <f aca="false">IFERROR(INDEX('Output Utente'!$F$2:$F$492,MATCH(379,'Output Utente'!$Q$2:$Q$492,0)),"")</f>
        <v>6</v>
      </c>
      <c r="J382" s="50" t="n">
        <f aca="false">IFERROR(INDEX('Output Utente'!$G$2:$G$492,MATCH(379,'Output Utente'!$Q$2:$Q$492,0)),"")</f>
        <v>5</v>
      </c>
      <c r="K382" s="50" t="n">
        <f aca="false">IFERROR(INDEX('Output Utente'!$H$2:$H$492,MATCH(379,'Output Utente'!$Q$2:$Q$492,0)),"")</f>
        <v>6</v>
      </c>
      <c r="L382" s="7" t="str">
        <f aca="false">IFERROR(INDEX('Output Utente'!$E$2:$E$492,MATCH(379,'Output Utente'!$Q$2:$Q$492,0)),"")</f>
        <v>NO</v>
      </c>
      <c r="M382" s="7" t="str">
        <f aca="false">IFERROR(INDEX('Output Utente'!$U$2:$U$492,MATCH(379,'Output Utente'!$Q$2:$Q$492,0)),"")</f>
        <v>OK</v>
      </c>
      <c r="N382" s="7" t="str">
        <f aca="false">IFERROR(INDEX('Output Utente'!$AE$2:$AE$492,MATCH(379,'Output Utente'!$Q$2:$Q$492,0)),"")</f>
        <v>🟡 Attesa rischiosa</v>
      </c>
    </row>
    <row r="383" customFormat="false" ht="15" hidden="false" customHeight="true" outlineLevel="0" collapsed="false">
      <c r="A383" s="49" t="n">
        <v>380</v>
      </c>
      <c r="B383" s="7" t="n">
        <f aca="false">IFERROR(INDEX('Output Utente'!$A$2:$A$492,MATCH(380,'Output Utente'!$Q$2:$Q$492,0)),"")</f>
        <v>7326</v>
      </c>
      <c r="C383" s="7" t="str">
        <f aca="false">IFERROR(INDEX('Output Utente'!$B$2:$B$492,MATCH(380,'Output Utente'!$Q$2:$Q$492,0)),"")</f>
        <v>D</v>
      </c>
      <c r="D383" s="7" t="str">
        <f aca="false">IFERROR(INDEX('Output Utente'!$C$2:$C$492,MATCH(380,'Output Utente'!$Q$2:$Q$492,0)),"")</f>
        <v>Helland</v>
      </c>
      <c r="E383" s="7" t="str">
        <f aca="false">IFERROR(INDEX('Input Giocatori 2026_27'!$D$3:$D$493,MATCH($B383,'Input Giocatori 2026_27'!$A$3:$A$493,0)),"")</f>
        <v>Bologna</v>
      </c>
      <c r="F383" s="50" t="n">
        <f aca="false">IFERROR(INDEX('Output Utente'!$N$2:$N$492,MATCH(380,'Output Utente'!$Q$2:$Q$492,0)),"")</f>
        <v>2</v>
      </c>
      <c r="G383" s="50" t="n">
        <f aca="false">IFERROR(INDEX('Output Utente'!$O$2:$O$492,MATCH(380,'Output Utente'!$Q$2:$Q$492,0)),"")</f>
        <v>5</v>
      </c>
      <c r="H383" s="7" t="str">
        <f aca="false">IFERROR(INDEX('Output Utente'!$P$2:$P$492,MATCH(380,'Output Utente'!$Q$2:$Q$492,0)),"")</f>
        <v>Scommessa/Riserva</v>
      </c>
      <c r="I383" s="50" t="n">
        <f aca="false">IFERROR(INDEX('Output Utente'!$F$2:$F$492,MATCH(380,'Output Utente'!$Q$2:$Q$492,0)),"")</f>
        <v>3</v>
      </c>
      <c r="J383" s="50" t="n">
        <f aca="false">IFERROR(INDEX('Output Utente'!$G$2:$G$492,MATCH(380,'Output Utente'!$Q$2:$Q$492,0)),"")</f>
        <v>2</v>
      </c>
      <c r="K383" s="50" t="n">
        <f aca="false">IFERROR(INDEX('Output Utente'!$H$2:$H$492,MATCH(380,'Output Utente'!$Q$2:$Q$492,0)),"")</f>
        <v>3</v>
      </c>
      <c r="L383" s="7" t="str">
        <f aca="false">IFERROR(INDEX('Output Utente'!$E$2:$E$492,MATCH(380,'Output Utente'!$Q$2:$Q$492,0)),"")</f>
        <v>NO</v>
      </c>
      <c r="M383" s="7" t="str">
        <f aca="false">IFERROR(INDEX('Output Utente'!$U$2:$U$492,MATCH(380,'Output Utente'!$Q$2:$Q$492,0)),"")</f>
        <v>OK</v>
      </c>
      <c r="N383" s="7" t="str">
        <f aca="false">IFERROR(INDEX('Output Utente'!$AE$2:$AE$492,MATCH(380,'Output Utente'!$Q$2:$Q$492,0)),"")</f>
        <v>🟡 Attesa rischiosa</v>
      </c>
    </row>
    <row r="384" customFormat="false" ht="15" hidden="false" customHeight="true" outlineLevel="0" collapsed="false">
      <c r="A384" s="49" t="n">
        <v>381</v>
      </c>
      <c r="B384" s="7" t="n">
        <f aca="false">IFERROR(INDEX('Output Utente'!$A$2:$A$492,MATCH(381,'Output Utente'!$Q$2:$Q$492,0)),"")</f>
        <v>6896</v>
      </c>
      <c r="C384" s="7" t="str">
        <f aca="false">IFERROR(INDEX('Output Utente'!$B$2:$B$492,MATCH(381,'Output Utente'!$Q$2:$Q$492,0)),"")</f>
        <v>D</v>
      </c>
      <c r="D384" s="7" t="str">
        <f aca="false">IFERROR(INDEX('Output Utente'!$C$2:$C$492,MATCH(381,'Output Utente'!$Q$2:$Q$492,0)),"")</f>
        <v>Van Der Brempt</v>
      </c>
      <c r="E384" s="7" t="str">
        <f aca="false">IFERROR(INDEX('Input Giocatori 2026_27'!$D$3:$D$493,MATCH($B384,'Input Giocatori 2026_27'!$A$3:$A$493,0)),"")</f>
        <v>Como</v>
      </c>
      <c r="F384" s="50" t="n">
        <f aca="false">IFERROR(INDEX('Output Utente'!$N$2:$N$492,MATCH(381,'Output Utente'!$Q$2:$Q$492,0)),"")</f>
        <v>2</v>
      </c>
      <c r="G384" s="50" t="n">
        <f aca="false">IFERROR(INDEX('Output Utente'!$O$2:$O$492,MATCH(381,'Output Utente'!$Q$2:$Q$492,0)),"")</f>
        <v>5</v>
      </c>
      <c r="H384" s="7" t="str">
        <f aca="false">IFERROR(INDEX('Output Utente'!$P$2:$P$492,MATCH(381,'Output Utente'!$Q$2:$Q$492,0)),"")</f>
        <v>Scommessa/Riserva</v>
      </c>
      <c r="I384" s="50" t="n">
        <f aca="false">IFERROR(INDEX('Output Utente'!$F$2:$F$492,MATCH(381,'Output Utente'!$Q$2:$Q$492,0)),"")</f>
        <v>3</v>
      </c>
      <c r="J384" s="50" t="n">
        <f aca="false">IFERROR(INDEX('Output Utente'!$G$2:$G$492,MATCH(381,'Output Utente'!$Q$2:$Q$492,0)),"")</f>
        <v>2</v>
      </c>
      <c r="K384" s="50" t="n">
        <f aca="false">IFERROR(INDEX('Output Utente'!$H$2:$H$492,MATCH(381,'Output Utente'!$Q$2:$Q$492,0)),"")</f>
        <v>3</v>
      </c>
      <c r="L384" s="7" t="str">
        <f aca="false">IFERROR(INDEX('Output Utente'!$E$2:$E$492,MATCH(381,'Output Utente'!$Q$2:$Q$492,0)),"")</f>
        <v>NO</v>
      </c>
      <c r="M384" s="7" t="str">
        <f aca="false">IFERROR(INDEX('Output Utente'!$U$2:$U$492,MATCH(381,'Output Utente'!$Q$2:$Q$492,0)),"")</f>
        <v>OK</v>
      </c>
      <c r="N384" s="7" t="str">
        <f aca="false">IFERROR(INDEX('Output Utente'!$AE$2:$AE$492,MATCH(381,'Output Utente'!$Q$2:$Q$492,0)),"")</f>
        <v>🟡 Attesa rischiosa</v>
      </c>
    </row>
    <row r="385" customFormat="false" ht="15" hidden="false" customHeight="true" outlineLevel="0" collapsed="false">
      <c r="A385" s="49" t="n">
        <v>382</v>
      </c>
      <c r="B385" s="7" t="n">
        <f aca="false">IFERROR(INDEX('Output Utente'!$A$2:$A$492,MATCH(382,'Output Utente'!$Q$2:$Q$492,0)),"")</f>
        <v>6977</v>
      </c>
      <c r="C385" s="7" t="str">
        <f aca="false">IFERROR(INDEX('Output Utente'!$B$2:$B$492,MATCH(382,'Output Utente'!$Q$2:$Q$492,0)),"")</f>
        <v>D</v>
      </c>
      <c r="D385" s="7" t="str">
        <f aca="false">IFERROR(INDEX('Output Utente'!$C$2:$C$492,MATCH(382,'Output Utente'!$Q$2:$Q$492,0)),"")</f>
        <v>Otoa</v>
      </c>
      <c r="E385" s="7" t="str">
        <f aca="false">IFERROR(INDEX('Input Giocatori 2026_27'!$D$3:$D$493,MATCH($B385,'Input Giocatori 2026_27'!$A$3:$A$493,0)),"")</f>
        <v>Genoa</v>
      </c>
      <c r="F385" s="50" t="n">
        <f aca="false">IFERROR(INDEX('Output Utente'!$N$2:$N$492,MATCH(382,'Output Utente'!$Q$2:$Q$492,0)),"")</f>
        <v>2</v>
      </c>
      <c r="G385" s="50" t="n">
        <f aca="false">IFERROR(INDEX('Output Utente'!$O$2:$O$492,MATCH(382,'Output Utente'!$Q$2:$Q$492,0)),"")</f>
        <v>5</v>
      </c>
      <c r="H385" s="7" t="str">
        <f aca="false">IFERROR(INDEX('Output Utente'!$P$2:$P$492,MATCH(382,'Output Utente'!$Q$2:$Q$492,0)),"")</f>
        <v>Scommessa/Riserva</v>
      </c>
      <c r="I385" s="50" t="n">
        <f aca="false">IFERROR(INDEX('Output Utente'!$F$2:$F$492,MATCH(382,'Output Utente'!$Q$2:$Q$492,0)),"")</f>
        <v>3</v>
      </c>
      <c r="J385" s="50" t="n">
        <f aca="false">IFERROR(INDEX('Output Utente'!$G$2:$G$492,MATCH(382,'Output Utente'!$Q$2:$Q$492,0)),"")</f>
        <v>2</v>
      </c>
      <c r="K385" s="50" t="n">
        <f aca="false">IFERROR(INDEX('Output Utente'!$H$2:$H$492,MATCH(382,'Output Utente'!$Q$2:$Q$492,0)),"")</f>
        <v>3</v>
      </c>
      <c r="L385" s="7" t="str">
        <f aca="false">IFERROR(INDEX('Output Utente'!$E$2:$E$492,MATCH(382,'Output Utente'!$Q$2:$Q$492,0)),"")</f>
        <v>NO</v>
      </c>
      <c r="M385" s="7" t="str">
        <f aca="false">IFERROR(INDEX('Output Utente'!$U$2:$U$492,MATCH(382,'Output Utente'!$Q$2:$Q$492,0)),"")</f>
        <v>OK</v>
      </c>
      <c r="N385" s="7" t="str">
        <f aca="false">IFERROR(INDEX('Output Utente'!$AE$2:$AE$492,MATCH(382,'Output Utente'!$Q$2:$Q$492,0)),"")</f>
        <v>🟡 Attesa rischiosa</v>
      </c>
    </row>
    <row r="386" customFormat="false" ht="15" hidden="false" customHeight="true" outlineLevel="0" collapsed="false">
      <c r="A386" s="49" t="n">
        <v>383</v>
      </c>
      <c r="B386" s="7" t="n">
        <f aca="false">IFERROR(INDEX('Output Utente'!$A$2:$A$492,MATCH(383,'Output Utente'!$Q$2:$Q$492,0)),"")</f>
        <v>791</v>
      </c>
      <c r="C386" s="7" t="str">
        <f aca="false">IFERROR(INDEX('Output Utente'!$B$2:$B$492,MATCH(383,'Output Utente'!$Q$2:$Q$492,0)),"")</f>
        <v>D</v>
      </c>
      <c r="D386" s="7" t="str">
        <f aca="false">IFERROR(INDEX('Output Utente'!$C$2:$C$492,MATCH(383,'Output Utente'!$Q$2:$Q$492,0)),"")</f>
        <v>Sabelli</v>
      </c>
      <c r="E386" s="7" t="str">
        <f aca="false">IFERROR(INDEX('Input Giocatori 2026_27'!$D$3:$D$493,MATCH($B386,'Input Giocatori 2026_27'!$A$3:$A$493,0)),"")</f>
        <v>Genoa</v>
      </c>
      <c r="F386" s="50" t="n">
        <f aca="false">IFERROR(INDEX('Output Utente'!$N$2:$N$492,MATCH(383,'Output Utente'!$Q$2:$Q$492,0)),"")</f>
        <v>2</v>
      </c>
      <c r="G386" s="50" t="n">
        <f aca="false">IFERROR(INDEX('Output Utente'!$O$2:$O$492,MATCH(383,'Output Utente'!$Q$2:$Q$492,0)),"")</f>
        <v>5</v>
      </c>
      <c r="H386" s="7" t="str">
        <f aca="false">IFERROR(INDEX('Output Utente'!$P$2:$P$492,MATCH(383,'Output Utente'!$Q$2:$Q$492,0)),"")</f>
        <v>Scommessa/Riserva</v>
      </c>
      <c r="I386" s="50" t="n">
        <f aca="false">IFERROR(INDEX('Output Utente'!$F$2:$F$492,MATCH(383,'Output Utente'!$Q$2:$Q$492,0)),"")</f>
        <v>3</v>
      </c>
      <c r="J386" s="50" t="n">
        <f aca="false">IFERROR(INDEX('Output Utente'!$G$2:$G$492,MATCH(383,'Output Utente'!$Q$2:$Q$492,0)),"")</f>
        <v>2</v>
      </c>
      <c r="K386" s="50" t="n">
        <f aca="false">IFERROR(INDEX('Output Utente'!$H$2:$H$492,MATCH(383,'Output Utente'!$Q$2:$Q$492,0)),"")</f>
        <v>3</v>
      </c>
      <c r="L386" s="7" t="str">
        <f aca="false">IFERROR(INDEX('Output Utente'!$E$2:$E$492,MATCH(383,'Output Utente'!$Q$2:$Q$492,0)),"")</f>
        <v>NO</v>
      </c>
      <c r="M386" s="7" t="str">
        <f aca="false">IFERROR(INDEX('Output Utente'!$U$2:$U$492,MATCH(383,'Output Utente'!$Q$2:$Q$492,0)),"")</f>
        <v>OK</v>
      </c>
      <c r="N386" s="7" t="str">
        <f aca="false">IFERROR(INDEX('Output Utente'!$AE$2:$AE$492,MATCH(383,'Output Utente'!$Q$2:$Q$492,0)),"")</f>
        <v>🟡 Attesa rischiosa</v>
      </c>
    </row>
    <row r="387" customFormat="false" ht="15" hidden="false" customHeight="true" outlineLevel="0" collapsed="false">
      <c r="A387" s="49" t="n">
        <v>384</v>
      </c>
      <c r="B387" s="7" t="n">
        <f aca="false">IFERROR(INDEX('Output Utente'!$A$2:$A$492,MATCH(384,'Output Utente'!$Q$2:$Q$492,0)),"")</f>
        <v>2728</v>
      </c>
      <c r="C387" s="7" t="str">
        <f aca="false">IFERROR(INDEX('Output Utente'!$B$2:$B$492,MATCH(384,'Output Utente'!$Q$2:$Q$492,0)),"")</f>
        <v>D</v>
      </c>
      <c r="D387" s="7" t="str">
        <f aca="false">IFERROR(INDEX('Output Utente'!$C$2:$C$492,MATCH(384,'Output Utente'!$Q$2:$Q$492,0)),"")</f>
        <v>Pellegrini Lu.</v>
      </c>
      <c r="E387" s="7" t="str">
        <f aca="false">IFERROR(INDEX('Input Giocatori 2026_27'!$D$3:$D$493,MATCH($B387,'Input Giocatori 2026_27'!$A$3:$A$493,0)),"")</f>
        <v>Lazio</v>
      </c>
      <c r="F387" s="50" t="n">
        <f aca="false">IFERROR(INDEX('Output Utente'!$N$2:$N$492,MATCH(384,'Output Utente'!$Q$2:$Q$492,0)),"")</f>
        <v>2</v>
      </c>
      <c r="G387" s="50" t="n">
        <f aca="false">IFERROR(INDEX('Output Utente'!$O$2:$O$492,MATCH(384,'Output Utente'!$Q$2:$Q$492,0)),"")</f>
        <v>5</v>
      </c>
      <c r="H387" s="7" t="str">
        <f aca="false">IFERROR(INDEX('Output Utente'!$P$2:$P$492,MATCH(384,'Output Utente'!$Q$2:$Q$492,0)),"")</f>
        <v>Scommessa/Riserva</v>
      </c>
      <c r="I387" s="50" t="n">
        <f aca="false">IFERROR(INDEX('Output Utente'!$F$2:$F$492,MATCH(384,'Output Utente'!$Q$2:$Q$492,0)),"")</f>
        <v>3</v>
      </c>
      <c r="J387" s="50" t="n">
        <f aca="false">IFERROR(INDEX('Output Utente'!$G$2:$G$492,MATCH(384,'Output Utente'!$Q$2:$Q$492,0)),"")</f>
        <v>2</v>
      </c>
      <c r="K387" s="50" t="n">
        <f aca="false">IFERROR(INDEX('Output Utente'!$H$2:$H$492,MATCH(384,'Output Utente'!$Q$2:$Q$492,0)),"")</f>
        <v>3</v>
      </c>
      <c r="L387" s="7" t="str">
        <f aca="false">IFERROR(INDEX('Output Utente'!$E$2:$E$492,MATCH(384,'Output Utente'!$Q$2:$Q$492,0)),"")</f>
        <v>NO</v>
      </c>
      <c r="M387" s="7" t="str">
        <f aca="false">IFERROR(INDEX('Output Utente'!$U$2:$U$492,MATCH(384,'Output Utente'!$Q$2:$Q$492,0)),"")</f>
        <v>OK</v>
      </c>
      <c r="N387" s="7" t="str">
        <f aca="false">IFERROR(INDEX('Output Utente'!$AE$2:$AE$492,MATCH(384,'Output Utente'!$Q$2:$Q$492,0)),"")</f>
        <v>🟡 Attesa rischiosa</v>
      </c>
    </row>
    <row r="388" customFormat="false" ht="15" hidden="false" customHeight="true" outlineLevel="0" collapsed="false">
      <c r="A388" s="49" t="n">
        <v>385</v>
      </c>
      <c r="B388" s="7" t="n">
        <f aca="false">IFERROR(INDEX('Output Utente'!$A$2:$A$492,MATCH(385,'Output Utente'!$Q$2:$Q$492,0)),"")</f>
        <v>252</v>
      </c>
      <c r="C388" s="7" t="str">
        <f aca="false">IFERROR(INDEX('Output Utente'!$B$2:$B$492,MATCH(385,'Output Utente'!$Q$2:$Q$492,0)),"")</f>
        <v>D</v>
      </c>
      <c r="D388" s="7" t="str">
        <f aca="false">IFERROR(INDEX('Output Utente'!$C$2:$C$492,MATCH(385,'Output Utente'!$Q$2:$Q$492,0)),"")</f>
        <v>Biraghi</v>
      </c>
      <c r="E388" s="7" t="str">
        <f aca="false">IFERROR(INDEX('Input Giocatori 2026_27'!$D$3:$D$493,MATCH($B388,'Input Giocatori 2026_27'!$A$3:$A$493,0)),"")</f>
        <v>Torino</v>
      </c>
      <c r="F388" s="50" t="n">
        <f aca="false">IFERROR(INDEX('Output Utente'!$N$2:$N$492,MATCH(385,'Output Utente'!$Q$2:$Q$492,0)),"")</f>
        <v>2</v>
      </c>
      <c r="G388" s="50" t="n">
        <f aca="false">IFERROR(INDEX('Output Utente'!$O$2:$O$492,MATCH(385,'Output Utente'!$Q$2:$Q$492,0)),"")</f>
        <v>5</v>
      </c>
      <c r="H388" s="7" t="str">
        <f aca="false">IFERROR(INDEX('Output Utente'!$P$2:$P$492,MATCH(385,'Output Utente'!$Q$2:$Q$492,0)),"")</f>
        <v>Scommessa/Riserva</v>
      </c>
      <c r="I388" s="50" t="n">
        <f aca="false">IFERROR(INDEX('Output Utente'!$F$2:$F$492,MATCH(385,'Output Utente'!$Q$2:$Q$492,0)),"")</f>
        <v>3</v>
      </c>
      <c r="J388" s="50" t="n">
        <f aca="false">IFERROR(INDEX('Output Utente'!$G$2:$G$492,MATCH(385,'Output Utente'!$Q$2:$Q$492,0)),"")</f>
        <v>2</v>
      </c>
      <c r="K388" s="50" t="n">
        <f aca="false">IFERROR(INDEX('Output Utente'!$H$2:$H$492,MATCH(385,'Output Utente'!$Q$2:$Q$492,0)),"")</f>
        <v>3</v>
      </c>
      <c r="L388" s="7" t="str">
        <f aca="false">IFERROR(INDEX('Output Utente'!$E$2:$E$492,MATCH(385,'Output Utente'!$Q$2:$Q$492,0)),"")</f>
        <v>NO</v>
      </c>
      <c r="M388" s="7" t="str">
        <f aca="false">IFERROR(INDEX('Output Utente'!$U$2:$U$492,MATCH(385,'Output Utente'!$Q$2:$Q$492,0)),"")</f>
        <v>OK</v>
      </c>
      <c r="N388" s="7" t="str">
        <f aca="false">IFERROR(INDEX('Output Utente'!$AE$2:$AE$492,MATCH(385,'Output Utente'!$Q$2:$Q$492,0)),"")</f>
        <v>🟡 Attesa rischiosa</v>
      </c>
    </row>
    <row r="389" customFormat="false" ht="15" hidden="false" customHeight="true" outlineLevel="0" collapsed="false">
      <c r="A389" s="49" t="n">
        <v>386</v>
      </c>
      <c r="B389" s="7" t="n">
        <f aca="false">IFERROR(INDEX('Output Utente'!$A$2:$A$492,MATCH(386,'Output Utente'!$Q$2:$Q$492,0)),"")</f>
        <v>6925</v>
      </c>
      <c r="C389" s="7" t="str">
        <f aca="false">IFERROR(INDEX('Output Utente'!$B$2:$B$492,MATCH(386,'Output Utente'!$Q$2:$Q$492,0)),"")</f>
        <v>D</v>
      </c>
      <c r="D389" s="7" t="str">
        <f aca="false">IFERROR(INDEX('Output Utente'!$C$2:$C$492,MATCH(386,'Output Utente'!$Q$2:$Q$492,0)),"")</f>
        <v>Palma</v>
      </c>
      <c r="E389" s="7" t="str">
        <f aca="false">IFERROR(INDEX('Input Giocatori 2026_27'!$D$3:$D$493,MATCH($B389,'Input Giocatori 2026_27'!$A$3:$A$493,0)),"")</f>
        <v>Udinese</v>
      </c>
      <c r="F389" s="50" t="n">
        <f aca="false">IFERROR(INDEX('Output Utente'!$N$2:$N$492,MATCH(386,'Output Utente'!$Q$2:$Q$492,0)),"")</f>
        <v>2</v>
      </c>
      <c r="G389" s="50" t="n">
        <f aca="false">IFERROR(INDEX('Output Utente'!$O$2:$O$492,MATCH(386,'Output Utente'!$Q$2:$Q$492,0)),"")</f>
        <v>5</v>
      </c>
      <c r="H389" s="7" t="str">
        <f aca="false">IFERROR(INDEX('Output Utente'!$P$2:$P$492,MATCH(386,'Output Utente'!$Q$2:$Q$492,0)),"")</f>
        <v>Scommessa/Riserva</v>
      </c>
      <c r="I389" s="50" t="n">
        <f aca="false">IFERROR(INDEX('Output Utente'!$F$2:$F$492,MATCH(386,'Output Utente'!$Q$2:$Q$492,0)),"")</f>
        <v>3</v>
      </c>
      <c r="J389" s="50" t="n">
        <f aca="false">IFERROR(INDEX('Output Utente'!$G$2:$G$492,MATCH(386,'Output Utente'!$Q$2:$Q$492,0)),"")</f>
        <v>2</v>
      </c>
      <c r="K389" s="50" t="n">
        <f aca="false">IFERROR(INDEX('Output Utente'!$H$2:$H$492,MATCH(386,'Output Utente'!$Q$2:$Q$492,0)),"")</f>
        <v>3</v>
      </c>
      <c r="L389" s="7" t="str">
        <f aca="false">IFERROR(INDEX('Output Utente'!$E$2:$E$492,MATCH(386,'Output Utente'!$Q$2:$Q$492,0)),"")</f>
        <v>NO</v>
      </c>
      <c r="M389" s="7" t="str">
        <f aca="false">IFERROR(INDEX('Output Utente'!$U$2:$U$492,MATCH(386,'Output Utente'!$Q$2:$Q$492,0)),"")</f>
        <v>OK</v>
      </c>
      <c r="N389" s="7" t="str">
        <f aca="false">IFERROR(INDEX('Output Utente'!$AE$2:$AE$492,MATCH(386,'Output Utente'!$Q$2:$Q$492,0)),"")</f>
        <v>🟡 Attesa rischiosa</v>
      </c>
    </row>
    <row r="390" customFormat="false" ht="15" hidden="false" customHeight="true" outlineLevel="0" collapsed="false">
      <c r="A390" s="49" t="n">
        <v>387</v>
      </c>
      <c r="B390" s="7" t="n">
        <f aca="false">IFERROR(INDEX('Output Utente'!$A$2:$A$492,MATCH(387,'Output Utente'!$Q$2:$Q$492,0)),"")</f>
        <v>6809</v>
      </c>
      <c r="C390" s="7" t="str">
        <f aca="false">IFERROR(INDEX('Output Utente'!$B$2:$B$492,MATCH(387,'Output Utente'!$Q$2:$Q$492,0)),"")</f>
        <v>D</v>
      </c>
      <c r="D390" s="7" t="str">
        <f aca="false">IFERROR(INDEX('Output Utente'!$C$2:$C$492,MATCH(387,'Output Utente'!$Q$2:$Q$492,0)),"")</f>
        <v>Marianucci</v>
      </c>
      <c r="E390" s="7" t="str">
        <f aca="false">IFERROR(INDEX('Input Giocatori 2026_27'!$D$3:$D$493,MATCH($B390,'Input Giocatori 2026_27'!$A$3:$A$493,0)),"")</f>
        <v>Napoli</v>
      </c>
      <c r="F390" s="50" t="n">
        <f aca="false">IFERROR(INDEX('Output Utente'!$N$2:$N$492,MATCH(387,'Output Utente'!$Q$2:$Q$492,0)),"")</f>
        <v>1</v>
      </c>
      <c r="G390" s="50" t="n">
        <f aca="false">IFERROR(INDEX('Output Utente'!$O$2:$O$492,MATCH(387,'Output Utente'!$Q$2:$Q$492,0)),"")</f>
        <v>5</v>
      </c>
      <c r="H390" s="7" t="str">
        <f aca="false">IFERROR(INDEX('Output Utente'!$P$2:$P$492,MATCH(387,'Output Utente'!$Q$2:$Q$492,0)),"")</f>
        <v>Scommessa/Riserva</v>
      </c>
      <c r="I390" s="50" t="n">
        <f aca="false">IFERROR(INDEX('Output Utente'!$F$2:$F$492,MATCH(387,'Output Utente'!$Q$2:$Q$492,0)),"")</f>
        <v>3</v>
      </c>
      <c r="J390" s="50" t="n">
        <f aca="false">IFERROR(INDEX('Output Utente'!$G$2:$G$492,MATCH(387,'Output Utente'!$Q$2:$Q$492,0)),"")</f>
        <v>2</v>
      </c>
      <c r="K390" s="50" t="n">
        <f aca="false">IFERROR(INDEX('Output Utente'!$H$2:$H$492,MATCH(387,'Output Utente'!$Q$2:$Q$492,0)),"")</f>
        <v>3</v>
      </c>
      <c r="L390" s="7" t="str">
        <f aca="false">IFERROR(INDEX('Output Utente'!$E$2:$E$492,MATCH(387,'Output Utente'!$Q$2:$Q$492,0)),"")</f>
        <v>NO</v>
      </c>
      <c r="M390" s="7" t="str">
        <f aca="false">IFERROR(INDEX('Output Utente'!$U$2:$U$492,MATCH(387,'Output Utente'!$Q$2:$Q$492,0)),"")</f>
        <v>OK</v>
      </c>
      <c r="N390" s="7" t="str">
        <f aca="false">IFERROR(INDEX('Output Utente'!$AE$2:$AE$492,MATCH(387,'Output Utente'!$Q$2:$Q$492,0)),"")</f>
        <v>🟡 Attesa rischiosa</v>
      </c>
    </row>
    <row r="391" customFormat="false" ht="15" hidden="false" customHeight="true" outlineLevel="0" collapsed="false">
      <c r="A391" s="49" t="n">
        <v>388</v>
      </c>
      <c r="B391" s="7" t="n">
        <f aca="false">IFERROR(INDEX('Output Utente'!$A$2:$A$492,MATCH(388,'Output Utente'!$Q$2:$Q$492,0)),"")</f>
        <v>7183</v>
      </c>
      <c r="C391" s="7" t="str">
        <f aca="false">IFERROR(INDEX('Output Utente'!$B$2:$B$492,MATCH(388,'Output Utente'!$Q$2:$Q$492,0)),"")</f>
        <v>C</v>
      </c>
      <c r="D391" s="7" t="str">
        <f aca="false">IFERROR(INDEX('Output Utente'!$C$2:$C$492,MATCH(388,'Output Utente'!$Q$2:$Q$492,0)),"")</f>
        <v>Aboukhlal</v>
      </c>
      <c r="E391" s="7" t="str">
        <f aca="false">IFERROR(INDEX('Input Giocatori 2026_27'!$D$3:$D$493,MATCH($B391,'Input Giocatori 2026_27'!$A$3:$A$493,0)),"")</f>
        <v>Torino</v>
      </c>
      <c r="F391" s="50" t="n">
        <f aca="false">IFERROR(INDEX('Output Utente'!$N$2:$N$492,MATCH(388,'Output Utente'!$Q$2:$Q$492,0)),"")</f>
        <v>3</v>
      </c>
      <c r="G391" s="50" t="n">
        <f aca="false">IFERROR(INDEX('Output Utente'!$O$2:$O$492,MATCH(388,'Output Utente'!$Q$2:$Q$492,0)),"")</f>
        <v>5</v>
      </c>
      <c r="H391" s="7" t="str">
        <f aca="false">IFERROR(INDEX('Output Utente'!$P$2:$P$492,MATCH(388,'Output Utente'!$Q$2:$Q$492,0)),"")</f>
        <v>Scommessa/Riserva</v>
      </c>
      <c r="I391" s="50" t="n">
        <f aca="false">IFERROR(INDEX('Output Utente'!$F$2:$F$492,MATCH(388,'Output Utente'!$Q$2:$Q$492,0)),"")</f>
        <v>3</v>
      </c>
      <c r="J391" s="50" t="n">
        <f aca="false">IFERROR(INDEX('Output Utente'!$G$2:$G$492,MATCH(388,'Output Utente'!$Q$2:$Q$492,0)),"")</f>
        <v>2</v>
      </c>
      <c r="K391" s="50" t="n">
        <f aca="false">IFERROR(INDEX('Output Utente'!$H$2:$H$492,MATCH(388,'Output Utente'!$Q$2:$Q$492,0)),"")</f>
        <v>3</v>
      </c>
      <c r="L391" s="7" t="str">
        <f aca="false">IFERROR(INDEX('Output Utente'!$E$2:$E$492,MATCH(388,'Output Utente'!$Q$2:$Q$492,0)),"")</f>
        <v>NO</v>
      </c>
      <c r="M391" s="7" t="str">
        <f aca="false">IFERROR(INDEX('Output Utente'!$U$2:$U$492,MATCH(388,'Output Utente'!$Q$2:$Q$492,0)),"")</f>
        <v>OK</v>
      </c>
      <c r="N391" s="7" t="str">
        <f aca="false">IFERROR(INDEX('Output Utente'!$AE$2:$AE$492,MATCH(388,'Output Utente'!$Q$2:$Q$492,0)),"")</f>
        <v>🟡 Attesa rischiosa</v>
      </c>
    </row>
    <row r="392" customFormat="false" ht="15" hidden="false" customHeight="true" outlineLevel="0" collapsed="false">
      <c r="A392" s="49" t="n">
        <v>389</v>
      </c>
      <c r="B392" s="7" t="n">
        <f aca="false">IFERROR(INDEX('Output Utente'!$A$2:$A$492,MATCH(389,'Output Utente'!$Q$2:$Q$492,0)),"")</f>
        <v>6903</v>
      </c>
      <c r="C392" s="7" t="str">
        <f aca="false">IFERROR(INDEX('Output Utente'!$B$2:$B$492,MATCH(389,'Output Utente'!$Q$2:$Q$492,0)),"")</f>
        <v>C</v>
      </c>
      <c r="D392" s="7" t="str">
        <f aca="false">IFERROR(INDEX('Output Utente'!$C$2:$C$492,MATCH(389,'Output Utente'!$Q$2:$Q$492,0)),"")</f>
        <v>Hasa</v>
      </c>
      <c r="E392" s="7" t="str">
        <f aca="false">IFERROR(INDEX('Input Giocatori 2026_27'!$D$3:$D$493,MATCH($B392,'Input Giocatori 2026_27'!$A$3:$A$493,0)),"")</f>
        <v>Frosinone</v>
      </c>
      <c r="F392" s="50" t="n">
        <f aca="false">IFERROR(INDEX('Output Utente'!$N$2:$N$492,MATCH(389,'Output Utente'!$Q$2:$Q$492,0)),"")</f>
        <v>2</v>
      </c>
      <c r="G392" s="50" t="n">
        <f aca="false">IFERROR(INDEX('Output Utente'!$O$2:$O$492,MATCH(389,'Output Utente'!$Q$2:$Q$492,0)),"")</f>
        <v>5</v>
      </c>
      <c r="H392" s="7" t="str">
        <f aca="false">IFERROR(INDEX('Output Utente'!$P$2:$P$492,MATCH(389,'Output Utente'!$Q$2:$Q$492,0)),"")</f>
        <v>Scommessa/Riserva</v>
      </c>
      <c r="I392" s="50" t="n">
        <f aca="false">IFERROR(INDEX('Output Utente'!$F$2:$F$492,MATCH(389,'Output Utente'!$Q$2:$Q$492,0)),"")</f>
        <v>3</v>
      </c>
      <c r="J392" s="50" t="n">
        <f aca="false">IFERROR(INDEX('Output Utente'!$G$2:$G$492,MATCH(389,'Output Utente'!$Q$2:$Q$492,0)),"")</f>
        <v>2</v>
      </c>
      <c r="K392" s="50" t="n">
        <f aca="false">IFERROR(INDEX('Output Utente'!$H$2:$H$492,MATCH(389,'Output Utente'!$Q$2:$Q$492,0)),"")</f>
        <v>3</v>
      </c>
      <c r="L392" s="7" t="str">
        <f aca="false">IFERROR(INDEX('Output Utente'!$E$2:$E$492,MATCH(389,'Output Utente'!$Q$2:$Q$492,0)),"")</f>
        <v>NO</v>
      </c>
      <c r="M392" s="7" t="str">
        <f aca="false">IFERROR(INDEX('Output Utente'!$U$2:$U$492,MATCH(389,'Output Utente'!$Q$2:$Q$492,0)),"")</f>
        <v>OK</v>
      </c>
      <c r="N392" s="7" t="str">
        <f aca="false">IFERROR(INDEX('Output Utente'!$AE$2:$AE$492,MATCH(389,'Output Utente'!$Q$2:$Q$492,0)),"")</f>
        <v>🟡 Attesa rischiosa</v>
      </c>
    </row>
    <row r="393" customFormat="false" ht="15" hidden="false" customHeight="true" outlineLevel="0" collapsed="false">
      <c r="A393" s="49" t="n">
        <v>390</v>
      </c>
      <c r="B393" s="7" t="n">
        <f aca="false">IFERROR(INDEX('Output Utente'!$A$2:$A$492,MATCH(390,'Output Utente'!$Q$2:$Q$492,0)),"")</f>
        <v>5457</v>
      </c>
      <c r="C393" s="7" t="str">
        <f aca="false">IFERROR(INDEX('Output Utente'!$B$2:$B$492,MATCH(390,'Output Utente'!$Q$2:$Q$492,0)),"")</f>
        <v>C</v>
      </c>
      <c r="D393" s="7" t="str">
        <f aca="false">IFERROR(INDEX('Output Utente'!$C$2:$C$492,MATCH(390,'Output Utente'!$Q$2:$Q$492,0)),"")</f>
        <v>Maleh</v>
      </c>
      <c r="E393" s="7" t="str">
        <f aca="false">IFERROR(INDEX('Input Giocatori 2026_27'!$D$3:$D$493,MATCH($B393,'Input Giocatori 2026_27'!$A$3:$A$493,0)),"")</f>
        <v>Lecce</v>
      </c>
      <c r="F393" s="50" t="n">
        <f aca="false">IFERROR(INDEX('Output Utente'!$N$2:$N$492,MATCH(390,'Output Utente'!$Q$2:$Q$492,0)),"")</f>
        <v>2</v>
      </c>
      <c r="G393" s="50" t="n">
        <f aca="false">IFERROR(INDEX('Output Utente'!$O$2:$O$492,MATCH(390,'Output Utente'!$Q$2:$Q$492,0)),"")</f>
        <v>5</v>
      </c>
      <c r="H393" s="7" t="str">
        <f aca="false">IFERROR(INDEX('Output Utente'!$P$2:$P$492,MATCH(390,'Output Utente'!$Q$2:$Q$492,0)),"")</f>
        <v>Scommessa/Riserva</v>
      </c>
      <c r="I393" s="50" t="n">
        <f aca="false">IFERROR(INDEX('Output Utente'!$F$2:$F$492,MATCH(390,'Output Utente'!$Q$2:$Q$492,0)),"")</f>
        <v>3</v>
      </c>
      <c r="J393" s="50" t="n">
        <f aca="false">IFERROR(INDEX('Output Utente'!$G$2:$G$492,MATCH(390,'Output Utente'!$Q$2:$Q$492,0)),"")</f>
        <v>2</v>
      </c>
      <c r="K393" s="50" t="n">
        <f aca="false">IFERROR(INDEX('Output Utente'!$H$2:$H$492,MATCH(390,'Output Utente'!$Q$2:$Q$492,0)),"")</f>
        <v>3</v>
      </c>
      <c r="L393" s="7" t="str">
        <f aca="false">IFERROR(INDEX('Output Utente'!$E$2:$E$492,MATCH(390,'Output Utente'!$Q$2:$Q$492,0)),"")</f>
        <v>NO</v>
      </c>
      <c r="M393" s="7" t="str">
        <f aca="false">IFERROR(INDEX('Output Utente'!$U$2:$U$492,MATCH(390,'Output Utente'!$Q$2:$Q$492,0)),"")</f>
        <v>OK</v>
      </c>
      <c r="N393" s="7" t="str">
        <f aca="false">IFERROR(INDEX('Output Utente'!$AE$2:$AE$492,MATCH(390,'Output Utente'!$Q$2:$Q$492,0)),"")</f>
        <v>🟡 Attesa rischiosa</v>
      </c>
    </row>
    <row r="394" customFormat="false" ht="15" hidden="false" customHeight="true" outlineLevel="0" collapsed="false">
      <c r="A394" s="49" t="n">
        <v>391</v>
      </c>
      <c r="B394" s="7" t="n">
        <f aca="false">IFERROR(INDEX('Output Utente'!$A$2:$A$492,MATCH(391,'Output Utente'!$Q$2:$Q$492,0)),"")</f>
        <v>7138</v>
      </c>
      <c r="C394" s="7" t="str">
        <f aca="false">IFERROR(INDEX('Output Utente'!$B$2:$B$492,MATCH(391,'Output Utente'!$Q$2:$Q$492,0)),"")</f>
        <v>C</v>
      </c>
      <c r="D394" s="7" t="str">
        <f aca="false">IFERROR(INDEX('Output Utente'!$C$2:$C$492,MATCH(391,'Output Utente'!$Q$2:$Q$492,0)),"")</f>
        <v>Ordonez C.</v>
      </c>
      <c r="E394" s="7" t="str">
        <f aca="false">IFERROR(INDEX('Input Giocatori 2026_27'!$D$3:$D$493,MATCH($B394,'Input Giocatori 2026_27'!$A$3:$A$493,0)),"")</f>
        <v>Parma</v>
      </c>
      <c r="F394" s="50" t="n">
        <f aca="false">IFERROR(INDEX('Output Utente'!$N$2:$N$492,MATCH(391,'Output Utente'!$Q$2:$Q$492,0)),"")</f>
        <v>2</v>
      </c>
      <c r="G394" s="50" t="n">
        <f aca="false">IFERROR(INDEX('Output Utente'!$O$2:$O$492,MATCH(391,'Output Utente'!$Q$2:$Q$492,0)),"")</f>
        <v>5</v>
      </c>
      <c r="H394" s="7" t="str">
        <f aca="false">IFERROR(INDEX('Output Utente'!$P$2:$P$492,MATCH(391,'Output Utente'!$Q$2:$Q$492,0)),"")</f>
        <v>Scommessa/Riserva</v>
      </c>
      <c r="I394" s="50" t="n">
        <f aca="false">IFERROR(INDEX('Output Utente'!$F$2:$F$492,MATCH(391,'Output Utente'!$Q$2:$Q$492,0)),"")</f>
        <v>3</v>
      </c>
      <c r="J394" s="50" t="n">
        <f aca="false">IFERROR(INDEX('Output Utente'!$G$2:$G$492,MATCH(391,'Output Utente'!$Q$2:$Q$492,0)),"")</f>
        <v>2</v>
      </c>
      <c r="K394" s="50" t="n">
        <f aca="false">IFERROR(INDEX('Output Utente'!$H$2:$H$492,MATCH(391,'Output Utente'!$Q$2:$Q$492,0)),"")</f>
        <v>3</v>
      </c>
      <c r="L394" s="7" t="str">
        <f aca="false">IFERROR(INDEX('Output Utente'!$E$2:$E$492,MATCH(391,'Output Utente'!$Q$2:$Q$492,0)),"")</f>
        <v>NO</v>
      </c>
      <c r="M394" s="7" t="str">
        <f aca="false">IFERROR(INDEX('Output Utente'!$U$2:$U$492,MATCH(391,'Output Utente'!$Q$2:$Q$492,0)),"")</f>
        <v>OK</v>
      </c>
      <c r="N394" s="7" t="str">
        <f aca="false">IFERROR(INDEX('Output Utente'!$AE$2:$AE$492,MATCH(391,'Output Utente'!$Q$2:$Q$492,0)),"")</f>
        <v>🟡 Attesa rischiosa</v>
      </c>
    </row>
    <row r="395" customFormat="false" ht="15" hidden="false" customHeight="true" outlineLevel="0" collapsed="false">
      <c r="A395" s="49" t="n">
        <v>392</v>
      </c>
      <c r="B395" s="7" t="n">
        <f aca="false">IFERROR(INDEX('Output Utente'!$A$2:$A$492,MATCH(392,'Output Utente'!$Q$2:$Q$492,0)),"")</f>
        <v>6219</v>
      </c>
      <c r="C395" s="7" t="str">
        <f aca="false">IFERROR(INDEX('Output Utente'!$B$2:$B$492,MATCH(392,'Output Utente'!$Q$2:$Q$492,0)),"")</f>
        <v>C</v>
      </c>
      <c r="D395" s="7" t="str">
        <f aca="false">IFERROR(INDEX('Output Utente'!$C$2:$C$492,MATCH(392,'Output Utente'!$Q$2:$Q$492,0)),"")</f>
        <v>Boloca</v>
      </c>
      <c r="E395" s="7" t="str">
        <f aca="false">IFERROR(INDEX('Input Giocatori 2026_27'!$D$3:$D$493,MATCH($B395,'Input Giocatori 2026_27'!$A$3:$A$493,0)),"")</f>
        <v>Sassuolo</v>
      </c>
      <c r="F395" s="50" t="n">
        <f aca="false">IFERROR(INDEX('Output Utente'!$N$2:$N$492,MATCH(392,'Output Utente'!$Q$2:$Q$492,0)),"")</f>
        <v>2</v>
      </c>
      <c r="G395" s="50" t="n">
        <f aca="false">IFERROR(INDEX('Output Utente'!$O$2:$O$492,MATCH(392,'Output Utente'!$Q$2:$Q$492,0)),"")</f>
        <v>5</v>
      </c>
      <c r="H395" s="7" t="str">
        <f aca="false">IFERROR(INDEX('Output Utente'!$P$2:$P$492,MATCH(392,'Output Utente'!$Q$2:$Q$492,0)),"")</f>
        <v>Scommessa/Riserva</v>
      </c>
      <c r="I395" s="50" t="n">
        <f aca="false">IFERROR(INDEX('Output Utente'!$F$2:$F$492,MATCH(392,'Output Utente'!$Q$2:$Q$492,0)),"")</f>
        <v>3</v>
      </c>
      <c r="J395" s="50" t="n">
        <f aca="false">IFERROR(INDEX('Output Utente'!$G$2:$G$492,MATCH(392,'Output Utente'!$Q$2:$Q$492,0)),"")</f>
        <v>2</v>
      </c>
      <c r="K395" s="50" t="n">
        <f aca="false">IFERROR(INDEX('Output Utente'!$H$2:$H$492,MATCH(392,'Output Utente'!$Q$2:$Q$492,0)),"")</f>
        <v>3</v>
      </c>
      <c r="L395" s="7" t="str">
        <f aca="false">IFERROR(INDEX('Output Utente'!$E$2:$E$492,MATCH(392,'Output Utente'!$Q$2:$Q$492,0)),"")</f>
        <v>NO</v>
      </c>
      <c r="M395" s="7" t="str">
        <f aca="false">IFERROR(INDEX('Output Utente'!$U$2:$U$492,MATCH(392,'Output Utente'!$Q$2:$Q$492,0)),"")</f>
        <v>OK</v>
      </c>
      <c r="N395" s="7" t="str">
        <f aca="false">IFERROR(INDEX('Output Utente'!$AE$2:$AE$492,MATCH(392,'Output Utente'!$Q$2:$Q$492,0)),"")</f>
        <v>🟡 Attesa rischiosa</v>
      </c>
    </row>
    <row r="396" customFormat="false" ht="15" hidden="false" customHeight="true" outlineLevel="0" collapsed="false">
      <c r="A396" s="49" t="n">
        <v>393</v>
      </c>
      <c r="B396" s="7" t="n">
        <f aca="false">IFERROR(INDEX('Output Utente'!$A$2:$A$492,MATCH(393,'Output Utente'!$Q$2:$Q$492,0)),"")</f>
        <v>6246</v>
      </c>
      <c r="C396" s="7" t="str">
        <f aca="false">IFERROR(INDEX('Output Utente'!$B$2:$B$492,MATCH(393,'Output Utente'!$Q$2:$Q$492,0)),"")</f>
        <v>C</v>
      </c>
      <c r="D396" s="7" t="str">
        <f aca="false">IFERROR(INDEX('Output Utente'!$C$2:$C$492,MATCH(393,'Output Utente'!$Q$2:$Q$492,0)),"")</f>
        <v>Lipani</v>
      </c>
      <c r="E396" s="7" t="str">
        <f aca="false">IFERROR(INDEX('Input Giocatori 2026_27'!$D$3:$D$493,MATCH($B396,'Input Giocatori 2026_27'!$A$3:$A$493,0)),"")</f>
        <v>Sassuolo</v>
      </c>
      <c r="F396" s="50" t="n">
        <f aca="false">IFERROR(INDEX('Output Utente'!$N$2:$N$492,MATCH(393,'Output Utente'!$Q$2:$Q$492,0)),"")</f>
        <v>2</v>
      </c>
      <c r="G396" s="50" t="n">
        <f aca="false">IFERROR(INDEX('Output Utente'!$O$2:$O$492,MATCH(393,'Output Utente'!$Q$2:$Q$492,0)),"")</f>
        <v>5</v>
      </c>
      <c r="H396" s="7" t="str">
        <f aca="false">IFERROR(INDEX('Output Utente'!$P$2:$P$492,MATCH(393,'Output Utente'!$Q$2:$Q$492,0)),"")</f>
        <v>Scommessa/Riserva</v>
      </c>
      <c r="I396" s="50" t="n">
        <f aca="false">IFERROR(INDEX('Output Utente'!$F$2:$F$492,MATCH(393,'Output Utente'!$Q$2:$Q$492,0)),"")</f>
        <v>3</v>
      </c>
      <c r="J396" s="50" t="n">
        <f aca="false">IFERROR(INDEX('Output Utente'!$G$2:$G$492,MATCH(393,'Output Utente'!$Q$2:$Q$492,0)),"")</f>
        <v>2</v>
      </c>
      <c r="K396" s="50" t="n">
        <f aca="false">IFERROR(INDEX('Output Utente'!$H$2:$H$492,MATCH(393,'Output Utente'!$Q$2:$Q$492,0)),"")</f>
        <v>3</v>
      </c>
      <c r="L396" s="7" t="str">
        <f aca="false">IFERROR(INDEX('Output Utente'!$E$2:$E$492,MATCH(393,'Output Utente'!$Q$2:$Q$492,0)),"")</f>
        <v>NO</v>
      </c>
      <c r="M396" s="7" t="str">
        <f aca="false">IFERROR(INDEX('Output Utente'!$U$2:$U$492,MATCH(393,'Output Utente'!$Q$2:$Q$492,0)),"")</f>
        <v>OK</v>
      </c>
      <c r="N396" s="7" t="str">
        <f aca="false">IFERROR(INDEX('Output Utente'!$AE$2:$AE$492,MATCH(393,'Output Utente'!$Q$2:$Q$492,0)),"")</f>
        <v>🟡 Attesa rischiosa</v>
      </c>
    </row>
    <row r="397" customFormat="false" ht="15" hidden="false" customHeight="true" outlineLevel="0" collapsed="false">
      <c r="A397" s="49" t="n">
        <v>394</v>
      </c>
      <c r="B397" s="7" t="n">
        <f aca="false">IFERROR(INDEX('Output Utente'!$A$2:$A$492,MATCH(394,'Output Utente'!$Q$2:$Q$492,0)),"")</f>
        <v>6191</v>
      </c>
      <c r="C397" s="7" t="str">
        <f aca="false">IFERROR(INDEX('Output Utente'!$B$2:$B$492,MATCH(394,'Output Utente'!$Q$2:$Q$492,0)),"")</f>
        <v>C</v>
      </c>
      <c r="D397" s="7" t="str">
        <f aca="false">IFERROR(INDEX('Output Utente'!$C$2:$C$492,MATCH(394,'Output Utente'!$Q$2:$Q$492,0)),"")</f>
        <v>Belahyane</v>
      </c>
      <c r="E397" s="7" t="str">
        <f aca="false">IFERROR(INDEX('Input Giocatori 2026_27'!$D$3:$D$493,MATCH($B397,'Input Giocatori 2026_27'!$A$3:$A$493,0)),"")</f>
        <v>Lazio</v>
      </c>
      <c r="F397" s="50" t="n">
        <f aca="false">IFERROR(INDEX('Output Utente'!$N$2:$N$492,MATCH(394,'Output Utente'!$Q$2:$Q$492,0)),"")</f>
        <v>1</v>
      </c>
      <c r="G397" s="50" t="n">
        <f aca="false">IFERROR(INDEX('Output Utente'!$O$2:$O$492,MATCH(394,'Output Utente'!$Q$2:$Q$492,0)),"")</f>
        <v>5</v>
      </c>
      <c r="H397" s="7" t="str">
        <f aca="false">IFERROR(INDEX('Output Utente'!$P$2:$P$492,MATCH(394,'Output Utente'!$Q$2:$Q$492,0)),"")</f>
        <v>Scommessa/Riserva</v>
      </c>
      <c r="I397" s="50" t="n">
        <f aca="false">IFERROR(INDEX('Output Utente'!$F$2:$F$492,MATCH(394,'Output Utente'!$Q$2:$Q$492,0)),"")</f>
        <v>3</v>
      </c>
      <c r="J397" s="50" t="n">
        <f aca="false">IFERROR(INDEX('Output Utente'!$G$2:$G$492,MATCH(394,'Output Utente'!$Q$2:$Q$492,0)),"")</f>
        <v>2</v>
      </c>
      <c r="K397" s="50" t="n">
        <f aca="false">IFERROR(INDEX('Output Utente'!$H$2:$H$492,MATCH(394,'Output Utente'!$Q$2:$Q$492,0)),"")</f>
        <v>3</v>
      </c>
      <c r="L397" s="7" t="str">
        <f aca="false">IFERROR(INDEX('Output Utente'!$E$2:$E$492,MATCH(394,'Output Utente'!$Q$2:$Q$492,0)),"")</f>
        <v>NO</v>
      </c>
      <c r="M397" s="7" t="str">
        <f aca="false">IFERROR(INDEX('Output Utente'!$U$2:$U$492,MATCH(394,'Output Utente'!$Q$2:$Q$492,0)),"")</f>
        <v>OK</v>
      </c>
      <c r="N397" s="7" t="str">
        <f aca="false">IFERROR(INDEX('Output Utente'!$AE$2:$AE$492,MATCH(394,'Output Utente'!$Q$2:$Q$492,0)),"")</f>
        <v>🟡 Attesa rischiosa</v>
      </c>
    </row>
    <row r="398" customFormat="false" ht="15" hidden="false" customHeight="true" outlineLevel="0" collapsed="false">
      <c r="A398" s="49" t="n">
        <v>395</v>
      </c>
      <c r="B398" s="7" t="n">
        <f aca="false">IFERROR(INDEX('Output Utente'!$A$2:$A$492,MATCH(395,'Output Utente'!$Q$2:$Q$492,0)),"")</f>
        <v>7345</v>
      </c>
      <c r="C398" s="7" t="str">
        <f aca="false">IFERROR(INDEX('Output Utente'!$B$2:$B$492,MATCH(395,'Output Utente'!$Q$2:$Q$492,0)),"")</f>
        <v>C</v>
      </c>
      <c r="D398" s="7" t="str">
        <f aca="false">IFERROR(INDEX('Output Utente'!$C$2:$C$492,MATCH(395,'Output Utente'!$Q$2:$Q$492,0)),"")</f>
        <v>Przyborek</v>
      </c>
      <c r="E398" s="7" t="str">
        <f aca="false">IFERROR(INDEX('Input Giocatori 2026_27'!$D$3:$D$493,MATCH($B398,'Input Giocatori 2026_27'!$A$3:$A$493,0)),"")</f>
        <v>Lazio</v>
      </c>
      <c r="F398" s="50" t="n">
        <f aca="false">IFERROR(INDEX('Output Utente'!$N$2:$N$492,MATCH(395,'Output Utente'!$Q$2:$Q$492,0)),"")</f>
        <v>1</v>
      </c>
      <c r="G398" s="50" t="n">
        <f aca="false">IFERROR(INDEX('Output Utente'!$O$2:$O$492,MATCH(395,'Output Utente'!$Q$2:$Q$492,0)),"")</f>
        <v>5</v>
      </c>
      <c r="H398" s="7" t="str">
        <f aca="false">IFERROR(INDEX('Output Utente'!$P$2:$P$492,MATCH(395,'Output Utente'!$Q$2:$Q$492,0)),"")</f>
        <v>Scommessa/Riserva</v>
      </c>
      <c r="I398" s="50" t="n">
        <f aca="false">IFERROR(INDEX('Output Utente'!$F$2:$F$492,MATCH(395,'Output Utente'!$Q$2:$Q$492,0)),"")</f>
        <v>3</v>
      </c>
      <c r="J398" s="50" t="n">
        <f aca="false">IFERROR(INDEX('Output Utente'!$G$2:$G$492,MATCH(395,'Output Utente'!$Q$2:$Q$492,0)),"")</f>
        <v>2</v>
      </c>
      <c r="K398" s="50" t="n">
        <f aca="false">IFERROR(INDEX('Output Utente'!$H$2:$H$492,MATCH(395,'Output Utente'!$Q$2:$Q$492,0)),"")</f>
        <v>3</v>
      </c>
      <c r="L398" s="7" t="str">
        <f aca="false">IFERROR(INDEX('Output Utente'!$E$2:$E$492,MATCH(395,'Output Utente'!$Q$2:$Q$492,0)),"")</f>
        <v>NO</v>
      </c>
      <c r="M398" s="7" t="str">
        <f aca="false">IFERROR(INDEX('Output Utente'!$U$2:$U$492,MATCH(395,'Output Utente'!$Q$2:$Q$492,0)),"")</f>
        <v>OK</v>
      </c>
      <c r="N398" s="7" t="str">
        <f aca="false">IFERROR(INDEX('Output Utente'!$AE$2:$AE$492,MATCH(395,'Output Utente'!$Q$2:$Q$492,0)),"")</f>
        <v>🟡 Attesa rischiosa</v>
      </c>
    </row>
    <row r="399" customFormat="false" ht="15" hidden="false" customHeight="true" outlineLevel="0" collapsed="false">
      <c r="A399" s="49" t="n">
        <v>396</v>
      </c>
      <c r="B399" s="7" t="n">
        <f aca="false">IFERROR(INDEX('Output Utente'!$A$2:$A$492,MATCH(396,'Output Utente'!$Q$2:$Q$492,0)),"")</f>
        <v>7128</v>
      </c>
      <c r="C399" s="7" t="str">
        <f aca="false">IFERROR(INDEX('Output Utente'!$B$2:$B$492,MATCH(396,'Output Utente'!$Q$2:$Q$492,0)),"")</f>
        <v>A</v>
      </c>
      <c r="D399" s="7" t="str">
        <f aca="false">IFERROR(INDEX('Output Utente'!$C$2:$C$492,MATCH(396,'Output Utente'!$Q$2:$Q$492,0)),"")</f>
        <v>Kuhn</v>
      </c>
      <c r="E399" s="7" t="str">
        <f aca="false">IFERROR(INDEX('Input Giocatori 2026_27'!$D$3:$D$493,MATCH($B399,'Input Giocatori 2026_27'!$A$3:$A$493,0)),"")</f>
        <v>Como</v>
      </c>
      <c r="F399" s="50" t="n">
        <f aca="false">IFERROR(INDEX('Output Utente'!$N$2:$N$492,MATCH(396,'Output Utente'!$Q$2:$Q$492,0)),"")</f>
        <v>3</v>
      </c>
      <c r="G399" s="50" t="n">
        <f aca="false">IFERROR(INDEX('Output Utente'!$O$2:$O$492,MATCH(396,'Output Utente'!$Q$2:$Q$492,0)),"")</f>
        <v>5</v>
      </c>
      <c r="H399" s="7" t="str">
        <f aca="false">IFERROR(INDEX('Output Utente'!$P$2:$P$492,MATCH(396,'Output Utente'!$Q$2:$Q$492,0)),"")</f>
        <v>Scommessa/Riserva</v>
      </c>
      <c r="I399" s="50" t="n">
        <f aca="false">IFERROR(INDEX('Output Utente'!$F$2:$F$492,MATCH(396,'Output Utente'!$Q$2:$Q$492,0)),"")</f>
        <v>4</v>
      </c>
      <c r="J399" s="50" t="n">
        <f aca="false">IFERROR(INDEX('Output Utente'!$G$2:$G$492,MATCH(396,'Output Utente'!$Q$2:$Q$492,0)),"")</f>
        <v>3</v>
      </c>
      <c r="K399" s="50" t="n">
        <f aca="false">IFERROR(INDEX('Output Utente'!$H$2:$H$492,MATCH(396,'Output Utente'!$Q$2:$Q$492,0)),"")</f>
        <v>5</v>
      </c>
      <c r="L399" s="7" t="str">
        <f aca="false">IFERROR(INDEX('Output Utente'!$E$2:$E$492,MATCH(396,'Output Utente'!$Q$2:$Q$492,0)),"")</f>
        <v>NO</v>
      </c>
      <c r="M399" s="7" t="str">
        <f aca="false">IFERROR(INDEX('Output Utente'!$U$2:$U$492,MATCH(396,'Output Utente'!$Q$2:$Q$492,0)),"")</f>
        <v>OK</v>
      </c>
      <c r="N399" s="7" t="str">
        <f aca="false">IFERROR(INDEX('Output Utente'!$AE$2:$AE$492,MATCH(396,'Output Utente'!$Q$2:$Q$492,0)),"")</f>
        <v>🔴 Non aspettare</v>
      </c>
    </row>
    <row r="400" customFormat="false" ht="15" hidden="false" customHeight="true" outlineLevel="0" collapsed="false">
      <c r="A400" s="49" t="n">
        <v>397</v>
      </c>
      <c r="B400" s="7" t="n">
        <f aca="false">IFERROR(INDEX('Output Utente'!$A$2:$A$492,MATCH(397,'Output Utente'!$Q$2:$Q$492,0)),"")</f>
        <v>383</v>
      </c>
      <c r="C400" s="7" t="str">
        <f aca="false">IFERROR(INDEX('Output Utente'!$B$2:$B$492,MATCH(397,'Output Utente'!$Q$2:$Q$492,0)),"")</f>
        <v>A</v>
      </c>
      <c r="D400" s="7" t="str">
        <f aca="false">IFERROR(INDEX('Output Utente'!$C$2:$C$492,MATCH(397,'Output Utente'!$Q$2:$Q$492,0)),"")</f>
        <v>Petagna</v>
      </c>
      <c r="E400" s="7" t="str">
        <f aca="false">IFERROR(INDEX('Input Giocatori 2026_27'!$D$3:$D$493,MATCH($B400,'Input Giocatori 2026_27'!$A$3:$A$493,0)),"")</f>
        <v>Monza</v>
      </c>
      <c r="F400" s="50" t="n">
        <f aca="false">IFERROR(INDEX('Output Utente'!$N$2:$N$492,MATCH(397,'Output Utente'!$Q$2:$Q$492,0)),"")</f>
        <v>2</v>
      </c>
      <c r="G400" s="50" t="n">
        <f aca="false">IFERROR(INDEX('Output Utente'!$O$2:$O$492,MATCH(397,'Output Utente'!$Q$2:$Q$492,0)),"")</f>
        <v>5</v>
      </c>
      <c r="H400" s="7" t="str">
        <f aca="false">IFERROR(INDEX('Output Utente'!$P$2:$P$492,MATCH(397,'Output Utente'!$Q$2:$Q$492,0)),"")</f>
        <v>Scommessa/Riserva</v>
      </c>
      <c r="I400" s="50" t="n">
        <f aca="false">IFERROR(INDEX('Output Utente'!$F$2:$F$492,MATCH(397,'Output Utente'!$Q$2:$Q$492,0)),"")</f>
        <v>4</v>
      </c>
      <c r="J400" s="50" t="n">
        <f aca="false">IFERROR(INDEX('Output Utente'!$G$2:$G$492,MATCH(397,'Output Utente'!$Q$2:$Q$492,0)),"")</f>
        <v>3</v>
      </c>
      <c r="K400" s="50" t="n">
        <f aca="false">IFERROR(INDEX('Output Utente'!$H$2:$H$492,MATCH(397,'Output Utente'!$Q$2:$Q$492,0)),"")</f>
        <v>5</v>
      </c>
      <c r="L400" s="7" t="str">
        <f aca="false">IFERROR(INDEX('Output Utente'!$E$2:$E$492,MATCH(397,'Output Utente'!$Q$2:$Q$492,0)),"")</f>
        <v>NO</v>
      </c>
      <c r="M400" s="7" t="str">
        <f aca="false">IFERROR(INDEX('Output Utente'!$U$2:$U$492,MATCH(397,'Output Utente'!$Q$2:$Q$492,0)),"")</f>
        <v>OK</v>
      </c>
      <c r="N400" s="7" t="str">
        <f aca="false">IFERROR(INDEX('Output Utente'!$AE$2:$AE$492,MATCH(397,'Output Utente'!$Q$2:$Q$492,0)),"")</f>
        <v>🔴 Non aspettare</v>
      </c>
    </row>
    <row r="401" customFormat="false" ht="15" hidden="false" customHeight="true" outlineLevel="0" collapsed="false">
      <c r="A401" s="49" t="n">
        <v>398</v>
      </c>
      <c r="B401" s="7" t="n">
        <f aca="false">IFERROR(INDEX('Output Utente'!$A$2:$A$492,MATCH(398,'Output Utente'!$Q$2:$Q$492,0)),"")</f>
        <v>6883</v>
      </c>
      <c r="C401" s="7" t="str">
        <f aca="false">IFERROR(INDEX('Output Utente'!$B$2:$B$492,MATCH(398,'Output Utente'!$Q$2:$Q$492,0)),"")</f>
        <v>D</v>
      </c>
      <c r="D401" s="7" t="str">
        <f aca="false">IFERROR(INDEX('Output Utente'!$C$2:$C$492,MATCH(398,'Output Utente'!$Q$2:$Q$492,0)),"")</f>
        <v>Jean</v>
      </c>
      <c r="E401" s="7" t="str">
        <f aca="false">IFERROR(INDEX('Input Giocatori 2026_27'!$D$3:$D$493,MATCH($B401,'Input Giocatori 2026_27'!$A$3:$A$493,0)),"")</f>
        <v>Lecce</v>
      </c>
      <c r="F401" s="50" t="n">
        <f aca="false">IFERROR(INDEX('Output Utente'!$N$2:$N$492,MATCH(398,'Output Utente'!$Q$2:$Q$492,0)),"")</f>
        <v>2</v>
      </c>
      <c r="G401" s="50" t="n">
        <f aca="false">IFERROR(INDEX('Output Utente'!$O$2:$O$492,MATCH(398,'Output Utente'!$Q$2:$Q$492,0)),"")</f>
        <v>4</v>
      </c>
      <c r="H401" s="7" t="str">
        <f aca="false">IFERROR(INDEX('Output Utente'!$P$2:$P$492,MATCH(398,'Output Utente'!$Q$2:$Q$492,0)),"")</f>
        <v>Scommessa/Riserva</v>
      </c>
      <c r="I401" s="50" t="n">
        <f aca="false">IFERROR(INDEX('Output Utente'!$F$2:$F$492,MATCH(398,'Output Utente'!$Q$2:$Q$492,0)),"")</f>
        <v>2</v>
      </c>
      <c r="J401" s="50" t="n">
        <f aca="false">IFERROR(INDEX('Output Utente'!$G$2:$G$492,MATCH(398,'Output Utente'!$Q$2:$Q$492,0)),"")</f>
        <v>1</v>
      </c>
      <c r="K401" s="50" t="n">
        <f aca="false">IFERROR(INDEX('Output Utente'!$H$2:$H$492,MATCH(398,'Output Utente'!$Q$2:$Q$492,0)),"")</f>
        <v>2</v>
      </c>
      <c r="L401" s="7" t="str">
        <f aca="false">IFERROR(INDEX('Output Utente'!$E$2:$E$492,MATCH(398,'Output Utente'!$Q$2:$Q$492,0)),"")</f>
        <v>NO</v>
      </c>
      <c r="M401" s="7" t="str">
        <f aca="false">IFERROR(INDEX('Output Utente'!$U$2:$U$492,MATCH(398,'Output Utente'!$Q$2:$Q$492,0)),"")</f>
        <v>OK</v>
      </c>
      <c r="N401" s="7" t="str">
        <f aca="false">IFERROR(INDEX('Output Utente'!$AE$2:$AE$492,MATCH(398,'Output Utente'!$Q$2:$Q$492,0)),"")</f>
        <v>🟡 Attesa rischiosa</v>
      </c>
    </row>
    <row r="402" customFormat="false" ht="15" hidden="false" customHeight="true" outlineLevel="0" collapsed="false">
      <c r="A402" s="49" t="n">
        <v>399</v>
      </c>
      <c r="B402" s="7" t="n">
        <f aca="false">IFERROR(INDEX('Output Utente'!$A$2:$A$492,MATCH(399,'Output Utente'!$Q$2:$Q$492,0)),"")</f>
        <v>7525</v>
      </c>
      <c r="C402" s="7" t="str">
        <f aca="false">IFERROR(INDEX('Output Utente'!$B$2:$B$492,MATCH(399,'Output Utente'!$Q$2:$Q$492,0)),"")</f>
        <v>D</v>
      </c>
      <c r="D402" s="7" t="str">
        <f aca="false">IFERROR(INDEX('Output Utente'!$C$2:$C$492,MATCH(399,'Output Utente'!$Q$2:$Q$492,0)),"")</f>
        <v>Diawara S.</v>
      </c>
      <c r="E402" s="7" t="str">
        <f aca="false">IFERROR(INDEX('Input Giocatori 2026_27'!$D$3:$D$493,MATCH($B402,'Input Giocatori 2026_27'!$A$3:$A$493,0)),"")</f>
        <v>Milan</v>
      </c>
      <c r="F402" s="50" t="n">
        <f aca="false">IFERROR(INDEX('Output Utente'!$N$2:$N$492,MATCH(399,'Output Utente'!$Q$2:$Q$492,0)),"")</f>
        <v>2</v>
      </c>
      <c r="G402" s="50" t="n">
        <f aca="false">IFERROR(INDEX('Output Utente'!$O$2:$O$492,MATCH(399,'Output Utente'!$Q$2:$Q$492,0)),"")</f>
        <v>4</v>
      </c>
      <c r="H402" s="7" t="str">
        <f aca="false">IFERROR(INDEX('Output Utente'!$P$2:$P$492,MATCH(399,'Output Utente'!$Q$2:$Q$492,0)),"")</f>
        <v>Scommessa/Riserva</v>
      </c>
      <c r="I402" s="50" t="n">
        <f aca="false">IFERROR(INDEX('Output Utente'!$F$2:$F$492,MATCH(399,'Output Utente'!$Q$2:$Q$492,0)),"")</f>
        <v>2</v>
      </c>
      <c r="J402" s="50" t="n">
        <f aca="false">IFERROR(INDEX('Output Utente'!$G$2:$G$492,MATCH(399,'Output Utente'!$Q$2:$Q$492,0)),"")</f>
        <v>1</v>
      </c>
      <c r="K402" s="50" t="n">
        <f aca="false">IFERROR(INDEX('Output Utente'!$H$2:$H$492,MATCH(399,'Output Utente'!$Q$2:$Q$492,0)),"")</f>
        <v>2</v>
      </c>
      <c r="L402" s="7" t="str">
        <f aca="false">IFERROR(INDEX('Output Utente'!$E$2:$E$492,MATCH(399,'Output Utente'!$Q$2:$Q$492,0)),"")</f>
        <v>NO</v>
      </c>
      <c r="M402" s="7" t="str">
        <f aca="false">IFERROR(INDEX('Output Utente'!$U$2:$U$492,MATCH(399,'Output Utente'!$Q$2:$Q$492,0)),"")</f>
        <v>OK</v>
      </c>
      <c r="N402" s="7" t="str">
        <f aca="false">IFERROR(INDEX('Output Utente'!$AE$2:$AE$492,MATCH(399,'Output Utente'!$Q$2:$Q$492,0)),"")</f>
        <v>🟡 Attesa rischiosa</v>
      </c>
    </row>
    <row r="403" customFormat="false" ht="15" hidden="false" customHeight="true" outlineLevel="0" collapsed="false">
      <c r="A403" s="49" t="n">
        <v>400</v>
      </c>
      <c r="B403" s="7" t="n">
        <f aca="false">IFERROR(INDEX('Output Utente'!$A$2:$A$492,MATCH(400,'Output Utente'!$Q$2:$Q$492,0)),"")</f>
        <v>5994</v>
      </c>
      <c r="C403" s="7" t="str">
        <f aca="false">IFERROR(INDEX('Output Utente'!$B$2:$B$492,MATCH(400,'Output Utente'!$Q$2:$Q$492,0)),"")</f>
        <v>D</v>
      </c>
      <c r="D403" s="7" t="str">
        <f aca="false">IFERROR(INDEX('Output Utente'!$C$2:$C$492,MATCH(400,'Output Utente'!$Q$2:$Q$492,0)),"")</f>
        <v>Ebosse</v>
      </c>
      <c r="E403" s="7" t="str">
        <f aca="false">IFERROR(INDEX('Input Giocatori 2026_27'!$D$3:$D$493,MATCH($B403,'Input Giocatori 2026_27'!$A$3:$A$493,0)),"")</f>
        <v>Udinese</v>
      </c>
      <c r="F403" s="50" t="n">
        <f aca="false">IFERROR(INDEX('Output Utente'!$N$2:$N$492,MATCH(400,'Output Utente'!$Q$2:$Q$492,0)),"")</f>
        <v>2</v>
      </c>
      <c r="G403" s="50" t="n">
        <f aca="false">IFERROR(INDEX('Output Utente'!$O$2:$O$492,MATCH(400,'Output Utente'!$Q$2:$Q$492,0)),"")</f>
        <v>4</v>
      </c>
      <c r="H403" s="7" t="str">
        <f aca="false">IFERROR(INDEX('Output Utente'!$P$2:$P$492,MATCH(400,'Output Utente'!$Q$2:$Q$492,0)),"")</f>
        <v>Scommessa/Riserva</v>
      </c>
      <c r="I403" s="50" t="n">
        <f aca="false">IFERROR(INDEX('Output Utente'!$F$2:$F$492,MATCH(400,'Output Utente'!$Q$2:$Q$492,0)),"")</f>
        <v>2</v>
      </c>
      <c r="J403" s="50" t="n">
        <f aca="false">IFERROR(INDEX('Output Utente'!$G$2:$G$492,MATCH(400,'Output Utente'!$Q$2:$Q$492,0)),"")</f>
        <v>1</v>
      </c>
      <c r="K403" s="50" t="n">
        <f aca="false">IFERROR(INDEX('Output Utente'!$H$2:$H$492,MATCH(400,'Output Utente'!$Q$2:$Q$492,0)),"")</f>
        <v>2</v>
      </c>
      <c r="L403" s="7" t="str">
        <f aca="false">IFERROR(INDEX('Output Utente'!$E$2:$E$492,MATCH(400,'Output Utente'!$Q$2:$Q$492,0)),"")</f>
        <v>NO</v>
      </c>
      <c r="M403" s="7" t="str">
        <f aca="false">IFERROR(INDEX('Output Utente'!$U$2:$U$492,MATCH(400,'Output Utente'!$Q$2:$Q$492,0)),"")</f>
        <v>OK</v>
      </c>
      <c r="N403" s="7" t="str">
        <f aca="false">IFERROR(INDEX('Output Utente'!$AE$2:$AE$492,MATCH(400,'Output Utente'!$Q$2:$Q$492,0)),"")</f>
        <v>🟡 Attesa rischiosa</v>
      </c>
    </row>
    <row r="404" customFormat="false" ht="15" hidden="false" customHeight="true" outlineLevel="0" collapsed="false">
      <c r="A404" s="49" t="n">
        <v>401</v>
      </c>
      <c r="B404" s="7" t="n">
        <f aca="false">IFERROR(INDEX('Output Utente'!$A$2:$A$492,MATCH(401,'Output Utente'!$Q$2:$Q$492,0)),"")</f>
        <v>7478</v>
      </c>
      <c r="C404" s="7" t="str">
        <f aca="false">IFERROR(INDEX('Output Utente'!$B$2:$B$492,MATCH(401,'Output Utente'!$Q$2:$Q$492,0)),"")</f>
        <v>D</v>
      </c>
      <c r="D404" s="7" t="str">
        <f aca="false">IFERROR(INDEX('Output Utente'!$C$2:$C$492,MATCH(401,'Output Utente'!$Q$2:$Q$492,0)),"")</f>
        <v>Franjic</v>
      </c>
      <c r="E404" s="7" t="str">
        <f aca="false">IFERROR(INDEX('Input Giocatori 2026_27'!$D$3:$D$493,MATCH($B404,'Input Giocatori 2026_27'!$A$3:$A$493,0)),"")</f>
        <v>Venezia</v>
      </c>
      <c r="F404" s="50" t="n">
        <f aca="false">IFERROR(INDEX('Output Utente'!$N$2:$N$492,MATCH(401,'Output Utente'!$Q$2:$Q$492,0)),"")</f>
        <v>2</v>
      </c>
      <c r="G404" s="50" t="n">
        <f aca="false">IFERROR(INDEX('Output Utente'!$O$2:$O$492,MATCH(401,'Output Utente'!$Q$2:$Q$492,0)),"")</f>
        <v>4</v>
      </c>
      <c r="H404" s="7" t="str">
        <f aca="false">IFERROR(INDEX('Output Utente'!$P$2:$P$492,MATCH(401,'Output Utente'!$Q$2:$Q$492,0)),"")</f>
        <v>Scommessa/Riserva</v>
      </c>
      <c r="I404" s="50" t="n">
        <f aca="false">IFERROR(INDEX('Output Utente'!$F$2:$F$492,MATCH(401,'Output Utente'!$Q$2:$Q$492,0)),"")</f>
        <v>2</v>
      </c>
      <c r="J404" s="50" t="n">
        <f aca="false">IFERROR(INDEX('Output Utente'!$G$2:$G$492,MATCH(401,'Output Utente'!$Q$2:$Q$492,0)),"")</f>
        <v>1</v>
      </c>
      <c r="K404" s="50" t="n">
        <f aca="false">IFERROR(INDEX('Output Utente'!$H$2:$H$492,MATCH(401,'Output Utente'!$Q$2:$Q$492,0)),"")</f>
        <v>2</v>
      </c>
      <c r="L404" s="7" t="str">
        <f aca="false">IFERROR(INDEX('Output Utente'!$E$2:$E$492,MATCH(401,'Output Utente'!$Q$2:$Q$492,0)),"")</f>
        <v>NO</v>
      </c>
      <c r="M404" s="7" t="str">
        <f aca="false">IFERROR(INDEX('Output Utente'!$U$2:$U$492,MATCH(401,'Output Utente'!$Q$2:$Q$492,0)),"")</f>
        <v>OK</v>
      </c>
      <c r="N404" s="7" t="str">
        <f aca="false">IFERROR(INDEX('Output Utente'!$AE$2:$AE$492,MATCH(401,'Output Utente'!$Q$2:$Q$492,0)),"")</f>
        <v>🟡 Attesa rischiosa</v>
      </c>
    </row>
    <row r="405" customFormat="false" ht="15" hidden="false" customHeight="true" outlineLevel="0" collapsed="false">
      <c r="A405" s="49" t="n">
        <v>402</v>
      </c>
      <c r="B405" s="7" t="n">
        <f aca="false">IFERROR(INDEX('Output Utente'!$A$2:$A$492,MATCH(402,'Output Utente'!$Q$2:$Q$492,0)),"")</f>
        <v>6681</v>
      </c>
      <c r="C405" s="7" t="str">
        <f aca="false">IFERROR(INDEX('Output Utente'!$B$2:$B$492,MATCH(402,'Output Utente'!$Q$2:$Q$492,0)),"")</f>
        <v>D</v>
      </c>
      <c r="D405" s="7" t="str">
        <f aca="false">IFERROR(INDEX('Output Utente'!$C$2:$C$492,MATCH(402,'Output Utente'!$Q$2:$Q$492,0)),"")</f>
        <v>Sagrado</v>
      </c>
      <c r="E405" s="7" t="str">
        <f aca="false">IFERROR(INDEX('Input Giocatori 2026_27'!$D$3:$D$493,MATCH($B405,'Input Giocatori 2026_27'!$A$3:$A$493,0)),"")</f>
        <v>Venezia</v>
      </c>
      <c r="F405" s="50" t="n">
        <f aca="false">IFERROR(INDEX('Output Utente'!$N$2:$N$492,MATCH(402,'Output Utente'!$Q$2:$Q$492,0)),"")</f>
        <v>2</v>
      </c>
      <c r="G405" s="50" t="n">
        <f aca="false">IFERROR(INDEX('Output Utente'!$O$2:$O$492,MATCH(402,'Output Utente'!$Q$2:$Q$492,0)),"")</f>
        <v>4</v>
      </c>
      <c r="H405" s="7" t="str">
        <f aca="false">IFERROR(INDEX('Output Utente'!$P$2:$P$492,MATCH(402,'Output Utente'!$Q$2:$Q$492,0)),"")</f>
        <v>Scommessa/Riserva</v>
      </c>
      <c r="I405" s="50" t="n">
        <f aca="false">IFERROR(INDEX('Output Utente'!$F$2:$F$492,MATCH(402,'Output Utente'!$Q$2:$Q$492,0)),"")</f>
        <v>2</v>
      </c>
      <c r="J405" s="50" t="n">
        <f aca="false">IFERROR(INDEX('Output Utente'!$G$2:$G$492,MATCH(402,'Output Utente'!$Q$2:$Q$492,0)),"")</f>
        <v>1</v>
      </c>
      <c r="K405" s="50" t="n">
        <f aca="false">IFERROR(INDEX('Output Utente'!$H$2:$H$492,MATCH(402,'Output Utente'!$Q$2:$Q$492,0)),"")</f>
        <v>2</v>
      </c>
      <c r="L405" s="7" t="str">
        <f aca="false">IFERROR(INDEX('Output Utente'!$E$2:$E$492,MATCH(402,'Output Utente'!$Q$2:$Q$492,0)),"")</f>
        <v>NO</v>
      </c>
      <c r="M405" s="7" t="str">
        <f aca="false">IFERROR(INDEX('Output Utente'!$U$2:$U$492,MATCH(402,'Output Utente'!$Q$2:$Q$492,0)),"")</f>
        <v>OK</v>
      </c>
      <c r="N405" s="7" t="str">
        <f aca="false">IFERROR(INDEX('Output Utente'!$AE$2:$AE$492,MATCH(402,'Output Utente'!$Q$2:$Q$492,0)),"")</f>
        <v>🟡 Attesa rischiosa</v>
      </c>
    </row>
    <row r="406" customFormat="false" ht="15" hidden="false" customHeight="true" outlineLevel="0" collapsed="false">
      <c r="A406" s="49" t="n">
        <v>403</v>
      </c>
      <c r="B406" s="7" t="n">
        <f aca="false">IFERROR(INDEX('Output Utente'!$A$2:$A$492,MATCH(403,'Output Utente'!$Q$2:$Q$492,0)),"")</f>
        <v>487</v>
      </c>
      <c r="C406" s="7" t="str">
        <f aca="false">IFERROR(INDEX('Output Utente'!$B$2:$B$492,MATCH(403,'Output Utente'!$Q$2:$Q$492,0)),"")</f>
        <v>D</v>
      </c>
      <c r="D406" s="7" t="str">
        <f aca="false">IFERROR(INDEX('Output Utente'!$C$2:$C$492,MATCH(403,'Output Utente'!$Q$2:$Q$492,0)),"")</f>
        <v>De Silvestri</v>
      </c>
      <c r="E406" s="7" t="str">
        <f aca="false">IFERROR(INDEX('Input Giocatori 2026_27'!$D$3:$D$493,MATCH($B406,'Input Giocatori 2026_27'!$A$3:$A$493,0)),"")</f>
        <v>Bologna</v>
      </c>
      <c r="F406" s="50" t="n">
        <f aca="false">IFERROR(INDEX('Output Utente'!$N$2:$N$492,MATCH(403,'Output Utente'!$Q$2:$Q$492,0)),"")</f>
        <v>1</v>
      </c>
      <c r="G406" s="50" t="n">
        <f aca="false">IFERROR(INDEX('Output Utente'!$O$2:$O$492,MATCH(403,'Output Utente'!$Q$2:$Q$492,0)),"")</f>
        <v>4</v>
      </c>
      <c r="H406" s="7" t="str">
        <f aca="false">IFERROR(INDEX('Output Utente'!$P$2:$P$492,MATCH(403,'Output Utente'!$Q$2:$Q$492,0)),"")</f>
        <v>Scommessa/Riserva</v>
      </c>
      <c r="I406" s="50" t="n">
        <f aca="false">IFERROR(INDEX('Output Utente'!$F$2:$F$492,MATCH(403,'Output Utente'!$Q$2:$Q$492,0)),"")</f>
        <v>2</v>
      </c>
      <c r="J406" s="50" t="n">
        <f aca="false">IFERROR(INDEX('Output Utente'!$G$2:$G$492,MATCH(403,'Output Utente'!$Q$2:$Q$492,0)),"")</f>
        <v>1</v>
      </c>
      <c r="K406" s="50" t="n">
        <f aca="false">IFERROR(INDEX('Output Utente'!$H$2:$H$492,MATCH(403,'Output Utente'!$Q$2:$Q$492,0)),"")</f>
        <v>2</v>
      </c>
      <c r="L406" s="7" t="str">
        <f aca="false">IFERROR(INDEX('Output Utente'!$E$2:$E$492,MATCH(403,'Output Utente'!$Q$2:$Q$492,0)),"")</f>
        <v>NO</v>
      </c>
      <c r="M406" s="7" t="str">
        <f aca="false">IFERROR(INDEX('Output Utente'!$U$2:$U$492,MATCH(403,'Output Utente'!$Q$2:$Q$492,0)),"")</f>
        <v>OK</v>
      </c>
      <c r="N406" s="7" t="str">
        <f aca="false">IFERROR(INDEX('Output Utente'!$AE$2:$AE$492,MATCH(403,'Output Utente'!$Q$2:$Q$492,0)),"")</f>
        <v>🟡 Attesa rischiosa</v>
      </c>
    </row>
    <row r="407" customFormat="false" ht="15" hidden="false" customHeight="true" outlineLevel="0" collapsed="false">
      <c r="A407" s="49" t="n">
        <v>404</v>
      </c>
      <c r="B407" s="7" t="n">
        <f aca="false">IFERROR(INDEX('Output Utente'!$A$2:$A$492,MATCH(404,'Output Utente'!$Q$2:$Q$492,0)),"")</f>
        <v>6039</v>
      </c>
      <c r="C407" s="7" t="str">
        <f aca="false">IFERROR(INDEX('Output Utente'!$B$2:$B$492,MATCH(404,'Output Utente'!$Q$2:$Q$492,0)),"")</f>
        <v>D</v>
      </c>
      <c r="D407" s="7" t="str">
        <f aca="false">IFERROR(INDEX('Output Utente'!$C$2:$C$492,MATCH(404,'Output Utente'!$Q$2:$Q$492,0)),"")</f>
        <v>Cabal</v>
      </c>
      <c r="E407" s="7" t="str">
        <f aca="false">IFERROR(INDEX('Input Giocatori 2026_27'!$D$3:$D$493,MATCH($B407,'Input Giocatori 2026_27'!$A$3:$A$493,0)),"")</f>
        <v>Juventus</v>
      </c>
      <c r="F407" s="50" t="n">
        <f aca="false">IFERROR(INDEX('Output Utente'!$N$2:$N$492,MATCH(404,'Output Utente'!$Q$2:$Q$492,0)),"")</f>
        <v>1</v>
      </c>
      <c r="G407" s="50" t="n">
        <f aca="false">IFERROR(INDEX('Output Utente'!$O$2:$O$492,MATCH(404,'Output Utente'!$Q$2:$Q$492,0)),"")</f>
        <v>4</v>
      </c>
      <c r="H407" s="7" t="str">
        <f aca="false">IFERROR(INDEX('Output Utente'!$P$2:$P$492,MATCH(404,'Output Utente'!$Q$2:$Q$492,0)),"")</f>
        <v>Scommessa/Riserva</v>
      </c>
      <c r="I407" s="50" t="n">
        <f aca="false">IFERROR(INDEX('Output Utente'!$F$2:$F$492,MATCH(404,'Output Utente'!$Q$2:$Q$492,0)),"")</f>
        <v>2</v>
      </c>
      <c r="J407" s="50" t="n">
        <f aca="false">IFERROR(INDEX('Output Utente'!$G$2:$G$492,MATCH(404,'Output Utente'!$Q$2:$Q$492,0)),"")</f>
        <v>1</v>
      </c>
      <c r="K407" s="50" t="n">
        <f aca="false">IFERROR(INDEX('Output Utente'!$H$2:$H$492,MATCH(404,'Output Utente'!$Q$2:$Q$492,0)),"")</f>
        <v>2</v>
      </c>
      <c r="L407" s="7" t="str">
        <f aca="false">IFERROR(INDEX('Output Utente'!$E$2:$E$492,MATCH(404,'Output Utente'!$Q$2:$Q$492,0)),"")</f>
        <v>NO</v>
      </c>
      <c r="M407" s="7" t="str">
        <f aca="false">IFERROR(INDEX('Output Utente'!$U$2:$U$492,MATCH(404,'Output Utente'!$Q$2:$Q$492,0)),"")</f>
        <v>OK</v>
      </c>
      <c r="N407" s="7" t="str">
        <f aca="false">IFERROR(INDEX('Output Utente'!$AE$2:$AE$492,MATCH(404,'Output Utente'!$Q$2:$Q$492,0)),"")</f>
        <v>🟡 Attesa rischiosa</v>
      </c>
    </row>
    <row r="408" customFormat="false" ht="15" hidden="false" customHeight="true" outlineLevel="0" collapsed="false">
      <c r="A408" s="49" t="n">
        <v>405</v>
      </c>
      <c r="B408" s="7" t="n">
        <f aca="false">IFERROR(INDEX('Output Utente'!$A$2:$A$492,MATCH(405,'Output Utente'!$Q$2:$Q$492,0)),"")</f>
        <v>327</v>
      </c>
      <c r="C408" s="7" t="str">
        <f aca="false">IFERROR(INDEX('Output Utente'!$B$2:$B$492,MATCH(405,'Output Utente'!$Q$2:$Q$492,0)),"")</f>
        <v>D</v>
      </c>
      <c r="D408" s="7" t="str">
        <f aca="false">IFERROR(INDEX('Output Utente'!$C$2:$C$492,MATCH(405,'Output Utente'!$Q$2:$Q$492,0)),"")</f>
        <v>Patric</v>
      </c>
      <c r="E408" s="7" t="str">
        <f aca="false">IFERROR(INDEX('Input Giocatori 2026_27'!$D$3:$D$493,MATCH($B408,'Input Giocatori 2026_27'!$A$3:$A$493,0)),"")</f>
        <v>Lazio</v>
      </c>
      <c r="F408" s="50" t="n">
        <f aca="false">IFERROR(INDEX('Output Utente'!$N$2:$N$492,MATCH(405,'Output Utente'!$Q$2:$Q$492,0)),"")</f>
        <v>1</v>
      </c>
      <c r="G408" s="50" t="n">
        <f aca="false">IFERROR(INDEX('Output Utente'!$O$2:$O$492,MATCH(405,'Output Utente'!$Q$2:$Q$492,0)),"")</f>
        <v>4</v>
      </c>
      <c r="H408" s="7" t="str">
        <f aca="false">IFERROR(INDEX('Output Utente'!$P$2:$P$492,MATCH(405,'Output Utente'!$Q$2:$Q$492,0)),"")</f>
        <v>Scommessa/Riserva</v>
      </c>
      <c r="I408" s="50" t="n">
        <f aca="false">IFERROR(INDEX('Output Utente'!$F$2:$F$492,MATCH(405,'Output Utente'!$Q$2:$Q$492,0)),"")</f>
        <v>2</v>
      </c>
      <c r="J408" s="50" t="n">
        <f aca="false">IFERROR(INDEX('Output Utente'!$G$2:$G$492,MATCH(405,'Output Utente'!$Q$2:$Q$492,0)),"")</f>
        <v>1</v>
      </c>
      <c r="K408" s="50" t="n">
        <f aca="false">IFERROR(INDEX('Output Utente'!$H$2:$H$492,MATCH(405,'Output Utente'!$Q$2:$Q$492,0)),"")</f>
        <v>2</v>
      </c>
      <c r="L408" s="7" t="str">
        <f aca="false">IFERROR(INDEX('Output Utente'!$E$2:$E$492,MATCH(405,'Output Utente'!$Q$2:$Q$492,0)),"")</f>
        <v>NO</v>
      </c>
      <c r="M408" s="7" t="str">
        <f aca="false">IFERROR(INDEX('Output Utente'!$U$2:$U$492,MATCH(405,'Output Utente'!$Q$2:$Q$492,0)),"")</f>
        <v>OK</v>
      </c>
      <c r="N408" s="7" t="str">
        <f aca="false">IFERROR(INDEX('Output Utente'!$AE$2:$AE$492,MATCH(405,'Output Utente'!$Q$2:$Q$492,0)),"")</f>
        <v>🟡 Attesa rischiosa</v>
      </c>
    </row>
    <row r="409" customFormat="false" ht="15" hidden="false" customHeight="true" outlineLevel="0" collapsed="false">
      <c r="A409" s="49" t="n">
        <v>406</v>
      </c>
      <c r="B409" s="7" t="n">
        <f aca="false">IFERROR(INDEX('Output Utente'!$A$2:$A$492,MATCH(406,'Output Utente'!$Q$2:$Q$492,0)),"")</f>
        <v>7182</v>
      </c>
      <c r="C409" s="7" t="str">
        <f aca="false">IFERROR(INDEX('Output Utente'!$B$2:$B$492,MATCH(406,'Output Utente'!$Q$2:$Q$492,0)),"")</f>
        <v>D</v>
      </c>
      <c r="D409" s="7" t="str">
        <f aca="false">IFERROR(INDEX('Output Utente'!$C$2:$C$492,MATCH(406,'Output Utente'!$Q$2:$Q$492,0)),"")</f>
        <v>Ndaba</v>
      </c>
      <c r="E409" s="7" t="str">
        <f aca="false">IFERROR(INDEX('Input Giocatori 2026_27'!$D$3:$D$493,MATCH($B409,'Input Giocatori 2026_27'!$A$3:$A$493,0)),"")</f>
        <v>Lecce</v>
      </c>
      <c r="F409" s="50" t="n">
        <f aca="false">IFERROR(INDEX('Output Utente'!$N$2:$N$492,MATCH(406,'Output Utente'!$Q$2:$Q$492,0)),"")</f>
        <v>1</v>
      </c>
      <c r="G409" s="50" t="n">
        <f aca="false">IFERROR(INDEX('Output Utente'!$O$2:$O$492,MATCH(406,'Output Utente'!$Q$2:$Q$492,0)),"")</f>
        <v>4</v>
      </c>
      <c r="H409" s="7" t="str">
        <f aca="false">IFERROR(INDEX('Output Utente'!$P$2:$P$492,MATCH(406,'Output Utente'!$Q$2:$Q$492,0)),"")</f>
        <v>Scommessa/Riserva</v>
      </c>
      <c r="I409" s="50" t="n">
        <f aca="false">IFERROR(INDEX('Output Utente'!$F$2:$F$492,MATCH(406,'Output Utente'!$Q$2:$Q$492,0)),"")</f>
        <v>2</v>
      </c>
      <c r="J409" s="50" t="n">
        <f aca="false">IFERROR(INDEX('Output Utente'!$G$2:$G$492,MATCH(406,'Output Utente'!$Q$2:$Q$492,0)),"")</f>
        <v>1</v>
      </c>
      <c r="K409" s="50" t="n">
        <f aca="false">IFERROR(INDEX('Output Utente'!$H$2:$H$492,MATCH(406,'Output Utente'!$Q$2:$Q$492,0)),"")</f>
        <v>2</v>
      </c>
      <c r="L409" s="7" t="str">
        <f aca="false">IFERROR(INDEX('Output Utente'!$E$2:$E$492,MATCH(406,'Output Utente'!$Q$2:$Q$492,0)),"")</f>
        <v>NO</v>
      </c>
      <c r="M409" s="7" t="str">
        <f aca="false">IFERROR(INDEX('Output Utente'!$U$2:$U$492,MATCH(406,'Output Utente'!$Q$2:$Q$492,0)),"")</f>
        <v>OK</v>
      </c>
      <c r="N409" s="7" t="str">
        <f aca="false">IFERROR(INDEX('Output Utente'!$AE$2:$AE$492,MATCH(406,'Output Utente'!$Q$2:$Q$492,0)),"")</f>
        <v>🟡 Attesa rischiosa</v>
      </c>
    </row>
    <row r="410" customFormat="false" ht="15" hidden="false" customHeight="true" outlineLevel="0" collapsed="false">
      <c r="A410" s="49" t="n">
        <v>407</v>
      </c>
      <c r="B410" s="7" t="n">
        <f aca="false">IFERROR(INDEX('Output Utente'!$A$2:$A$492,MATCH(407,'Output Utente'!$Q$2:$Q$492,0)),"")</f>
        <v>7476</v>
      </c>
      <c r="C410" s="7" t="str">
        <f aca="false">IFERROR(INDEX('Output Utente'!$B$2:$B$492,MATCH(407,'Output Utente'!$Q$2:$Q$492,0)),"")</f>
        <v>D</v>
      </c>
      <c r="D410" s="7" t="str">
        <f aca="false">IFERROR(INDEX('Output Utente'!$C$2:$C$492,MATCH(407,'Output Utente'!$Q$2:$Q$492,0)),"")</f>
        <v>Bakoune</v>
      </c>
      <c r="E410" s="7" t="str">
        <f aca="false">IFERROR(INDEX('Input Giocatori 2026_27'!$D$3:$D$493,MATCH($B410,'Input Giocatori 2026_27'!$A$3:$A$493,0)),"")</f>
        <v>Monza</v>
      </c>
      <c r="F410" s="50" t="n">
        <f aca="false">IFERROR(INDEX('Output Utente'!$N$2:$N$492,MATCH(407,'Output Utente'!$Q$2:$Q$492,0)),"")</f>
        <v>1</v>
      </c>
      <c r="G410" s="50" t="n">
        <f aca="false">IFERROR(INDEX('Output Utente'!$O$2:$O$492,MATCH(407,'Output Utente'!$Q$2:$Q$492,0)),"")</f>
        <v>4</v>
      </c>
      <c r="H410" s="7" t="str">
        <f aca="false">IFERROR(INDEX('Output Utente'!$P$2:$P$492,MATCH(407,'Output Utente'!$Q$2:$Q$492,0)),"")</f>
        <v>Scommessa/Riserva</v>
      </c>
      <c r="I410" s="50" t="n">
        <f aca="false">IFERROR(INDEX('Output Utente'!$F$2:$F$492,MATCH(407,'Output Utente'!$Q$2:$Q$492,0)),"")</f>
        <v>2</v>
      </c>
      <c r="J410" s="50" t="n">
        <f aca="false">IFERROR(INDEX('Output Utente'!$G$2:$G$492,MATCH(407,'Output Utente'!$Q$2:$Q$492,0)),"")</f>
        <v>1</v>
      </c>
      <c r="K410" s="50" t="n">
        <f aca="false">IFERROR(INDEX('Output Utente'!$H$2:$H$492,MATCH(407,'Output Utente'!$Q$2:$Q$492,0)),"")</f>
        <v>2</v>
      </c>
      <c r="L410" s="7" t="str">
        <f aca="false">IFERROR(INDEX('Output Utente'!$E$2:$E$492,MATCH(407,'Output Utente'!$Q$2:$Q$492,0)),"")</f>
        <v>NO</v>
      </c>
      <c r="M410" s="7" t="str">
        <f aca="false">IFERROR(INDEX('Output Utente'!$U$2:$U$492,MATCH(407,'Output Utente'!$Q$2:$Q$492,0)),"")</f>
        <v>OK</v>
      </c>
      <c r="N410" s="7" t="str">
        <f aca="false">IFERROR(INDEX('Output Utente'!$AE$2:$AE$492,MATCH(407,'Output Utente'!$Q$2:$Q$492,0)),"")</f>
        <v>🟡 Attesa rischiosa</v>
      </c>
    </row>
    <row r="411" customFormat="false" ht="15" hidden="false" customHeight="true" outlineLevel="0" collapsed="false">
      <c r="A411" s="49" t="n">
        <v>408</v>
      </c>
      <c r="B411" s="7" t="n">
        <f aca="false">IFERROR(INDEX('Output Utente'!$A$2:$A$492,MATCH(408,'Output Utente'!$Q$2:$Q$492,0)),"")</f>
        <v>7202</v>
      </c>
      <c r="C411" s="7" t="str">
        <f aca="false">IFERROR(INDEX('Output Utente'!$B$2:$B$492,MATCH(408,'Output Utente'!$Q$2:$Q$492,0)),"")</f>
        <v>D</v>
      </c>
      <c r="D411" s="7" t="str">
        <f aca="false">IFERROR(INDEX('Output Utente'!$C$2:$C$492,MATCH(408,'Output Utente'!$Q$2:$Q$492,0)),"")</f>
        <v>Ndiaye</v>
      </c>
      <c r="E411" s="7" t="str">
        <f aca="false">IFERROR(INDEX('Input Giocatori 2026_27'!$D$3:$D$493,MATCH($B411,'Input Giocatori 2026_27'!$A$3:$A$493,0)),"")</f>
        <v>Parma</v>
      </c>
      <c r="F411" s="50" t="n">
        <f aca="false">IFERROR(INDEX('Output Utente'!$N$2:$N$492,MATCH(408,'Output Utente'!$Q$2:$Q$492,0)),"")</f>
        <v>1</v>
      </c>
      <c r="G411" s="50" t="n">
        <f aca="false">IFERROR(INDEX('Output Utente'!$O$2:$O$492,MATCH(408,'Output Utente'!$Q$2:$Q$492,0)),"")</f>
        <v>4</v>
      </c>
      <c r="H411" s="7" t="str">
        <f aca="false">IFERROR(INDEX('Output Utente'!$P$2:$P$492,MATCH(408,'Output Utente'!$Q$2:$Q$492,0)),"")</f>
        <v>Scommessa/Riserva</v>
      </c>
      <c r="I411" s="50" t="n">
        <f aca="false">IFERROR(INDEX('Output Utente'!$F$2:$F$492,MATCH(408,'Output Utente'!$Q$2:$Q$492,0)),"")</f>
        <v>2</v>
      </c>
      <c r="J411" s="50" t="n">
        <f aca="false">IFERROR(INDEX('Output Utente'!$G$2:$G$492,MATCH(408,'Output Utente'!$Q$2:$Q$492,0)),"")</f>
        <v>1</v>
      </c>
      <c r="K411" s="50" t="n">
        <f aca="false">IFERROR(INDEX('Output Utente'!$H$2:$H$492,MATCH(408,'Output Utente'!$Q$2:$Q$492,0)),"")</f>
        <v>2</v>
      </c>
      <c r="L411" s="7" t="str">
        <f aca="false">IFERROR(INDEX('Output Utente'!$E$2:$E$492,MATCH(408,'Output Utente'!$Q$2:$Q$492,0)),"")</f>
        <v>NO</v>
      </c>
      <c r="M411" s="7" t="str">
        <f aca="false">IFERROR(INDEX('Output Utente'!$U$2:$U$492,MATCH(408,'Output Utente'!$Q$2:$Q$492,0)),"")</f>
        <v>OK</v>
      </c>
      <c r="N411" s="7" t="str">
        <f aca="false">IFERROR(INDEX('Output Utente'!$AE$2:$AE$492,MATCH(408,'Output Utente'!$Q$2:$Q$492,0)),"")</f>
        <v>🟡 Attesa rischiosa</v>
      </c>
    </row>
    <row r="412" customFormat="false" ht="15" hidden="false" customHeight="true" outlineLevel="0" collapsed="false">
      <c r="A412" s="49" t="n">
        <v>409</v>
      </c>
      <c r="B412" s="7" t="n">
        <f aca="false">IFERROR(INDEX('Output Utente'!$A$2:$A$492,MATCH(409,'Output Utente'!$Q$2:$Q$492,0)),"")</f>
        <v>6225</v>
      </c>
      <c r="C412" s="7" t="str">
        <f aca="false">IFERROR(INDEX('Output Utente'!$B$2:$B$492,MATCH(409,'Output Utente'!$Q$2:$Q$492,0)),"")</f>
        <v>C</v>
      </c>
      <c r="D412" s="7" t="str">
        <f aca="false">IFERROR(INDEX('Output Utente'!$C$2:$C$492,MATCH(409,'Output Utente'!$Q$2:$Q$492,0)),"")</f>
        <v>El Azzouzi O.</v>
      </c>
      <c r="E412" s="7" t="str">
        <f aca="false">IFERROR(INDEX('Input Giocatori 2026_27'!$D$3:$D$493,MATCH($B412,'Input Giocatori 2026_27'!$A$3:$A$493,0)),"")</f>
        <v>Bologna</v>
      </c>
      <c r="F412" s="50" t="n">
        <f aca="false">IFERROR(INDEX('Output Utente'!$N$2:$N$492,MATCH(409,'Output Utente'!$Q$2:$Q$492,0)),"")</f>
        <v>2</v>
      </c>
      <c r="G412" s="50" t="n">
        <f aca="false">IFERROR(INDEX('Output Utente'!$O$2:$O$492,MATCH(409,'Output Utente'!$Q$2:$Q$492,0)),"")</f>
        <v>4</v>
      </c>
      <c r="H412" s="7" t="str">
        <f aca="false">IFERROR(INDEX('Output Utente'!$P$2:$P$492,MATCH(409,'Output Utente'!$Q$2:$Q$492,0)),"")</f>
        <v>Scommessa/Riserva</v>
      </c>
      <c r="I412" s="50" t="n">
        <f aca="false">IFERROR(INDEX('Output Utente'!$F$2:$F$492,MATCH(409,'Output Utente'!$Q$2:$Q$492,0)),"")</f>
        <v>2</v>
      </c>
      <c r="J412" s="50" t="n">
        <f aca="false">IFERROR(INDEX('Output Utente'!$G$2:$G$492,MATCH(409,'Output Utente'!$Q$2:$Q$492,0)),"")</f>
        <v>1</v>
      </c>
      <c r="K412" s="50" t="n">
        <f aca="false">IFERROR(INDEX('Output Utente'!$H$2:$H$492,MATCH(409,'Output Utente'!$Q$2:$Q$492,0)),"")</f>
        <v>2</v>
      </c>
      <c r="L412" s="7" t="str">
        <f aca="false">IFERROR(INDEX('Output Utente'!$E$2:$E$492,MATCH(409,'Output Utente'!$Q$2:$Q$492,0)),"")</f>
        <v>NO</v>
      </c>
      <c r="M412" s="7" t="str">
        <f aca="false">IFERROR(INDEX('Output Utente'!$U$2:$U$492,MATCH(409,'Output Utente'!$Q$2:$Q$492,0)),"")</f>
        <v>OK</v>
      </c>
      <c r="N412" s="7" t="str">
        <f aca="false">IFERROR(INDEX('Output Utente'!$AE$2:$AE$492,MATCH(409,'Output Utente'!$Q$2:$Q$492,0)),"")</f>
        <v>🟡 Attesa rischiosa</v>
      </c>
    </row>
    <row r="413" customFormat="false" ht="15" hidden="false" customHeight="true" outlineLevel="0" collapsed="false">
      <c r="A413" s="49" t="n">
        <v>410</v>
      </c>
      <c r="B413" s="7" t="n">
        <f aca="false">IFERROR(INDEX('Output Utente'!$A$2:$A$492,MATCH(410,'Output Utente'!$Q$2:$Q$492,0)),"")</f>
        <v>6917</v>
      </c>
      <c r="C413" s="7" t="str">
        <f aca="false">IFERROR(INDEX('Output Utente'!$B$2:$B$492,MATCH(410,'Output Utente'!$Q$2:$Q$492,0)),"")</f>
        <v>C</v>
      </c>
      <c r="D413" s="7" t="str">
        <f aca="false">IFERROR(INDEX('Output Utente'!$C$2:$C$492,MATCH(410,'Output Utente'!$Q$2:$Q$492,0)),"")</f>
        <v>Masini</v>
      </c>
      <c r="E413" s="7" t="str">
        <f aca="false">IFERROR(INDEX('Input Giocatori 2026_27'!$D$3:$D$493,MATCH($B413,'Input Giocatori 2026_27'!$A$3:$A$493,0)),"")</f>
        <v>Genoa</v>
      </c>
      <c r="F413" s="50" t="n">
        <f aca="false">IFERROR(INDEX('Output Utente'!$N$2:$N$492,MATCH(410,'Output Utente'!$Q$2:$Q$492,0)),"")</f>
        <v>2</v>
      </c>
      <c r="G413" s="50" t="n">
        <f aca="false">IFERROR(INDEX('Output Utente'!$O$2:$O$492,MATCH(410,'Output Utente'!$Q$2:$Q$492,0)),"")</f>
        <v>4</v>
      </c>
      <c r="H413" s="7" t="str">
        <f aca="false">IFERROR(INDEX('Output Utente'!$P$2:$P$492,MATCH(410,'Output Utente'!$Q$2:$Q$492,0)),"")</f>
        <v>Scommessa/Riserva</v>
      </c>
      <c r="I413" s="50" t="n">
        <f aca="false">IFERROR(INDEX('Output Utente'!$F$2:$F$492,MATCH(410,'Output Utente'!$Q$2:$Q$492,0)),"")</f>
        <v>2</v>
      </c>
      <c r="J413" s="50" t="n">
        <f aca="false">IFERROR(INDEX('Output Utente'!$G$2:$G$492,MATCH(410,'Output Utente'!$Q$2:$Q$492,0)),"")</f>
        <v>1</v>
      </c>
      <c r="K413" s="50" t="n">
        <f aca="false">IFERROR(INDEX('Output Utente'!$H$2:$H$492,MATCH(410,'Output Utente'!$Q$2:$Q$492,0)),"")</f>
        <v>2</v>
      </c>
      <c r="L413" s="7" t="str">
        <f aca="false">IFERROR(INDEX('Output Utente'!$E$2:$E$492,MATCH(410,'Output Utente'!$Q$2:$Q$492,0)),"")</f>
        <v>NO</v>
      </c>
      <c r="M413" s="7" t="str">
        <f aca="false">IFERROR(INDEX('Output Utente'!$U$2:$U$492,MATCH(410,'Output Utente'!$Q$2:$Q$492,0)),"")</f>
        <v>OK</v>
      </c>
      <c r="N413" s="7" t="str">
        <f aca="false">IFERROR(INDEX('Output Utente'!$AE$2:$AE$492,MATCH(410,'Output Utente'!$Q$2:$Q$492,0)),"")</f>
        <v>🟡 Attesa rischiosa</v>
      </c>
    </row>
    <row r="414" customFormat="false" ht="15" hidden="false" customHeight="true" outlineLevel="0" collapsed="false">
      <c r="A414" s="49" t="n">
        <v>411</v>
      </c>
      <c r="B414" s="7" t="n">
        <f aca="false">IFERROR(INDEX('Output Utente'!$A$2:$A$492,MATCH(411,'Output Utente'!$Q$2:$Q$492,0)),"")</f>
        <v>526</v>
      </c>
      <c r="C414" s="7" t="str">
        <f aca="false">IFERROR(INDEX('Output Utente'!$B$2:$B$492,MATCH(411,'Output Utente'!$Q$2:$Q$492,0)),"")</f>
        <v>C</v>
      </c>
      <c r="D414" s="7" t="str">
        <f aca="false">IFERROR(INDEX('Output Utente'!$C$2:$C$492,MATCH(411,'Output Utente'!$Q$2:$Q$492,0)),"")</f>
        <v>Duncan</v>
      </c>
      <c r="E414" s="7" t="str">
        <f aca="false">IFERROR(INDEX('Input Giocatori 2026_27'!$D$3:$D$493,MATCH($B414,'Input Giocatori 2026_27'!$A$3:$A$493,0)),"")</f>
        <v>Venezia</v>
      </c>
      <c r="F414" s="50" t="n">
        <f aca="false">IFERROR(INDEX('Output Utente'!$N$2:$N$492,MATCH(411,'Output Utente'!$Q$2:$Q$492,0)),"")</f>
        <v>2</v>
      </c>
      <c r="G414" s="50" t="n">
        <f aca="false">IFERROR(INDEX('Output Utente'!$O$2:$O$492,MATCH(411,'Output Utente'!$Q$2:$Q$492,0)),"")</f>
        <v>4</v>
      </c>
      <c r="H414" s="7" t="str">
        <f aca="false">IFERROR(INDEX('Output Utente'!$P$2:$P$492,MATCH(411,'Output Utente'!$Q$2:$Q$492,0)),"")</f>
        <v>Scommessa/Riserva</v>
      </c>
      <c r="I414" s="50" t="n">
        <f aca="false">IFERROR(INDEX('Output Utente'!$F$2:$F$492,MATCH(411,'Output Utente'!$Q$2:$Q$492,0)),"")</f>
        <v>2</v>
      </c>
      <c r="J414" s="50" t="n">
        <f aca="false">IFERROR(INDEX('Output Utente'!$G$2:$G$492,MATCH(411,'Output Utente'!$Q$2:$Q$492,0)),"")</f>
        <v>1</v>
      </c>
      <c r="K414" s="50" t="n">
        <f aca="false">IFERROR(INDEX('Output Utente'!$H$2:$H$492,MATCH(411,'Output Utente'!$Q$2:$Q$492,0)),"")</f>
        <v>2</v>
      </c>
      <c r="L414" s="7" t="str">
        <f aca="false">IFERROR(INDEX('Output Utente'!$E$2:$E$492,MATCH(411,'Output Utente'!$Q$2:$Q$492,0)),"")</f>
        <v>NO</v>
      </c>
      <c r="M414" s="7" t="str">
        <f aca="false">IFERROR(INDEX('Output Utente'!$U$2:$U$492,MATCH(411,'Output Utente'!$Q$2:$Q$492,0)),"")</f>
        <v>OK</v>
      </c>
      <c r="N414" s="7" t="str">
        <f aca="false">IFERROR(INDEX('Output Utente'!$AE$2:$AE$492,MATCH(411,'Output Utente'!$Q$2:$Q$492,0)),"")</f>
        <v>🟡 Attesa rischiosa</v>
      </c>
    </row>
    <row r="415" customFormat="false" ht="15" hidden="false" customHeight="true" outlineLevel="0" collapsed="false">
      <c r="A415" s="49" t="n">
        <v>412</v>
      </c>
      <c r="B415" s="7" t="n">
        <f aca="false">IFERROR(INDEX('Output Utente'!$A$2:$A$492,MATCH(412,'Output Utente'!$Q$2:$Q$492,0)),"")</f>
        <v>5007</v>
      </c>
      <c r="C415" s="7" t="str">
        <f aca="false">IFERROR(INDEX('Output Utente'!$B$2:$B$492,MATCH(412,'Output Utente'!$Q$2:$Q$492,0)),"")</f>
        <v>C</v>
      </c>
      <c r="D415" s="7" t="str">
        <f aca="false">IFERROR(INDEX('Output Utente'!$C$2:$C$492,MATCH(412,'Output Utente'!$Q$2:$Q$492,0)),"")</f>
        <v>Ilic</v>
      </c>
      <c r="E415" s="7" t="str">
        <f aca="false">IFERROR(INDEX('Input Giocatori 2026_27'!$D$3:$D$493,MATCH($B415,'Input Giocatori 2026_27'!$A$3:$A$493,0)),"")</f>
        <v>Torino</v>
      </c>
      <c r="F415" s="50" t="n">
        <f aca="false">IFERROR(INDEX('Output Utente'!$N$2:$N$492,MATCH(412,'Output Utente'!$Q$2:$Q$492,0)),"")</f>
        <v>1</v>
      </c>
      <c r="G415" s="50" t="n">
        <f aca="false">IFERROR(INDEX('Output Utente'!$O$2:$O$492,MATCH(412,'Output Utente'!$Q$2:$Q$492,0)),"")</f>
        <v>4</v>
      </c>
      <c r="H415" s="7" t="str">
        <f aca="false">IFERROR(INDEX('Output Utente'!$P$2:$P$492,MATCH(412,'Output Utente'!$Q$2:$Q$492,0)),"")</f>
        <v>Scommessa/Riserva</v>
      </c>
      <c r="I415" s="50" t="n">
        <f aca="false">IFERROR(INDEX('Output Utente'!$F$2:$F$492,MATCH(412,'Output Utente'!$Q$2:$Q$492,0)),"")</f>
        <v>2</v>
      </c>
      <c r="J415" s="50" t="n">
        <f aca="false">IFERROR(INDEX('Output Utente'!$G$2:$G$492,MATCH(412,'Output Utente'!$Q$2:$Q$492,0)),"")</f>
        <v>1</v>
      </c>
      <c r="K415" s="50" t="n">
        <f aca="false">IFERROR(INDEX('Output Utente'!$H$2:$H$492,MATCH(412,'Output Utente'!$Q$2:$Q$492,0)),"")</f>
        <v>2</v>
      </c>
      <c r="L415" s="7" t="str">
        <f aca="false">IFERROR(INDEX('Output Utente'!$E$2:$E$492,MATCH(412,'Output Utente'!$Q$2:$Q$492,0)),"")</f>
        <v>NO</v>
      </c>
      <c r="M415" s="7" t="str">
        <f aca="false">IFERROR(INDEX('Output Utente'!$U$2:$U$492,MATCH(412,'Output Utente'!$Q$2:$Q$492,0)),"")</f>
        <v>OK</v>
      </c>
      <c r="N415" s="7" t="str">
        <f aca="false">IFERROR(INDEX('Output Utente'!$AE$2:$AE$492,MATCH(412,'Output Utente'!$Q$2:$Q$492,0)),"")</f>
        <v>🟡 Attesa rischiosa</v>
      </c>
    </row>
    <row r="416" customFormat="false" ht="15" hidden="false" customHeight="true" outlineLevel="0" collapsed="false">
      <c r="A416" s="49" t="n">
        <v>413</v>
      </c>
      <c r="B416" s="7" t="n">
        <f aca="false">IFERROR(INDEX('Output Utente'!$A$2:$A$492,MATCH(413,'Output Utente'!$Q$2:$Q$492,0)),"")</f>
        <v>6889</v>
      </c>
      <c r="C416" s="7" t="str">
        <f aca="false">IFERROR(INDEX('Output Utente'!$B$2:$B$492,MATCH(413,'Output Utente'!$Q$2:$Q$492,0)),"")</f>
        <v>C</v>
      </c>
      <c r="D416" s="7" t="str">
        <f aca="false">IFERROR(INDEX('Output Utente'!$C$2:$C$492,MATCH(413,'Output Utente'!$Q$2:$Q$492,0)),"")</f>
        <v>Anjorin</v>
      </c>
      <c r="E416" s="7" t="str">
        <f aca="false">IFERROR(INDEX('Input Giocatori 2026_27'!$D$3:$D$493,MATCH($B416,'Input Giocatori 2026_27'!$A$3:$A$493,0)),"")</f>
        <v>Torino</v>
      </c>
      <c r="F416" s="50" t="n">
        <f aca="false">IFERROR(INDEX('Output Utente'!$N$2:$N$492,MATCH(413,'Output Utente'!$Q$2:$Q$492,0)),"")</f>
        <v>1</v>
      </c>
      <c r="G416" s="50" t="n">
        <f aca="false">IFERROR(INDEX('Output Utente'!$O$2:$O$492,MATCH(413,'Output Utente'!$Q$2:$Q$492,0)),"")</f>
        <v>4</v>
      </c>
      <c r="H416" s="7" t="str">
        <f aca="false">IFERROR(INDEX('Output Utente'!$P$2:$P$492,MATCH(413,'Output Utente'!$Q$2:$Q$492,0)),"")</f>
        <v>Scommessa/Riserva</v>
      </c>
      <c r="I416" s="50" t="n">
        <f aca="false">IFERROR(INDEX('Output Utente'!$F$2:$F$492,MATCH(413,'Output Utente'!$Q$2:$Q$492,0)),"")</f>
        <v>2</v>
      </c>
      <c r="J416" s="50" t="n">
        <f aca="false">IFERROR(INDEX('Output Utente'!$G$2:$G$492,MATCH(413,'Output Utente'!$Q$2:$Q$492,0)),"")</f>
        <v>1</v>
      </c>
      <c r="K416" s="50" t="n">
        <f aca="false">IFERROR(INDEX('Output Utente'!$H$2:$H$492,MATCH(413,'Output Utente'!$Q$2:$Q$492,0)),"")</f>
        <v>2</v>
      </c>
      <c r="L416" s="7" t="str">
        <f aca="false">IFERROR(INDEX('Output Utente'!$E$2:$E$492,MATCH(413,'Output Utente'!$Q$2:$Q$492,0)),"")</f>
        <v>NO</v>
      </c>
      <c r="M416" s="7" t="str">
        <f aca="false">IFERROR(INDEX('Output Utente'!$U$2:$U$492,MATCH(413,'Output Utente'!$Q$2:$Q$492,0)),"")</f>
        <v>OK</v>
      </c>
      <c r="N416" s="7" t="str">
        <f aca="false">IFERROR(INDEX('Output Utente'!$AE$2:$AE$492,MATCH(413,'Output Utente'!$Q$2:$Q$492,0)),"")</f>
        <v>🟡 Attesa rischiosa</v>
      </c>
    </row>
    <row r="417" customFormat="false" ht="15" hidden="false" customHeight="true" outlineLevel="0" collapsed="false">
      <c r="A417" s="49" t="n">
        <v>414</v>
      </c>
      <c r="B417" s="7" t="n">
        <f aca="false">IFERROR(INDEX('Output Utente'!$A$2:$A$492,MATCH(414,'Output Utente'!$Q$2:$Q$492,0)),"")</f>
        <v>6212</v>
      </c>
      <c r="C417" s="7" t="str">
        <f aca="false">IFERROR(INDEX('Output Utente'!$B$2:$B$492,MATCH(414,'Output Utente'!$Q$2:$Q$492,0)),"")</f>
        <v>C</v>
      </c>
      <c r="D417" s="7" t="str">
        <f aca="false">IFERROR(INDEX('Output Utente'!$C$2:$C$492,MATCH(414,'Output Utente'!$Q$2:$Q$492,0)),"")</f>
        <v>Zarraga</v>
      </c>
      <c r="E417" s="7" t="str">
        <f aca="false">IFERROR(INDEX('Input Giocatori 2026_27'!$D$3:$D$493,MATCH($B417,'Input Giocatori 2026_27'!$A$3:$A$493,0)),"")</f>
        <v>Udinese</v>
      </c>
      <c r="F417" s="50" t="n">
        <f aca="false">IFERROR(INDEX('Output Utente'!$N$2:$N$492,MATCH(414,'Output Utente'!$Q$2:$Q$492,0)),"")</f>
        <v>1</v>
      </c>
      <c r="G417" s="50" t="n">
        <f aca="false">IFERROR(INDEX('Output Utente'!$O$2:$O$492,MATCH(414,'Output Utente'!$Q$2:$Q$492,0)),"")</f>
        <v>4</v>
      </c>
      <c r="H417" s="7" t="str">
        <f aca="false">IFERROR(INDEX('Output Utente'!$P$2:$P$492,MATCH(414,'Output Utente'!$Q$2:$Q$492,0)),"")</f>
        <v>Scommessa/Riserva</v>
      </c>
      <c r="I417" s="50" t="n">
        <f aca="false">IFERROR(INDEX('Output Utente'!$F$2:$F$492,MATCH(414,'Output Utente'!$Q$2:$Q$492,0)),"")</f>
        <v>2</v>
      </c>
      <c r="J417" s="50" t="n">
        <f aca="false">IFERROR(INDEX('Output Utente'!$G$2:$G$492,MATCH(414,'Output Utente'!$Q$2:$Q$492,0)),"")</f>
        <v>1</v>
      </c>
      <c r="K417" s="50" t="n">
        <f aca="false">IFERROR(INDEX('Output Utente'!$H$2:$H$492,MATCH(414,'Output Utente'!$Q$2:$Q$492,0)),"")</f>
        <v>2</v>
      </c>
      <c r="L417" s="7" t="str">
        <f aca="false">IFERROR(INDEX('Output Utente'!$E$2:$E$492,MATCH(414,'Output Utente'!$Q$2:$Q$492,0)),"")</f>
        <v>NO</v>
      </c>
      <c r="M417" s="7" t="str">
        <f aca="false">IFERROR(INDEX('Output Utente'!$U$2:$U$492,MATCH(414,'Output Utente'!$Q$2:$Q$492,0)),"")</f>
        <v>OK</v>
      </c>
      <c r="N417" s="7" t="str">
        <f aca="false">IFERROR(INDEX('Output Utente'!$AE$2:$AE$492,MATCH(414,'Output Utente'!$Q$2:$Q$492,0)),"")</f>
        <v>🟡 Attesa rischiosa</v>
      </c>
    </row>
    <row r="418" customFormat="false" ht="15" hidden="false" customHeight="true" outlineLevel="0" collapsed="false">
      <c r="A418" s="49" t="n">
        <v>415</v>
      </c>
      <c r="B418" s="7" t="n">
        <f aca="false">IFERROR(INDEX('Output Utente'!$A$2:$A$492,MATCH(415,'Output Utente'!$Q$2:$Q$492,0)),"")</f>
        <v>7249</v>
      </c>
      <c r="C418" s="7" t="str">
        <f aca="false">IFERROR(INDEX('Output Utente'!$B$2:$B$492,MATCH(415,'Output Utente'!$Q$2:$Q$492,0)),"")</f>
        <v>A</v>
      </c>
      <c r="D418" s="7" t="str">
        <f aca="false">IFERROR(INDEX('Output Utente'!$C$2:$C$492,MATCH(415,'Output Utente'!$Q$2:$Q$492,0)),"")</f>
        <v>Buksa </v>
      </c>
      <c r="E418" s="7" t="str">
        <f aca="false">IFERROR(INDEX('Input Giocatori 2026_27'!$D$3:$D$493,MATCH($B418,'Input Giocatori 2026_27'!$A$3:$A$493,0)),"")</f>
        <v>Udinese</v>
      </c>
      <c r="F418" s="50" t="n">
        <f aca="false">IFERROR(INDEX('Output Utente'!$N$2:$N$492,MATCH(415,'Output Utente'!$Q$2:$Q$492,0)),"")</f>
        <v>2</v>
      </c>
      <c r="G418" s="50" t="n">
        <f aca="false">IFERROR(INDEX('Output Utente'!$O$2:$O$492,MATCH(415,'Output Utente'!$Q$2:$Q$492,0)),"")</f>
        <v>4</v>
      </c>
      <c r="H418" s="7" t="str">
        <f aca="false">IFERROR(INDEX('Output Utente'!$P$2:$P$492,MATCH(415,'Output Utente'!$Q$2:$Q$492,0)),"")</f>
        <v>Scommessa/Riserva</v>
      </c>
      <c r="I418" s="50" t="n">
        <f aca="false">IFERROR(INDEX('Output Utente'!$F$2:$F$492,MATCH(415,'Output Utente'!$Q$2:$Q$492,0)),"")</f>
        <v>3</v>
      </c>
      <c r="J418" s="50" t="n">
        <f aca="false">IFERROR(INDEX('Output Utente'!$G$2:$G$492,MATCH(415,'Output Utente'!$Q$2:$Q$492,0)),"")</f>
        <v>2</v>
      </c>
      <c r="K418" s="50" t="n">
        <f aca="false">IFERROR(INDEX('Output Utente'!$H$2:$H$492,MATCH(415,'Output Utente'!$Q$2:$Q$492,0)),"")</f>
        <v>4</v>
      </c>
      <c r="L418" s="7" t="str">
        <f aca="false">IFERROR(INDEX('Output Utente'!$E$2:$E$492,MATCH(415,'Output Utente'!$Q$2:$Q$492,0)),"")</f>
        <v>NO</v>
      </c>
      <c r="M418" s="7" t="str">
        <f aca="false">IFERROR(INDEX('Output Utente'!$U$2:$U$492,MATCH(415,'Output Utente'!$Q$2:$Q$492,0)),"")</f>
        <v>OK</v>
      </c>
      <c r="N418" s="7" t="str">
        <f aca="false">IFERROR(INDEX('Output Utente'!$AE$2:$AE$492,MATCH(415,'Output Utente'!$Q$2:$Q$492,0)),"")</f>
        <v>🔴 Non aspettare</v>
      </c>
    </row>
    <row r="419" customFormat="false" ht="15" hidden="false" customHeight="true" outlineLevel="0" collapsed="false">
      <c r="A419" s="49" t="n">
        <v>416</v>
      </c>
      <c r="B419" s="7" t="n">
        <f aca="false">IFERROR(INDEX('Output Utente'!$A$2:$A$492,MATCH(416,'Output Utente'!$Q$2:$Q$492,0)),"")</f>
        <v>6981</v>
      </c>
      <c r="C419" s="7" t="str">
        <f aca="false">IFERROR(INDEX('Output Utente'!$B$2:$B$492,MATCH(416,'Output Utente'!$Q$2:$Q$492,0)),"")</f>
        <v>A</v>
      </c>
      <c r="D419" s="7" t="str">
        <f aca="false">IFERROR(INDEX('Output Utente'!$C$2:$C$492,MATCH(416,'Output Utente'!$Q$2:$Q$492,0)),"")</f>
        <v>Vaz</v>
      </c>
      <c r="E419" s="7" t="str">
        <f aca="false">IFERROR(INDEX('Input Giocatori 2026_27'!$D$3:$D$493,MATCH($B419,'Input Giocatori 2026_27'!$A$3:$A$493,0)),"")</f>
        <v>Roma</v>
      </c>
      <c r="F419" s="50" t="n">
        <f aca="false">IFERROR(INDEX('Output Utente'!$N$2:$N$492,MATCH(416,'Output Utente'!$Q$2:$Q$492,0)),"")</f>
        <v>1</v>
      </c>
      <c r="G419" s="50" t="n">
        <f aca="false">IFERROR(INDEX('Output Utente'!$O$2:$O$492,MATCH(416,'Output Utente'!$Q$2:$Q$492,0)),"")</f>
        <v>4</v>
      </c>
      <c r="H419" s="7" t="str">
        <f aca="false">IFERROR(INDEX('Output Utente'!$P$2:$P$492,MATCH(416,'Output Utente'!$Q$2:$Q$492,0)),"")</f>
        <v>Scommessa/Riserva</v>
      </c>
      <c r="I419" s="50" t="n">
        <f aca="false">IFERROR(INDEX('Output Utente'!$F$2:$F$492,MATCH(416,'Output Utente'!$Q$2:$Q$492,0)),"")</f>
        <v>3</v>
      </c>
      <c r="J419" s="50" t="n">
        <f aca="false">IFERROR(INDEX('Output Utente'!$G$2:$G$492,MATCH(416,'Output Utente'!$Q$2:$Q$492,0)),"")</f>
        <v>2</v>
      </c>
      <c r="K419" s="50" t="n">
        <f aca="false">IFERROR(INDEX('Output Utente'!$H$2:$H$492,MATCH(416,'Output Utente'!$Q$2:$Q$492,0)),"")</f>
        <v>4</v>
      </c>
      <c r="L419" s="7" t="str">
        <f aca="false">IFERROR(INDEX('Output Utente'!$E$2:$E$492,MATCH(416,'Output Utente'!$Q$2:$Q$492,0)),"")</f>
        <v>NO</v>
      </c>
      <c r="M419" s="7" t="str">
        <f aca="false">IFERROR(INDEX('Output Utente'!$U$2:$U$492,MATCH(416,'Output Utente'!$Q$2:$Q$492,0)),"")</f>
        <v>OK</v>
      </c>
      <c r="N419" s="7" t="str">
        <f aca="false">IFERROR(INDEX('Output Utente'!$AE$2:$AE$492,MATCH(416,'Output Utente'!$Q$2:$Q$492,0)),"")</f>
        <v>🔴 Non aspettare</v>
      </c>
    </row>
    <row r="420" customFormat="false" ht="15" hidden="false" customHeight="true" outlineLevel="0" collapsed="false">
      <c r="A420" s="49" t="n">
        <v>417</v>
      </c>
      <c r="B420" s="7" t="n">
        <f aca="false">IFERROR(INDEX('Output Utente'!$A$2:$A$492,MATCH(417,'Output Utente'!$Q$2:$Q$492,0)),"")</f>
        <v>4867</v>
      </c>
      <c r="C420" s="7" t="str">
        <f aca="false">IFERROR(INDEX('Output Utente'!$B$2:$B$492,MATCH(417,'Output Utente'!$Q$2:$Q$492,0)),"")</f>
        <v>P</v>
      </c>
      <c r="D420" s="7" t="str">
        <f aca="false">IFERROR(INDEX('Output Utente'!$C$2:$C$492,MATCH(417,'Output Utente'!$Q$2:$Q$492,0)),"")</f>
        <v>Turati</v>
      </c>
      <c r="E420" s="7" t="str">
        <f aca="false">IFERROR(INDEX('Input Giocatori 2026_27'!$D$3:$D$493,MATCH($B420,'Input Giocatori 2026_27'!$A$3:$A$493,0)),"")</f>
        <v>Sassuolo</v>
      </c>
      <c r="F420" s="50" t="n">
        <f aca="false">IFERROR(INDEX('Output Utente'!$N$2:$N$492,MATCH(417,'Output Utente'!$Q$2:$Q$492,0)),"")</f>
        <v>1</v>
      </c>
      <c r="G420" s="50" t="n">
        <f aca="false">IFERROR(INDEX('Output Utente'!$O$2:$O$492,MATCH(417,'Output Utente'!$Q$2:$Q$492,0)),"")</f>
        <v>3</v>
      </c>
      <c r="H420" s="7" t="str">
        <f aca="false">IFERROR(INDEX('Output Utente'!$P$2:$P$492,MATCH(417,'Output Utente'!$Q$2:$Q$492,0)),"")</f>
        <v>Nella Media</v>
      </c>
      <c r="I420" s="50" t="n">
        <f aca="false">IFERROR(INDEX('Output Utente'!$F$2:$F$492,MATCH(417,'Output Utente'!$Q$2:$Q$492,0)),"")</f>
        <v>4</v>
      </c>
      <c r="J420" s="50" t="n">
        <f aca="false">IFERROR(INDEX('Output Utente'!$G$2:$G$492,MATCH(417,'Output Utente'!$Q$2:$Q$492,0)),"")</f>
        <v>3</v>
      </c>
      <c r="K420" s="50" t="n">
        <f aca="false">IFERROR(INDEX('Output Utente'!$H$2:$H$492,MATCH(417,'Output Utente'!$Q$2:$Q$492,0)),"")</f>
        <v>4</v>
      </c>
      <c r="L420" s="7" t="str">
        <f aca="false">IFERROR(INDEX('Output Utente'!$E$2:$E$492,MATCH(417,'Output Utente'!$Q$2:$Q$492,0)),"")</f>
        <v>NO</v>
      </c>
      <c r="M420" s="7" t="str">
        <f aca="false">IFERROR(INDEX('Output Utente'!$U$2:$U$492,MATCH(417,'Output Utente'!$Q$2:$Q$492,0)),"")</f>
        <v>OK</v>
      </c>
      <c r="N420" s="7" t="str">
        <f aca="false">IFERROR(INDEX('Output Utente'!$AE$2:$AE$492,MATCH(417,'Output Utente'!$Q$2:$Q$492,0)),"")</f>
        <v>🟡 Attesa rischiosa</v>
      </c>
    </row>
    <row r="421" customFormat="false" ht="15" hidden="false" customHeight="true" outlineLevel="0" collapsed="false">
      <c r="A421" s="49" t="n">
        <v>418</v>
      </c>
      <c r="B421" s="7" t="n">
        <f aca="false">IFERROR(INDEX('Output Utente'!$A$2:$A$492,MATCH(418,'Output Utente'!$Q$2:$Q$492,0)),"")</f>
        <v>7470</v>
      </c>
      <c r="C421" s="7" t="str">
        <f aca="false">IFERROR(INDEX('Output Utente'!$B$2:$B$492,MATCH(418,'Output Utente'!$Q$2:$Q$492,0)),"")</f>
        <v>D</v>
      </c>
      <c r="D421" s="7" t="str">
        <f aca="false">IFERROR(INDEX('Output Utente'!$C$2:$C$492,MATCH(418,'Output Utente'!$Q$2:$Q$492,0)),"")</f>
        <v>Oyono J.</v>
      </c>
      <c r="E421" s="7" t="str">
        <f aca="false">IFERROR(INDEX('Input Giocatori 2026_27'!$D$3:$D$493,MATCH($B421,'Input Giocatori 2026_27'!$A$3:$A$493,0)),"")</f>
        <v>Frosinone</v>
      </c>
      <c r="F421" s="50" t="n">
        <f aca="false">IFERROR(INDEX('Output Utente'!$N$2:$N$492,MATCH(418,'Output Utente'!$Q$2:$Q$492,0)),"")</f>
        <v>1</v>
      </c>
      <c r="G421" s="50" t="n">
        <f aca="false">IFERROR(INDEX('Output Utente'!$O$2:$O$492,MATCH(418,'Output Utente'!$Q$2:$Q$492,0)),"")</f>
        <v>3</v>
      </c>
      <c r="H421" s="7" t="str">
        <f aca="false">IFERROR(INDEX('Output Utente'!$P$2:$P$492,MATCH(418,'Output Utente'!$Q$2:$Q$492,0)),"")</f>
        <v>Scommessa/Riserva</v>
      </c>
      <c r="I421" s="50" t="n">
        <f aca="false">IFERROR(INDEX('Output Utente'!$F$2:$F$492,MATCH(418,'Output Utente'!$Q$2:$Q$492,0)),"")</f>
        <v>2</v>
      </c>
      <c r="J421" s="50" t="n">
        <f aca="false">IFERROR(INDEX('Output Utente'!$G$2:$G$492,MATCH(418,'Output Utente'!$Q$2:$Q$492,0)),"")</f>
        <v>1</v>
      </c>
      <c r="K421" s="50" t="n">
        <f aca="false">IFERROR(INDEX('Output Utente'!$H$2:$H$492,MATCH(418,'Output Utente'!$Q$2:$Q$492,0)),"")</f>
        <v>2</v>
      </c>
      <c r="L421" s="7" t="str">
        <f aca="false">IFERROR(INDEX('Output Utente'!$E$2:$E$492,MATCH(418,'Output Utente'!$Q$2:$Q$492,0)),"")</f>
        <v>NO</v>
      </c>
      <c r="M421" s="7" t="str">
        <f aca="false">IFERROR(INDEX('Output Utente'!$U$2:$U$492,MATCH(418,'Output Utente'!$Q$2:$Q$492,0)),"")</f>
        <v>OK</v>
      </c>
      <c r="N421" s="7" t="str">
        <f aca="false">IFERROR(INDEX('Output Utente'!$AE$2:$AE$492,MATCH(418,'Output Utente'!$Q$2:$Q$492,0)),"")</f>
        <v>🟡 Attesa rischiosa</v>
      </c>
    </row>
    <row r="422" customFormat="false" ht="15" hidden="false" customHeight="true" outlineLevel="0" collapsed="false">
      <c r="A422" s="49" t="n">
        <v>419</v>
      </c>
      <c r="B422" s="7" t="n">
        <f aca="false">IFERROR(INDEX('Output Utente'!$A$2:$A$492,MATCH(419,'Output Utente'!$Q$2:$Q$492,0)),"")</f>
        <v>7471</v>
      </c>
      <c r="C422" s="7" t="str">
        <f aca="false">IFERROR(INDEX('Output Utente'!$B$2:$B$492,MATCH(419,'Output Utente'!$Q$2:$Q$492,0)),"")</f>
        <v>D</v>
      </c>
      <c r="D422" s="7" t="str">
        <f aca="false">IFERROR(INDEX('Output Utente'!$C$2:$C$492,MATCH(419,'Output Utente'!$Q$2:$Q$492,0)),"")</f>
        <v>Corrado</v>
      </c>
      <c r="E422" s="7" t="str">
        <f aca="false">IFERROR(INDEX('Input Giocatori 2026_27'!$D$3:$D$493,MATCH($B422,'Input Giocatori 2026_27'!$A$3:$A$493,0)),"")</f>
        <v>Frosinone</v>
      </c>
      <c r="F422" s="50" t="n">
        <f aca="false">IFERROR(INDEX('Output Utente'!$N$2:$N$492,MATCH(419,'Output Utente'!$Q$2:$Q$492,0)),"")</f>
        <v>1</v>
      </c>
      <c r="G422" s="50" t="n">
        <f aca="false">IFERROR(INDEX('Output Utente'!$O$2:$O$492,MATCH(419,'Output Utente'!$Q$2:$Q$492,0)),"")</f>
        <v>3</v>
      </c>
      <c r="H422" s="7" t="str">
        <f aca="false">IFERROR(INDEX('Output Utente'!$P$2:$P$492,MATCH(419,'Output Utente'!$Q$2:$Q$492,0)),"")</f>
        <v>Scommessa/Riserva</v>
      </c>
      <c r="I422" s="50" t="n">
        <f aca="false">IFERROR(INDEX('Output Utente'!$F$2:$F$492,MATCH(419,'Output Utente'!$Q$2:$Q$492,0)),"")</f>
        <v>2</v>
      </c>
      <c r="J422" s="50" t="n">
        <f aca="false">IFERROR(INDEX('Output Utente'!$G$2:$G$492,MATCH(419,'Output Utente'!$Q$2:$Q$492,0)),"")</f>
        <v>1</v>
      </c>
      <c r="K422" s="50" t="n">
        <f aca="false">IFERROR(INDEX('Output Utente'!$H$2:$H$492,MATCH(419,'Output Utente'!$Q$2:$Q$492,0)),"")</f>
        <v>2</v>
      </c>
      <c r="L422" s="7" t="str">
        <f aca="false">IFERROR(INDEX('Output Utente'!$E$2:$E$492,MATCH(419,'Output Utente'!$Q$2:$Q$492,0)),"")</f>
        <v>NO</v>
      </c>
      <c r="M422" s="7" t="str">
        <f aca="false">IFERROR(INDEX('Output Utente'!$U$2:$U$492,MATCH(419,'Output Utente'!$Q$2:$Q$492,0)),"")</f>
        <v>OK</v>
      </c>
      <c r="N422" s="7" t="str">
        <f aca="false">IFERROR(INDEX('Output Utente'!$AE$2:$AE$492,MATCH(419,'Output Utente'!$Q$2:$Q$492,0)),"")</f>
        <v>🟡 Attesa rischiosa</v>
      </c>
    </row>
    <row r="423" customFormat="false" ht="15" hidden="false" customHeight="true" outlineLevel="0" collapsed="false">
      <c r="A423" s="49" t="n">
        <v>420</v>
      </c>
      <c r="B423" s="7" t="n">
        <f aca="false">IFERROR(INDEX('Output Utente'!$A$2:$A$492,MATCH(420,'Output Utente'!$Q$2:$Q$492,0)),"")</f>
        <v>294</v>
      </c>
      <c r="C423" s="7" t="str">
        <f aca="false">IFERROR(INDEX('Output Utente'!$B$2:$B$492,MATCH(420,'Output Utente'!$Q$2:$Q$492,0)),"")</f>
        <v>D</v>
      </c>
      <c r="D423" s="7" t="str">
        <f aca="false">IFERROR(INDEX('Output Utente'!$C$2:$C$492,MATCH(420,'Output Utente'!$Q$2:$Q$492,0)),"")</f>
        <v>Rugani</v>
      </c>
      <c r="E423" s="7" t="str">
        <f aca="false">IFERROR(INDEX('Input Giocatori 2026_27'!$D$3:$D$493,MATCH($B423,'Input Giocatori 2026_27'!$A$3:$A$493,0)),"")</f>
        <v>Juventus</v>
      </c>
      <c r="F423" s="50" t="n">
        <f aca="false">IFERROR(INDEX('Output Utente'!$N$2:$N$492,MATCH(420,'Output Utente'!$Q$2:$Q$492,0)),"")</f>
        <v>1</v>
      </c>
      <c r="G423" s="50" t="n">
        <f aca="false">IFERROR(INDEX('Output Utente'!$O$2:$O$492,MATCH(420,'Output Utente'!$Q$2:$Q$492,0)),"")</f>
        <v>3</v>
      </c>
      <c r="H423" s="7" t="str">
        <f aca="false">IFERROR(INDEX('Output Utente'!$P$2:$P$492,MATCH(420,'Output Utente'!$Q$2:$Q$492,0)),"")</f>
        <v>Scommessa/Riserva</v>
      </c>
      <c r="I423" s="50" t="n">
        <f aca="false">IFERROR(INDEX('Output Utente'!$F$2:$F$492,MATCH(420,'Output Utente'!$Q$2:$Q$492,0)),"")</f>
        <v>2</v>
      </c>
      <c r="J423" s="50" t="n">
        <f aca="false">IFERROR(INDEX('Output Utente'!$G$2:$G$492,MATCH(420,'Output Utente'!$Q$2:$Q$492,0)),"")</f>
        <v>1</v>
      </c>
      <c r="K423" s="50" t="n">
        <f aca="false">IFERROR(INDEX('Output Utente'!$H$2:$H$492,MATCH(420,'Output Utente'!$Q$2:$Q$492,0)),"")</f>
        <v>2</v>
      </c>
      <c r="L423" s="7" t="str">
        <f aca="false">IFERROR(INDEX('Output Utente'!$E$2:$E$492,MATCH(420,'Output Utente'!$Q$2:$Q$492,0)),"")</f>
        <v>NO</v>
      </c>
      <c r="M423" s="7" t="str">
        <f aca="false">IFERROR(INDEX('Output Utente'!$U$2:$U$492,MATCH(420,'Output Utente'!$Q$2:$Q$492,0)),"")</f>
        <v>OK</v>
      </c>
      <c r="N423" s="7" t="str">
        <f aca="false">IFERROR(INDEX('Output Utente'!$AE$2:$AE$492,MATCH(420,'Output Utente'!$Q$2:$Q$492,0)),"")</f>
        <v>🟡 Attesa rischiosa</v>
      </c>
    </row>
    <row r="424" customFormat="false" ht="15" hidden="false" customHeight="true" outlineLevel="0" collapsed="false">
      <c r="A424" s="49" t="n">
        <v>421</v>
      </c>
      <c r="B424" s="7" t="n">
        <f aca="false">IFERROR(INDEX('Output Utente'!$A$2:$A$492,MATCH(421,'Output Utente'!$Q$2:$Q$492,0)),"")</f>
        <v>5481</v>
      </c>
      <c r="C424" s="7" t="str">
        <f aca="false">IFERROR(INDEX('Output Utente'!$B$2:$B$492,MATCH(421,'Output Utente'!$Q$2:$Q$492,0)),"")</f>
        <v>D</v>
      </c>
      <c r="D424" s="7" t="str">
        <f aca="false">IFERROR(INDEX('Output Utente'!$C$2:$C$492,MATCH(421,'Output Utente'!$Q$2:$Q$492,0)),"")</f>
        <v>Mazzocchi</v>
      </c>
      <c r="E424" s="7" t="str">
        <f aca="false">IFERROR(INDEX('Input Giocatori 2026_27'!$D$3:$D$493,MATCH($B424,'Input Giocatori 2026_27'!$A$3:$A$493,0)),"")</f>
        <v>Napoli</v>
      </c>
      <c r="F424" s="50" t="n">
        <f aca="false">IFERROR(INDEX('Output Utente'!$N$2:$N$492,MATCH(421,'Output Utente'!$Q$2:$Q$492,0)),"")</f>
        <v>1</v>
      </c>
      <c r="G424" s="50" t="n">
        <f aca="false">IFERROR(INDEX('Output Utente'!$O$2:$O$492,MATCH(421,'Output Utente'!$Q$2:$Q$492,0)),"")</f>
        <v>3</v>
      </c>
      <c r="H424" s="7" t="str">
        <f aca="false">IFERROR(INDEX('Output Utente'!$P$2:$P$492,MATCH(421,'Output Utente'!$Q$2:$Q$492,0)),"")</f>
        <v>Scommessa/Riserva</v>
      </c>
      <c r="I424" s="50" t="n">
        <f aca="false">IFERROR(INDEX('Output Utente'!$F$2:$F$492,MATCH(421,'Output Utente'!$Q$2:$Q$492,0)),"")</f>
        <v>2</v>
      </c>
      <c r="J424" s="50" t="n">
        <f aca="false">IFERROR(INDEX('Output Utente'!$G$2:$G$492,MATCH(421,'Output Utente'!$Q$2:$Q$492,0)),"")</f>
        <v>1</v>
      </c>
      <c r="K424" s="50" t="n">
        <f aca="false">IFERROR(INDEX('Output Utente'!$H$2:$H$492,MATCH(421,'Output Utente'!$Q$2:$Q$492,0)),"")</f>
        <v>2</v>
      </c>
      <c r="L424" s="7" t="str">
        <f aca="false">IFERROR(INDEX('Output Utente'!$E$2:$E$492,MATCH(421,'Output Utente'!$Q$2:$Q$492,0)),"")</f>
        <v>NO</v>
      </c>
      <c r="M424" s="7" t="str">
        <f aca="false">IFERROR(INDEX('Output Utente'!$U$2:$U$492,MATCH(421,'Output Utente'!$Q$2:$Q$492,0)),"")</f>
        <v>OK</v>
      </c>
      <c r="N424" s="7" t="str">
        <f aca="false">IFERROR(INDEX('Output Utente'!$AE$2:$AE$492,MATCH(421,'Output Utente'!$Q$2:$Q$492,0)),"")</f>
        <v>🟡 Attesa rischiosa</v>
      </c>
    </row>
    <row r="425" customFormat="false" ht="15" hidden="false" customHeight="true" outlineLevel="0" collapsed="false">
      <c r="A425" s="49" t="n">
        <v>422</v>
      </c>
      <c r="B425" s="7" t="n">
        <f aca="false">IFERROR(INDEX('Output Utente'!$A$2:$A$492,MATCH(422,'Output Utente'!$Q$2:$Q$492,0)),"")</f>
        <v>6149</v>
      </c>
      <c r="C425" s="7" t="str">
        <f aca="false">IFERROR(INDEX('Output Utente'!$B$2:$B$492,MATCH(422,'Output Utente'!$Q$2:$Q$492,0)),"")</f>
        <v>D</v>
      </c>
      <c r="D425" s="7" t="str">
        <f aca="false">IFERROR(INDEX('Output Utente'!$C$2:$C$492,MATCH(422,'Output Utente'!$Q$2:$Q$492,0)),"")</f>
        <v>Carboni F.</v>
      </c>
      <c r="E425" s="7" t="str">
        <f aca="false">IFERROR(INDEX('Input Giocatori 2026_27'!$D$3:$D$493,MATCH($B425,'Input Giocatori 2026_27'!$A$3:$A$493,0)),"")</f>
        <v>Parma</v>
      </c>
      <c r="F425" s="50" t="n">
        <f aca="false">IFERROR(INDEX('Output Utente'!$N$2:$N$492,MATCH(422,'Output Utente'!$Q$2:$Q$492,0)),"")</f>
        <v>1</v>
      </c>
      <c r="G425" s="50" t="n">
        <f aca="false">IFERROR(INDEX('Output Utente'!$O$2:$O$492,MATCH(422,'Output Utente'!$Q$2:$Q$492,0)),"")</f>
        <v>3</v>
      </c>
      <c r="H425" s="7" t="str">
        <f aca="false">IFERROR(INDEX('Output Utente'!$P$2:$P$492,MATCH(422,'Output Utente'!$Q$2:$Q$492,0)),"")</f>
        <v>Scommessa/Riserva</v>
      </c>
      <c r="I425" s="50" t="n">
        <f aca="false">IFERROR(INDEX('Output Utente'!$F$2:$F$492,MATCH(422,'Output Utente'!$Q$2:$Q$492,0)),"")</f>
        <v>2</v>
      </c>
      <c r="J425" s="50" t="n">
        <f aca="false">IFERROR(INDEX('Output Utente'!$G$2:$G$492,MATCH(422,'Output Utente'!$Q$2:$Q$492,0)),"")</f>
        <v>1</v>
      </c>
      <c r="K425" s="50" t="n">
        <f aca="false">IFERROR(INDEX('Output Utente'!$H$2:$H$492,MATCH(422,'Output Utente'!$Q$2:$Q$492,0)),"")</f>
        <v>2</v>
      </c>
      <c r="L425" s="7" t="str">
        <f aca="false">IFERROR(INDEX('Output Utente'!$E$2:$E$492,MATCH(422,'Output Utente'!$Q$2:$Q$492,0)),"")</f>
        <v>NO</v>
      </c>
      <c r="M425" s="7" t="str">
        <f aca="false">IFERROR(INDEX('Output Utente'!$U$2:$U$492,MATCH(422,'Output Utente'!$Q$2:$Q$492,0)),"")</f>
        <v>OK</v>
      </c>
      <c r="N425" s="7" t="str">
        <f aca="false">IFERROR(INDEX('Output Utente'!$AE$2:$AE$492,MATCH(422,'Output Utente'!$Q$2:$Q$492,0)),"")</f>
        <v>🟡 Attesa rischiosa</v>
      </c>
    </row>
    <row r="426" customFormat="false" ht="15" hidden="false" customHeight="true" outlineLevel="0" collapsed="false">
      <c r="A426" s="49" t="n">
        <v>423</v>
      </c>
      <c r="B426" s="7" t="n">
        <f aca="false">IFERROR(INDEX('Output Utente'!$A$2:$A$492,MATCH(423,'Output Utente'!$Q$2:$Q$492,0)),"")</f>
        <v>7356</v>
      </c>
      <c r="C426" s="7" t="str">
        <f aca="false">IFERROR(INDEX('Output Utente'!$B$2:$B$492,MATCH(423,'Output Utente'!$Q$2:$Q$492,0)),"")</f>
        <v>D</v>
      </c>
      <c r="D426" s="7" t="str">
        <f aca="false">IFERROR(INDEX('Output Utente'!$C$2:$C$492,MATCH(423,'Output Utente'!$Q$2:$Q$492,0)),"")</f>
        <v>Mlacic</v>
      </c>
      <c r="E426" s="7" t="str">
        <f aca="false">IFERROR(INDEX('Input Giocatori 2026_27'!$D$3:$D$493,MATCH($B426,'Input Giocatori 2026_27'!$A$3:$A$493,0)),"")</f>
        <v>Udinese</v>
      </c>
      <c r="F426" s="50" t="n">
        <f aca="false">IFERROR(INDEX('Output Utente'!$N$2:$N$492,MATCH(423,'Output Utente'!$Q$2:$Q$492,0)),"")</f>
        <v>1</v>
      </c>
      <c r="G426" s="50" t="n">
        <f aca="false">IFERROR(INDEX('Output Utente'!$O$2:$O$492,MATCH(423,'Output Utente'!$Q$2:$Q$492,0)),"")</f>
        <v>3</v>
      </c>
      <c r="H426" s="7" t="str">
        <f aca="false">IFERROR(INDEX('Output Utente'!$P$2:$P$492,MATCH(423,'Output Utente'!$Q$2:$Q$492,0)),"")</f>
        <v>Scommessa/Riserva</v>
      </c>
      <c r="I426" s="50" t="n">
        <f aca="false">IFERROR(INDEX('Output Utente'!$F$2:$F$492,MATCH(423,'Output Utente'!$Q$2:$Q$492,0)),"")</f>
        <v>2</v>
      </c>
      <c r="J426" s="50" t="n">
        <f aca="false">IFERROR(INDEX('Output Utente'!$G$2:$G$492,MATCH(423,'Output Utente'!$Q$2:$Q$492,0)),"")</f>
        <v>1</v>
      </c>
      <c r="K426" s="50" t="n">
        <f aca="false">IFERROR(INDEX('Output Utente'!$H$2:$H$492,MATCH(423,'Output Utente'!$Q$2:$Q$492,0)),"")</f>
        <v>2</v>
      </c>
      <c r="L426" s="7" t="str">
        <f aca="false">IFERROR(INDEX('Output Utente'!$E$2:$E$492,MATCH(423,'Output Utente'!$Q$2:$Q$492,0)),"")</f>
        <v>NO</v>
      </c>
      <c r="M426" s="7" t="str">
        <f aca="false">IFERROR(INDEX('Output Utente'!$U$2:$U$492,MATCH(423,'Output Utente'!$Q$2:$Q$492,0)),"")</f>
        <v>OK</v>
      </c>
      <c r="N426" s="7" t="str">
        <f aca="false">IFERROR(INDEX('Output Utente'!$AE$2:$AE$492,MATCH(423,'Output Utente'!$Q$2:$Q$492,0)),"")</f>
        <v>🟡 Attesa rischiosa</v>
      </c>
    </row>
    <row r="427" customFormat="false" ht="15" hidden="false" customHeight="true" outlineLevel="0" collapsed="false">
      <c r="A427" s="49" t="n">
        <v>424</v>
      </c>
      <c r="B427" s="7" t="n">
        <f aca="false">IFERROR(INDEX('Output Utente'!$A$2:$A$492,MATCH(424,'Output Utente'!$Q$2:$Q$492,0)),"")</f>
        <v>6021</v>
      </c>
      <c r="C427" s="7" t="str">
        <f aca="false">IFERROR(INDEX('Output Utente'!$B$2:$B$492,MATCH(424,'Output Utente'!$Q$2:$Q$492,0)),"")</f>
        <v>D</v>
      </c>
      <c r="D427" s="7" t="str">
        <f aca="false">IFERROR(INDEX('Output Utente'!$C$2:$C$492,MATCH(424,'Output Utente'!$Q$2:$Q$492,0)),"")</f>
        <v>Abankwah</v>
      </c>
      <c r="E427" s="7" t="str">
        <f aca="false">IFERROR(INDEX('Input Giocatori 2026_27'!$D$3:$D$493,MATCH($B427,'Input Giocatori 2026_27'!$A$3:$A$493,0)),"")</f>
        <v>Udinese</v>
      </c>
      <c r="F427" s="50" t="n">
        <f aca="false">IFERROR(INDEX('Output Utente'!$N$2:$N$492,MATCH(424,'Output Utente'!$Q$2:$Q$492,0)),"")</f>
        <v>1</v>
      </c>
      <c r="G427" s="50" t="n">
        <f aca="false">IFERROR(INDEX('Output Utente'!$O$2:$O$492,MATCH(424,'Output Utente'!$Q$2:$Q$492,0)),"")</f>
        <v>3</v>
      </c>
      <c r="H427" s="7" t="str">
        <f aca="false">IFERROR(INDEX('Output Utente'!$P$2:$P$492,MATCH(424,'Output Utente'!$Q$2:$Q$492,0)),"")</f>
        <v>Scommessa/Riserva</v>
      </c>
      <c r="I427" s="50" t="n">
        <f aca="false">IFERROR(INDEX('Output Utente'!$F$2:$F$492,MATCH(424,'Output Utente'!$Q$2:$Q$492,0)),"")</f>
        <v>2</v>
      </c>
      <c r="J427" s="50" t="n">
        <f aca="false">IFERROR(INDEX('Output Utente'!$G$2:$G$492,MATCH(424,'Output Utente'!$Q$2:$Q$492,0)),"")</f>
        <v>1</v>
      </c>
      <c r="K427" s="50" t="n">
        <f aca="false">IFERROR(INDEX('Output Utente'!$H$2:$H$492,MATCH(424,'Output Utente'!$Q$2:$Q$492,0)),"")</f>
        <v>2</v>
      </c>
      <c r="L427" s="7" t="str">
        <f aca="false">IFERROR(INDEX('Output Utente'!$E$2:$E$492,MATCH(424,'Output Utente'!$Q$2:$Q$492,0)),"")</f>
        <v>NO</v>
      </c>
      <c r="M427" s="7" t="str">
        <f aca="false">IFERROR(INDEX('Output Utente'!$U$2:$U$492,MATCH(424,'Output Utente'!$Q$2:$Q$492,0)),"")</f>
        <v>OK</v>
      </c>
      <c r="N427" s="7" t="str">
        <f aca="false">IFERROR(INDEX('Output Utente'!$AE$2:$AE$492,MATCH(424,'Output Utente'!$Q$2:$Q$492,0)),"")</f>
        <v>🟡 Attesa rischiosa</v>
      </c>
    </row>
    <row r="428" customFormat="false" ht="15" hidden="false" customHeight="true" outlineLevel="0" collapsed="false">
      <c r="A428" s="49" t="n">
        <v>425</v>
      </c>
      <c r="B428" s="7" t="n">
        <f aca="false">IFERROR(INDEX('Output Utente'!$A$2:$A$492,MATCH(425,'Output Utente'!$Q$2:$Q$492,0)),"")</f>
        <v>6815</v>
      </c>
      <c r="C428" s="7" t="str">
        <f aca="false">IFERROR(INDEX('Output Utente'!$B$2:$B$492,MATCH(425,'Output Utente'!$Q$2:$Q$492,0)),"")</f>
        <v>C</v>
      </c>
      <c r="D428" s="7" t="str">
        <f aca="false">IFERROR(INDEX('Output Utente'!$C$2:$C$492,MATCH(425,'Output Utente'!$Q$2:$Q$492,0)),"")</f>
        <v>Fadera</v>
      </c>
      <c r="E428" s="7" t="str">
        <f aca="false">IFERROR(INDEX('Input Giocatori 2026_27'!$D$3:$D$493,MATCH($B428,'Input Giocatori 2026_27'!$A$3:$A$493,0)),"")</f>
        <v>Como</v>
      </c>
      <c r="F428" s="50" t="n">
        <f aca="false">IFERROR(INDEX('Output Utente'!$N$2:$N$492,MATCH(425,'Output Utente'!$Q$2:$Q$492,0)),"")</f>
        <v>2</v>
      </c>
      <c r="G428" s="50" t="n">
        <f aca="false">IFERROR(INDEX('Output Utente'!$O$2:$O$492,MATCH(425,'Output Utente'!$Q$2:$Q$492,0)),"")</f>
        <v>3</v>
      </c>
      <c r="H428" s="7" t="str">
        <f aca="false">IFERROR(INDEX('Output Utente'!$P$2:$P$492,MATCH(425,'Output Utente'!$Q$2:$Q$492,0)),"")</f>
        <v>Scommessa/Riserva</v>
      </c>
      <c r="I428" s="50" t="n">
        <f aca="false">IFERROR(INDEX('Output Utente'!$F$2:$F$492,MATCH(425,'Output Utente'!$Q$2:$Q$492,0)),"")</f>
        <v>2</v>
      </c>
      <c r="J428" s="50" t="n">
        <f aca="false">IFERROR(INDEX('Output Utente'!$G$2:$G$492,MATCH(425,'Output Utente'!$Q$2:$Q$492,0)),"")</f>
        <v>1</v>
      </c>
      <c r="K428" s="50" t="n">
        <f aca="false">IFERROR(INDEX('Output Utente'!$H$2:$H$492,MATCH(425,'Output Utente'!$Q$2:$Q$492,0)),"")</f>
        <v>2</v>
      </c>
      <c r="L428" s="7" t="str">
        <f aca="false">IFERROR(INDEX('Output Utente'!$E$2:$E$492,MATCH(425,'Output Utente'!$Q$2:$Q$492,0)),"")</f>
        <v>NO</v>
      </c>
      <c r="M428" s="7" t="str">
        <f aca="false">IFERROR(INDEX('Output Utente'!$U$2:$U$492,MATCH(425,'Output Utente'!$Q$2:$Q$492,0)),"")</f>
        <v>OK</v>
      </c>
      <c r="N428" s="7" t="str">
        <f aca="false">IFERROR(INDEX('Output Utente'!$AE$2:$AE$492,MATCH(425,'Output Utente'!$Q$2:$Q$492,0)),"")</f>
        <v>🟡 Attesa rischiosa</v>
      </c>
    </row>
    <row r="429" customFormat="false" ht="15" hidden="false" customHeight="true" outlineLevel="0" collapsed="false">
      <c r="A429" s="49" t="n">
        <v>426</v>
      </c>
      <c r="B429" s="7" t="n">
        <f aca="false">IFERROR(INDEX('Output Utente'!$A$2:$A$492,MATCH(426,'Output Utente'!$Q$2:$Q$492,0)),"")</f>
        <v>7456</v>
      </c>
      <c r="C429" s="7" t="str">
        <f aca="false">IFERROR(INDEX('Output Utente'!$B$2:$B$492,MATCH(426,'Output Utente'!$Q$2:$Q$492,0)),"")</f>
        <v>C</v>
      </c>
      <c r="D429" s="7" t="str">
        <f aca="false">IFERROR(INDEX('Output Utente'!$C$2:$C$492,MATCH(426,'Output Utente'!$Q$2:$Q$492,0)),"")</f>
        <v>El Azzouzi A.</v>
      </c>
      <c r="E429" s="7" t="str">
        <f aca="false">IFERROR(INDEX('Input Giocatori 2026_27'!$D$3:$D$493,MATCH($B429,'Input Giocatori 2026_27'!$A$3:$A$493,0)),"")</f>
        <v>Frosinone</v>
      </c>
      <c r="F429" s="50" t="n">
        <f aca="false">IFERROR(INDEX('Output Utente'!$N$2:$N$492,MATCH(426,'Output Utente'!$Q$2:$Q$492,0)),"")</f>
        <v>1</v>
      </c>
      <c r="G429" s="50" t="n">
        <f aca="false">IFERROR(INDEX('Output Utente'!$O$2:$O$492,MATCH(426,'Output Utente'!$Q$2:$Q$492,0)),"")</f>
        <v>3</v>
      </c>
      <c r="H429" s="7" t="str">
        <f aca="false">IFERROR(INDEX('Output Utente'!$P$2:$P$492,MATCH(426,'Output Utente'!$Q$2:$Q$492,0)),"")</f>
        <v>Scommessa/Riserva</v>
      </c>
      <c r="I429" s="50" t="n">
        <f aca="false">IFERROR(INDEX('Output Utente'!$F$2:$F$492,MATCH(426,'Output Utente'!$Q$2:$Q$492,0)),"")</f>
        <v>2</v>
      </c>
      <c r="J429" s="50" t="n">
        <f aca="false">IFERROR(INDEX('Output Utente'!$G$2:$G$492,MATCH(426,'Output Utente'!$Q$2:$Q$492,0)),"")</f>
        <v>1</v>
      </c>
      <c r="K429" s="50" t="n">
        <f aca="false">IFERROR(INDEX('Output Utente'!$H$2:$H$492,MATCH(426,'Output Utente'!$Q$2:$Q$492,0)),"")</f>
        <v>2</v>
      </c>
      <c r="L429" s="7" t="str">
        <f aca="false">IFERROR(INDEX('Output Utente'!$E$2:$E$492,MATCH(426,'Output Utente'!$Q$2:$Q$492,0)),"")</f>
        <v>NO</v>
      </c>
      <c r="M429" s="7" t="str">
        <f aca="false">IFERROR(INDEX('Output Utente'!$U$2:$U$492,MATCH(426,'Output Utente'!$Q$2:$Q$492,0)),"")</f>
        <v>OK</v>
      </c>
      <c r="N429" s="7" t="str">
        <f aca="false">IFERROR(INDEX('Output Utente'!$AE$2:$AE$492,MATCH(426,'Output Utente'!$Q$2:$Q$492,0)),"")</f>
        <v>🟡 Attesa rischiosa</v>
      </c>
    </row>
    <row r="430" customFormat="false" ht="15" hidden="false" customHeight="true" outlineLevel="0" collapsed="false">
      <c r="A430" s="49" t="n">
        <v>427</v>
      </c>
      <c r="B430" s="7" t="n">
        <f aca="false">IFERROR(INDEX('Output Utente'!$A$2:$A$492,MATCH(427,'Output Utente'!$Q$2:$Q$492,0)),"")</f>
        <v>5725</v>
      </c>
      <c r="C430" s="7" t="str">
        <f aca="false">IFERROR(INDEX('Output Utente'!$B$2:$B$492,MATCH(427,'Output Utente'!$Q$2:$Q$492,0)),"")</f>
        <v>C</v>
      </c>
      <c r="D430" s="7" t="str">
        <f aca="false">IFERROR(INDEX('Output Utente'!$C$2:$C$492,MATCH(427,'Output Utente'!$Q$2:$Q$492,0)),"")</f>
        <v>Kone B.</v>
      </c>
      <c r="E430" s="7" t="str">
        <f aca="false">IFERROR(INDEX('Input Giocatori 2026_27'!$D$3:$D$493,MATCH($B430,'Input Giocatori 2026_27'!$A$3:$A$493,0)),"")</f>
        <v>Frosinone</v>
      </c>
      <c r="F430" s="50" t="n">
        <f aca="false">IFERROR(INDEX('Output Utente'!$N$2:$N$492,MATCH(427,'Output Utente'!$Q$2:$Q$492,0)),"")</f>
        <v>1</v>
      </c>
      <c r="G430" s="50" t="n">
        <f aca="false">IFERROR(INDEX('Output Utente'!$O$2:$O$492,MATCH(427,'Output Utente'!$Q$2:$Q$492,0)),"")</f>
        <v>3</v>
      </c>
      <c r="H430" s="7" t="str">
        <f aca="false">IFERROR(INDEX('Output Utente'!$P$2:$P$492,MATCH(427,'Output Utente'!$Q$2:$Q$492,0)),"")</f>
        <v>Scommessa/Riserva</v>
      </c>
      <c r="I430" s="50" t="n">
        <f aca="false">IFERROR(INDEX('Output Utente'!$F$2:$F$492,MATCH(427,'Output Utente'!$Q$2:$Q$492,0)),"")</f>
        <v>2</v>
      </c>
      <c r="J430" s="50" t="n">
        <f aca="false">IFERROR(INDEX('Output Utente'!$G$2:$G$492,MATCH(427,'Output Utente'!$Q$2:$Q$492,0)),"")</f>
        <v>1</v>
      </c>
      <c r="K430" s="50" t="n">
        <f aca="false">IFERROR(INDEX('Output Utente'!$H$2:$H$492,MATCH(427,'Output Utente'!$Q$2:$Q$492,0)),"")</f>
        <v>2</v>
      </c>
      <c r="L430" s="7" t="str">
        <f aca="false">IFERROR(INDEX('Output Utente'!$E$2:$E$492,MATCH(427,'Output Utente'!$Q$2:$Q$492,0)),"")</f>
        <v>NO</v>
      </c>
      <c r="M430" s="7" t="str">
        <f aca="false">IFERROR(INDEX('Output Utente'!$U$2:$U$492,MATCH(427,'Output Utente'!$Q$2:$Q$492,0)),"")</f>
        <v>OK</v>
      </c>
      <c r="N430" s="7" t="str">
        <f aca="false">IFERROR(INDEX('Output Utente'!$AE$2:$AE$492,MATCH(427,'Output Utente'!$Q$2:$Q$492,0)),"")</f>
        <v>🟡 Attesa rischiosa</v>
      </c>
    </row>
    <row r="431" customFormat="false" ht="15" hidden="false" customHeight="true" outlineLevel="0" collapsed="false">
      <c r="A431" s="49" t="n">
        <v>428</v>
      </c>
      <c r="B431" s="7" t="n">
        <f aca="false">IFERROR(INDEX('Output Utente'!$A$2:$A$492,MATCH(428,'Output Utente'!$Q$2:$Q$492,0)),"")</f>
        <v>7248</v>
      </c>
      <c r="C431" s="7" t="str">
        <f aca="false">IFERROR(INDEX('Output Utente'!$B$2:$B$492,MATCH(428,'Output Utente'!$Q$2:$Q$492,0)),"")</f>
        <v>C</v>
      </c>
      <c r="D431" s="7" t="str">
        <f aca="false">IFERROR(INDEX('Output Utente'!$C$2:$C$492,MATCH(428,'Output Utente'!$Q$2:$Q$492,0)),"")</f>
        <v>Gorter</v>
      </c>
      <c r="E431" s="7" t="str">
        <f aca="false">IFERROR(INDEX('Input Giocatori 2026_27'!$D$3:$D$493,MATCH($B431,'Input Giocatori 2026_27'!$A$3:$A$493,0)),"")</f>
        <v>Lecce</v>
      </c>
      <c r="F431" s="50" t="n">
        <f aca="false">IFERROR(INDEX('Output Utente'!$N$2:$N$492,MATCH(428,'Output Utente'!$Q$2:$Q$492,0)),"")</f>
        <v>1</v>
      </c>
      <c r="G431" s="50" t="n">
        <f aca="false">IFERROR(INDEX('Output Utente'!$O$2:$O$492,MATCH(428,'Output Utente'!$Q$2:$Q$492,0)),"")</f>
        <v>3</v>
      </c>
      <c r="H431" s="7" t="str">
        <f aca="false">IFERROR(INDEX('Output Utente'!$P$2:$P$492,MATCH(428,'Output Utente'!$Q$2:$Q$492,0)),"")</f>
        <v>Scommessa/Riserva</v>
      </c>
      <c r="I431" s="50" t="n">
        <f aca="false">IFERROR(INDEX('Output Utente'!$F$2:$F$492,MATCH(428,'Output Utente'!$Q$2:$Q$492,0)),"")</f>
        <v>2</v>
      </c>
      <c r="J431" s="50" t="n">
        <f aca="false">IFERROR(INDEX('Output Utente'!$G$2:$G$492,MATCH(428,'Output Utente'!$Q$2:$Q$492,0)),"")</f>
        <v>1</v>
      </c>
      <c r="K431" s="50" t="n">
        <f aca="false">IFERROR(INDEX('Output Utente'!$H$2:$H$492,MATCH(428,'Output Utente'!$Q$2:$Q$492,0)),"")</f>
        <v>2</v>
      </c>
      <c r="L431" s="7" t="str">
        <f aca="false">IFERROR(INDEX('Output Utente'!$E$2:$E$492,MATCH(428,'Output Utente'!$Q$2:$Q$492,0)),"")</f>
        <v>NO</v>
      </c>
      <c r="M431" s="7" t="str">
        <f aca="false">IFERROR(INDEX('Output Utente'!$U$2:$U$492,MATCH(428,'Output Utente'!$Q$2:$Q$492,0)),"")</f>
        <v>OK</v>
      </c>
      <c r="N431" s="7" t="str">
        <f aca="false">IFERROR(INDEX('Output Utente'!$AE$2:$AE$492,MATCH(428,'Output Utente'!$Q$2:$Q$492,0)),"")</f>
        <v>🟡 Attesa rischiosa</v>
      </c>
    </row>
    <row r="432" customFormat="false" ht="15" hidden="false" customHeight="true" outlineLevel="0" collapsed="false">
      <c r="A432" s="49" t="n">
        <v>429</v>
      </c>
      <c r="B432" s="7" t="n">
        <f aca="false">IFERROR(INDEX('Output Utente'!$A$2:$A$492,MATCH(429,'Output Utente'!$Q$2:$Q$492,0)),"")</f>
        <v>7276</v>
      </c>
      <c r="C432" s="7" t="str">
        <f aca="false">IFERROR(INDEX('Output Utente'!$B$2:$B$492,MATCH(429,'Output Utente'!$Q$2:$Q$492,0)),"")</f>
        <v>C</v>
      </c>
      <c r="D432" s="7" t="str">
        <f aca="false">IFERROR(INDEX('Output Utente'!$C$2:$C$492,MATCH(429,'Output Utente'!$Q$2:$Q$492,0)),"")</f>
        <v>Cremaschi</v>
      </c>
      <c r="E432" s="7" t="str">
        <f aca="false">IFERROR(INDEX('Input Giocatori 2026_27'!$D$3:$D$493,MATCH($B432,'Input Giocatori 2026_27'!$A$3:$A$493,0)),"")</f>
        <v>Parma</v>
      </c>
      <c r="F432" s="50" t="n">
        <f aca="false">IFERROR(INDEX('Output Utente'!$N$2:$N$492,MATCH(429,'Output Utente'!$Q$2:$Q$492,0)),"")</f>
        <v>1</v>
      </c>
      <c r="G432" s="50" t="n">
        <f aca="false">IFERROR(INDEX('Output Utente'!$O$2:$O$492,MATCH(429,'Output Utente'!$Q$2:$Q$492,0)),"")</f>
        <v>3</v>
      </c>
      <c r="H432" s="7" t="str">
        <f aca="false">IFERROR(INDEX('Output Utente'!$P$2:$P$492,MATCH(429,'Output Utente'!$Q$2:$Q$492,0)),"")</f>
        <v>Scommessa/Riserva</v>
      </c>
      <c r="I432" s="50" t="n">
        <f aca="false">IFERROR(INDEX('Output Utente'!$F$2:$F$492,MATCH(429,'Output Utente'!$Q$2:$Q$492,0)),"")</f>
        <v>2</v>
      </c>
      <c r="J432" s="50" t="n">
        <f aca="false">IFERROR(INDEX('Output Utente'!$G$2:$G$492,MATCH(429,'Output Utente'!$Q$2:$Q$492,0)),"")</f>
        <v>1</v>
      </c>
      <c r="K432" s="50" t="n">
        <f aca="false">IFERROR(INDEX('Output Utente'!$H$2:$H$492,MATCH(429,'Output Utente'!$Q$2:$Q$492,0)),"")</f>
        <v>2</v>
      </c>
      <c r="L432" s="7" t="str">
        <f aca="false">IFERROR(INDEX('Output Utente'!$E$2:$E$492,MATCH(429,'Output Utente'!$Q$2:$Q$492,0)),"")</f>
        <v>NO</v>
      </c>
      <c r="M432" s="7" t="str">
        <f aca="false">IFERROR(INDEX('Output Utente'!$U$2:$U$492,MATCH(429,'Output Utente'!$Q$2:$Q$492,0)),"")</f>
        <v>OK</v>
      </c>
      <c r="N432" s="7" t="str">
        <f aca="false">IFERROR(INDEX('Output Utente'!$AE$2:$AE$492,MATCH(429,'Output Utente'!$Q$2:$Q$492,0)),"")</f>
        <v>🟡 Attesa rischiosa</v>
      </c>
    </row>
    <row r="433" customFormat="false" ht="15" hidden="false" customHeight="true" outlineLevel="0" collapsed="false">
      <c r="A433" s="49" t="n">
        <v>430</v>
      </c>
      <c r="B433" s="7" t="n">
        <f aca="false">IFERROR(INDEX('Output Utente'!$A$2:$A$492,MATCH(430,'Output Utente'!$Q$2:$Q$492,0)),"")</f>
        <v>7392</v>
      </c>
      <c r="C433" s="7" t="str">
        <f aca="false">IFERROR(INDEX('Output Utente'!$B$2:$B$492,MATCH(430,'Output Utente'!$Q$2:$Q$492,0)),"")</f>
        <v>C</v>
      </c>
      <c r="D433" s="7" t="str">
        <f aca="false">IFERROR(INDEX('Output Utente'!$C$2:$C$492,MATCH(430,'Output Utente'!$Q$2:$Q$492,0)),"")</f>
        <v>Camara A.</v>
      </c>
      <c r="E433" s="7" t="str">
        <f aca="false">IFERROR(INDEX('Input Giocatori 2026_27'!$D$3:$D$493,MATCH($B433,'Input Giocatori 2026_27'!$A$3:$A$493,0)),"")</f>
        <v>Udinese</v>
      </c>
      <c r="F433" s="50" t="n">
        <f aca="false">IFERROR(INDEX('Output Utente'!$N$2:$N$492,MATCH(430,'Output Utente'!$Q$2:$Q$492,0)),"")</f>
        <v>1</v>
      </c>
      <c r="G433" s="50" t="n">
        <f aca="false">IFERROR(INDEX('Output Utente'!$O$2:$O$492,MATCH(430,'Output Utente'!$Q$2:$Q$492,0)),"")</f>
        <v>3</v>
      </c>
      <c r="H433" s="7" t="str">
        <f aca="false">IFERROR(INDEX('Output Utente'!$P$2:$P$492,MATCH(430,'Output Utente'!$Q$2:$Q$492,0)),"")</f>
        <v>Scommessa/Riserva</v>
      </c>
      <c r="I433" s="50" t="n">
        <f aca="false">IFERROR(INDEX('Output Utente'!$F$2:$F$492,MATCH(430,'Output Utente'!$Q$2:$Q$492,0)),"")</f>
        <v>2</v>
      </c>
      <c r="J433" s="50" t="n">
        <f aca="false">IFERROR(INDEX('Output Utente'!$G$2:$G$492,MATCH(430,'Output Utente'!$Q$2:$Q$492,0)),"")</f>
        <v>1</v>
      </c>
      <c r="K433" s="50" t="n">
        <f aca="false">IFERROR(INDEX('Output Utente'!$H$2:$H$492,MATCH(430,'Output Utente'!$Q$2:$Q$492,0)),"")</f>
        <v>2</v>
      </c>
      <c r="L433" s="7" t="str">
        <f aca="false">IFERROR(INDEX('Output Utente'!$E$2:$E$492,MATCH(430,'Output Utente'!$Q$2:$Q$492,0)),"")</f>
        <v>NO</v>
      </c>
      <c r="M433" s="7" t="str">
        <f aca="false">IFERROR(INDEX('Output Utente'!$U$2:$U$492,MATCH(430,'Output Utente'!$Q$2:$Q$492,0)),"")</f>
        <v>OK</v>
      </c>
      <c r="N433" s="7" t="str">
        <f aca="false">IFERROR(INDEX('Output Utente'!$AE$2:$AE$492,MATCH(430,'Output Utente'!$Q$2:$Q$492,0)),"")</f>
        <v>🟡 Attesa rischiosa</v>
      </c>
    </row>
    <row r="434" customFormat="false" ht="15" hidden="false" customHeight="true" outlineLevel="0" collapsed="false">
      <c r="A434" s="49" t="n">
        <v>431</v>
      </c>
      <c r="B434" s="7" t="n">
        <f aca="false">IFERROR(INDEX('Output Utente'!$A$2:$A$492,MATCH(431,'Output Utente'!$Q$2:$Q$492,0)),"")</f>
        <v>5485</v>
      </c>
      <c r="C434" s="7" t="str">
        <f aca="false">IFERROR(INDEX('Output Utente'!$B$2:$B$492,MATCH(431,'Output Utente'!$Q$2:$Q$492,0)),"")</f>
        <v>C</v>
      </c>
      <c r="D434" s="7" t="str">
        <f aca="false">IFERROR(INDEX('Output Utente'!$C$2:$C$492,MATCH(431,'Output Utente'!$Q$2:$Q$492,0)),"")</f>
        <v>Bjarkason</v>
      </c>
      <c r="E434" s="7" t="str">
        <f aca="false">IFERROR(INDEX('Input Giocatori 2026_27'!$D$3:$D$493,MATCH($B434,'Input Giocatori 2026_27'!$A$3:$A$493,0)),"")</f>
        <v>Venezia</v>
      </c>
      <c r="F434" s="50" t="n">
        <f aca="false">IFERROR(INDEX('Output Utente'!$N$2:$N$492,MATCH(431,'Output Utente'!$Q$2:$Q$492,0)),"")</f>
        <v>1</v>
      </c>
      <c r="G434" s="50" t="n">
        <f aca="false">IFERROR(INDEX('Output Utente'!$O$2:$O$492,MATCH(431,'Output Utente'!$Q$2:$Q$492,0)),"")</f>
        <v>3</v>
      </c>
      <c r="H434" s="7" t="str">
        <f aca="false">IFERROR(INDEX('Output Utente'!$P$2:$P$492,MATCH(431,'Output Utente'!$Q$2:$Q$492,0)),"")</f>
        <v>Scommessa/Riserva</v>
      </c>
      <c r="I434" s="50" t="n">
        <f aca="false">IFERROR(INDEX('Output Utente'!$F$2:$F$492,MATCH(431,'Output Utente'!$Q$2:$Q$492,0)),"")</f>
        <v>2</v>
      </c>
      <c r="J434" s="50" t="n">
        <f aca="false">IFERROR(INDEX('Output Utente'!$G$2:$G$492,MATCH(431,'Output Utente'!$Q$2:$Q$492,0)),"")</f>
        <v>1</v>
      </c>
      <c r="K434" s="50" t="n">
        <f aca="false">IFERROR(INDEX('Output Utente'!$H$2:$H$492,MATCH(431,'Output Utente'!$Q$2:$Q$492,0)),"")</f>
        <v>2</v>
      </c>
      <c r="L434" s="7" t="str">
        <f aca="false">IFERROR(INDEX('Output Utente'!$E$2:$E$492,MATCH(431,'Output Utente'!$Q$2:$Q$492,0)),"")</f>
        <v>NO</v>
      </c>
      <c r="M434" s="7" t="str">
        <f aca="false">IFERROR(INDEX('Output Utente'!$U$2:$U$492,MATCH(431,'Output Utente'!$Q$2:$Q$492,0)),"")</f>
        <v>OK</v>
      </c>
      <c r="N434" s="7" t="str">
        <f aca="false">IFERROR(INDEX('Output Utente'!$AE$2:$AE$492,MATCH(431,'Output Utente'!$Q$2:$Q$492,0)),"")</f>
        <v>🟡 Attesa rischiosa</v>
      </c>
    </row>
    <row r="435" customFormat="false" ht="15" hidden="false" customHeight="true" outlineLevel="0" collapsed="false">
      <c r="A435" s="49" t="n">
        <v>432</v>
      </c>
      <c r="B435" s="7" t="n">
        <f aca="false">IFERROR(INDEX('Output Utente'!$A$2:$A$492,MATCH(432,'Output Utente'!$Q$2:$Q$492,0)),"")</f>
        <v>7161</v>
      </c>
      <c r="C435" s="7" t="str">
        <f aca="false">IFERROR(INDEX('Output Utente'!$B$2:$B$492,MATCH(432,'Output Utente'!$Q$2:$Q$492,0)),"")</f>
        <v>A</v>
      </c>
      <c r="D435" s="7" t="str">
        <f aca="false">IFERROR(INDEX('Output Utente'!$C$2:$C$492,MATCH(432,'Output Utente'!$Q$2:$Q$492,0)),"")</f>
        <v>Bayo V.</v>
      </c>
      <c r="E435" s="7" t="str">
        <f aca="false">IFERROR(INDEX('Input Giocatori 2026_27'!$D$3:$D$493,MATCH($B435,'Input Giocatori 2026_27'!$A$3:$A$493,0)),"")</f>
        <v>Udinese</v>
      </c>
      <c r="F435" s="50" t="n">
        <f aca="false">IFERROR(INDEX('Output Utente'!$N$2:$N$492,MATCH(432,'Output Utente'!$Q$2:$Q$492,0)),"")</f>
        <v>1</v>
      </c>
      <c r="G435" s="50" t="n">
        <f aca="false">IFERROR(INDEX('Output Utente'!$O$2:$O$492,MATCH(432,'Output Utente'!$Q$2:$Q$492,0)),"")</f>
        <v>3</v>
      </c>
      <c r="H435" s="7" t="str">
        <f aca="false">IFERROR(INDEX('Output Utente'!$P$2:$P$492,MATCH(432,'Output Utente'!$Q$2:$Q$492,0)),"")</f>
        <v>Scommessa/Riserva</v>
      </c>
      <c r="I435" s="50" t="n">
        <f aca="false">IFERROR(INDEX('Output Utente'!$F$2:$F$492,MATCH(432,'Output Utente'!$Q$2:$Q$492,0)),"")</f>
        <v>3</v>
      </c>
      <c r="J435" s="50" t="n">
        <f aca="false">IFERROR(INDEX('Output Utente'!$G$2:$G$492,MATCH(432,'Output Utente'!$Q$2:$Q$492,0)),"")</f>
        <v>2</v>
      </c>
      <c r="K435" s="50" t="n">
        <f aca="false">IFERROR(INDEX('Output Utente'!$H$2:$H$492,MATCH(432,'Output Utente'!$Q$2:$Q$492,0)),"")</f>
        <v>3</v>
      </c>
      <c r="L435" s="7" t="str">
        <f aca="false">IFERROR(INDEX('Output Utente'!$E$2:$E$492,MATCH(432,'Output Utente'!$Q$2:$Q$492,0)),"")</f>
        <v>NO</v>
      </c>
      <c r="M435" s="7" t="str">
        <f aca="false">IFERROR(INDEX('Output Utente'!$U$2:$U$492,MATCH(432,'Output Utente'!$Q$2:$Q$492,0)),"")</f>
        <v>OK</v>
      </c>
      <c r="N435" s="7" t="str">
        <f aca="false">IFERROR(INDEX('Output Utente'!$AE$2:$AE$492,MATCH(432,'Output Utente'!$Q$2:$Q$492,0)),"")</f>
        <v>🔴 Non aspettare</v>
      </c>
    </row>
    <row r="436" customFormat="false" ht="15" hidden="false" customHeight="true" outlineLevel="0" collapsed="false">
      <c r="A436" s="49" t="n">
        <v>433</v>
      </c>
      <c r="B436" s="7" t="n">
        <f aca="false">IFERROR(INDEX('Output Utente'!$A$2:$A$492,MATCH(433,'Output Utente'!$Q$2:$Q$492,0)),"")</f>
        <v>6245</v>
      </c>
      <c r="C436" s="7" t="str">
        <f aca="false">IFERROR(INDEX('Output Utente'!$B$2:$B$492,MATCH(433,'Output Utente'!$Q$2:$Q$492,0)),"")</f>
        <v>D</v>
      </c>
      <c r="D436" s="7" t="str">
        <f aca="false">IFERROR(INDEX('Output Utente'!$C$2:$C$492,MATCH(433,'Output Utente'!$Q$2:$Q$492,0)),"")</f>
        <v>Vogliacco</v>
      </c>
      <c r="E436" s="7" t="str">
        <f aca="false">IFERROR(INDEX('Input Giocatori 2026_27'!$D$3:$D$493,MATCH($B436,'Input Giocatori 2026_27'!$A$3:$A$493,0)),"")</f>
        <v>Genoa</v>
      </c>
      <c r="F436" s="50" t="n">
        <f aca="false">IFERROR(INDEX('Output Utente'!$N$2:$N$492,MATCH(433,'Output Utente'!$Q$2:$Q$492,0)),"")</f>
        <v>1</v>
      </c>
      <c r="G436" s="50" t="n">
        <f aca="false">IFERROR(INDEX('Output Utente'!$O$2:$O$492,MATCH(433,'Output Utente'!$Q$2:$Q$492,0)),"")</f>
        <v>2</v>
      </c>
      <c r="H436" s="7" t="str">
        <f aca="false">IFERROR(INDEX('Output Utente'!$P$2:$P$492,MATCH(433,'Output Utente'!$Q$2:$Q$492,0)),"")</f>
        <v>Scommessa/Riserva</v>
      </c>
      <c r="I436" s="50" t="n">
        <f aca="false">IFERROR(INDEX('Output Utente'!$F$2:$F$492,MATCH(433,'Output Utente'!$Q$2:$Q$492,0)),"")</f>
        <v>1</v>
      </c>
      <c r="J436" s="50" t="n">
        <f aca="false">IFERROR(INDEX('Output Utente'!$G$2:$G$492,MATCH(433,'Output Utente'!$Q$2:$Q$492,0)),"")</f>
        <v>1</v>
      </c>
      <c r="K436" s="50" t="n">
        <f aca="false">IFERROR(INDEX('Output Utente'!$H$2:$H$492,MATCH(433,'Output Utente'!$Q$2:$Q$492,0)),"")</f>
        <v>1</v>
      </c>
      <c r="L436" s="7" t="str">
        <f aca="false">IFERROR(INDEX('Output Utente'!$E$2:$E$492,MATCH(433,'Output Utente'!$Q$2:$Q$492,0)),"")</f>
        <v>NO</v>
      </c>
      <c r="M436" s="7" t="str">
        <f aca="false">IFERROR(INDEX('Output Utente'!$U$2:$U$492,MATCH(433,'Output Utente'!$Q$2:$Q$492,0)),"")</f>
        <v>OK</v>
      </c>
      <c r="N436" s="7" t="str">
        <f aca="false">IFERROR(INDEX('Output Utente'!$AE$2:$AE$492,MATCH(433,'Output Utente'!$Q$2:$Q$492,0)),"")</f>
        <v>🟡 Attesa rischiosa</v>
      </c>
    </row>
    <row r="437" customFormat="false" ht="15" hidden="false" customHeight="true" outlineLevel="0" collapsed="false">
      <c r="A437" s="49" t="n">
        <v>434</v>
      </c>
      <c r="B437" s="7" t="n">
        <f aca="false">IFERROR(INDEX('Output Utente'!$A$2:$A$492,MATCH(434,'Output Utente'!$Q$2:$Q$492,0)),"")</f>
        <v>6244</v>
      </c>
      <c r="C437" s="7" t="str">
        <f aca="false">IFERROR(INDEX('Output Utente'!$B$2:$B$492,MATCH(434,'Output Utente'!$Q$2:$Q$492,0)),"")</f>
        <v>D</v>
      </c>
      <c r="D437" s="7" t="str">
        <f aca="false">IFERROR(INDEX('Output Utente'!$C$2:$C$492,MATCH(434,'Output Utente'!$Q$2:$Q$492,0)),"")</f>
        <v>Matturro</v>
      </c>
      <c r="E437" s="7" t="str">
        <f aca="false">IFERROR(INDEX('Input Giocatori 2026_27'!$D$3:$D$493,MATCH($B437,'Input Giocatori 2026_27'!$A$3:$A$493,0)),"")</f>
        <v>Genoa</v>
      </c>
      <c r="F437" s="50" t="n">
        <f aca="false">IFERROR(INDEX('Output Utente'!$N$2:$N$492,MATCH(434,'Output Utente'!$Q$2:$Q$492,0)),"")</f>
        <v>1</v>
      </c>
      <c r="G437" s="50" t="n">
        <f aca="false">IFERROR(INDEX('Output Utente'!$O$2:$O$492,MATCH(434,'Output Utente'!$Q$2:$Q$492,0)),"")</f>
        <v>2</v>
      </c>
      <c r="H437" s="7" t="str">
        <f aca="false">IFERROR(INDEX('Output Utente'!$P$2:$P$492,MATCH(434,'Output Utente'!$Q$2:$Q$492,0)),"")</f>
        <v>Scommessa/Riserva</v>
      </c>
      <c r="I437" s="50" t="n">
        <f aca="false">IFERROR(INDEX('Output Utente'!$F$2:$F$492,MATCH(434,'Output Utente'!$Q$2:$Q$492,0)),"")</f>
        <v>1</v>
      </c>
      <c r="J437" s="50" t="n">
        <f aca="false">IFERROR(INDEX('Output Utente'!$G$2:$G$492,MATCH(434,'Output Utente'!$Q$2:$Q$492,0)),"")</f>
        <v>1</v>
      </c>
      <c r="K437" s="50" t="n">
        <f aca="false">IFERROR(INDEX('Output Utente'!$H$2:$H$492,MATCH(434,'Output Utente'!$Q$2:$Q$492,0)),"")</f>
        <v>1</v>
      </c>
      <c r="L437" s="7" t="str">
        <f aca="false">IFERROR(INDEX('Output Utente'!$E$2:$E$492,MATCH(434,'Output Utente'!$Q$2:$Q$492,0)),"")</f>
        <v>NO</v>
      </c>
      <c r="M437" s="7" t="str">
        <f aca="false">IFERROR(INDEX('Output Utente'!$U$2:$U$492,MATCH(434,'Output Utente'!$Q$2:$Q$492,0)),"")</f>
        <v>OK</v>
      </c>
      <c r="N437" s="7" t="str">
        <f aca="false">IFERROR(INDEX('Output Utente'!$AE$2:$AE$492,MATCH(434,'Output Utente'!$Q$2:$Q$492,0)),"")</f>
        <v>🟡 Attesa rischiosa</v>
      </c>
    </row>
    <row r="438" customFormat="false" ht="15" hidden="false" customHeight="true" outlineLevel="0" collapsed="false">
      <c r="A438" s="49" t="n">
        <v>435</v>
      </c>
      <c r="B438" s="7" t="n">
        <f aca="false">IFERROR(INDEX('Output Utente'!$A$2:$A$492,MATCH(435,'Output Utente'!$Q$2:$Q$492,0)),"")</f>
        <v>5399</v>
      </c>
      <c r="C438" s="7" t="str">
        <f aca="false">IFERROR(INDEX('Output Utente'!$B$2:$B$492,MATCH(435,'Output Utente'!$Q$2:$Q$492,0)),"")</f>
        <v>D</v>
      </c>
      <c r="D438" s="7" t="str">
        <f aca="false">IFERROR(INDEX('Output Utente'!$C$2:$C$492,MATCH(435,'Output Utente'!$Q$2:$Q$492,0)),"")</f>
        <v>Antov</v>
      </c>
      <c r="E438" s="7" t="str">
        <f aca="false">IFERROR(INDEX('Input Giocatori 2026_27'!$D$3:$D$493,MATCH($B438,'Input Giocatori 2026_27'!$A$3:$A$493,0)),"")</f>
        <v>Monza</v>
      </c>
      <c r="F438" s="50" t="n">
        <f aca="false">IFERROR(INDEX('Output Utente'!$N$2:$N$492,MATCH(435,'Output Utente'!$Q$2:$Q$492,0)),"")</f>
        <v>1</v>
      </c>
      <c r="G438" s="50" t="n">
        <f aca="false">IFERROR(INDEX('Output Utente'!$O$2:$O$492,MATCH(435,'Output Utente'!$Q$2:$Q$492,0)),"")</f>
        <v>2</v>
      </c>
      <c r="H438" s="7" t="str">
        <f aca="false">IFERROR(INDEX('Output Utente'!$P$2:$P$492,MATCH(435,'Output Utente'!$Q$2:$Q$492,0)),"")</f>
        <v>Scommessa/Riserva</v>
      </c>
      <c r="I438" s="50" t="n">
        <f aca="false">IFERROR(INDEX('Output Utente'!$F$2:$F$492,MATCH(435,'Output Utente'!$Q$2:$Q$492,0)),"")</f>
        <v>1</v>
      </c>
      <c r="J438" s="50" t="n">
        <f aca="false">IFERROR(INDEX('Output Utente'!$G$2:$G$492,MATCH(435,'Output Utente'!$Q$2:$Q$492,0)),"")</f>
        <v>1</v>
      </c>
      <c r="K438" s="50" t="n">
        <f aca="false">IFERROR(INDEX('Output Utente'!$H$2:$H$492,MATCH(435,'Output Utente'!$Q$2:$Q$492,0)),"")</f>
        <v>1</v>
      </c>
      <c r="L438" s="7" t="str">
        <f aca="false">IFERROR(INDEX('Output Utente'!$E$2:$E$492,MATCH(435,'Output Utente'!$Q$2:$Q$492,0)),"")</f>
        <v>NO</v>
      </c>
      <c r="M438" s="7" t="str">
        <f aca="false">IFERROR(INDEX('Output Utente'!$U$2:$U$492,MATCH(435,'Output Utente'!$Q$2:$Q$492,0)),"")</f>
        <v>OK</v>
      </c>
      <c r="N438" s="7" t="str">
        <f aca="false">IFERROR(INDEX('Output Utente'!$AE$2:$AE$492,MATCH(435,'Output Utente'!$Q$2:$Q$492,0)),"")</f>
        <v>🟡 Attesa rischiosa</v>
      </c>
    </row>
    <row r="439" customFormat="false" ht="15" hidden="false" customHeight="true" outlineLevel="0" collapsed="false">
      <c r="A439" s="49" t="n">
        <v>436</v>
      </c>
      <c r="B439" s="7" t="n">
        <f aca="false">IFERROR(INDEX('Output Utente'!$A$2:$A$492,MATCH(436,'Output Utente'!$Q$2:$Q$492,0)),"")</f>
        <v>7260</v>
      </c>
      <c r="C439" s="7" t="str">
        <f aca="false">IFERROR(INDEX('Output Utente'!$B$2:$B$492,MATCH(436,'Output Utente'!$Q$2:$Q$492,0)),"")</f>
        <v>D</v>
      </c>
      <c r="D439" s="7" t="str">
        <f aca="false">IFERROR(INDEX('Output Utente'!$C$2:$C$492,MATCH(436,'Output Utente'!$Q$2:$Q$492,0)),"")</f>
        <v>Ziolkowski</v>
      </c>
      <c r="E439" s="7" t="str">
        <f aca="false">IFERROR(INDEX('Input Giocatori 2026_27'!$D$3:$D$493,MATCH($B439,'Input Giocatori 2026_27'!$A$3:$A$493,0)),"")</f>
        <v>Roma</v>
      </c>
      <c r="F439" s="50" t="n">
        <f aca="false">IFERROR(INDEX('Output Utente'!$N$2:$N$492,MATCH(436,'Output Utente'!$Q$2:$Q$492,0)),"")</f>
        <v>1</v>
      </c>
      <c r="G439" s="50" t="n">
        <f aca="false">IFERROR(INDEX('Output Utente'!$O$2:$O$492,MATCH(436,'Output Utente'!$Q$2:$Q$492,0)),"")</f>
        <v>2</v>
      </c>
      <c r="H439" s="7" t="str">
        <f aca="false">IFERROR(INDEX('Output Utente'!$P$2:$P$492,MATCH(436,'Output Utente'!$Q$2:$Q$492,0)),"")</f>
        <v>Scommessa/Riserva</v>
      </c>
      <c r="I439" s="50" t="n">
        <f aca="false">IFERROR(INDEX('Output Utente'!$F$2:$F$492,MATCH(436,'Output Utente'!$Q$2:$Q$492,0)),"")</f>
        <v>1</v>
      </c>
      <c r="J439" s="50" t="n">
        <f aca="false">IFERROR(INDEX('Output Utente'!$G$2:$G$492,MATCH(436,'Output Utente'!$Q$2:$Q$492,0)),"")</f>
        <v>1</v>
      </c>
      <c r="K439" s="50" t="n">
        <f aca="false">IFERROR(INDEX('Output Utente'!$H$2:$H$492,MATCH(436,'Output Utente'!$Q$2:$Q$492,0)),"")</f>
        <v>1</v>
      </c>
      <c r="L439" s="7" t="str">
        <f aca="false">IFERROR(INDEX('Output Utente'!$E$2:$E$492,MATCH(436,'Output Utente'!$Q$2:$Q$492,0)),"")</f>
        <v>NO</v>
      </c>
      <c r="M439" s="7" t="str">
        <f aca="false">IFERROR(INDEX('Output Utente'!$U$2:$U$492,MATCH(436,'Output Utente'!$Q$2:$Q$492,0)),"")</f>
        <v>OK</v>
      </c>
      <c r="N439" s="7" t="str">
        <f aca="false">IFERROR(INDEX('Output Utente'!$AE$2:$AE$492,MATCH(436,'Output Utente'!$Q$2:$Q$492,0)),"")</f>
        <v>🟡 Attesa rischiosa</v>
      </c>
    </row>
    <row r="440" customFormat="false" ht="15" hidden="false" customHeight="true" outlineLevel="0" collapsed="false">
      <c r="A440" s="49" t="n">
        <v>437</v>
      </c>
      <c r="B440" s="7" t="n">
        <f aca="false">IFERROR(INDEX('Output Utente'!$A$2:$A$492,MATCH(437,'Output Utente'!$Q$2:$Q$492,0)),"")</f>
        <v>6189</v>
      </c>
      <c r="C440" s="7" t="str">
        <f aca="false">IFERROR(INDEX('Output Utente'!$B$2:$B$492,MATCH(437,'Output Utente'!$Q$2:$Q$492,0)),"")</f>
        <v>D</v>
      </c>
      <c r="D440" s="7" t="str">
        <f aca="false">IFERROR(INDEX('Output Utente'!$C$2:$C$492,MATCH(437,'Output Utente'!$Q$2:$Q$492,0)),"")</f>
        <v>Missori</v>
      </c>
      <c r="E440" s="7" t="str">
        <f aca="false">IFERROR(INDEX('Input Giocatori 2026_27'!$D$3:$D$493,MATCH($B440,'Input Giocatori 2026_27'!$A$3:$A$493,0)),"")</f>
        <v>Sassuolo</v>
      </c>
      <c r="F440" s="50" t="n">
        <f aca="false">IFERROR(INDEX('Output Utente'!$N$2:$N$492,MATCH(437,'Output Utente'!$Q$2:$Q$492,0)),"")</f>
        <v>1</v>
      </c>
      <c r="G440" s="50" t="n">
        <f aca="false">IFERROR(INDEX('Output Utente'!$O$2:$O$492,MATCH(437,'Output Utente'!$Q$2:$Q$492,0)),"")</f>
        <v>2</v>
      </c>
      <c r="H440" s="7" t="str">
        <f aca="false">IFERROR(INDEX('Output Utente'!$P$2:$P$492,MATCH(437,'Output Utente'!$Q$2:$Q$492,0)),"")</f>
        <v>Scommessa/Riserva</v>
      </c>
      <c r="I440" s="50" t="n">
        <f aca="false">IFERROR(INDEX('Output Utente'!$F$2:$F$492,MATCH(437,'Output Utente'!$Q$2:$Q$492,0)),"")</f>
        <v>1</v>
      </c>
      <c r="J440" s="50" t="n">
        <f aca="false">IFERROR(INDEX('Output Utente'!$G$2:$G$492,MATCH(437,'Output Utente'!$Q$2:$Q$492,0)),"")</f>
        <v>1</v>
      </c>
      <c r="K440" s="50" t="n">
        <f aca="false">IFERROR(INDEX('Output Utente'!$H$2:$H$492,MATCH(437,'Output Utente'!$Q$2:$Q$492,0)),"")</f>
        <v>1</v>
      </c>
      <c r="L440" s="7" t="str">
        <f aca="false">IFERROR(INDEX('Output Utente'!$E$2:$E$492,MATCH(437,'Output Utente'!$Q$2:$Q$492,0)),"")</f>
        <v>NO</v>
      </c>
      <c r="M440" s="7" t="str">
        <f aca="false">IFERROR(INDEX('Output Utente'!$U$2:$U$492,MATCH(437,'Output Utente'!$Q$2:$Q$492,0)),"")</f>
        <v>OK</v>
      </c>
      <c r="N440" s="7" t="str">
        <f aca="false">IFERROR(INDEX('Output Utente'!$AE$2:$AE$492,MATCH(437,'Output Utente'!$Q$2:$Q$492,0)),"")</f>
        <v>🟡 Attesa rischiosa</v>
      </c>
    </row>
    <row r="441" customFormat="false" ht="15" hidden="false" customHeight="true" outlineLevel="0" collapsed="false">
      <c r="A441" s="49" t="n">
        <v>438</v>
      </c>
      <c r="B441" s="7" t="n">
        <f aca="false">IFERROR(INDEX('Output Utente'!$A$2:$A$492,MATCH(438,'Output Utente'!$Q$2:$Q$492,0)),"")</f>
        <v>6410</v>
      </c>
      <c r="C441" s="7" t="str">
        <f aca="false">IFERROR(INDEX('Output Utente'!$B$2:$B$492,MATCH(438,'Output Utente'!$Q$2:$Q$492,0)),"")</f>
        <v>C</v>
      </c>
      <c r="D441" s="7" t="str">
        <f aca="false">IFERROR(INDEX('Output Utente'!$C$2:$C$492,MATCH(438,'Output Utente'!$Q$2:$Q$492,0)),"")</f>
        <v>Kaba</v>
      </c>
      <c r="E441" s="7" t="str">
        <f aca="false">IFERROR(INDEX('Input Giocatori 2026_27'!$D$3:$D$493,MATCH($B441,'Input Giocatori 2026_27'!$A$3:$A$493,0)),"")</f>
        <v>Lecce</v>
      </c>
      <c r="F441" s="50" t="n">
        <f aca="false">IFERROR(INDEX('Output Utente'!$N$2:$N$492,MATCH(438,'Output Utente'!$Q$2:$Q$492,0)),"")</f>
        <v>1</v>
      </c>
      <c r="G441" s="50" t="n">
        <f aca="false">IFERROR(INDEX('Output Utente'!$O$2:$O$492,MATCH(438,'Output Utente'!$Q$2:$Q$492,0)),"")</f>
        <v>2</v>
      </c>
      <c r="H441" s="7" t="str">
        <f aca="false">IFERROR(INDEX('Output Utente'!$P$2:$P$492,MATCH(438,'Output Utente'!$Q$2:$Q$492,0)),"")</f>
        <v>Scommessa/Riserva</v>
      </c>
      <c r="I441" s="50" t="n">
        <f aca="false">IFERROR(INDEX('Output Utente'!$F$2:$F$492,MATCH(438,'Output Utente'!$Q$2:$Q$492,0)),"")</f>
        <v>1</v>
      </c>
      <c r="J441" s="50" t="n">
        <f aca="false">IFERROR(INDEX('Output Utente'!$G$2:$G$492,MATCH(438,'Output Utente'!$Q$2:$Q$492,0)),"")</f>
        <v>1</v>
      </c>
      <c r="K441" s="50" t="n">
        <f aca="false">IFERROR(INDEX('Output Utente'!$H$2:$H$492,MATCH(438,'Output Utente'!$Q$2:$Q$492,0)),"")</f>
        <v>1</v>
      </c>
      <c r="L441" s="7" t="str">
        <f aca="false">IFERROR(INDEX('Output Utente'!$E$2:$E$492,MATCH(438,'Output Utente'!$Q$2:$Q$492,0)),"")</f>
        <v>NO</v>
      </c>
      <c r="M441" s="7" t="str">
        <f aca="false">IFERROR(INDEX('Output Utente'!$U$2:$U$492,MATCH(438,'Output Utente'!$Q$2:$Q$492,0)),"")</f>
        <v>OK</v>
      </c>
      <c r="N441" s="7" t="str">
        <f aca="false">IFERROR(INDEX('Output Utente'!$AE$2:$AE$492,MATCH(438,'Output Utente'!$Q$2:$Q$492,0)),"")</f>
        <v>🟡 Attesa rischiosa</v>
      </c>
    </row>
    <row r="442" customFormat="false" ht="15" hidden="false" customHeight="true" outlineLevel="0" collapsed="false">
      <c r="A442" s="49" t="n">
        <v>439</v>
      </c>
      <c r="B442" s="7" t="n">
        <f aca="false">IFERROR(INDEX('Output Utente'!$A$2:$A$492,MATCH(439,'Output Utente'!$Q$2:$Q$492,0)),"")</f>
        <v>7317</v>
      </c>
      <c r="C442" s="7" t="str">
        <f aca="false">IFERROR(INDEX('Output Utente'!$B$2:$B$492,MATCH(439,'Output Utente'!$Q$2:$Q$492,0)),"")</f>
        <v>A</v>
      </c>
      <c r="D442" s="7" t="str">
        <f aca="false">IFERROR(INDEX('Output Utente'!$C$2:$C$492,MATCH(439,'Output Utente'!$Q$2:$Q$492,0)),"")</f>
        <v>Trepy</v>
      </c>
      <c r="E442" s="7" t="str">
        <f aca="false">IFERROR(INDEX('Input Giocatori 2026_27'!$D$3:$D$493,MATCH($B442,'Input Giocatori 2026_27'!$A$3:$A$493,0)),"")</f>
        <v>Cagliari</v>
      </c>
      <c r="F442" s="50" t="n">
        <f aca="false">IFERROR(INDEX('Output Utente'!$N$2:$N$492,MATCH(439,'Output Utente'!$Q$2:$Q$492,0)),"")</f>
        <v>1</v>
      </c>
      <c r="G442" s="50" t="n">
        <f aca="false">IFERROR(INDEX('Output Utente'!$O$2:$O$492,MATCH(439,'Output Utente'!$Q$2:$Q$492,0)),"")</f>
        <v>2</v>
      </c>
      <c r="H442" s="7" t="str">
        <f aca="false">IFERROR(INDEX('Output Utente'!$P$2:$P$492,MATCH(439,'Output Utente'!$Q$2:$Q$492,0)),"")</f>
        <v>Scommessa/Riserva</v>
      </c>
      <c r="I442" s="50" t="n">
        <f aca="false">IFERROR(INDEX('Output Utente'!$F$2:$F$492,MATCH(439,'Output Utente'!$Q$2:$Q$492,0)),"")</f>
        <v>2</v>
      </c>
      <c r="J442" s="50" t="n">
        <f aca="false">IFERROR(INDEX('Output Utente'!$G$2:$G$492,MATCH(439,'Output Utente'!$Q$2:$Q$492,0)),"")</f>
        <v>1</v>
      </c>
      <c r="K442" s="50" t="n">
        <f aca="false">IFERROR(INDEX('Output Utente'!$H$2:$H$492,MATCH(439,'Output Utente'!$Q$2:$Q$492,0)),"")</f>
        <v>2</v>
      </c>
      <c r="L442" s="7" t="str">
        <f aca="false">IFERROR(INDEX('Output Utente'!$E$2:$E$492,MATCH(439,'Output Utente'!$Q$2:$Q$492,0)),"")</f>
        <v>NO</v>
      </c>
      <c r="M442" s="7" t="str">
        <f aca="false">IFERROR(INDEX('Output Utente'!$U$2:$U$492,MATCH(439,'Output Utente'!$Q$2:$Q$492,0)),"")</f>
        <v>OK</v>
      </c>
      <c r="N442" s="7" t="str">
        <f aca="false">IFERROR(INDEX('Output Utente'!$AE$2:$AE$492,MATCH(439,'Output Utente'!$Q$2:$Q$492,0)),"")</f>
        <v>🔴 Non aspettare</v>
      </c>
    </row>
    <row r="443" customFormat="false" ht="15" hidden="false" customHeight="true" outlineLevel="0" collapsed="false">
      <c r="A443" s="49" t="n">
        <v>440</v>
      </c>
      <c r="B443" s="7" t="n">
        <f aca="false">IFERROR(INDEX('Output Utente'!$A$2:$A$492,MATCH(440,'Output Utente'!$Q$2:$Q$492,0)),"")</f>
        <v>2297</v>
      </c>
      <c r="C443" s="7" t="str">
        <f aca="false">IFERROR(INDEX('Output Utente'!$B$2:$B$492,MATCH(440,'Output Utente'!$Q$2:$Q$492,0)),"")</f>
        <v>P</v>
      </c>
      <c r="D443" s="7" t="str">
        <f aca="false">IFERROR(INDEX('Output Utente'!$C$2:$C$492,MATCH(440,'Output Utente'!$Q$2:$Q$492,0)),"")</f>
        <v>Rossi F.</v>
      </c>
      <c r="E443" s="7" t="str">
        <f aca="false">IFERROR(INDEX('Input Giocatori 2026_27'!$D$3:$D$493,MATCH($B443,'Input Giocatori 2026_27'!$A$3:$A$493,0)),"")</f>
        <v>Atalanta</v>
      </c>
      <c r="F443" s="50" t="n">
        <f aca="false">IFERROR(INDEX('Output Utente'!$N$2:$N$492,MATCH(440,'Output Utente'!$Q$2:$Q$492,0)),"")</f>
        <v>1</v>
      </c>
      <c r="G443" s="50" t="n">
        <f aca="false">IFERROR(INDEX('Output Utente'!$O$2:$O$492,MATCH(440,'Output Utente'!$Q$2:$Q$492,0)),"")</f>
        <v>1</v>
      </c>
      <c r="H443" s="7" t="str">
        <f aca="false">IFERROR(INDEX('Output Utente'!$P$2:$P$492,MATCH(440,'Output Utente'!$Q$2:$Q$492,0)),"")</f>
        <v>Nella Media</v>
      </c>
      <c r="I443" s="50" t="n">
        <f aca="false">IFERROR(INDEX('Output Utente'!$F$2:$F$492,MATCH(440,'Output Utente'!$Q$2:$Q$492,0)),"")</f>
        <v>1</v>
      </c>
      <c r="J443" s="50" t="n">
        <f aca="false">IFERROR(INDEX('Output Utente'!$G$2:$G$492,MATCH(440,'Output Utente'!$Q$2:$Q$492,0)),"")</f>
        <v>1</v>
      </c>
      <c r="K443" s="50" t="n">
        <f aca="false">IFERROR(INDEX('Output Utente'!$H$2:$H$492,MATCH(440,'Output Utente'!$Q$2:$Q$492,0)),"")</f>
        <v>1</v>
      </c>
      <c r="L443" s="7" t="str">
        <f aca="false">IFERROR(INDEX('Output Utente'!$E$2:$E$492,MATCH(440,'Output Utente'!$Q$2:$Q$492,0)),"")</f>
        <v>NO</v>
      </c>
      <c r="M443" s="7" t="str">
        <f aca="false">IFERROR(INDEX('Output Utente'!$U$2:$U$492,MATCH(440,'Output Utente'!$Q$2:$Q$492,0)),"")</f>
        <v>OK</v>
      </c>
      <c r="N443" s="7" t="str">
        <f aca="false">IFERROR(INDEX('Output Utente'!$AE$2:$AE$492,MATCH(440,'Output Utente'!$Q$2:$Q$492,0)),"")</f>
        <v>🟡 Attesa rischiosa</v>
      </c>
    </row>
    <row r="444" customFormat="false" ht="15" hidden="false" customHeight="true" outlineLevel="0" collapsed="false">
      <c r="A444" s="49" t="n">
        <v>441</v>
      </c>
      <c r="B444" s="7" t="n">
        <f aca="false">IFERROR(INDEX('Output Utente'!$A$2:$A$492,MATCH(441,'Output Utente'!$Q$2:$Q$492,0)),"")</f>
        <v>4</v>
      </c>
      <c r="C444" s="7" t="str">
        <f aca="false">IFERROR(INDEX('Output Utente'!$B$2:$B$492,MATCH(441,'Output Utente'!$Q$2:$Q$492,0)),"")</f>
        <v>P</v>
      </c>
      <c r="D444" s="7" t="str">
        <f aca="false">IFERROR(INDEX('Output Utente'!$C$2:$C$492,MATCH(441,'Output Utente'!$Q$2:$Q$492,0)),"")</f>
        <v>Sportiello</v>
      </c>
      <c r="E444" s="7" t="str">
        <f aca="false">IFERROR(INDEX('Input Giocatori 2026_27'!$D$3:$D$493,MATCH($B444,'Input Giocatori 2026_27'!$A$3:$A$493,0)),"")</f>
        <v>Atalanta</v>
      </c>
      <c r="F444" s="50" t="n">
        <f aca="false">IFERROR(INDEX('Output Utente'!$N$2:$N$492,MATCH(441,'Output Utente'!$Q$2:$Q$492,0)),"")</f>
        <v>1</v>
      </c>
      <c r="G444" s="50" t="n">
        <f aca="false">IFERROR(INDEX('Output Utente'!$O$2:$O$492,MATCH(441,'Output Utente'!$Q$2:$Q$492,0)),"")</f>
        <v>1</v>
      </c>
      <c r="H444" s="7" t="str">
        <f aca="false">IFERROR(INDEX('Output Utente'!$P$2:$P$492,MATCH(441,'Output Utente'!$Q$2:$Q$492,0)),"")</f>
        <v>Nella Media</v>
      </c>
      <c r="I444" s="50" t="n">
        <f aca="false">IFERROR(INDEX('Output Utente'!$F$2:$F$492,MATCH(441,'Output Utente'!$Q$2:$Q$492,0)),"")</f>
        <v>1</v>
      </c>
      <c r="J444" s="50" t="n">
        <f aca="false">IFERROR(INDEX('Output Utente'!$G$2:$G$492,MATCH(441,'Output Utente'!$Q$2:$Q$492,0)),"")</f>
        <v>1</v>
      </c>
      <c r="K444" s="50" t="n">
        <f aca="false">IFERROR(INDEX('Output Utente'!$H$2:$H$492,MATCH(441,'Output Utente'!$Q$2:$Q$492,0)),"")</f>
        <v>1</v>
      </c>
      <c r="L444" s="7" t="str">
        <f aca="false">IFERROR(INDEX('Output Utente'!$E$2:$E$492,MATCH(441,'Output Utente'!$Q$2:$Q$492,0)),"")</f>
        <v>NO</v>
      </c>
      <c r="M444" s="7" t="str">
        <f aca="false">IFERROR(INDEX('Output Utente'!$U$2:$U$492,MATCH(441,'Output Utente'!$Q$2:$Q$492,0)),"")</f>
        <v>OK</v>
      </c>
      <c r="N444" s="7" t="str">
        <f aca="false">IFERROR(INDEX('Output Utente'!$AE$2:$AE$492,MATCH(441,'Output Utente'!$Q$2:$Q$492,0)),"")</f>
        <v>🟡 Attesa rischiosa</v>
      </c>
    </row>
    <row r="445" customFormat="false" ht="15" hidden="false" customHeight="true" outlineLevel="0" collapsed="false">
      <c r="A445" s="49" t="n">
        <v>442</v>
      </c>
      <c r="B445" s="7" t="n">
        <f aca="false">IFERROR(INDEX('Output Utente'!$A$2:$A$492,MATCH(442,'Output Utente'!$Q$2:$Q$492,0)),"")</f>
        <v>7533</v>
      </c>
      <c r="C445" s="7" t="str">
        <f aca="false">IFERROR(INDEX('Output Utente'!$B$2:$B$492,MATCH(442,'Output Utente'!$Q$2:$Q$492,0)),"")</f>
        <v>P</v>
      </c>
      <c r="D445" s="7" t="str">
        <f aca="false">IFERROR(INDEX('Output Utente'!$C$2:$C$492,MATCH(442,'Output Utente'!$Q$2:$Q$492,0)),"")</f>
        <v>Happonen</v>
      </c>
      <c r="E445" s="7" t="str">
        <f aca="false">IFERROR(INDEX('Input Giocatori 2026_27'!$D$3:$D$493,MATCH($B445,'Input Giocatori 2026_27'!$A$3:$A$493,0)),"")</f>
        <v>Bologna</v>
      </c>
      <c r="F445" s="50" t="n">
        <f aca="false">IFERROR(INDEX('Output Utente'!$N$2:$N$492,MATCH(442,'Output Utente'!$Q$2:$Q$492,0)),"")</f>
        <v>1</v>
      </c>
      <c r="G445" s="50" t="n">
        <f aca="false">IFERROR(INDEX('Output Utente'!$O$2:$O$492,MATCH(442,'Output Utente'!$Q$2:$Q$492,0)),"")</f>
        <v>1</v>
      </c>
      <c r="H445" s="7" t="str">
        <f aca="false">IFERROR(INDEX('Output Utente'!$P$2:$P$492,MATCH(442,'Output Utente'!$Q$2:$Q$492,0)),"")</f>
        <v>Nella Media</v>
      </c>
      <c r="I445" s="50" t="n">
        <f aca="false">IFERROR(INDEX('Output Utente'!$F$2:$F$492,MATCH(442,'Output Utente'!$Q$2:$Q$492,0)),"")</f>
        <v>1</v>
      </c>
      <c r="J445" s="50" t="n">
        <f aca="false">IFERROR(INDEX('Output Utente'!$G$2:$G$492,MATCH(442,'Output Utente'!$Q$2:$Q$492,0)),"")</f>
        <v>1</v>
      </c>
      <c r="K445" s="50" t="n">
        <f aca="false">IFERROR(INDEX('Output Utente'!$H$2:$H$492,MATCH(442,'Output Utente'!$Q$2:$Q$492,0)),"")</f>
        <v>1</v>
      </c>
      <c r="L445" s="7" t="str">
        <f aca="false">IFERROR(INDEX('Output Utente'!$E$2:$E$492,MATCH(442,'Output Utente'!$Q$2:$Q$492,0)),"")</f>
        <v>NO</v>
      </c>
      <c r="M445" s="7" t="str">
        <f aca="false">IFERROR(INDEX('Output Utente'!$U$2:$U$492,MATCH(442,'Output Utente'!$Q$2:$Q$492,0)),"")</f>
        <v>OK</v>
      </c>
      <c r="N445" s="7" t="str">
        <f aca="false">IFERROR(INDEX('Output Utente'!$AE$2:$AE$492,MATCH(442,'Output Utente'!$Q$2:$Q$492,0)),"")</f>
        <v>🟡 Attesa rischiosa</v>
      </c>
    </row>
    <row r="446" customFormat="false" ht="15" hidden="false" customHeight="true" outlineLevel="0" collapsed="false">
      <c r="A446" s="49" t="n">
        <v>443</v>
      </c>
      <c r="B446" s="7" t="n">
        <f aca="false">IFERROR(INDEX('Output Utente'!$A$2:$A$492,MATCH(443,'Output Utente'!$Q$2:$Q$492,0)),"")</f>
        <v>7172</v>
      </c>
      <c r="C446" s="7" t="str">
        <f aca="false">IFERROR(INDEX('Output Utente'!$B$2:$B$492,MATCH(443,'Output Utente'!$Q$2:$Q$492,0)),"")</f>
        <v>P</v>
      </c>
      <c r="D446" s="7" t="str">
        <f aca="false">IFERROR(INDEX('Output Utente'!$C$2:$C$492,MATCH(443,'Output Utente'!$Q$2:$Q$492,0)),"")</f>
        <v>Pessina Mas.</v>
      </c>
      <c r="E446" s="7" t="str">
        <f aca="false">IFERROR(INDEX('Input Giocatori 2026_27'!$D$3:$D$493,MATCH($B446,'Input Giocatori 2026_27'!$A$3:$A$493,0)),"")</f>
        <v>Bologna</v>
      </c>
      <c r="F446" s="50" t="n">
        <f aca="false">IFERROR(INDEX('Output Utente'!$N$2:$N$492,MATCH(443,'Output Utente'!$Q$2:$Q$492,0)),"")</f>
        <v>1</v>
      </c>
      <c r="G446" s="50" t="n">
        <f aca="false">IFERROR(INDEX('Output Utente'!$O$2:$O$492,MATCH(443,'Output Utente'!$Q$2:$Q$492,0)),"")</f>
        <v>1</v>
      </c>
      <c r="H446" s="7" t="str">
        <f aca="false">IFERROR(INDEX('Output Utente'!$P$2:$P$492,MATCH(443,'Output Utente'!$Q$2:$Q$492,0)),"")</f>
        <v>Nella Media</v>
      </c>
      <c r="I446" s="50" t="n">
        <f aca="false">IFERROR(INDEX('Output Utente'!$F$2:$F$492,MATCH(443,'Output Utente'!$Q$2:$Q$492,0)),"")</f>
        <v>1</v>
      </c>
      <c r="J446" s="50" t="n">
        <f aca="false">IFERROR(INDEX('Output Utente'!$G$2:$G$492,MATCH(443,'Output Utente'!$Q$2:$Q$492,0)),"")</f>
        <v>1</v>
      </c>
      <c r="K446" s="50" t="n">
        <f aca="false">IFERROR(INDEX('Output Utente'!$H$2:$H$492,MATCH(443,'Output Utente'!$Q$2:$Q$492,0)),"")</f>
        <v>1</v>
      </c>
      <c r="L446" s="7" t="str">
        <f aca="false">IFERROR(INDEX('Output Utente'!$E$2:$E$492,MATCH(443,'Output Utente'!$Q$2:$Q$492,0)),"")</f>
        <v>NO</v>
      </c>
      <c r="M446" s="7" t="str">
        <f aca="false">IFERROR(INDEX('Output Utente'!$U$2:$U$492,MATCH(443,'Output Utente'!$Q$2:$Q$492,0)),"")</f>
        <v>OK</v>
      </c>
      <c r="N446" s="7" t="str">
        <f aca="false">IFERROR(INDEX('Output Utente'!$AE$2:$AE$492,MATCH(443,'Output Utente'!$Q$2:$Q$492,0)),"")</f>
        <v>🟡 Attesa rischiosa</v>
      </c>
    </row>
    <row r="447" customFormat="false" ht="15" hidden="false" customHeight="true" outlineLevel="0" collapsed="false">
      <c r="A447" s="49" t="n">
        <v>444</v>
      </c>
      <c r="B447" s="7" t="n">
        <f aca="false">IFERROR(INDEX('Output Utente'!$A$2:$A$492,MATCH(444,'Output Utente'!$Q$2:$Q$492,0)),"")</f>
        <v>4929</v>
      </c>
      <c r="C447" s="7" t="str">
        <f aca="false">IFERROR(INDEX('Output Utente'!$B$2:$B$492,MATCH(444,'Output Utente'!$Q$2:$Q$492,0)),"")</f>
        <v>P</v>
      </c>
      <c r="D447" s="7" t="str">
        <f aca="false">IFERROR(INDEX('Output Utente'!$C$2:$C$492,MATCH(444,'Output Utente'!$Q$2:$Q$492,0)),"")</f>
        <v>Ciocci</v>
      </c>
      <c r="E447" s="7" t="str">
        <f aca="false">IFERROR(INDEX('Input Giocatori 2026_27'!$D$3:$D$493,MATCH($B447,'Input Giocatori 2026_27'!$A$3:$A$493,0)),"")</f>
        <v>Cagliari</v>
      </c>
      <c r="F447" s="50" t="n">
        <f aca="false">IFERROR(INDEX('Output Utente'!$N$2:$N$492,MATCH(444,'Output Utente'!$Q$2:$Q$492,0)),"")</f>
        <v>1</v>
      </c>
      <c r="G447" s="50" t="n">
        <f aca="false">IFERROR(INDEX('Output Utente'!$O$2:$O$492,MATCH(444,'Output Utente'!$Q$2:$Q$492,0)),"")</f>
        <v>1</v>
      </c>
      <c r="H447" s="7" t="str">
        <f aca="false">IFERROR(INDEX('Output Utente'!$P$2:$P$492,MATCH(444,'Output Utente'!$Q$2:$Q$492,0)),"")</f>
        <v>Nella Media</v>
      </c>
      <c r="I447" s="50" t="n">
        <f aca="false">IFERROR(INDEX('Output Utente'!$F$2:$F$492,MATCH(444,'Output Utente'!$Q$2:$Q$492,0)),"")</f>
        <v>1</v>
      </c>
      <c r="J447" s="50" t="n">
        <f aca="false">IFERROR(INDEX('Output Utente'!$G$2:$G$492,MATCH(444,'Output Utente'!$Q$2:$Q$492,0)),"")</f>
        <v>1</v>
      </c>
      <c r="K447" s="50" t="n">
        <f aca="false">IFERROR(INDEX('Output Utente'!$H$2:$H$492,MATCH(444,'Output Utente'!$Q$2:$Q$492,0)),"")</f>
        <v>1</v>
      </c>
      <c r="L447" s="7" t="str">
        <f aca="false">IFERROR(INDEX('Output Utente'!$E$2:$E$492,MATCH(444,'Output Utente'!$Q$2:$Q$492,0)),"")</f>
        <v>NO</v>
      </c>
      <c r="M447" s="7" t="str">
        <f aca="false">IFERROR(INDEX('Output Utente'!$U$2:$U$492,MATCH(444,'Output Utente'!$Q$2:$Q$492,0)),"")</f>
        <v>OK</v>
      </c>
      <c r="N447" s="7" t="str">
        <f aca="false">IFERROR(INDEX('Output Utente'!$AE$2:$AE$492,MATCH(444,'Output Utente'!$Q$2:$Q$492,0)),"")</f>
        <v>🟡 Attesa rischiosa</v>
      </c>
    </row>
    <row r="448" customFormat="false" ht="15" hidden="false" customHeight="true" outlineLevel="0" collapsed="false">
      <c r="A448" s="49" t="n">
        <v>445</v>
      </c>
      <c r="B448" s="7" t="n">
        <f aca="false">IFERROR(INDEX('Output Utente'!$A$2:$A$492,MATCH(445,'Output Utente'!$Q$2:$Q$492,0)),"")</f>
        <v>6650</v>
      </c>
      <c r="C448" s="7" t="str">
        <f aca="false">IFERROR(INDEX('Output Utente'!$B$2:$B$492,MATCH(445,'Output Utente'!$Q$2:$Q$492,0)),"")</f>
        <v>P</v>
      </c>
      <c r="D448" s="7" t="str">
        <f aca="false">IFERROR(INDEX('Output Utente'!$C$2:$C$492,MATCH(445,'Output Utente'!$Q$2:$Q$492,0)),"")</f>
        <v>Sherri</v>
      </c>
      <c r="E448" s="7" t="str">
        <f aca="false">IFERROR(INDEX('Input Giocatori 2026_27'!$D$3:$D$493,MATCH($B448,'Input Giocatori 2026_27'!$A$3:$A$493,0)),"")</f>
        <v>Cagliari</v>
      </c>
      <c r="F448" s="50" t="n">
        <f aca="false">IFERROR(INDEX('Output Utente'!$N$2:$N$492,MATCH(445,'Output Utente'!$Q$2:$Q$492,0)),"")</f>
        <v>1</v>
      </c>
      <c r="G448" s="50" t="n">
        <f aca="false">IFERROR(INDEX('Output Utente'!$O$2:$O$492,MATCH(445,'Output Utente'!$Q$2:$Q$492,0)),"")</f>
        <v>1</v>
      </c>
      <c r="H448" s="7" t="str">
        <f aca="false">IFERROR(INDEX('Output Utente'!$P$2:$P$492,MATCH(445,'Output Utente'!$Q$2:$Q$492,0)),"")</f>
        <v>Nella Media</v>
      </c>
      <c r="I448" s="50" t="n">
        <f aca="false">IFERROR(INDEX('Output Utente'!$F$2:$F$492,MATCH(445,'Output Utente'!$Q$2:$Q$492,0)),"")</f>
        <v>1</v>
      </c>
      <c r="J448" s="50" t="n">
        <f aca="false">IFERROR(INDEX('Output Utente'!$G$2:$G$492,MATCH(445,'Output Utente'!$Q$2:$Q$492,0)),"")</f>
        <v>1</v>
      </c>
      <c r="K448" s="50" t="n">
        <f aca="false">IFERROR(INDEX('Output Utente'!$H$2:$H$492,MATCH(445,'Output Utente'!$Q$2:$Q$492,0)),"")</f>
        <v>1</v>
      </c>
      <c r="L448" s="7" t="str">
        <f aca="false">IFERROR(INDEX('Output Utente'!$E$2:$E$492,MATCH(445,'Output Utente'!$Q$2:$Q$492,0)),"")</f>
        <v>NO</v>
      </c>
      <c r="M448" s="7" t="str">
        <f aca="false">IFERROR(INDEX('Output Utente'!$U$2:$U$492,MATCH(445,'Output Utente'!$Q$2:$Q$492,0)),"")</f>
        <v>OK</v>
      </c>
      <c r="N448" s="7" t="str">
        <f aca="false">IFERROR(INDEX('Output Utente'!$AE$2:$AE$492,MATCH(445,'Output Utente'!$Q$2:$Q$492,0)),"")</f>
        <v>🟡 Attesa rischiosa</v>
      </c>
    </row>
    <row r="449" customFormat="false" ht="15" hidden="false" customHeight="true" outlineLevel="0" collapsed="false">
      <c r="A449" s="49" t="n">
        <v>446</v>
      </c>
      <c r="B449" s="7" t="n">
        <f aca="false">IFERROR(INDEX('Output Utente'!$A$2:$A$492,MATCH(446,'Output Utente'!$Q$2:$Q$492,0)),"")</f>
        <v>7301</v>
      </c>
      <c r="C449" s="7" t="str">
        <f aca="false">IFERROR(INDEX('Output Utente'!$B$2:$B$492,MATCH(446,'Output Utente'!$Q$2:$Q$492,0)),"")</f>
        <v>P</v>
      </c>
      <c r="D449" s="7" t="str">
        <f aca="false">IFERROR(INDEX('Output Utente'!$C$2:$C$492,MATCH(446,'Output Utente'!$Q$2:$Q$492,0)),"")</f>
        <v>Tornqvist</v>
      </c>
      <c r="E449" s="7" t="str">
        <f aca="false">IFERROR(INDEX('Input Giocatori 2026_27'!$D$3:$D$493,MATCH($B449,'Input Giocatori 2026_27'!$A$3:$A$493,0)),"")</f>
        <v>Como</v>
      </c>
      <c r="F449" s="50" t="n">
        <f aca="false">IFERROR(INDEX('Output Utente'!$N$2:$N$492,MATCH(446,'Output Utente'!$Q$2:$Q$492,0)),"")</f>
        <v>1</v>
      </c>
      <c r="G449" s="50" t="n">
        <f aca="false">IFERROR(INDEX('Output Utente'!$O$2:$O$492,MATCH(446,'Output Utente'!$Q$2:$Q$492,0)),"")</f>
        <v>1</v>
      </c>
      <c r="H449" s="7" t="str">
        <f aca="false">IFERROR(INDEX('Output Utente'!$P$2:$P$492,MATCH(446,'Output Utente'!$Q$2:$Q$492,0)),"")</f>
        <v>Nella Media</v>
      </c>
      <c r="I449" s="50" t="n">
        <f aca="false">IFERROR(INDEX('Output Utente'!$F$2:$F$492,MATCH(446,'Output Utente'!$Q$2:$Q$492,0)),"")</f>
        <v>1</v>
      </c>
      <c r="J449" s="50" t="n">
        <f aca="false">IFERROR(INDEX('Output Utente'!$G$2:$G$492,MATCH(446,'Output Utente'!$Q$2:$Q$492,0)),"")</f>
        <v>1</v>
      </c>
      <c r="K449" s="50" t="n">
        <f aca="false">IFERROR(INDEX('Output Utente'!$H$2:$H$492,MATCH(446,'Output Utente'!$Q$2:$Q$492,0)),"")</f>
        <v>1</v>
      </c>
      <c r="L449" s="7" t="str">
        <f aca="false">IFERROR(INDEX('Output Utente'!$E$2:$E$492,MATCH(446,'Output Utente'!$Q$2:$Q$492,0)),"")</f>
        <v>NO</v>
      </c>
      <c r="M449" s="7" t="str">
        <f aca="false">IFERROR(INDEX('Output Utente'!$U$2:$U$492,MATCH(446,'Output Utente'!$Q$2:$Q$492,0)),"")</f>
        <v>OK</v>
      </c>
      <c r="N449" s="7" t="str">
        <f aca="false">IFERROR(INDEX('Output Utente'!$AE$2:$AE$492,MATCH(446,'Output Utente'!$Q$2:$Q$492,0)),"")</f>
        <v>🟡 Attesa rischiosa</v>
      </c>
    </row>
    <row r="450" customFormat="false" ht="15" hidden="false" customHeight="true" outlineLevel="0" collapsed="false">
      <c r="A450" s="49" t="n">
        <v>447</v>
      </c>
      <c r="B450" s="7" t="n">
        <f aca="false">IFERROR(INDEX('Output Utente'!$A$2:$A$492,MATCH(447,'Output Utente'!$Q$2:$Q$492,0)),"")</f>
        <v>2809</v>
      </c>
      <c r="C450" s="7" t="str">
        <f aca="false">IFERROR(INDEX('Output Utente'!$B$2:$B$492,MATCH(447,'Output Utente'!$Q$2:$Q$492,0)),"")</f>
        <v>P</v>
      </c>
      <c r="D450" s="7" t="str">
        <f aca="false">IFERROR(INDEX('Output Utente'!$C$2:$C$492,MATCH(447,'Output Utente'!$Q$2:$Q$492,0)),"")</f>
        <v>Vigorito</v>
      </c>
      <c r="E450" s="7" t="str">
        <f aca="false">IFERROR(INDEX('Input Giocatori 2026_27'!$D$3:$D$493,MATCH($B450,'Input Giocatori 2026_27'!$A$3:$A$493,0)),"")</f>
        <v>Como</v>
      </c>
      <c r="F450" s="50" t="n">
        <f aca="false">IFERROR(INDEX('Output Utente'!$N$2:$N$492,MATCH(447,'Output Utente'!$Q$2:$Q$492,0)),"")</f>
        <v>1</v>
      </c>
      <c r="G450" s="50" t="n">
        <f aca="false">IFERROR(INDEX('Output Utente'!$O$2:$O$492,MATCH(447,'Output Utente'!$Q$2:$Q$492,0)),"")</f>
        <v>1</v>
      </c>
      <c r="H450" s="7" t="str">
        <f aca="false">IFERROR(INDEX('Output Utente'!$P$2:$P$492,MATCH(447,'Output Utente'!$Q$2:$Q$492,0)),"")</f>
        <v>Nella Media</v>
      </c>
      <c r="I450" s="50" t="n">
        <f aca="false">IFERROR(INDEX('Output Utente'!$F$2:$F$492,MATCH(447,'Output Utente'!$Q$2:$Q$492,0)),"")</f>
        <v>1</v>
      </c>
      <c r="J450" s="50" t="n">
        <f aca="false">IFERROR(INDEX('Output Utente'!$G$2:$G$492,MATCH(447,'Output Utente'!$Q$2:$Q$492,0)),"")</f>
        <v>1</v>
      </c>
      <c r="K450" s="50" t="n">
        <f aca="false">IFERROR(INDEX('Output Utente'!$H$2:$H$492,MATCH(447,'Output Utente'!$Q$2:$Q$492,0)),"")</f>
        <v>1</v>
      </c>
      <c r="L450" s="7" t="str">
        <f aca="false">IFERROR(INDEX('Output Utente'!$E$2:$E$492,MATCH(447,'Output Utente'!$Q$2:$Q$492,0)),"")</f>
        <v>NO</v>
      </c>
      <c r="M450" s="7" t="str">
        <f aca="false">IFERROR(INDEX('Output Utente'!$U$2:$U$492,MATCH(447,'Output Utente'!$Q$2:$Q$492,0)),"")</f>
        <v>OK</v>
      </c>
      <c r="N450" s="7" t="str">
        <f aca="false">IFERROR(INDEX('Output Utente'!$AE$2:$AE$492,MATCH(447,'Output Utente'!$Q$2:$Q$492,0)),"")</f>
        <v>🟡 Attesa rischiosa</v>
      </c>
    </row>
    <row r="451" customFormat="false" ht="15" hidden="false" customHeight="true" outlineLevel="0" collapsed="false">
      <c r="A451" s="49" t="n">
        <v>448</v>
      </c>
      <c r="B451" s="7" t="n">
        <f aca="false">IFERROR(INDEX('Output Utente'!$A$2:$A$492,MATCH(448,'Output Utente'!$Q$2:$Q$492,0)),"")</f>
        <v>6403</v>
      </c>
      <c r="C451" s="7" t="str">
        <f aca="false">IFERROR(INDEX('Output Utente'!$B$2:$B$492,MATCH(448,'Output Utente'!$Q$2:$Q$492,0)),"")</f>
        <v>P</v>
      </c>
      <c r="D451" s="7" t="str">
        <f aca="false">IFERROR(INDEX('Output Utente'!$C$2:$C$492,MATCH(448,'Output Utente'!$Q$2:$Q$492,0)),"")</f>
        <v>Christensen O.</v>
      </c>
      <c r="E451" s="7" t="str">
        <f aca="false">IFERROR(INDEX('Input Giocatori 2026_27'!$D$3:$D$493,MATCH($B451,'Input Giocatori 2026_27'!$A$3:$A$493,0)),"")</f>
        <v>Fiorentina</v>
      </c>
      <c r="F451" s="50" t="n">
        <f aca="false">IFERROR(INDEX('Output Utente'!$N$2:$N$492,MATCH(448,'Output Utente'!$Q$2:$Q$492,0)),"")</f>
        <v>1</v>
      </c>
      <c r="G451" s="50" t="n">
        <f aca="false">IFERROR(INDEX('Output Utente'!$O$2:$O$492,MATCH(448,'Output Utente'!$Q$2:$Q$492,0)),"")</f>
        <v>1</v>
      </c>
      <c r="H451" s="7" t="str">
        <f aca="false">IFERROR(INDEX('Output Utente'!$P$2:$P$492,MATCH(448,'Output Utente'!$Q$2:$Q$492,0)),"")</f>
        <v>Nella Media</v>
      </c>
      <c r="I451" s="50" t="n">
        <f aca="false">IFERROR(INDEX('Output Utente'!$F$2:$F$492,MATCH(448,'Output Utente'!$Q$2:$Q$492,0)),"")</f>
        <v>1</v>
      </c>
      <c r="J451" s="50" t="n">
        <f aca="false">IFERROR(INDEX('Output Utente'!$G$2:$G$492,MATCH(448,'Output Utente'!$Q$2:$Q$492,0)),"")</f>
        <v>1</v>
      </c>
      <c r="K451" s="50" t="n">
        <f aca="false">IFERROR(INDEX('Output Utente'!$H$2:$H$492,MATCH(448,'Output Utente'!$Q$2:$Q$492,0)),"")</f>
        <v>1</v>
      </c>
      <c r="L451" s="7" t="str">
        <f aca="false">IFERROR(INDEX('Output Utente'!$E$2:$E$492,MATCH(448,'Output Utente'!$Q$2:$Q$492,0)),"")</f>
        <v>NO</v>
      </c>
      <c r="M451" s="7" t="str">
        <f aca="false">IFERROR(INDEX('Output Utente'!$U$2:$U$492,MATCH(448,'Output Utente'!$Q$2:$Q$492,0)),"")</f>
        <v>OK</v>
      </c>
      <c r="N451" s="7" t="str">
        <f aca="false">IFERROR(INDEX('Output Utente'!$AE$2:$AE$492,MATCH(448,'Output Utente'!$Q$2:$Q$492,0)),"")</f>
        <v>🟡 Attesa rischiosa</v>
      </c>
    </row>
    <row r="452" customFormat="false" ht="15" hidden="false" customHeight="true" outlineLevel="0" collapsed="false">
      <c r="A452" s="49" t="n">
        <v>449</v>
      </c>
      <c r="B452" s="7" t="n">
        <f aca="false">IFERROR(INDEX('Output Utente'!$A$2:$A$492,MATCH(449,'Output Utente'!$Q$2:$Q$492,0)),"")</f>
        <v>158</v>
      </c>
      <c r="C452" s="7" t="str">
        <f aca="false">IFERROR(INDEX('Output Utente'!$B$2:$B$492,MATCH(449,'Output Utente'!$Q$2:$Q$492,0)),"")</f>
        <v>P</v>
      </c>
      <c r="D452" s="7" t="str">
        <f aca="false">IFERROR(INDEX('Output Utente'!$C$2:$C$492,MATCH(449,'Output Utente'!$Q$2:$Q$492,0)),"")</f>
        <v>Lezzerini</v>
      </c>
      <c r="E452" s="7" t="str">
        <f aca="false">IFERROR(INDEX('Input Giocatori 2026_27'!$D$3:$D$493,MATCH($B452,'Input Giocatori 2026_27'!$A$3:$A$493,0)),"")</f>
        <v>Fiorentina</v>
      </c>
      <c r="F452" s="50" t="n">
        <f aca="false">IFERROR(INDEX('Output Utente'!$N$2:$N$492,MATCH(449,'Output Utente'!$Q$2:$Q$492,0)),"")</f>
        <v>1</v>
      </c>
      <c r="G452" s="50" t="n">
        <f aca="false">IFERROR(INDEX('Output Utente'!$O$2:$O$492,MATCH(449,'Output Utente'!$Q$2:$Q$492,0)),"")</f>
        <v>1</v>
      </c>
      <c r="H452" s="7" t="str">
        <f aca="false">IFERROR(INDEX('Output Utente'!$P$2:$P$492,MATCH(449,'Output Utente'!$Q$2:$Q$492,0)),"")</f>
        <v>Nella Media</v>
      </c>
      <c r="I452" s="50" t="n">
        <f aca="false">IFERROR(INDEX('Output Utente'!$F$2:$F$492,MATCH(449,'Output Utente'!$Q$2:$Q$492,0)),"")</f>
        <v>1</v>
      </c>
      <c r="J452" s="50" t="n">
        <f aca="false">IFERROR(INDEX('Output Utente'!$G$2:$G$492,MATCH(449,'Output Utente'!$Q$2:$Q$492,0)),"")</f>
        <v>1</v>
      </c>
      <c r="K452" s="50" t="n">
        <f aca="false">IFERROR(INDEX('Output Utente'!$H$2:$H$492,MATCH(449,'Output Utente'!$Q$2:$Q$492,0)),"")</f>
        <v>1</v>
      </c>
      <c r="L452" s="7" t="str">
        <f aca="false">IFERROR(INDEX('Output Utente'!$E$2:$E$492,MATCH(449,'Output Utente'!$Q$2:$Q$492,0)),"")</f>
        <v>NO</v>
      </c>
      <c r="M452" s="7" t="str">
        <f aca="false">IFERROR(INDEX('Output Utente'!$U$2:$U$492,MATCH(449,'Output Utente'!$Q$2:$Q$492,0)),"")</f>
        <v>OK</v>
      </c>
      <c r="N452" s="7" t="str">
        <f aca="false">IFERROR(INDEX('Output Utente'!$AE$2:$AE$492,MATCH(449,'Output Utente'!$Q$2:$Q$492,0)),"")</f>
        <v>🟡 Attesa rischiosa</v>
      </c>
    </row>
    <row r="453" customFormat="false" ht="15" hidden="false" customHeight="true" outlineLevel="0" collapsed="false">
      <c r="A453" s="49" t="n">
        <v>450</v>
      </c>
      <c r="B453" s="7" t="n">
        <f aca="false">IFERROR(INDEX('Output Utente'!$A$2:$A$492,MATCH(450,'Output Utente'!$Q$2:$Q$492,0)),"")</f>
        <v>7466</v>
      </c>
      <c r="C453" s="7" t="str">
        <f aca="false">IFERROR(INDEX('Output Utente'!$B$2:$B$492,MATCH(450,'Output Utente'!$Q$2:$Q$492,0)),"")</f>
        <v>P</v>
      </c>
      <c r="D453" s="7" t="str">
        <f aca="false">IFERROR(INDEX('Output Utente'!$C$2:$C$492,MATCH(450,'Output Utente'!$Q$2:$Q$492,0)),"")</f>
        <v>Lolic</v>
      </c>
      <c r="E453" s="7" t="str">
        <f aca="false">IFERROR(INDEX('Input Giocatori 2026_27'!$D$3:$D$493,MATCH($B453,'Input Giocatori 2026_27'!$A$3:$A$493,0)),"")</f>
        <v>Frosinone</v>
      </c>
      <c r="F453" s="50" t="n">
        <f aca="false">IFERROR(INDEX('Output Utente'!$N$2:$N$492,MATCH(450,'Output Utente'!$Q$2:$Q$492,0)),"")</f>
        <v>1</v>
      </c>
      <c r="G453" s="50" t="n">
        <f aca="false">IFERROR(INDEX('Output Utente'!$O$2:$O$492,MATCH(450,'Output Utente'!$Q$2:$Q$492,0)),"")</f>
        <v>1</v>
      </c>
      <c r="H453" s="7" t="str">
        <f aca="false">IFERROR(INDEX('Output Utente'!$P$2:$P$492,MATCH(450,'Output Utente'!$Q$2:$Q$492,0)),"")</f>
        <v>Nella Media</v>
      </c>
      <c r="I453" s="50" t="n">
        <f aca="false">IFERROR(INDEX('Output Utente'!$F$2:$F$492,MATCH(450,'Output Utente'!$Q$2:$Q$492,0)),"")</f>
        <v>1</v>
      </c>
      <c r="J453" s="50" t="n">
        <f aca="false">IFERROR(INDEX('Output Utente'!$G$2:$G$492,MATCH(450,'Output Utente'!$Q$2:$Q$492,0)),"")</f>
        <v>1</v>
      </c>
      <c r="K453" s="50" t="n">
        <f aca="false">IFERROR(INDEX('Output Utente'!$H$2:$H$492,MATCH(450,'Output Utente'!$Q$2:$Q$492,0)),"")</f>
        <v>1</v>
      </c>
      <c r="L453" s="7" t="str">
        <f aca="false">IFERROR(INDEX('Output Utente'!$E$2:$E$492,MATCH(450,'Output Utente'!$Q$2:$Q$492,0)),"")</f>
        <v>NO</v>
      </c>
      <c r="M453" s="7" t="str">
        <f aca="false">IFERROR(INDEX('Output Utente'!$U$2:$U$492,MATCH(450,'Output Utente'!$Q$2:$Q$492,0)),"")</f>
        <v>OK</v>
      </c>
      <c r="N453" s="7" t="str">
        <f aca="false">IFERROR(INDEX('Output Utente'!$AE$2:$AE$492,MATCH(450,'Output Utente'!$Q$2:$Q$492,0)),"")</f>
        <v>🟡 Attesa rischiosa</v>
      </c>
    </row>
    <row r="454" customFormat="false" ht="15" hidden="false" customHeight="true" outlineLevel="0" collapsed="false">
      <c r="A454" s="49" t="n">
        <v>451</v>
      </c>
      <c r="B454" s="7" t="n">
        <f aca="false">IFERROR(INDEX('Output Utente'!$A$2:$A$492,MATCH(451,'Output Utente'!$Q$2:$Q$492,0)),"")</f>
        <v>219</v>
      </c>
      <c r="C454" s="7" t="str">
        <f aca="false">IFERROR(INDEX('Output Utente'!$B$2:$B$492,MATCH(451,'Output Utente'!$Q$2:$Q$492,0)),"")</f>
        <v>P</v>
      </c>
      <c r="D454" s="7" t="str">
        <f aca="false">IFERROR(INDEX('Output Utente'!$C$2:$C$492,MATCH(451,'Output Utente'!$Q$2:$Q$492,0)),"")</f>
        <v>Sommariva</v>
      </c>
      <c r="E454" s="7" t="str">
        <f aca="false">IFERROR(INDEX('Input Giocatori 2026_27'!$D$3:$D$493,MATCH($B454,'Input Giocatori 2026_27'!$A$3:$A$493,0)),"")</f>
        <v>Genoa</v>
      </c>
      <c r="F454" s="50" t="n">
        <f aca="false">IFERROR(INDEX('Output Utente'!$N$2:$N$492,MATCH(451,'Output Utente'!$Q$2:$Q$492,0)),"")</f>
        <v>1</v>
      </c>
      <c r="G454" s="50" t="n">
        <f aca="false">IFERROR(INDEX('Output Utente'!$O$2:$O$492,MATCH(451,'Output Utente'!$Q$2:$Q$492,0)),"")</f>
        <v>1</v>
      </c>
      <c r="H454" s="7" t="str">
        <f aca="false">IFERROR(INDEX('Output Utente'!$P$2:$P$492,MATCH(451,'Output Utente'!$Q$2:$Q$492,0)),"")</f>
        <v>Nella Media</v>
      </c>
      <c r="I454" s="50" t="n">
        <f aca="false">IFERROR(INDEX('Output Utente'!$F$2:$F$492,MATCH(451,'Output Utente'!$Q$2:$Q$492,0)),"")</f>
        <v>1</v>
      </c>
      <c r="J454" s="50" t="n">
        <f aca="false">IFERROR(INDEX('Output Utente'!$G$2:$G$492,MATCH(451,'Output Utente'!$Q$2:$Q$492,0)),"")</f>
        <v>1</v>
      </c>
      <c r="K454" s="50" t="n">
        <f aca="false">IFERROR(INDEX('Output Utente'!$H$2:$H$492,MATCH(451,'Output Utente'!$Q$2:$Q$492,0)),"")</f>
        <v>1</v>
      </c>
      <c r="L454" s="7" t="str">
        <f aca="false">IFERROR(INDEX('Output Utente'!$E$2:$E$492,MATCH(451,'Output Utente'!$Q$2:$Q$492,0)),"")</f>
        <v>NO</v>
      </c>
      <c r="M454" s="7" t="str">
        <f aca="false">IFERROR(INDEX('Output Utente'!$U$2:$U$492,MATCH(451,'Output Utente'!$Q$2:$Q$492,0)),"")</f>
        <v>OK</v>
      </c>
      <c r="N454" s="7" t="str">
        <f aca="false">IFERROR(INDEX('Output Utente'!$AE$2:$AE$492,MATCH(451,'Output Utente'!$Q$2:$Q$492,0)),"")</f>
        <v>🟡 Attesa rischiosa</v>
      </c>
    </row>
    <row r="455" customFormat="false" ht="15" hidden="false" customHeight="true" outlineLevel="0" collapsed="false">
      <c r="A455" s="49" t="n">
        <v>452</v>
      </c>
      <c r="B455" s="7" t="n">
        <f aca="false">IFERROR(INDEX('Output Utente'!$A$2:$A$492,MATCH(452,'Output Utente'!$Q$2:$Q$492,0)),"")</f>
        <v>6569</v>
      </c>
      <c r="C455" s="7" t="str">
        <f aca="false">IFERROR(INDEX('Output Utente'!$B$2:$B$492,MATCH(452,'Output Utente'!$Q$2:$Q$492,0)),"")</f>
        <v>P</v>
      </c>
      <c r="D455" s="7" t="str">
        <f aca="false">IFERROR(INDEX('Output Utente'!$C$2:$C$492,MATCH(452,'Output Utente'!$Q$2:$Q$492,0)),"")</f>
        <v>Stolz</v>
      </c>
      <c r="E455" s="7" t="str">
        <f aca="false">IFERROR(INDEX('Input Giocatori 2026_27'!$D$3:$D$493,MATCH($B455,'Input Giocatori 2026_27'!$A$3:$A$493,0)),"")</f>
        <v>Genoa</v>
      </c>
      <c r="F455" s="50" t="n">
        <f aca="false">IFERROR(INDEX('Output Utente'!$N$2:$N$492,MATCH(452,'Output Utente'!$Q$2:$Q$492,0)),"")</f>
        <v>1</v>
      </c>
      <c r="G455" s="50" t="n">
        <f aca="false">IFERROR(INDEX('Output Utente'!$O$2:$O$492,MATCH(452,'Output Utente'!$Q$2:$Q$492,0)),"")</f>
        <v>1</v>
      </c>
      <c r="H455" s="7" t="str">
        <f aca="false">IFERROR(INDEX('Output Utente'!$P$2:$P$492,MATCH(452,'Output Utente'!$Q$2:$Q$492,0)),"")</f>
        <v>Nella Media</v>
      </c>
      <c r="I455" s="50" t="n">
        <f aca="false">IFERROR(INDEX('Output Utente'!$F$2:$F$492,MATCH(452,'Output Utente'!$Q$2:$Q$492,0)),"")</f>
        <v>1</v>
      </c>
      <c r="J455" s="50" t="n">
        <f aca="false">IFERROR(INDEX('Output Utente'!$G$2:$G$492,MATCH(452,'Output Utente'!$Q$2:$Q$492,0)),"")</f>
        <v>1</v>
      </c>
      <c r="K455" s="50" t="n">
        <f aca="false">IFERROR(INDEX('Output Utente'!$H$2:$H$492,MATCH(452,'Output Utente'!$Q$2:$Q$492,0)),"")</f>
        <v>1</v>
      </c>
      <c r="L455" s="7" t="str">
        <f aca="false">IFERROR(INDEX('Output Utente'!$E$2:$E$492,MATCH(452,'Output Utente'!$Q$2:$Q$492,0)),"")</f>
        <v>NO</v>
      </c>
      <c r="M455" s="7" t="str">
        <f aca="false">IFERROR(INDEX('Output Utente'!$U$2:$U$492,MATCH(452,'Output Utente'!$Q$2:$Q$492,0)),"")</f>
        <v>OK</v>
      </c>
      <c r="N455" s="7" t="str">
        <f aca="false">IFERROR(INDEX('Output Utente'!$AE$2:$AE$492,MATCH(452,'Output Utente'!$Q$2:$Q$492,0)),"")</f>
        <v>🟡 Attesa rischiosa</v>
      </c>
    </row>
    <row r="456" customFormat="false" ht="15" hidden="false" customHeight="true" outlineLevel="0" collapsed="false">
      <c r="A456" s="49" t="n">
        <v>453</v>
      </c>
      <c r="B456" s="7" t="n">
        <f aca="false">IFERROR(INDEX('Output Utente'!$A$2:$A$492,MATCH(453,'Output Utente'!$Q$2:$Q$492,0)),"")</f>
        <v>1926</v>
      </c>
      <c r="C456" s="7" t="str">
        <f aca="false">IFERROR(INDEX('Output Utente'!$B$2:$B$492,MATCH(453,'Output Utente'!$Q$2:$Q$492,0)),"")</f>
        <v>P</v>
      </c>
      <c r="D456" s="7" t="str">
        <f aca="false">IFERROR(INDEX('Output Utente'!$C$2:$C$492,MATCH(453,'Output Utente'!$Q$2:$Q$492,0)),"")</f>
        <v>Di Gennaro</v>
      </c>
      <c r="E456" s="7" t="str">
        <f aca="false">IFERROR(INDEX('Input Giocatori 2026_27'!$D$3:$D$493,MATCH($B456,'Input Giocatori 2026_27'!$A$3:$A$493,0)),"")</f>
        <v>Inter</v>
      </c>
      <c r="F456" s="50" t="n">
        <f aca="false">IFERROR(INDEX('Output Utente'!$N$2:$N$492,MATCH(453,'Output Utente'!$Q$2:$Q$492,0)),"")</f>
        <v>1</v>
      </c>
      <c r="G456" s="50" t="n">
        <f aca="false">IFERROR(INDEX('Output Utente'!$O$2:$O$492,MATCH(453,'Output Utente'!$Q$2:$Q$492,0)),"")</f>
        <v>1</v>
      </c>
      <c r="H456" s="7" t="str">
        <f aca="false">IFERROR(INDEX('Output Utente'!$P$2:$P$492,MATCH(453,'Output Utente'!$Q$2:$Q$492,0)),"")</f>
        <v>Nella Media</v>
      </c>
      <c r="I456" s="50" t="n">
        <f aca="false">IFERROR(INDEX('Output Utente'!$F$2:$F$492,MATCH(453,'Output Utente'!$Q$2:$Q$492,0)),"")</f>
        <v>1</v>
      </c>
      <c r="J456" s="50" t="n">
        <f aca="false">IFERROR(INDEX('Output Utente'!$G$2:$G$492,MATCH(453,'Output Utente'!$Q$2:$Q$492,0)),"")</f>
        <v>1</v>
      </c>
      <c r="K456" s="50" t="n">
        <f aca="false">IFERROR(INDEX('Output Utente'!$H$2:$H$492,MATCH(453,'Output Utente'!$Q$2:$Q$492,0)),"")</f>
        <v>1</v>
      </c>
      <c r="L456" s="7" t="str">
        <f aca="false">IFERROR(INDEX('Output Utente'!$E$2:$E$492,MATCH(453,'Output Utente'!$Q$2:$Q$492,0)),"")</f>
        <v>NO</v>
      </c>
      <c r="M456" s="7" t="str">
        <f aca="false">IFERROR(INDEX('Output Utente'!$U$2:$U$492,MATCH(453,'Output Utente'!$Q$2:$Q$492,0)),"")</f>
        <v>OK</v>
      </c>
      <c r="N456" s="7" t="str">
        <f aca="false">IFERROR(INDEX('Output Utente'!$AE$2:$AE$492,MATCH(453,'Output Utente'!$Q$2:$Q$492,0)),"")</f>
        <v>🟡 Attesa rischiosa</v>
      </c>
    </row>
    <row r="457" customFormat="false" ht="15" hidden="false" customHeight="true" outlineLevel="0" collapsed="false">
      <c r="A457" s="49" t="n">
        <v>454</v>
      </c>
      <c r="B457" s="7" t="n">
        <f aca="false">IFERROR(INDEX('Output Utente'!$A$2:$A$492,MATCH(454,'Output Utente'!$Q$2:$Q$492,0)),"")</f>
        <v>1930</v>
      </c>
      <c r="C457" s="7" t="str">
        <f aca="false">IFERROR(INDEX('Output Utente'!$B$2:$B$492,MATCH(454,'Output Utente'!$Q$2:$Q$492,0)),"")</f>
        <v>P</v>
      </c>
      <c r="D457" s="7" t="str">
        <f aca="false">IFERROR(INDEX('Output Utente'!$C$2:$C$492,MATCH(454,'Output Utente'!$Q$2:$Q$492,0)),"")</f>
        <v>Pinsoglio</v>
      </c>
      <c r="E457" s="7" t="str">
        <f aca="false">IFERROR(INDEX('Input Giocatori 2026_27'!$D$3:$D$493,MATCH($B457,'Input Giocatori 2026_27'!$A$3:$A$493,0)),"")</f>
        <v>Juventus</v>
      </c>
      <c r="F457" s="50" t="n">
        <f aca="false">IFERROR(INDEX('Output Utente'!$N$2:$N$492,MATCH(454,'Output Utente'!$Q$2:$Q$492,0)),"")</f>
        <v>1</v>
      </c>
      <c r="G457" s="50" t="n">
        <f aca="false">IFERROR(INDEX('Output Utente'!$O$2:$O$492,MATCH(454,'Output Utente'!$Q$2:$Q$492,0)),"")</f>
        <v>1</v>
      </c>
      <c r="H457" s="7" t="str">
        <f aca="false">IFERROR(INDEX('Output Utente'!$P$2:$P$492,MATCH(454,'Output Utente'!$Q$2:$Q$492,0)),"")</f>
        <v>Nella Media</v>
      </c>
      <c r="I457" s="50" t="n">
        <f aca="false">IFERROR(INDEX('Output Utente'!$F$2:$F$492,MATCH(454,'Output Utente'!$Q$2:$Q$492,0)),"")</f>
        <v>1</v>
      </c>
      <c r="J457" s="50" t="n">
        <f aca="false">IFERROR(INDEX('Output Utente'!$G$2:$G$492,MATCH(454,'Output Utente'!$Q$2:$Q$492,0)),"")</f>
        <v>1</v>
      </c>
      <c r="K457" s="50" t="n">
        <f aca="false">IFERROR(INDEX('Output Utente'!$H$2:$H$492,MATCH(454,'Output Utente'!$Q$2:$Q$492,0)),"")</f>
        <v>1</v>
      </c>
      <c r="L457" s="7" t="str">
        <f aca="false">IFERROR(INDEX('Output Utente'!$E$2:$E$492,MATCH(454,'Output Utente'!$Q$2:$Q$492,0)),"")</f>
        <v>NO</v>
      </c>
      <c r="M457" s="7" t="str">
        <f aca="false">IFERROR(INDEX('Output Utente'!$U$2:$U$492,MATCH(454,'Output Utente'!$Q$2:$Q$492,0)),"")</f>
        <v>OK</v>
      </c>
      <c r="N457" s="7" t="str">
        <f aca="false">IFERROR(INDEX('Output Utente'!$AE$2:$AE$492,MATCH(454,'Output Utente'!$Q$2:$Q$492,0)),"")</f>
        <v>🟡 Attesa rischiosa</v>
      </c>
    </row>
    <row r="458" customFormat="false" ht="15" hidden="false" customHeight="true" outlineLevel="0" collapsed="false">
      <c r="A458" s="49" t="n">
        <v>455</v>
      </c>
      <c r="B458" s="7" t="n">
        <f aca="false">IFERROR(INDEX('Output Utente'!$A$2:$A$492,MATCH(455,'Output Utente'!$Q$2:$Q$492,0)),"")</f>
        <v>7337</v>
      </c>
      <c r="C458" s="7" t="str">
        <f aca="false">IFERROR(INDEX('Output Utente'!$B$2:$B$492,MATCH(455,'Output Utente'!$Q$2:$Q$492,0)),"")</f>
        <v>P</v>
      </c>
      <c r="D458" s="7" t="str">
        <f aca="false">IFERROR(INDEX('Output Utente'!$C$2:$C$492,MATCH(455,'Output Utente'!$Q$2:$Q$492,0)),"")</f>
        <v>Motta</v>
      </c>
      <c r="E458" s="7" t="str">
        <f aca="false">IFERROR(INDEX('Input Giocatori 2026_27'!$D$3:$D$493,MATCH($B458,'Input Giocatori 2026_27'!$A$3:$A$493,0)),"")</f>
        <v>Lazio</v>
      </c>
      <c r="F458" s="50" t="n">
        <f aca="false">IFERROR(INDEX('Output Utente'!$N$2:$N$492,MATCH(455,'Output Utente'!$Q$2:$Q$492,0)),"")</f>
        <v>1</v>
      </c>
      <c r="G458" s="50" t="n">
        <f aca="false">IFERROR(INDEX('Output Utente'!$O$2:$O$492,MATCH(455,'Output Utente'!$Q$2:$Q$492,0)),"")</f>
        <v>1</v>
      </c>
      <c r="H458" s="7" t="str">
        <f aca="false">IFERROR(INDEX('Output Utente'!$P$2:$P$492,MATCH(455,'Output Utente'!$Q$2:$Q$492,0)),"")</f>
        <v>Nella Media</v>
      </c>
      <c r="I458" s="50" t="n">
        <f aca="false">IFERROR(INDEX('Output Utente'!$F$2:$F$492,MATCH(455,'Output Utente'!$Q$2:$Q$492,0)),"")</f>
        <v>1</v>
      </c>
      <c r="J458" s="50" t="n">
        <f aca="false">IFERROR(INDEX('Output Utente'!$G$2:$G$492,MATCH(455,'Output Utente'!$Q$2:$Q$492,0)),"")</f>
        <v>1</v>
      </c>
      <c r="K458" s="50" t="n">
        <f aca="false">IFERROR(INDEX('Output Utente'!$H$2:$H$492,MATCH(455,'Output Utente'!$Q$2:$Q$492,0)),"")</f>
        <v>1</v>
      </c>
      <c r="L458" s="7" t="str">
        <f aca="false">IFERROR(INDEX('Output Utente'!$E$2:$E$492,MATCH(455,'Output Utente'!$Q$2:$Q$492,0)),"")</f>
        <v>NO</v>
      </c>
      <c r="M458" s="7" t="str">
        <f aca="false">IFERROR(INDEX('Output Utente'!$U$2:$U$492,MATCH(455,'Output Utente'!$Q$2:$Q$492,0)),"")</f>
        <v>OK</v>
      </c>
      <c r="N458" s="7" t="str">
        <f aca="false">IFERROR(INDEX('Output Utente'!$AE$2:$AE$492,MATCH(455,'Output Utente'!$Q$2:$Q$492,0)),"")</f>
        <v>🟡 Attesa rischiosa</v>
      </c>
    </row>
    <row r="459" customFormat="false" ht="15" hidden="false" customHeight="true" outlineLevel="0" collapsed="false">
      <c r="A459" s="49" t="n">
        <v>456</v>
      </c>
      <c r="B459" s="7" t="n">
        <f aca="false">IFERROR(INDEX('Output Utente'!$A$2:$A$492,MATCH(456,'Output Utente'!$Q$2:$Q$492,0)),"")</f>
        <v>7534</v>
      </c>
      <c r="C459" s="7" t="str">
        <f aca="false">IFERROR(INDEX('Output Utente'!$B$2:$B$492,MATCH(456,'Output Utente'!$Q$2:$Q$492,0)),"")</f>
        <v>P</v>
      </c>
      <c r="D459" s="7" t="str">
        <f aca="false">IFERROR(INDEX('Output Utente'!$C$2:$C$492,MATCH(456,'Output Utente'!$Q$2:$Q$492,0)),"")</f>
        <v>Renzetti</v>
      </c>
      <c r="E459" s="7" t="str">
        <f aca="false">IFERROR(INDEX('Input Giocatori 2026_27'!$D$3:$D$493,MATCH($B459,'Input Giocatori 2026_27'!$A$3:$A$493,0)),"")</f>
        <v>Lazio</v>
      </c>
      <c r="F459" s="50" t="n">
        <f aca="false">IFERROR(INDEX('Output Utente'!$N$2:$N$492,MATCH(456,'Output Utente'!$Q$2:$Q$492,0)),"")</f>
        <v>1</v>
      </c>
      <c r="G459" s="50" t="n">
        <f aca="false">IFERROR(INDEX('Output Utente'!$O$2:$O$492,MATCH(456,'Output Utente'!$Q$2:$Q$492,0)),"")</f>
        <v>1</v>
      </c>
      <c r="H459" s="7" t="str">
        <f aca="false">IFERROR(INDEX('Output Utente'!$P$2:$P$492,MATCH(456,'Output Utente'!$Q$2:$Q$492,0)),"")</f>
        <v>Nella Media</v>
      </c>
      <c r="I459" s="50" t="n">
        <f aca="false">IFERROR(INDEX('Output Utente'!$F$2:$F$492,MATCH(456,'Output Utente'!$Q$2:$Q$492,0)),"")</f>
        <v>1</v>
      </c>
      <c r="J459" s="50" t="n">
        <f aca="false">IFERROR(INDEX('Output Utente'!$G$2:$G$492,MATCH(456,'Output Utente'!$Q$2:$Q$492,0)),"")</f>
        <v>1</v>
      </c>
      <c r="K459" s="50" t="n">
        <f aca="false">IFERROR(INDEX('Output Utente'!$H$2:$H$492,MATCH(456,'Output Utente'!$Q$2:$Q$492,0)),"")</f>
        <v>1</v>
      </c>
      <c r="L459" s="7" t="str">
        <f aca="false">IFERROR(INDEX('Output Utente'!$E$2:$E$492,MATCH(456,'Output Utente'!$Q$2:$Q$492,0)),"")</f>
        <v>NO</v>
      </c>
      <c r="M459" s="7" t="str">
        <f aca="false">IFERROR(INDEX('Output Utente'!$U$2:$U$492,MATCH(456,'Output Utente'!$Q$2:$Q$492,0)),"")</f>
        <v>OK</v>
      </c>
      <c r="N459" s="7" t="str">
        <f aca="false">IFERROR(INDEX('Output Utente'!$AE$2:$AE$492,MATCH(456,'Output Utente'!$Q$2:$Q$492,0)),"")</f>
        <v>🟡 Attesa rischiosa</v>
      </c>
    </row>
    <row r="460" customFormat="false" ht="15" hidden="false" customHeight="true" outlineLevel="0" collapsed="false">
      <c r="A460" s="49" t="n">
        <v>457</v>
      </c>
      <c r="B460" s="7" t="n">
        <f aca="false">IFERROR(INDEX('Output Utente'!$A$2:$A$492,MATCH(457,'Output Utente'!$Q$2:$Q$492,0)),"")</f>
        <v>6523</v>
      </c>
      <c r="C460" s="7" t="str">
        <f aca="false">IFERROR(INDEX('Output Utente'!$B$2:$B$492,MATCH(457,'Output Utente'!$Q$2:$Q$492,0)),"")</f>
        <v>P</v>
      </c>
      <c r="D460" s="7" t="str">
        <f aca="false">IFERROR(INDEX('Output Utente'!$C$2:$C$492,MATCH(457,'Output Utente'!$Q$2:$Q$492,0)),"")</f>
        <v>Samooja</v>
      </c>
      <c r="E460" s="7" t="str">
        <f aca="false">IFERROR(INDEX('Input Giocatori 2026_27'!$D$3:$D$493,MATCH($B460,'Input Giocatori 2026_27'!$A$3:$A$493,0)),"")</f>
        <v>Lecce</v>
      </c>
      <c r="F460" s="50" t="n">
        <f aca="false">IFERROR(INDEX('Output Utente'!$N$2:$N$492,MATCH(457,'Output Utente'!$Q$2:$Q$492,0)),"")</f>
        <v>1</v>
      </c>
      <c r="G460" s="50" t="n">
        <f aca="false">IFERROR(INDEX('Output Utente'!$O$2:$O$492,MATCH(457,'Output Utente'!$Q$2:$Q$492,0)),"")</f>
        <v>1</v>
      </c>
      <c r="H460" s="7" t="str">
        <f aca="false">IFERROR(INDEX('Output Utente'!$P$2:$P$492,MATCH(457,'Output Utente'!$Q$2:$Q$492,0)),"")</f>
        <v>Nella Media</v>
      </c>
      <c r="I460" s="50" t="n">
        <f aca="false">IFERROR(INDEX('Output Utente'!$F$2:$F$492,MATCH(457,'Output Utente'!$Q$2:$Q$492,0)),"")</f>
        <v>1</v>
      </c>
      <c r="J460" s="50" t="n">
        <f aca="false">IFERROR(INDEX('Output Utente'!$G$2:$G$492,MATCH(457,'Output Utente'!$Q$2:$Q$492,0)),"")</f>
        <v>1</v>
      </c>
      <c r="K460" s="50" t="n">
        <f aca="false">IFERROR(INDEX('Output Utente'!$H$2:$H$492,MATCH(457,'Output Utente'!$Q$2:$Q$492,0)),"")</f>
        <v>1</v>
      </c>
      <c r="L460" s="7" t="str">
        <f aca="false">IFERROR(INDEX('Output Utente'!$E$2:$E$492,MATCH(457,'Output Utente'!$Q$2:$Q$492,0)),"")</f>
        <v>NO</v>
      </c>
      <c r="M460" s="7" t="str">
        <f aca="false">IFERROR(INDEX('Output Utente'!$U$2:$U$492,MATCH(457,'Output Utente'!$Q$2:$Q$492,0)),"")</f>
        <v>OK</v>
      </c>
      <c r="N460" s="7" t="str">
        <f aca="false">IFERROR(INDEX('Output Utente'!$AE$2:$AE$492,MATCH(457,'Output Utente'!$Q$2:$Q$492,0)),"")</f>
        <v>🟡 Attesa rischiosa</v>
      </c>
    </row>
    <row r="461" customFormat="false" ht="15" hidden="false" customHeight="true" outlineLevel="0" collapsed="false">
      <c r="A461" s="49" t="n">
        <v>458</v>
      </c>
      <c r="B461" s="7" t="n">
        <f aca="false">IFERROR(INDEX('Output Utente'!$A$2:$A$492,MATCH(458,'Output Utente'!$Q$2:$Q$492,0)),"")</f>
        <v>2815</v>
      </c>
      <c r="C461" s="7" t="str">
        <f aca="false">IFERROR(INDEX('Output Utente'!$B$2:$B$492,MATCH(458,'Output Utente'!$Q$2:$Q$492,0)),"")</f>
        <v>P</v>
      </c>
      <c r="D461" s="7" t="str">
        <f aca="false">IFERROR(INDEX('Output Utente'!$C$2:$C$492,MATCH(458,'Output Utente'!$Q$2:$Q$492,0)),"")</f>
        <v>Terracciano</v>
      </c>
      <c r="E461" s="7" t="str">
        <f aca="false">IFERROR(INDEX('Input Giocatori 2026_27'!$D$3:$D$493,MATCH($B461,'Input Giocatori 2026_27'!$A$3:$A$493,0)),"")</f>
        <v>Milan</v>
      </c>
      <c r="F461" s="50" t="n">
        <f aca="false">IFERROR(INDEX('Output Utente'!$N$2:$N$492,MATCH(458,'Output Utente'!$Q$2:$Q$492,0)),"")</f>
        <v>1</v>
      </c>
      <c r="G461" s="50" t="n">
        <f aca="false">IFERROR(INDEX('Output Utente'!$O$2:$O$492,MATCH(458,'Output Utente'!$Q$2:$Q$492,0)),"")</f>
        <v>1</v>
      </c>
      <c r="H461" s="7" t="str">
        <f aca="false">IFERROR(INDEX('Output Utente'!$P$2:$P$492,MATCH(458,'Output Utente'!$Q$2:$Q$492,0)),"")</f>
        <v>Nella Media</v>
      </c>
      <c r="I461" s="50" t="n">
        <f aca="false">IFERROR(INDEX('Output Utente'!$F$2:$F$492,MATCH(458,'Output Utente'!$Q$2:$Q$492,0)),"")</f>
        <v>1</v>
      </c>
      <c r="J461" s="50" t="n">
        <f aca="false">IFERROR(INDEX('Output Utente'!$G$2:$G$492,MATCH(458,'Output Utente'!$Q$2:$Q$492,0)),"")</f>
        <v>1</v>
      </c>
      <c r="K461" s="50" t="n">
        <f aca="false">IFERROR(INDEX('Output Utente'!$H$2:$H$492,MATCH(458,'Output Utente'!$Q$2:$Q$492,0)),"")</f>
        <v>1</v>
      </c>
      <c r="L461" s="7" t="str">
        <f aca="false">IFERROR(INDEX('Output Utente'!$E$2:$E$492,MATCH(458,'Output Utente'!$Q$2:$Q$492,0)),"")</f>
        <v>NO</v>
      </c>
      <c r="M461" s="7" t="str">
        <f aca="false">IFERROR(INDEX('Output Utente'!$U$2:$U$492,MATCH(458,'Output Utente'!$Q$2:$Q$492,0)),"")</f>
        <v>OK</v>
      </c>
      <c r="N461" s="7" t="str">
        <f aca="false">IFERROR(INDEX('Output Utente'!$AE$2:$AE$492,MATCH(458,'Output Utente'!$Q$2:$Q$492,0)),"")</f>
        <v>🟡 Attesa rischiosa</v>
      </c>
    </row>
    <row r="462" customFormat="false" ht="15" hidden="false" customHeight="true" outlineLevel="0" collapsed="false">
      <c r="A462" s="49" t="n">
        <v>459</v>
      </c>
      <c r="B462" s="7" t="n">
        <f aca="false">IFERROR(INDEX('Output Utente'!$A$2:$A$492,MATCH(459,'Output Utente'!$Q$2:$Q$492,0)),"")</f>
        <v>6813</v>
      </c>
      <c r="C462" s="7" t="str">
        <f aca="false">IFERROR(INDEX('Output Utente'!$B$2:$B$492,MATCH(459,'Output Utente'!$Q$2:$Q$492,0)),"")</f>
        <v>P</v>
      </c>
      <c r="D462" s="7" t="str">
        <f aca="false">IFERROR(INDEX('Output Utente'!$C$2:$C$492,MATCH(459,'Output Utente'!$Q$2:$Q$492,0)),"")</f>
        <v>Torriani</v>
      </c>
      <c r="E462" s="7" t="str">
        <f aca="false">IFERROR(INDEX('Input Giocatori 2026_27'!$D$3:$D$493,MATCH($B462,'Input Giocatori 2026_27'!$A$3:$A$493,0)),"")</f>
        <v>Milan</v>
      </c>
      <c r="F462" s="50" t="n">
        <f aca="false">IFERROR(INDEX('Output Utente'!$N$2:$N$492,MATCH(459,'Output Utente'!$Q$2:$Q$492,0)),"")</f>
        <v>1</v>
      </c>
      <c r="G462" s="50" t="n">
        <f aca="false">IFERROR(INDEX('Output Utente'!$O$2:$O$492,MATCH(459,'Output Utente'!$Q$2:$Q$492,0)),"")</f>
        <v>1</v>
      </c>
      <c r="H462" s="7" t="str">
        <f aca="false">IFERROR(INDEX('Output Utente'!$P$2:$P$492,MATCH(459,'Output Utente'!$Q$2:$Q$492,0)),"")</f>
        <v>Nella Media</v>
      </c>
      <c r="I462" s="50" t="n">
        <f aca="false">IFERROR(INDEX('Output Utente'!$F$2:$F$492,MATCH(459,'Output Utente'!$Q$2:$Q$492,0)),"")</f>
        <v>1</v>
      </c>
      <c r="J462" s="50" t="n">
        <f aca="false">IFERROR(INDEX('Output Utente'!$G$2:$G$492,MATCH(459,'Output Utente'!$Q$2:$Q$492,0)),"")</f>
        <v>1</v>
      </c>
      <c r="K462" s="50" t="n">
        <f aca="false">IFERROR(INDEX('Output Utente'!$H$2:$H$492,MATCH(459,'Output Utente'!$Q$2:$Q$492,0)),"")</f>
        <v>1</v>
      </c>
      <c r="L462" s="7" t="str">
        <f aca="false">IFERROR(INDEX('Output Utente'!$E$2:$E$492,MATCH(459,'Output Utente'!$Q$2:$Q$492,0)),"")</f>
        <v>NO</v>
      </c>
      <c r="M462" s="7" t="str">
        <f aca="false">IFERROR(INDEX('Output Utente'!$U$2:$U$492,MATCH(459,'Output Utente'!$Q$2:$Q$492,0)),"")</f>
        <v>OK</v>
      </c>
      <c r="N462" s="7" t="str">
        <f aca="false">IFERROR(INDEX('Output Utente'!$AE$2:$AE$492,MATCH(459,'Output Utente'!$Q$2:$Q$492,0)),"")</f>
        <v>🟡 Attesa rischiosa</v>
      </c>
    </row>
    <row r="463" customFormat="false" ht="15" hidden="false" customHeight="true" outlineLevel="0" collapsed="false">
      <c r="A463" s="49" t="n">
        <v>460</v>
      </c>
      <c r="B463" s="7" t="n">
        <f aca="false">IFERROR(INDEX('Output Utente'!$A$2:$A$492,MATCH(460,'Output Utente'!$Q$2:$Q$492,0)),"")</f>
        <v>6682</v>
      </c>
      <c r="C463" s="7" t="str">
        <f aca="false">IFERROR(INDEX('Output Utente'!$B$2:$B$492,MATCH(460,'Output Utente'!$Q$2:$Q$492,0)),"")</f>
        <v>P</v>
      </c>
      <c r="D463" s="7" t="str">
        <f aca="false">IFERROR(INDEX('Output Utente'!$C$2:$C$492,MATCH(460,'Output Utente'!$Q$2:$Q$492,0)),"")</f>
        <v>Pizzignacco</v>
      </c>
      <c r="E463" s="7" t="str">
        <f aca="false">IFERROR(INDEX('Input Giocatori 2026_27'!$D$3:$D$493,MATCH($B463,'Input Giocatori 2026_27'!$A$3:$A$493,0)),"")</f>
        <v>Monza</v>
      </c>
      <c r="F463" s="50" t="n">
        <f aca="false">IFERROR(INDEX('Output Utente'!$N$2:$N$492,MATCH(460,'Output Utente'!$Q$2:$Q$492,0)),"")</f>
        <v>1</v>
      </c>
      <c r="G463" s="50" t="n">
        <f aca="false">IFERROR(INDEX('Output Utente'!$O$2:$O$492,MATCH(460,'Output Utente'!$Q$2:$Q$492,0)),"")</f>
        <v>1</v>
      </c>
      <c r="H463" s="7" t="str">
        <f aca="false">IFERROR(INDEX('Output Utente'!$P$2:$P$492,MATCH(460,'Output Utente'!$Q$2:$Q$492,0)),"")</f>
        <v>Nella Media</v>
      </c>
      <c r="I463" s="50" t="n">
        <f aca="false">IFERROR(INDEX('Output Utente'!$F$2:$F$492,MATCH(460,'Output Utente'!$Q$2:$Q$492,0)),"")</f>
        <v>1</v>
      </c>
      <c r="J463" s="50" t="n">
        <f aca="false">IFERROR(INDEX('Output Utente'!$G$2:$G$492,MATCH(460,'Output Utente'!$Q$2:$Q$492,0)),"")</f>
        <v>1</v>
      </c>
      <c r="K463" s="50" t="n">
        <f aca="false">IFERROR(INDEX('Output Utente'!$H$2:$H$492,MATCH(460,'Output Utente'!$Q$2:$Q$492,0)),"")</f>
        <v>1</v>
      </c>
      <c r="L463" s="7" t="str">
        <f aca="false">IFERROR(INDEX('Output Utente'!$E$2:$E$492,MATCH(460,'Output Utente'!$Q$2:$Q$492,0)),"")</f>
        <v>NO</v>
      </c>
      <c r="M463" s="7" t="str">
        <f aca="false">IFERROR(INDEX('Output Utente'!$U$2:$U$492,MATCH(460,'Output Utente'!$Q$2:$Q$492,0)),"")</f>
        <v>OK</v>
      </c>
      <c r="N463" s="7" t="str">
        <f aca="false">IFERROR(INDEX('Output Utente'!$AE$2:$AE$492,MATCH(460,'Output Utente'!$Q$2:$Q$492,0)),"")</f>
        <v>🟡 Attesa rischiosa</v>
      </c>
    </row>
    <row r="464" customFormat="false" ht="15" hidden="false" customHeight="true" outlineLevel="0" collapsed="false">
      <c r="A464" s="49" t="n">
        <v>461</v>
      </c>
      <c r="B464" s="7" t="n">
        <f aca="false">IFERROR(INDEX('Output Utente'!$A$2:$A$492,MATCH(461,'Output Utente'!$Q$2:$Q$492,0)),"")</f>
        <v>7475</v>
      </c>
      <c r="C464" s="7" t="str">
        <f aca="false">IFERROR(INDEX('Output Utente'!$B$2:$B$492,MATCH(461,'Output Utente'!$Q$2:$Q$492,0)),"")</f>
        <v>P</v>
      </c>
      <c r="D464" s="7" t="str">
        <f aca="false">IFERROR(INDEX('Output Utente'!$C$2:$C$492,MATCH(461,'Output Utente'!$Q$2:$Q$492,0)),"")</f>
        <v>Strajnar</v>
      </c>
      <c r="E464" s="7" t="str">
        <f aca="false">IFERROR(INDEX('Input Giocatori 2026_27'!$D$3:$D$493,MATCH($B464,'Input Giocatori 2026_27'!$A$3:$A$493,0)),"")</f>
        <v>Monza</v>
      </c>
      <c r="F464" s="50" t="n">
        <f aca="false">IFERROR(INDEX('Output Utente'!$N$2:$N$492,MATCH(461,'Output Utente'!$Q$2:$Q$492,0)),"")</f>
        <v>1</v>
      </c>
      <c r="G464" s="50" t="n">
        <f aca="false">IFERROR(INDEX('Output Utente'!$O$2:$O$492,MATCH(461,'Output Utente'!$Q$2:$Q$492,0)),"")</f>
        <v>1</v>
      </c>
      <c r="H464" s="7" t="str">
        <f aca="false">IFERROR(INDEX('Output Utente'!$P$2:$P$492,MATCH(461,'Output Utente'!$Q$2:$Q$492,0)),"")</f>
        <v>Nella Media</v>
      </c>
      <c r="I464" s="50" t="n">
        <f aca="false">IFERROR(INDEX('Output Utente'!$F$2:$F$492,MATCH(461,'Output Utente'!$Q$2:$Q$492,0)),"")</f>
        <v>1</v>
      </c>
      <c r="J464" s="50" t="n">
        <f aca="false">IFERROR(INDEX('Output Utente'!$G$2:$G$492,MATCH(461,'Output Utente'!$Q$2:$Q$492,0)),"")</f>
        <v>1</v>
      </c>
      <c r="K464" s="50" t="n">
        <f aca="false">IFERROR(INDEX('Output Utente'!$H$2:$H$492,MATCH(461,'Output Utente'!$Q$2:$Q$492,0)),"")</f>
        <v>1</v>
      </c>
      <c r="L464" s="7" t="str">
        <f aca="false">IFERROR(INDEX('Output Utente'!$E$2:$E$492,MATCH(461,'Output Utente'!$Q$2:$Q$492,0)),"")</f>
        <v>NO</v>
      </c>
      <c r="M464" s="7" t="str">
        <f aca="false">IFERROR(INDEX('Output Utente'!$U$2:$U$492,MATCH(461,'Output Utente'!$Q$2:$Q$492,0)),"")</f>
        <v>OK</v>
      </c>
      <c r="N464" s="7" t="str">
        <f aca="false">IFERROR(INDEX('Output Utente'!$AE$2:$AE$492,MATCH(461,'Output Utente'!$Q$2:$Q$492,0)),"")</f>
        <v>🟡 Attesa rischiosa</v>
      </c>
    </row>
    <row r="465" customFormat="false" ht="15" hidden="false" customHeight="true" outlineLevel="0" collapsed="false">
      <c r="A465" s="49" t="n">
        <v>462</v>
      </c>
      <c r="B465" s="7" t="n">
        <f aca="false">IFERROR(INDEX('Output Utente'!$A$2:$A$492,MATCH(462,'Output Utente'!$Q$2:$Q$492,0)),"")</f>
        <v>2845</v>
      </c>
      <c r="C465" s="7" t="str">
        <f aca="false">IFERROR(INDEX('Output Utente'!$B$2:$B$492,MATCH(462,'Output Utente'!$Q$2:$Q$492,0)),"")</f>
        <v>P</v>
      </c>
      <c r="D465" s="7" t="str">
        <f aca="false">IFERROR(INDEX('Output Utente'!$C$2:$C$492,MATCH(462,'Output Utente'!$Q$2:$Q$492,0)),"")</f>
        <v>Contini</v>
      </c>
      <c r="E465" s="7" t="str">
        <f aca="false">IFERROR(INDEX('Input Giocatori 2026_27'!$D$3:$D$493,MATCH($B465,'Input Giocatori 2026_27'!$A$3:$A$493,0)),"")</f>
        <v>Napoli</v>
      </c>
      <c r="F465" s="50" t="n">
        <f aca="false">IFERROR(INDEX('Output Utente'!$N$2:$N$492,MATCH(462,'Output Utente'!$Q$2:$Q$492,0)),"")</f>
        <v>1</v>
      </c>
      <c r="G465" s="50" t="n">
        <f aca="false">IFERROR(INDEX('Output Utente'!$O$2:$O$492,MATCH(462,'Output Utente'!$Q$2:$Q$492,0)),"")</f>
        <v>1</v>
      </c>
      <c r="H465" s="7" t="str">
        <f aca="false">IFERROR(INDEX('Output Utente'!$P$2:$P$492,MATCH(462,'Output Utente'!$Q$2:$Q$492,0)),"")</f>
        <v>Nella Media</v>
      </c>
      <c r="I465" s="50" t="n">
        <f aca="false">IFERROR(INDEX('Output Utente'!$F$2:$F$492,MATCH(462,'Output Utente'!$Q$2:$Q$492,0)),"")</f>
        <v>1</v>
      </c>
      <c r="J465" s="50" t="n">
        <f aca="false">IFERROR(INDEX('Output Utente'!$G$2:$G$492,MATCH(462,'Output Utente'!$Q$2:$Q$492,0)),"")</f>
        <v>1</v>
      </c>
      <c r="K465" s="50" t="n">
        <f aca="false">IFERROR(INDEX('Output Utente'!$H$2:$H$492,MATCH(462,'Output Utente'!$Q$2:$Q$492,0)),"")</f>
        <v>1</v>
      </c>
      <c r="L465" s="7" t="str">
        <f aca="false">IFERROR(INDEX('Output Utente'!$E$2:$E$492,MATCH(462,'Output Utente'!$Q$2:$Q$492,0)),"")</f>
        <v>NO</v>
      </c>
      <c r="M465" s="7" t="str">
        <f aca="false">IFERROR(INDEX('Output Utente'!$U$2:$U$492,MATCH(462,'Output Utente'!$Q$2:$Q$492,0)),"")</f>
        <v>OK</v>
      </c>
      <c r="N465" s="7" t="str">
        <f aca="false">IFERROR(INDEX('Output Utente'!$AE$2:$AE$492,MATCH(462,'Output Utente'!$Q$2:$Q$492,0)),"")</f>
        <v>🟡 Attesa rischiosa</v>
      </c>
    </row>
    <row r="466" customFormat="false" ht="15" hidden="false" customHeight="true" outlineLevel="0" collapsed="false">
      <c r="A466" s="49" t="n">
        <v>463</v>
      </c>
      <c r="B466" s="7" t="n">
        <f aca="false">IFERROR(INDEX('Output Utente'!$A$2:$A$492,MATCH(463,'Output Utente'!$Q$2:$Q$492,0)),"")</f>
        <v>6662</v>
      </c>
      <c r="C466" s="7" t="str">
        <f aca="false">IFERROR(INDEX('Output Utente'!$B$2:$B$492,MATCH(463,'Output Utente'!$Q$2:$Q$492,0)),"")</f>
        <v>P</v>
      </c>
      <c r="D466" s="7" t="str">
        <f aca="false">IFERROR(INDEX('Output Utente'!$C$2:$C$492,MATCH(463,'Output Utente'!$Q$2:$Q$492,0)),"")</f>
        <v>Corvi</v>
      </c>
      <c r="E466" s="7" t="str">
        <f aca="false">IFERROR(INDEX('Input Giocatori 2026_27'!$D$3:$D$493,MATCH($B466,'Input Giocatori 2026_27'!$A$3:$A$493,0)),"")</f>
        <v>Parma</v>
      </c>
      <c r="F466" s="50" t="n">
        <f aca="false">IFERROR(INDEX('Output Utente'!$N$2:$N$492,MATCH(463,'Output Utente'!$Q$2:$Q$492,0)),"")</f>
        <v>1</v>
      </c>
      <c r="G466" s="50" t="n">
        <f aca="false">IFERROR(INDEX('Output Utente'!$O$2:$O$492,MATCH(463,'Output Utente'!$Q$2:$Q$492,0)),"")</f>
        <v>1</v>
      </c>
      <c r="H466" s="7" t="str">
        <f aca="false">IFERROR(INDEX('Output Utente'!$P$2:$P$492,MATCH(463,'Output Utente'!$Q$2:$Q$492,0)),"")</f>
        <v>Nella Media</v>
      </c>
      <c r="I466" s="50" t="n">
        <f aca="false">IFERROR(INDEX('Output Utente'!$F$2:$F$492,MATCH(463,'Output Utente'!$Q$2:$Q$492,0)),"")</f>
        <v>1</v>
      </c>
      <c r="J466" s="50" t="n">
        <f aca="false">IFERROR(INDEX('Output Utente'!$G$2:$G$492,MATCH(463,'Output Utente'!$Q$2:$Q$492,0)),"")</f>
        <v>1</v>
      </c>
      <c r="K466" s="50" t="n">
        <f aca="false">IFERROR(INDEX('Output Utente'!$H$2:$H$492,MATCH(463,'Output Utente'!$Q$2:$Q$492,0)),"")</f>
        <v>1</v>
      </c>
      <c r="L466" s="7" t="str">
        <f aca="false">IFERROR(INDEX('Output Utente'!$E$2:$E$492,MATCH(463,'Output Utente'!$Q$2:$Q$492,0)),"")</f>
        <v>NO</v>
      </c>
      <c r="M466" s="7" t="str">
        <f aca="false">IFERROR(INDEX('Output Utente'!$U$2:$U$492,MATCH(463,'Output Utente'!$Q$2:$Q$492,0)),"")</f>
        <v>OK</v>
      </c>
      <c r="N466" s="7" t="str">
        <f aca="false">IFERROR(INDEX('Output Utente'!$AE$2:$AE$492,MATCH(463,'Output Utente'!$Q$2:$Q$492,0)),"")</f>
        <v>🟡 Attesa rischiosa</v>
      </c>
    </row>
    <row r="467" customFormat="false" ht="15" hidden="false" customHeight="true" outlineLevel="0" collapsed="false">
      <c r="A467" s="49" t="n">
        <v>464</v>
      </c>
      <c r="B467" s="7" t="n">
        <f aca="false">IFERROR(INDEX('Output Utente'!$A$2:$A$492,MATCH(464,'Output Utente'!$Q$2:$Q$492,0)),"")</f>
        <v>7048</v>
      </c>
      <c r="C467" s="7" t="str">
        <f aca="false">IFERROR(INDEX('Output Utente'!$B$2:$B$492,MATCH(464,'Output Utente'!$Q$2:$Q$492,0)),"")</f>
        <v>P</v>
      </c>
      <c r="D467" s="7" t="str">
        <f aca="false">IFERROR(INDEX('Output Utente'!$C$2:$C$492,MATCH(464,'Output Utente'!$Q$2:$Q$492,0)),"")</f>
        <v>De Marzi</v>
      </c>
      <c r="E467" s="7" t="str">
        <f aca="false">IFERROR(INDEX('Input Giocatori 2026_27'!$D$3:$D$493,MATCH($B467,'Input Giocatori 2026_27'!$A$3:$A$493,0)),"")</f>
        <v>Roma</v>
      </c>
      <c r="F467" s="50" t="n">
        <f aca="false">IFERROR(INDEX('Output Utente'!$N$2:$N$492,MATCH(464,'Output Utente'!$Q$2:$Q$492,0)),"")</f>
        <v>1</v>
      </c>
      <c r="G467" s="50" t="n">
        <f aca="false">IFERROR(INDEX('Output Utente'!$O$2:$O$492,MATCH(464,'Output Utente'!$Q$2:$Q$492,0)),"")</f>
        <v>1</v>
      </c>
      <c r="H467" s="7" t="str">
        <f aca="false">IFERROR(INDEX('Output Utente'!$P$2:$P$492,MATCH(464,'Output Utente'!$Q$2:$Q$492,0)),"")</f>
        <v>Nella Media</v>
      </c>
      <c r="I467" s="50" t="n">
        <f aca="false">IFERROR(INDEX('Output Utente'!$F$2:$F$492,MATCH(464,'Output Utente'!$Q$2:$Q$492,0)),"")</f>
        <v>1</v>
      </c>
      <c r="J467" s="50" t="n">
        <f aca="false">IFERROR(INDEX('Output Utente'!$G$2:$G$492,MATCH(464,'Output Utente'!$Q$2:$Q$492,0)),"")</f>
        <v>1</v>
      </c>
      <c r="K467" s="50" t="n">
        <f aca="false">IFERROR(INDEX('Output Utente'!$H$2:$H$492,MATCH(464,'Output Utente'!$Q$2:$Q$492,0)),"")</f>
        <v>1</v>
      </c>
      <c r="L467" s="7" t="str">
        <f aca="false">IFERROR(INDEX('Output Utente'!$E$2:$E$492,MATCH(464,'Output Utente'!$Q$2:$Q$492,0)),"")</f>
        <v>NO</v>
      </c>
      <c r="M467" s="7" t="str">
        <f aca="false">IFERROR(INDEX('Output Utente'!$U$2:$U$492,MATCH(464,'Output Utente'!$Q$2:$Q$492,0)),"")</f>
        <v>OK</v>
      </c>
      <c r="N467" s="7" t="str">
        <f aca="false">IFERROR(INDEX('Output Utente'!$AE$2:$AE$492,MATCH(464,'Output Utente'!$Q$2:$Q$492,0)),"")</f>
        <v>🟡 Attesa rischiosa</v>
      </c>
    </row>
    <row r="468" customFormat="false" ht="15" hidden="false" customHeight="true" outlineLevel="0" collapsed="false">
      <c r="A468" s="49" t="n">
        <v>465</v>
      </c>
      <c r="B468" s="7" t="n">
        <f aca="false">IFERROR(INDEX('Output Utente'!$A$2:$A$492,MATCH(465,'Output Utente'!$Q$2:$Q$492,0)),"")</f>
        <v>610</v>
      </c>
      <c r="C468" s="7" t="str">
        <f aca="false">IFERROR(INDEX('Output Utente'!$B$2:$B$492,MATCH(465,'Output Utente'!$Q$2:$Q$492,0)),"")</f>
        <v>P</v>
      </c>
      <c r="D468" s="7" t="str">
        <f aca="false">IFERROR(INDEX('Output Utente'!$C$2:$C$492,MATCH(465,'Output Utente'!$Q$2:$Q$492,0)),"")</f>
        <v>Gollini</v>
      </c>
      <c r="E468" s="7" t="str">
        <f aca="false">IFERROR(INDEX('Input Giocatori 2026_27'!$D$3:$D$493,MATCH($B468,'Input Giocatori 2026_27'!$A$3:$A$493,0)),"")</f>
        <v>Roma</v>
      </c>
      <c r="F468" s="50" t="n">
        <f aca="false">IFERROR(INDEX('Output Utente'!$N$2:$N$492,MATCH(465,'Output Utente'!$Q$2:$Q$492,0)),"")</f>
        <v>1</v>
      </c>
      <c r="G468" s="50" t="n">
        <f aca="false">IFERROR(INDEX('Output Utente'!$O$2:$O$492,MATCH(465,'Output Utente'!$Q$2:$Q$492,0)),"")</f>
        <v>1</v>
      </c>
      <c r="H468" s="7" t="str">
        <f aca="false">IFERROR(INDEX('Output Utente'!$P$2:$P$492,MATCH(465,'Output Utente'!$Q$2:$Q$492,0)),"")</f>
        <v>Nella Media</v>
      </c>
      <c r="I468" s="50" t="n">
        <f aca="false">IFERROR(INDEX('Output Utente'!$F$2:$F$492,MATCH(465,'Output Utente'!$Q$2:$Q$492,0)),"")</f>
        <v>1</v>
      </c>
      <c r="J468" s="50" t="n">
        <f aca="false">IFERROR(INDEX('Output Utente'!$G$2:$G$492,MATCH(465,'Output Utente'!$Q$2:$Q$492,0)),"")</f>
        <v>1</v>
      </c>
      <c r="K468" s="50" t="n">
        <f aca="false">IFERROR(INDEX('Output Utente'!$H$2:$H$492,MATCH(465,'Output Utente'!$Q$2:$Q$492,0)),"")</f>
        <v>1</v>
      </c>
      <c r="L468" s="7" t="str">
        <f aca="false">IFERROR(INDEX('Output Utente'!$E$2:$E$492,MATCH(465,'Output Utente'!$Q$2:$Q$492,0)),"")</f>
        <v>NO</v>
      </c>
      <c r="M468" s="7" t="str">
        <f aca="false">IFERROR(INDEX('Output Utente'!$U$2:$U$492,MATCH(465,'Output Utente'!$Q$2:$Q$492,0)),"")</f>
        <v>OK</v>
      </c>
      <c r="N468" s="7" t="str">
        <f aca="false">IFERROR(INDEX('Output Utente'!$AE$2:$AE$492,MATCH(465,'Output Utente'!$Q$2:$Q$492,0)),"")</f>
        <v>🟡 Attesa rischiosa</v>
      </c>
    </row>
    <row r="469" customFormat="false" ht="15" hidden="false" customHeight="true" outlineLevel="0" collapsed="false">
      <c r="A469" s="49" t="n">
        <v>466</v>
      </c>
      <c r="B469" s="7" t="n">
        <f aca="false">IFERROR(INDEX('Output Utente'!$A$2:$A$492,MATCH(466,'Output Utente'!$Q$2:$Q$492,0)),"")</f>
        <v>4518</v>
      </c>
      <c r="C469" s="7" t="str">
        <f aca="false">IFERROR(INDEX('Output Utente'!$B$2:$B$492,MATCH(466,'Output Utente'!$Q$2:$Q$492,0)),"")</f>
        <v>P</v>
      </c>
      <c r="D469" s="7" t="str">
        <f aca="false">IFERROR(INDEX('Output Utente'!$C$2:$C$492,MATCH(466,'Output Utente'!$Q$2:$Q$492,0)),"")</f>
        <v>Russo A.</v>
      </c>
      <c r="E469" s="7" t="str">
        <f aca="false">IFERROR(INDEX('Input Giocatori 2026_27'!$D$3:$D$493,MATCH($B469,'Input Giocatori 2026_27'!$A$3:$A$493,0)),"")</f>
        <v>Sassuolo</v>
      </c>
      <c r="F469" s="50" t="n">
        <f aca="false">IFERROR(INDEX('Output Utente'!$N$2:$N$492,MATCH(466,'Output Utente'!$Q$2:$Q$492,0)),"")</f>
        <v>1</v>
      </c>
      <c r="G469" s="50" t="n">
        <f aca="false">IFERROR(INDEX('Output Utente'!$O$2:$O$492,MATCH(466,'Output Utente'!$Q$2:$Q$492,0)),"")</f>
        <v>1</v>
      </c>
      <c r="H469" s="7" t="str">
        <f aca="false">IFERROR(INDEX('Output Utente'!$P$2:$P$492,MATCH(466,'Output Utente'!$Q$2:$Q$492,0)),"")</f>
        <v>Nella Media</v>
      </c>
      <c r="I469" s="50" t="n">
        <f aca="false">IFERROR(INDEX('Output Utente'!$F$2:$F$492,MATCH(466,'Output Utente'!$Q$2:$Q$492,0)),"")</f>
        <v>1</v>
      </c>
      <c r="J469" s="50" t="n">
        <f aca="false">IFERROR(INDEX('Output Utente'!$G$2:$G$492,MATCH(466,'Output Utente'!$Q$2:$Q$492,0)),"")</f>
        <v>1</v>
      </c>
      <c r="K469" s="50" t="n">
        <f aca="false">IFERROR(INDEX('Output Utente'!$H$2:$H$492,MATCH(466,'Output Utente'!$Q$2:$Q$492,0)),"")</f>
        <v>1</v>
      </c>
      <c r="L469" s="7" t="str">
        <f aca="false">IFERROR(INDEX('Output Utente'!$E$2:$E$492,MATCH(466,'Output Utente'!$Q$2:$Q$492,0)),"")</f>
        <v>NO</v>
      </c>
      <c r="M469" s="7" t="str">
        <f aca="false">IFERROR(INDEX('Output Utente'!$U$2:$U$492,MATCH(466,'Output Utente'!$Q$2:$Q$492,0)),"")</f>
        <v>OK</v>
      </c>
      <c r="N469" s="7" t="str">
        <f aca="false">IFERROR(INDEX('Output Utente'!$AE$2:$AE$492,MATCH(466,'Output Utente'!$Q$2:$Q$492,0)),"")</f>
        <v>🟡 Attesa rischiosa</v>
      </c>
    </row>
    <row r="470" customFormat="false" ht="15" hidden="false" customHeight="true" outlineLevel="0" collapsed="false">
      <c r="A470" s="49" t="n">
        <v>467</v>
      </c>
      <c r="B470" s="7" t="n">
        <f aca="false">IFERROR(INDEX('Output Utente'!$A$2:$A$492,MATCH(467,'Output Utente'!$Q$2:$Q$492,0)),"")</f>
        <v>7457</v>
      </c>
      <c r="C470" s="7" t="str">
        <f aca="false">IFERROR(INDEX('Output Utente'!$B$2:$B$492,MATCH(467,'Output Utente'!$Q$2:$Q$492,0)),"")</f>
        <v>P</v>
      </c>
      <c r="D470" s="7" t="str">
        <f aca="false">IFERROR(INDEX('Output Utente'!$C$2:$C$492,MATCH(467,'Output Utente'!$Q$2:$Q$492,0)),"")</f>
        <v>Mascardi</v>
      </c>
      <c r="E470" s="7" t="str">
        <f aca="false">IFERROR(INDEX('Input Giocatori 2026_27'!$D$3:$D$493,MATCH($B470,'Input Giocatori 2026_27'!$A$3:$A$493,0)),"")</f>
        <v>Torino</v>
      </c>
      <c r="F470" s="50" t="n">
        <f aca="false">IFERROR(INDEX('Output Utente'!$N$2:$N$492,MATCH(467,'Output Utente'!$Q$2:$Q$492,0)),"")</f>
        <v>1</v>
      </c>
      <c r="G470" s="50" t="n">
        <f aca="false">IFERROR(INDEX('Output Utente'!$O$2:$O$492,MATCH(467,'Output Utente'!$Q$2:$Q$492,0)),"")</f>
        <v>1</v>
      </c>
      <c r="H470" s="7" t="str">
        <f aca="false">IFERROR(INDEX('Output Utente'!$P$2:$P$492,MATCH(467,'Output Utente'!$Q$2:$Q$492,0)),"")</f>
        <v>Nella Media</v>
      </c>
      <c r="I470" s="50" t="n">
        <f aca="false">IFERROR(INDEX('Output Utente'!$F$2:$F$492,MATCH(467,'Output Utente'!$Q$2:$Q$492,0)),"")</f>
        <v>1</v>
      </c>
      <c r="J470" s="50" t="n">
        <f aca="false">IFERROR(INDEX('Output Utente'!$G$2:$G$492,MATCH(467,'Output Utente'!$Q$2:$Q$492,0)),"")</f>
        <v>1</v>
      </c>
      <c r="K470" s="50" t="n">
        <f aca="false">IFERROR(INDEX('Output Utente'!$H$2:$H$492,MATCH(467,'Output Utente'!$Q$2:$Q$492,0)),"")</f>
        <v>1</v>
      </c>
      <c r="L470" s="7" t="str">
        <f aca="false">IFERROR(INDEX('Output Utente'!$E$2:$E$492,MATCH(467,'Output Utente'!$Q$2:$Q$492,0)),"")</f>
        <v>NO</v>
      </c>
      <c r="M470" s="7" t="str">
        <f aca="false">IFERROR(INDEX('Output Utente'!$U$2:$U$492,MATCH(467,'Output Utente'!$Q$2:$Q$492,0)),"")</f>
        <v>OK</v>
      </c>
      <c r="N470" s="7" t="str">
        <f aca="false">IFERROR(INDEX('Output Utente'!$AE$2:$AE$492,MATCH(467,'Output Utente'!$Q$2:$Q$492,0)),"")</f>
        <v>🟡 Attesa rischiosa</v>
      </c>
    </row>
    <row r="471" customFormat="false" ht="15" hidden="false" customHeight="true" outlineLevel="0" collapsed="false">
      <c r="A471" s="49" t="n">
        <v>468</v>
      </c>
      <c r="B471" s="7" t="n">
        <f aca="false">IFERROR(INDEX('Output Utente'!$A$2:$A$492,MATCH(468,'Output Utente'!$Q$2:$Q$492,0)),"")</f>
        <v>5320</v>
      </c>
      <c r="C471" s="7" t="str">
        <f aca="false">IFERROR(INDEX('Output Utente'!$B$2:$B$492,MATCH(468,'Output Utente'!$Q$2:$Q$492,0)),"")</f>
        <v>P</v>
      </c>
      <c r="D471" s="7" t="str">
        <f aca="false">IFERROR(INDEX('Output Utente'!$C$2:$C$492,MATCH(468,'Output Utente'!$Q$2:$Q$492,0)),"")</f>
        <v>Paleari</v>
      </c>
      <c r="E471" s="7" t="str">
        <f aca="false">IFERROR(INDEX('Input Giocatori 2026_27'!$D$3:$D$493,MATCH($B471,'Input Giocatori 2026_27'!$A$3:$A$493,0)),"")</f>
        <v>Torino</v>
      </c>
      <c r="F471" s="50" t="n">
        <f aca="false">IFERROR(INDEX('Output Utente'!$N$2:$N$492,MATCH(468,'Output Utente'!$Q$2:$Q$492,0)),"")</f>
        <v>1</v>
      </c>
      <c r="G471" s="50" t="n">
        <f aca="false">IFERROR(INDEX('Output Utente'!$O$2:$O$492,MATCH(468,'Output Utente'!$Q$2:$Q$492,0)),"")</f>
        <v>1</v>
      </c>
      <c r="H471" s="7" t="str">
        <f aca="false">IFERROR(INDEX('Output Utente'!$P$2:$P$492,MATCH(468,'Output Utente'!$Q$2:$Q$492,0)),"")</f>
        <v>Nella Media</v>
      </c>
      <c r="I471" s="50" t="n">
        <f aca="false">IFERROR(INDEX('Output Utente'!$F$2:$F$492,MATCH(468,'Output Utente'!$Q$2:$Q$492,0)),"")</f>
        <v>1</v>
      </c>
      <c r="J471" s="50" t="n">
        <f aca="false">IFERROR(INDEX('Output Utente'!$G$2:$G$492,MATCH(468,'Output Utente'!$Q$2:$Q$492,0)),"")</f>
        <v>1</v>
      </c>
      <c r="K471" s="50" t="n">
        <f aca="false">IFERROR(INDEX('Output Utente'!$H$2:$H$492,MATCH(468,'Output Utente'!$Q$2:$Q$492,0)),"")</f>
        <v>1</v>
      </c>
      <c r="L471" s="7" t="str">
        <f aca="false">IFERROR(INDEX('Output Utente'!$E$2:$E$492,MATCH(468,'Output Utente'!$Q$2:$Q$492,0)),"")</f>
        <v>NO</v>
      </c>
      <c r="M471" s="7" t="str">
        <f aca="false">IFERROR(INDEX('Output Utente'!$U$2:$U$492,MATCH(468,'Output Utente'!$Q$2:$Q$492,0)),"")</f>
        <v>OK</v>
      </c>
      <c r="N471" s="7" t="str">
        <f aca="false">IFERROR(INDEX('Output Utente'!$AE$2:$AE$492,MATCH(468,'Output Utente'!$Q$2:$Q$492,0)),"")</f>
        <v>🟡 Attesa rischiosa</v>
      </c>
    </row>
    <row r="472" customFormat="false" ht="15" hidden="false" customHeight="true" outlineLevel="0" collapsed="false">
      <c r="A472" s="49" t="n">
        <v>469</v>
      </c>
      <c r="B472" s="7" t="n">
        <f aca="false">IFERROR(INDEX('Output Utente'!$A$2:$A$492,MATCH(469,'Output Utente'!$Q$2:$Q$492,0)),"")</f>
        <v>7363</v>
      </c>
      <c r="C472" s="7" t="str">
        <f aca="false">IFERROR(INDEX('Output Utente'!$B$2:$B$492,MATCH(469,'Output Utente'!$Q$2:$Q$492,0)),"")</f>
        <v>P</v>
      </c>
      <c r="D472" s="7" t="str">
        <f aca="false">IFERROR(INDEX('Output Utente'!$C$2:$C$492,MATCH(469,'Output Utente'!$Q$2:$Q$492,0)),"")</f>
        <v>Siviero</v>
      </c>
      <c r="E472" s="7" t="str">
        <f aca="false">IFERROR(INDEX('Input Giocatori 2026_27'!$D$3:$D$493,MATCH($B472,'Input Giocatori 2026_27'!$A$3:$A$493,0)),"")</f>
        <v>Torino</v>
      </c>
      <c r="F472" s="50" t="n">
        <f aca="false">IFERROR(INDEX('Output Utente'!$N$2:$N$492,MATCH(469,'Output Utente'!$Q$2:$Q$492,0)),"")</f>
        <v>1</v>
      </c>
      <c r="G472" s="50" t="n">
        <f aca="false">IFERROR(INDEX('Output Utente'!$O$2:$O$492,MATCH(469,'Output Utente'!$Q$2:$Q$492,0)),"")</f>
        <v>1</v>
      </c>
      <c r="H472" s="7" t="str">
        <f aca="false">IFERROR(INDEX('Output Utente'!$P$2:$P$492,MATCH(469,'Output Utente'!$Q$2:$Q$492,0)),"")</f>
        <v>Nella Media</v>
      </c>
      <c r="I472" s="50" t="n">
        <f aca="false">IFERROR(INDEX('Output Utente'!$F$2:$F$492,MATCH(469,'Output Utente'!$Q$2:$Q$492,0)),"")</f>
        <v>1</v>
      </c>
      <c r="J472" s="50" t="n">
        <f aca="false">IFERROR(INDEX('Output Utente'!$G$2:$G$492,MATCH(469,'Output Utente'!$Q$2:$Q$492,0)),"")</f>
        <v>1</v>
      </c>
      <c r="K472" s="50" t="n">
        <f aca="false">IFERROR(INDEX('Output Utente'!$H$2:$H$492,MATCH(469,'Output Utente'!$Q$2:$Q$492,0)),"")</f>
        <v>1</v>
      </c>
      <c r="L472" s="7" t="str">
        <f aca="false">IFERROR(INDEX('Output Utente'!$E$2:$E$492,MATCH(469,'Output Utente'!$Q$2:$Q$492,0)),"")</f>
        <v>NO</v>
      </c>
      <c r="M472" s="7" t="str">
        <f aca="false">IFERROR(INDEX('Output Utente'!$U$2:$U$492,MATCH(469,'Output Utente'!$Q$2:$Q$492,0)),"")</f>
        <v>OK</v>
      </c>
      <c r="N472" s="7" t="str">
        <f aca="false">IFERROR(INDEX('Output Utente'!$AE$2:$AE$492,MATCH(469,'Output Utente'!$Q$2:$Q$492,0)),"")</f>
        <v>🟡 Attesa rischiosa</v>
      </c>
    </row>
    <row r="473" customFormat="false" ht="15" hidden="false" customHeight="true" outlineLevel="0" collapsed="false">
      <c r="A473" s="49" t="n">
        <v>470</v>
      </c>
      <c r="B473" s="7" t="n">
        <f aca="false">IFERROR(INDEX('Output Utente'!$A$2:$A$492,MATCH(470,'Output Utente'!$Q$2:$Q$492,0)),"")</f>
        <v>543</v>
      </c>
      <c r="C473" s="7" t="str">
        <f aca="false">IFERROR(INDEX('Output Utente'!$B$2:$B$492,MATCH(470,'Output Utente'!$Q$2:$Q$492,0)),"")</f>
        <v>P</v>
      </c>
      <c r="D473" s="7" t="str">
        <f aca="false">IFERROR(INDEX('Output Utente'!$C$2:$C$492,MATCH(470,'Output Utente'!$Q$2:$Q$492,0)),"")</f>
        <v>Padelli</v>
      </c>
      <c r="E473" s="7" t="str">
        <f aca="false">IFERROR(INDEX('Input Giocatori 2026_27'!$D$3:$D$493,MATCH($B473,'Input Giocatori 2026_27'!$A$3:$A$493,0)),"")</f>
        <v>Udinese</v>
      </c>
      <c r="F473" s="50" t="n">
        <f aca="false">IFERROR(INDEX('Output Utente'!$N$2:$N$492,MATCH(470,'Output Utente'!$Q$2:$Q$492,0)),"")</f>
        <v>1</v>
      </c>
      <c r="G473" s="50" t="n">
        <f aca="false">IFERROR(INDEX('Output Utente'!$O$2:$O$492,MATCH(470,'Output Utente'!$Q$2:$Q$492,0)),"")</f>
        <v>1</v>
      </c>
      <c r="H473" s="7" t="str">
        <f aca="false">IFERROR(INDEX('Output Utente'!$P$2:$P$492,MATCH(470,'Output Utente'!$Q$2:$Q$492,0)),"")</f>
        <v>Nella Media</v>
      </c>
      <c r="I473" s="50" t="n">
        <f aca="false">IFERROR(INDEX('Output Utente'!$F$2:$F$492,MATCH(470,'Output Utente'!$Q$2:$Q$492,0)),"")</f>
        <v>1</v>
      </c>
      <c r="J473" s="50" t="n">
        <f aca="false">IFERROR(INDEX('Output Utente'!$G$2:$G$492,MATCH(470,'Output Utente'!$Q$2:$Q$492,0)),"")</f>
        <v>1</v>
      </c>
      <c r="K473" s="50" t="n">
        <f aca="false">IFERROR(INDEX('Output Utente'!$H$2:$H$492,MATCH(470,'Output Utente'!$Q$2:$Q$492,0)),"")</f>
        <v>1</v>
      </c>
      <c r="L473" s="7" t="str">
        <f aca="false">IFERROR(INDEX('Output Utente'!$E$2:$E$492,MATCH(470,'Output Utente'!$Q$2:$Q$492,0)),"")</f>
        <v>NO</v>
      </c>
      <c r="M473" s="7" t="str">
        <f aca="false">IFERROR(INDEX('Output Utente'!$U$2:$U$492,MATCH(470,'Output Utente'!$Q$2:$Q$492,0)),"")</f>
        <v>OK</v>
      </c>
      <c r="N473" s="7" t="str">
        <f aca="false">IFERROR(INDEX('Output Utente'!$AE$2:$AE$492,MATCH(470,'Output Utente'!$Q$2:$Q$492,0)),"")</f>
        <v>🟡 Attesa rischiosa</v>
      </c>
    </row>
    <row r="474" customFormat="false" ht="15" hidden="false" customHeight="true" outlineLevel="0" collapsed="false">
      <c r="A474" s="49" t="n">
        <v>471</v>
      </c>
      <c r="B474" s="7" t="n">
        <f aca="false">IFERROR(INDEX('Output Utente'!$A$2:$A$492,MATCH(471,'Output Utente'!$Q$2:$Q$492,0)),"")</f>
        <v>5707</v>
      </c>
      <c r="C474" s="7" t="str">
        <f aca="false">IFERROR(INDEX('Output Utente'!$B$2:$B$492,MATCH(471,'Output Utente'!$Q$2:$Q$492,0)),"")</f>
        <v>P</v>
      </c>
      <c r="D474" s="7" t="str">
        <f aca="false">IFERROR(INDEX('Output Utente'!$C$2:$C$492,MATCH(471,'Output Utente'!$Q$2:$Q$492,0)),"")</f>
        <v>Piana</v>
      </c>
      <c r="E474" s="7" t="str">
        <f aca="false">IFERROR(INDEX('Input Giocatori 2026_27'!$D$3:$D$493,MATCH($B474,'Input Giocatori 2026_27'!$A$3:$A$493,0)),"")</f>
        <v>Udinese</v>
      </c>
      <c r="F474" s="50" t="n">
        <f aca="false">IFERROR(INDEX('Output Utente'!$N$2:$N$492,MATCH(471,'Output Utente'!$Q$2:$Q$492,0)),"")</f>
        <v>1</v>
      </c>
      <c r="G474" s="50" t="n">
        <f aca="false">IFERROR(INDEX('Output Utente'!$O$2:$O$492,MATCH(471,'Output Utente'!$Q$2:$Q$492,0)),"")</f>
        <v>1</v>
      </c>
      <c r="H474" s="7" t="str">
        <f aca="false">IFERROR(INDEX('Output Utente'!$P$2:$P$492,MATCH(471,'Output Utente'!$Q$2:$Q$492,0)),"")</f>
        <v>Nella Media</v>
      </c>
      <c r="I474" s="50" t="n">
        <f aca="false">IFERROR(INDEX('Output Utente'!$F$2:$F$492,MATCH(471,'Output Utente'!$Q$2:$Q$492,0)),"")</f>
        <v>1</v>
      </c>
      <c r="J474" s="50" t="n">
        <f aca="false">IFERROR(INDEX('Output Utente'!$G$2:$G$492,MATCH(471,'Output Utente'!$Q$2:$Q$492,0)),"")</f>
        <v>1</v>
      </c>
      <c r="K474" s="50" t="n">
        <f aca="false">IFERROR(INDEX('Output Utente'!$H$2:$H$492,MATCH(471,'Output Utente'!$Q$2:$Q$492,0)),"")</f>
        <v>1</v>
      </c>
      <c r="L474" s="7" t="str">
        <f aca="false">IFERROR(INDEX('Output Utente'!$E$2:$E$492,MATCH(471,'Output Utente'!$Q$2:$Q$492,0)),"")</f>
        <v>NO</v>
      </c>
      <c r="M474" s="7" t="str">
        <f aca="false">IFERROR(INDEX('Output Utente'!$U$2:$U$492,MATCH(471,'Output Utente'!$Q$2:$Q$492,0)),"")</f>
        <v>OK</v>
      </c>
      <c r="N474" s="7" t="str">
        <f aca="false">IFERROR(INDEX('Output Utente'!$AE$2:$AE$492,MATCH(471,'Output Utente'!$Q$2:$Q$492,0)),"")</f>
        <v>🟡 Attesa rischiosa</v>
      </c>
    </row>
    <row r="475" customFormat="false" ht="15" hidden="false" customHeight="true" outlineLevel="0" collapsed="false">
      <c r="A475" s="49" t="n">
        <v>472</v>
      </c>
      <c r="B475" s="7" t="n">
        <f aca="false">IFERROR(INDEX('Output Utente'!$A$2:$A$492,MATCH(472,'Output Utente'!$Q$2:$Q$492,0)),"")</f>
        <v>6671</v>
      </c>
      <c r="C475" s="7" t="str">
        <f aca="false">IFERROR(INDEX('Output Utente'!$B$2:$B$492,MATCH(472,'Output Utente'!$Q$2:$Q$492,0)),"")</f>
        <v>P</v>
      </c>
      <c r="D475" s="7" t="str">
        <f aca="false">IFERROR(INDEX('Output Utente'!$C$2:$C$492,MATCH(472,'Output Utente'!$Q$2:$Q$492,0)),"")</f>
        <v>Grandi</v>
      </c>
      <c r="E475" s="7" t="str">
        <f aca="false">IFERROR(INDEX('Input Giocatori 2026_27'!$D$3:$D$493,MATCH($B475,'Input Giocatori 2026_27'!$A$3:$A$493,0)),"")</f>
        <v>Venezia</v>
      </c>
      <c r="F475" s="50" t="n">
        <f aca="false">IFERROR(INDEX('Output Utente'!$N$2:$N$492,MATCH(472,'Output Utente'!$Q$2:$Q$492,0)),"")</f>
        <v>1</v>
      </c>
      <c r="G475" s="50" t="n">
        <f aca="false">IFERROR(INDEX('Output Utente'!$O$2:$O$492,MATCH(472,'Output Utente'!$Q$2:$Q$492,0)),"")</f>
        <v>1</v>
      </c>
      <c r="H475" s="7" t="str">
        <f aca="false">IFERROR(INDEX('Output Utente'!$P$2:$P$492,MATCH(472,'Output Utente'!$Q$2:$Q$492,0)),"")</f>
        <v>Nella Media</v>
      </c>
      <c r="I475" s="50" t="n">
        <f aca="false">IFERROR(INDEX('Output Utente'!$F$2:$F$492,MATCH(472,'Output Utente'!$Q$2:$Q$492,0)),"")</f>
        <v>1</v>
      </c>
      <c r="J475" s="50" t="n">
        <f aca="false">IFERROR(INDEX('Output Utente'!$G$2:$G$492,MATCH(472,'Output Utente'!$Q$2:$Q$492,0)),"")</f>
        <v>1</v>
      </c>
      <c r="K475" s="50" t="n">
        <f aca="false">IFERROR(INDEX('Output Utente'!$H$2:$H$492,MATCH(472,'Output Utente'!$Q$2:$Q$492,0)),"")</f>
        <v>1</v>
      </c>
      <c r="L475" s="7" t="str">
        <f aca="false">IFERROR(INDEX('Output Utente'!$E$2:$E$492,MATCH(472,'Output Utente'!$Q$2:$Q$492,0)),"")</f>
        <v>NO</v>
      </c>
      <c r="M475" s="7" t="str">
        <f aca="false">IFERROR(INDEX('Output Utente'!$U$2:$U$492,MATCH(472,'Output Utente'!$Q$2:$Q$492,0)),"")</f>
        <v>OK</v>
      </c>
      <c r="N475" s="7" t="str">
        <f aca="false">IFERROR(INDEX('Output Utente'!$AE$2:$AE$492,MATCH(472,'Output Utente'!$Q$2:$Q$492,0)),"")</f>
        <v>🟡 Attesa rischiosa</v>
      </c>
    </row>
    <row r="476" customFormat="false" ht="15" hidden="false" customHeight="true" outlineLevel="0" collapsed="false">
      <c r="A476" s="49" t="n">
        <v>473</v>
      </c>
      <c r="B476" s="7" t="n">
        <f aca="false">IFERROR(INDEX('Output Utente'!$A$2:$A$492,MATCH(473,'Output Utente'!$Q$2:$Q$492,0)),"")</f>
        <v>7531</v>
      </c>
      <c r="C476" s="7" t="str">
        <f aca="false">IFERROR(INDEX('Output Utente'!$B$2:$B$492,MATCH(473,'Output Utente'!$Q$2:$Q$492,0)),"")</f>
        <v>P</v>
      </c>
      <c r="D476" s="7" t="str">
        <f aca="false">IFERROR(INDEX('Output Utente'!$C$2:$C$492,MATCH(473,'Output Utente'!$Q$2:$Q$492,0)),"")</f>
        <v>Pozzi</v>
      </c>
      <c r="E476" s="7" t="str">
        <f aca="false">IFERROR(INDEX('Input Giocatori 2026_27'!$D$3:$D$493,MATCH($B476,'Input Giocatori 2026_27'!$A$3:$A$493,0)),"")</f>
        <v>Venezia</v>
      </c>
      <c r="F476" s="50" t="n">
        <f aca="false">IFERROR(INDEX('Output Utente'!$N$2:$N$492,MATCH(473,'Output Utente'!$Q$2:$Q$492,0)),"")</f>
        <v>1</v>
      </c>
      <c r="G476" s="50" t="n">
        <f aca="false">IFERROR(INDEX('Output Utente'!$O$2:$O$492,MATCH(473,'Output Utente'!$Q$2:$Q$492,0)),"")</f>
        <v>1</v>
      </c>
      <c r="H476" s="7" t="str">
        <f aca="false">IFERROR(INDEX('Output Utente'!$P$2:$P$492,MATCH(473,'Output Utente'!$Q$2:$Q$492,0)),"")</f>
        <v>Nella Media</v>
      </c>
      <c r="I476" s="50" t="n">
        <f aca="false">IFERROR(INDEX('Output Utente'!$F$2:$F$492,MATCH(473,'Output Utente'!$Q$2:$Q$492,0)),"")</f>
        <v>1</v>
      </c>
      <c r="J476" s="50" t="n">
        <f aca="false">IFERROR(INDEX('Output Utente'!$G$2:$G$492,MATCH(473,'Output Utente'!$Q$2:$Q$492,0)),"")</f>
        <v>1</v>
      </c>
      <c r="K476" s="50" t="n">
        <f aca="false">IFERROR(INDEX('Output Utente'!$H$2:$H$492,MATCH(473,'Output Utente'!$Q$2:$Q$492,0)),"")</f>
        <v>1</v>
      </c>
      <c r="L476" s="7" t="str">
        <f aca="false">IFERROR(INDEX('Output Utente'!$E$2:$E$492,MATCH(473,'Output Utente'!$Q$2:$Q$492,0)),"")</f>
        <v>NO</v>
      </c>
      <c r="M476" s="7" t="str">
        <f aca="false">IFERROR(INDEX('Output Utente'!$U$2:$U$492,MATCH(473,'Output Utente'!$Q$2:$Q$492,0)),"")</f>
        <v>OK</v>
      </c>
      <c r="N476" s="7" t="str">
        <f aca="false">IFERROR(INDEX('Output Utente'!$AE$2:$AE$492,MATCH(473,'Output Utente'!$Q$2:$Q$492,0)),"")</f>
        <v>🟡 Attesa rischiosa</v>
      </c>
    </row>
    <row r="477" customFormat="false" ht="15" hidden="false" customHeight="true" outlineLevel="0" collapsed="false">
      <c r="A477" s="49" t="n">
        <v>474</v>
      </c>
      <c r="B477" s="7" t="n">
        <f aca="false">IFERROR(INDEX('Output Utente'!$A$2:$A$492,MATCH(474,'Output Utente'!$Q$2:$Q$492,0)),"")</f>
        <v>6672</v>
      </c>
      <c r="C477" s="7" t="str">
        <f aca="false">IFERROR(INDEX('Output Utente'!$B$2:$B$492,MATCH(474,'Output Utente'!$Q$2:$Q$492,0)),"")</f>
        <v>D</v>
      </c>
      <c r="D477" s="7" t="str">
        <f aca="false">IFERROR(INDEX('Output Utente'!$C$2:$C$492,MATCH(474,'Output Utente'!$Q$2:$Q$492,0)),"")</f>
        <v>Idzes</v>
      </c>
      <c r="E477" s="7" t="str">
        <f aca="false">IFERROR(INDEX('Input Giocatori 2026_27'!$D$3:$D$493,MATCH($B477,'Input Giocatori 2026_27'!$A$3:$A$493,0)),"")</f>
        <v>Sassuolo</v>
      </c>
      <c r="F477" s="50" t="n">
        <f aca="false">IFERROR(INDEX('Output Utente'!$N$2:$N$492,MATCH(474,'Output Utente'!$Q$2:$Q$492,0)),"")</f>
        <v>7</v>
      </c>
      <c r="G477" s="50" t="n">
        <f aca="false">IFERROR(INDEX('Output Utente'!$O$2:$O$492,MATCH(474,'Output Utente'!$Q$2:$Q$492,0)),"")</f>
        <v>1</v>
      </c>
      <c r="H477" s="7" t="str">
        <f aca="false">IFERROR(INDEX('Output Utente'!$P$2:$P$492,MATCH(474,'Output Utente'!$Q$2:$Q$492,0)),"")</f>
        <v>Scommessa/Riserva</v>
      </c>
      <c r="I477" s="50" t="n">
        <f aca="false">IFERROR(INDEX('Output Utente'!$F$2:$F$492,MATCH(474,'Output Utente'!$Q$2:$Q$492,0)),"")</f>
        <v>1</v>
      </c>
      <c r="J477" s="50" t="n">
        <f aca="false">IFERROR(INDEX('Output Utente'!$G$2:$G$492,MATCH(474,'Output Utente'!$Q$2:$Q$492,0)),"")</f>
        <v>0</v>
      </c>
      <c r="K477" s="50" t="n">
        <f aca="false">IFERROR(INDEX('Output Utente'!$H$2:$H$492,MATCH(474,'Output Utente'!$Q$2:$Q$492,0)),"")</f>
        <v>1</v>
      </c>
      <c r="L477" s="7" t="str">
        <f aca="false">IFERROR(INDEX('Output Utente'!$E$2:$E$492,MATCH(474,'Output Utente'!$Q$2:$Q$492,0)),"")</f>
        <v>NO</v>
      </c>
      <c r="M477" s="7" t="str">
        <f aca="false">IFERROR(INDEX('Output Utente'!$U$2:$U$492,MATCH(474,'Output Utente'!$Q$2:$Q$492,0)),"")</f>
        <v>OK</v>
      </c>
      <c r="N477" s="7" t="str">
        <f aca="false">IFERROR(INDEX('Output Utente'!$AE$2:$AE$492,MATCH(474,'Output Utente'!$Q$2:$Q$492,0)),"")</f>
        <v>🟡 Attesa rischiosa</v>
      </c>
    </row>
    <row r="478" customFormat="false" ht="15" hidden="false" customHeight="true" outlineLevel="0" collapsed="false">
      <c r="A478" s="49" t="n">
        <v>475</v>
      </c>
      <c r="B478" s="7" t="n">
        <f aca="false">IFERROR(INDEX('Output Utente'!$A$2:$A$492,MATCH(475,'Output Utente'!$Q$2:$Q$492,0)),"")</f>
        <v>7346</v>
      </c>
      <c r="C478" s="7" t="str">
        <f aca="false">IFERROR(INDEX('Output Utente'!$B$2:$B$492,MATCH(475,'Output Utente'!$Q$2:$Q$492,0)),"")</f>
        <v>D</v>
      </c>
      <c r="D478" s="7" t="str">
        <f aca="false">IFERROR(INDEX('Output Utente'!$C$2:$C$492,MATCH(475,'Output Utente'!$Q$2:$Q$492,0)),"")</f>
        <v>Raterink</v>
      </c>
      <c r="E478" s="7" t="str">
        <f aca="false">IFERROR(INDEX('Input Giocatori 2026_27'!$D$3:$D$493,MATCH($B478,'Input Giocatori 2026_27'!$A$3:$A$493,0)),"")</f>
        <v>Cagliari</v>
      </c>
      <c r="F478" s="50" t="n">
        <f aca="false">IFERROR(INDEX('Output Utente'!$N$2:$N$492,MATCH(475,'Output Utente'!$Q$2:$Q$492,0)),"")</f>
        <v>1</v>
      </c>
      <c r="G478" s="50" t="n">
        <f aca="false">IFERROR(INDEX('Output Utente'!$O$2:$O$492,MATCH(475,'Output Utente'!$Q$2:$Q$492,0)),"")</f>
        <v>1</v>
      </c>
      <c r="H478" s="7" t="str">
        <f aca="false">IFERROR(INDEX('Output Utente'!$P$2:$P$492,MATCH(475,'Output Utente'!$Q$2:$Q$492,0)),"")</f>
        <v>Scommessa/Riserva</v>
      </c>
      <c r="I478" s="50" t="n">
        <f aca="false">IFERROR(INDEX('Output Utente'!$F$2:$F$492,MATCH(475,'Output Utente'!$Q$2:$Q$492,0)),"")</f>
        <v>1</v>
      </c>
      <c r="J478" s="50" t="n">
        <f aca="false">IFERROR(INDEX('Output Utente'!$G$2:$G$492,MATCH(475,'Output Utente'!$Q$2:$Q$492,0)),"")</f>
        <v>0</v>
      </c>
      <c r="K478" s="50" t="n">
        <f aca="false">IFERROR(INDEX('Output Utente'!$H$2:$H$492,MATCH(475,'Output Utente'!$Q$2:$Q$492,0)),"")</f>
        <v>1</v>
      </c>
      <c r="L478" s="7" t="str">
        <f aca="false">IFERROR(INDEX('Output Utente'!$E$2:$E$492,MATCH(475,'Output Utente'!$Q$2:$Q$492,0)),"")</f>
        <v>NO</v>
      </c>
      <c r="M478" s="7" t="str">
        <f aca="false">IFERROR(INDEX('Output Utente'!$U$2:$U$492,MATCH(475,'Output Utente'!$Q$2:$Q$492,0)),"")</f>
        <v>OK</v>
      </c>
      <c r="N478" s="7" t="str">
        <f aca="false">IFERROR(INDEX('Output Utente'!$AE$2:$AE$492,MATCH(475,'Output Utente'!$Q$2:$Q$492,0)),"")</f>
        <v>🟡 Attesa rischiosa</v>
      </c>
    </row>
    <row r="479" customFormat="false" ht="15" hidden="false" customHeight="true" outlineLevel="0" collapsed="false">
      <c r="A479" s="49" t="n">
        <v>476</v>
      </c>
      <c r="B479" s="7" t="n">
        <f aca="false">IFERROR(INDEX('Output Utente'!$A$2:$A$492,MATCH(476,'Output Utente'!$Q$2:$Q$492,0)),"")</f>
        <v>418</v>
      </c>
      <c r="C479" s="7" t="str">
        <f aca="false">IFERROR(INDEX('Output Utente'!$B$2:$B$492,MATCH(476,'Output Utente'!$Q$2:$Q$492,0)),"")</f>
        <v>D</v>
      </c>
      <c r="D479" s="7" t="str">
        <f aca="false">IFERROR(INDEX('Output Utente'!$C$2:$C$492,MATCH(476,'Output Utente'!$Q$2:$Q$492,0)),"")</f>
        <v>Goldaniga</v>
      </c>
      <c r="E479" s="7" t="str">
        <f aca="false">IFERROR(INDEX('Input Giocatori 2026_27'!$D$3:$D$493,MATCH($B479,'Input Giocatori 2026_27'!$A$3:$A$493,0)),"")</f>
        <v>Como</v>
      </c>
      <c r="F479" s="50" t="n">
        <f aca="false">IFERROR(INDEX('Output Utente'!$N$2:$N$492,MATCH(476,'Output Utente'!$Q$2:$Q$492,0)),"")</f>
        <v>1</v>
      </c>
      <c r="G479" s="50" t="n">
        <f aca="false">IFERROR(INDEX('Output Utente'!$O$2:$O$492,MATCH(476,'Output Utente'!$Q$2:$Q$492,0)),"")</f>
        <v>1</v>
      </c>
      <c r="H479" s="7" t="str">
        <f aca="false">IFERROR(INDEX('Output Utente'!$P$2:$P$492,MATCH(476,'Output Utente'!$Q$2:$Q$492,0)),"")</f>
        <v>Scommessa/Riserva</v>
      </c>
      <c r="I479" s="50" t="n">
        <f aca="false">IFERROR(INDEX('Output Utente'!$F$2:$F$492,MATCH(476,'Output Utente'!$Q$2:$Q$492,0)),"")</f>
        <v>1</v>
      </c>
      <c r="J479" s="50" t="n">
        <f aca="false">IFERROR(INDEX('Output Utente'!$G$2:$G$492,MATCH(476,'Output Utente'!$Q$2:$Q$492,0)),"")</f>
        <v>0</v>
      </c>
      <c r="K479" s="50" t="n">
        <f aca="false">IFERROR(INDEX('Output Utente'!$H$2:$H$492,MATCH(476,'Output Utente'!$Q$2:$Q$492,0)),"")</f>
        <v>1</v>
      </c>
      <c r="L479" s="7" t="str">
        <f aca="false">IFERROR(INDEX('Output Utente'!$E$2:$E$492,MATCH(476,'Output Utente'!$Q$2:$Q$492,0)),"")</f>
        <v>NO</v>
      </c>
      <c r="M479" s="7" t="str">
        <f aca="false">IFERROR(INDEX('Output Utente'!$U$2:$U$492,MATCH(476,'Output Utente'!$Q$2:$Q$492,0)),"")</f>
        <v>OK</v>
      </c>
      <c r="N479" s="7" t="str">
        <f aca="false">IFERROR(INDEX('Output Utente'!$AE$2:$AE$492,MATCH(476,'Output Utente'!$Q$2:$Q$492,0)),"")</f>
        <v>🟡 Attesa rischiosa</v>
      </c>
    </row>
    <row r="480" customFormat="false" ht="15" hidden="false" customHeight="true" outlineLevel="0" collapsed="false">
      <c r="A480" s="49" t="n">
        <v>477</v>
      </c>
      <c r="B480" s="7" t="n">
        <f aca="false">IFERROR(INDEX('Output Utente'!$A$2:$A$492,MATCH(477,'Output Utente'!$Q$2:$Q$492,0)),"")</f>
        <v>5424</v>
      </c>
      <c r="C480" s="7" t="str">
        <f aca="false">IFERROR(INDEX('Output Utente'!$B$2:$B$492,MATCH(477,'Output Utente'!$Q$2:$Q$492,0)),"")</f>
        <v>D</v>
      </c>
      <c r="D480" s="7" t="str">
        <f aca="false">IFERROR(INDEX('Output Utente'!$C$2:$C$492,MATCH(477,'Output Utente'!$Q$2:$Q$492,0)),"")</f>
        <v>Amey</v>
      </c>
      <c r="E480" s="7" t="str">
        <f aca="false">IFERROR(INDEX('Input Giocatori 2026_27'!$D$3:$D$493,MATCH($B480,'Input Giocatori 2026_27'!$A$3:$A$493,0)),"")</f>
        <v>Frosinone</v>
      </c>
      <c r="F480" s="50" t="n">
        <f aca="false">IFERROR(INDEX('Output Utente'!$N$2:$N$492,MATCH(477,'Output Utente'!$Q$2:$Q$492,0)),"")</f>
        <v>1</v>
      </c>
      <c r="G480" s="50" t="n">
        <f aca="false">IFERROR(INDEX('Output Utente'!$O$2:$O$492,MATCH(477,'Output Utente'!$Q$2:$Q$492,0)),"")</f>
        <v>1</v>
      </c>
      <c r="H480" s="7" t="str">
        <f aca="false">IFERROR(INDEX('Output Utente'!$P$2:$P$492,MATCH(477,'Output Utente'!$Q$2:$Q$492,0)),"")</f>
        <v>Scommessa/Riserva</v>
      </c>
      <c r="I480" s="50" t="n">
        <f aca="false">IFERROR(INDEX('Output Utente'!$F$2:$F$492,MATCH(477,'Output Utente'!$Q$2:$Q$492,0)),"")</f>
        <v>1</v>
      </c>
      <c r="J480" s="50" t="n">
        <f aca="false">IFERROR(INDEX('Output Utente'!$G$2:$G$492,MATCH(477,'Output Utente'!$Q$2:$Q$492,0)),"")</f>
        <v>0</v>
      </c>
      <c r="K480" s="50" t="n">
        <f aca="false">IFERROR(INDEX('Output Utente'!$H$2:$H$492,MATCH(477,'Output Utente'!$Q$2:$Q$492,0)),"")</f>
        <v>1</v>
      </c>
      <c r="L480" s="7" t="str">
        <f aca="false">IFERROR(INDEX('Output Utente'!$E$2:$E$492,MATCH(477,'Output Utente'!$Q$2:$Q$492,0)),"")</f>
        <v>NO</v>
      </c>
      <c r="M480" s="7" t="str">
        <f aca="false">IFERROR(INDEX('Output Utente'!$U$2:$U$492,MATCH(477,'Output Utente'!$Q$2:$Q$492,0)),"")</f>
        <v>OK</v>
      </c>
      <c r="N480" s="7" t="str">
        <f aca="false">IFERROR(INDEX('Output Utente'!$AE$2:$AE$492,MATCH(477,'Output Utente'!$Q$2:$Q$492,0)),"")</f>
        <v>🟡 Attesa rischiosa</v>
      </c>
    </row>
    <row r="481" customFormat="false" ht="15" hidden="false" customHeight="true" outlineLevel="0" collapsed="false">
      <c r="A481" s="49" t="n">
        <v>478</v>
      </c>
      <c r="B481" s="7" t="n">
        <f aca="false">IFERROR(INDEX('Output Utente'!$A$2:$A$492,MATCH(478,'Output Utente'!$Q$2:$Q$492,0)),"")</f>
        <v>7468</v>
      </c>
      <c r="C481" s="7" t="str">
        <f aca="false">IFERROR(INDEX('Output Utente'!$B$2:$B$492,MATCH(478,'Output Utente'!$Q$2:$Q$492,0)),"")</f>
        <v>D</v>
      </c>
      <c r="D481" s="7" t="str">
        <f aca="false">IFERROR(INDEX('Output Utente'!$C$2:$C$492,MATCH(478,'Output Utente'!$Q$2:$Q$492,0)),"")</f>
        <v>Gelli J.</v>
      </c>
      <c r="E481" s="7" t="str">
        <f aca="false">IFERROR(INDEX('Input Giocatori 2026_27'!$D$3:$D$493,MATCH($B481,'Input Giocatori 2026_27'!$A$3:$A$493,0)),"")</f>
        <v>Frosinone</v>
      </c>
      <c r="F481" s="50" t="n">
        <f aca="false">IFERROR(INDEX('Output Utente'!$N$2:$N$492,MATCH(478,'Output Utente'!$Q$2:$Q$492,0)),"")</f>
        <v>1</v>
      </c>
      <c r="G481" s="50" t="n">
        <f aca="false">IFERROR(INDEX('Output Utente'!$O$2:$O$492,MATCH(478,'Output Utente'!$Q$2:$Q$492,0)),"")</f>
        <v>1</v>
      </c>
      <c r="H481" s="7" t="str">
        <f aca="false">IFERROR(INDEX('Output Utente'!$P$2:$P$492,MATCH(478,'Output Utente'!$Q$2:$Q$492,0)),"")</f>
        <v>Scommessa/Riserva</v>
      </c>
      <c r="I481" s="50" t="n">
        <f aca="false">IFERROR(INDEX('Output Utente'!$F$2:$F$492,MATCH(478,'Output Utente'!$Q$2:$Q$492,0)),"")</f>
        <v>1</v>
      </c>
      <c r="J481" s="50" t="n">
        <f aca="false">IFERROR(INDEX('Output Utente'!$G$2:$G$492,MATCH(478,'Output Utente'!$Q$2:$Q$492,0)),"")</f>
        <v>0</v>
      </c>
      <c r="K481" s="50" t="n">
        <f aca="false">IFERROR(INDEX('Output Utente'!$H$2:$H$492,MATCH(478,'Output Utente'!$Q$2:$Q$492,0)),"")</f>
        <v>1</v>
      </c>
      <c r="L481" s="7" t="str">
        <f aca="false">IFERROR(INDEX('Output Utente'!$E$2:$E$492,MATCH(478,'Output Utente'!$Q$2:$Q$492,0)),"")</f>
        <v>NO</v>
      </c>
      <c r="M481" s="7" t="str">
        <f aca="false">IFERROR(INDEX('Output Utente'!$U$2:$U$492,MATCH(478,'Output Utente'!$Q$2:$Q$492,0)),"")</f>
        <v>OK</v>
      </c>
      <c r="N481" s="7" t="str">
        <f aca="false">IFERROR(INDEX('Output Utente'!$AE$2:$AE$492,MATCH(478,'Output Utente'!$Q$2:$Q$492,0)),"")</f>
        <v>🟡 Attesa rischiosa</v>
      </c>
    </row>
    <row r="482" customFormat="false" ht="15" hidden="false" customHeight="true" outlineLevel="0" collapsed="false">
      <c r="A482" s="49" t="n">
        <v>479</v>
      </c>
      <c r="B482" s="7" t="n">
        <f aca="false">IFERROR(INDEX('Output Utente'!$A$2:$A$492,MATCH(479,'Output Utente'!$Q$2:$Q$492,0)),"")</f>
        <v>7164</v>
      </c>
      <c r="C482" s="7" t="str">
        <f aca="false">IFERROR(INDEX('Output Utente'!$B$2:$B$492,MATCH(479,'Output Utente'!$Q$2:$Q$492,0)),"")</f>
        <v>D</v>
      </c>
      <c r="D482" s="7" t="str">
        <f aca="false">IFERROR(INDEX('Output Utente'!$C$2:$C$492,MATCH(479,'Output Utente'!$Q$2:$Q$492,0)),"")</f>
        <v>Perez M.</v>
      </c>
      <c r="E482" s="7" t="str">
        <f aca="false">IFERROR(INDEX('Input Giocatori 2026_27'!$D$3:$D$493,MATCH($B482,'Input Giocatori 2026_27'!$A$3:$A$493,0)),"")</f>
        <v>Lecce</v>
      </c>
      <c r="F482" s="50" t="n">
        <f aca="false">IFERROR(INDEX('Output Utente'!$N$2:$N$492,MATCH(479,'Output Utente'!$Q$2:$Q$492,0)),"")</f>
        <v>1</v>
      </c>
      <c r="G482" s="50" t="n">
        <f aca="false">IFERROR(INDEX('Output Utente'!$O$2:$O$492,MATCH(479,'Output Utente'!$Q$2:$Q$492,0)),"")</f>
        <v>1</v>
      </c>
      <c r="H482" s="7" t="str">
        <f aca="false">IFERROR(INDEX('Output Utente'!$P$2:$P$492,MATCH(479,'Output Utente'!$Q$2:$Q$492,0)),"")</f>
        <v>Scommessa/Riserva</v>
      </c>
      <c r="I482" s="50" t="n">
        <f aca="false">IFERROR(INDEX('Output Utente'!$F$2:$F$492,MATCH(479,'Output Utente'!$Q$2:$Q$492,0)),"")</f>
        <v>1</v>
      </c>
      <c r="J482" s="50" t="n">
        <f aca="false">IFERROR(INDEX('Output Utente'!$G$2:$G$492,MATCH(479,'Output Utente'!$Q$2:$Q$492,0)),"")</f>
        <v>0</v>
      </c>
      <c r="K482" s="50" t="n">
        <f aca="false">IFERROR(INDEX('Output Utente'!$H$2:$H$492,MATCH(479,'Output Utente'!$Q$2:$Q$492,0)),"")</f>
        <v>1</v>
      </c>
      <c r="L482" s="7" t="str">
        <f aca="false">IFERROR(INDEX('Output Utente'!$E$2:$E$492,MATCH(479,'Output Utente'!$Q$2:$Q$492,0)),"")</f>
        <v>NO</v>
      </c>
      <c r="M482" s="7" t="str">
        <f aca="false">IFERROR(INDEX('Output Utente'!$U$2:$U$492,MATCH(479,'Output Utente'!$Q$2:$Q$492,0)),"")</f>
        <v>OK</v>
      </c>
      <c r="N482" s="7" t="str">
        <f aca="false">IFERROR(INDEX('Output Utente'!$AE$2:$AE$492,MATCH(479,'Output Utente'!$Q$2:$Q$492,0)),"")</f>
        <v>🟡 Attesa rischiosa</v>
      </c>
    </row>
    <row r="483" customFormat="false" ht="15" hidden="false" customHeight="true" outlineLevel="0" collapsed="false">
      <c r="A483" s="49" t="n">
        <v>480</v>
      </c>
      <c r="B483" s="7" t="n">
        <f aca="false">IFERROR(INDEX('Output Utente'!$A$2:$A$492,MATCH(480,'Output Utente'!$Q$2:$Q$492,0)),"")</f>
        <v>7156</v>
      </c>
      <c r="C483" s="7" t="str">
        <f aca="false">IFERROR(INDEX('Output Utente'!$B$2:$B$492,MATCH(480,'Output Utente'!$Q$2:$Q$492,0)),"")</f>
        <v>D</v>
      </c>
      <c r="D483" s="7" t="str">
        <f aca="false">IFERROR(INDEX('Output Utente'!$C$2:$C$492,MATCH(480,'Output Utente'!$Q$2:$Q$492,0)),"")</f>
        <v>Pieragnolo</v>
      </c>
      <c r="E483" s="7" t="str">
        <f aca="false">IFERROR(INDEX('Input Giocatori 2026_27'!$D$3:$D$493,MATCH($B483,'Input Giocatori 2026_27'!$A$3:$A$493,0)),"")</f>
        <v>Sassuolo</v>
      </c>
      <c r="F483" s="50" t="n">
        <f aca="false">IFERROR(INDEX('Output Utente'!$N$2:$N$492,MATCH(480,'Output Utente'!$Q$2:$Q$492,0)),"")</f>
        <v>1</v>
      </c>
      <c r="G483" s="50" t="n">
        <f aca="false">IFERROR(INDEX('Output Utente'!$O$2:$O$492,MATCH(480,'Output Utente'!$Q$2:$Q$492,0)),"")</f>
        <v>1</v>
      </c>
      <c r="H483" s="7" t="str">
        <f aca="false">IFERROR(INDEX('Output Utente'!$P$2:$P$492,MATCH(480,'Output Utente'!$Q$2:$Q$492,0)),"")</f>
        <v>Scommessa/Riserva</v>
      </c>
      <c r="I483" s="50" t="n">
        <f aca="false">IFERROR(INDEX('Output Utente'!$F$2:$F$492,MATCH(480,'Output Utente'!$Q$2:$Q$492,0)),"")</f>
        <v>1</v>
      </c>
      <c r="J483" s="50" t="n">
        <f aca="false">IFERROR(INDEX('Output Utente'!$G$2:$G$492,MATCH(480,'Output Utente'!$Q$2:$Q$492,0)),"")</f>
        <v>0</v>
      </c>
      <c r="K483" s="50" t="n">
        <f aca="false">IFERROR(INDEX('Output Utente'!$H$2:$H$492,MATCH(480,'Output Utente'!$Q$2:$Q$492,0)),"")</f>
        <v>1</v>
      </c>
      <c r="L483" s="7" t="str">
        <f aca="false">IFERROR(INDEX('Output Utente'!$E$2:$E$492,MATCH(480,'Output Utente'!$Q$2:$Q$492,0)),"")</f>
        <v>NO</v>
      </c>
      <c r="M483" s="7" t="str">
        <f aca="false">IFERROR(INDEX('Output Utente'!$U$2:$U$492,MATCH(480,'Output Utente'!$Q$2:$Q$492,0)),"")</f>
        <v>OK</v>
      </c>
      <c r="N483" s="7" t="str">
        <f aca="false">IFERROR(INDEX('Output Utente'!$AE$2:$AE$492,MATCH(480,'Output Utente'!$Q$2:$Q$492,0)),"")</f>
        <v>🟡 Attesa rischiosa</v>
      </c>
    </row>
    <row r="484" customFormat="false" ht="15" hidden="false" customHeight="true" outlineLevel="0" collapsed="false">
      <c r="A484" s="49" t="n">
        <v>481</v>
      </c>
      <c r="B484" s="7" t="n">
        <f aca="false">IFERROR(INDEX('Output Utente'!$A$2:$A$492,MATCH(481,'Output Utente'!$Q$2:$Q$492,0)),"")</f>
        <v>7454</v>
      </c>
      <c r="C484" s="7" t="str">
        <f aca="false">IFERROR(INDEX('Output Utente'!$B$2:$B$492,MATCH(481,'Output Utente'!$Q$2:$Q$492,0)),"")</f>
        <v>D</v>
      </c>
      <c r="D484" s="7" t="str">
        <f aca="false">IFERROR(INDEX('Output Utente'!$C$2:$C$492,MATCH(481,'Output Utente'!$Q$2:$Q$492,0)),"")</f>
        <v>Gomes</v>
      </c>
      <c r="E484" s="7" t="str">
        <f aca="false">IFERROR(INDEX('Input Giocatori 2026_27'!$D$3:$D$493,MATCH($B484,'Input Giocatori 2026_27'!$A$3:$A$493,0)),"")</f>
        <v>Venezia</v>
      </c>
      <c r="F484" s="50" t="n">
        <f aca="false">IFERROR(INDEX('Output Utente'!$N$2:$N$492,MATCH(481,'Output Utente'!$Q$2:$Q$492,0)),"")</f>
        <v>1</v>
      </c>
      <c r="G484" s="50" t="n">
        <f aca="false">IFERROR(INDEX('Output Utente'!$O$2:$O$492,MATCH(481,'Output Utente'!$Q$2:$Q$492,0)),"")</f>
        <v>1</v>
      </c>
      <c r="H484" s="7" t="str">
        <f aca="false">IFERROR(INDEX('Output Utente'!$P$2:$P$492,MATCH(481,'Output Utente'!$Q$2:$Q$492,0)),"")</f>
        <v>Scommessa/Riserva</v>
      </c>
      <c r="I484" s="50" t="n">
        <f aca="false">IFERROR(INDEX('Output Utente'!$F$2:$F$492,MATCH(481,'Output Utente'!$Q$2:$Q$492,0)),"")</f>
        <v>1</v>
      </c>
      <c r="J484" s="50" t="n">
        <f aca="false">IFERROR(INDEX('Output Utente'!$G$2:$G$492,MATCH(481,'Output Utente'!$Q$2:$Q$492,0)),"")</f>
        <v>0</v>
      </c>
      <c r="K484" s="50" t="n">
        <f aca="false">IFERROR(INDEX('Output Utente'!$H$2:$H$492,MATCH(481,'Output Utente'!$Q$2:$Q$492,0)),"")</f>
        <v>1</v>
      </c>
      <c r="L484" s="7" t="str">
        <f aca="false">IFERROR(INDEX('Output Utente'!$E$2:$E$492,MATCH(481,'Output Utente'!$Q$2:$Q$492,0)),"")</f>
        <v>NO</v>
      </c>
      <c r="M484" s="7" t="str">
        <f aca="false">IFERROR(INDEX('Output Utente'!$U$2:$U$492,MATCH(481,'Output Utente'!$Q$2:$Q$492,0)),"")</f>
        <v>OK</v>
      </c>
      <c r="N484" s="7" t="str">
        <f aca="false">IFERROR(INDEX('Output Utente'!$AE$2:$AE$492,MATCH(481,'Output Utente'!$Q$2:$Q$492,0)),"")</f>
        <v>🟡 Attesa rischiosa</v>
      </c>
    </row>
    <row r="485" customFormat="false" ht="15" hidden="false" customHeight="true" outlineLevel="0" collapsed="false">
      <c r="A485" s="49" t="n">
        <v>482</v>
      </c>
      <c r="B485" s="7" t="n">
        <f aca="false">IFERROR(INDEX('Output Utente'!$A$2:$A$492,MATCH(482,'Output Utente'!$Q$2:$Q$492,0)),"")</f>
        <v>7165</v>
      </c>
      <c r="C485" s="7" t="str">
        <f aca="false">IFERROR(INDEX('Output Utente'!$B$2:$B$492,MATCH(482,'Output Utente'!$Q$2:$Q$492,0)),"")</f>
        <v>C</v>
      </c>
      <c r="D485" s="7" t="str">
        <f aca="false">IFERROR(INDEX('Output Utente'!$C$2:$C$492,MATCH(482,'Output Utente'!$Q$2:$Q$492,0)),"")</f>
        <v>Liteta</v>
      </c>
      <c r="E485" s="7" t="str">
        <f aca="false">IFERROR(INDEX('Input Giocatori 2026_27'!$D$3:$D$493,MATCH($B485,'Input Giocatori 2026_27'!$A$3:$A$493,0)),"")</f>
        <v>Cagliari</v>
      </c>
      <c r="F485" s="50" t="n">
        <f aca="false">IFERROR(INDEX('Output Utente'!$N$2:$N$492,MATCH(482,'Output Utente'!$Q$2:$Q$492,0)),"")</f>
        <v>1</v>
      </c>
      <c r="G485" s="50" t="n">
        <f aca="false">IFERROR(INDEX('Output Utente'!$O$2:$O$492,MATCH(482,'Output Utente'!$Q$2:$Q$492,0)),"")</f>
        <v>1</v>
      </c>
      <c r="H485" s="7" t="str">
        <f aca="false">IFERROR(INDEX('Output Utente'!$P$2:$P$492,MATCH(482,'Output Utente'!$Q$2:$Q$492,0)),"")</f>
        <v>Scommessa/Riserva</v>
      </c>
      <c r="I485" s="50" t="n">
        <f aca="false">IFERROR(INDEX('Output Utente'!$F$2:$F$492,MATCH(482,'Output Utente'!$Q$2:$Q$492,0)),"")</f>
        <v>1</v>
      </c>
      <c r="J485" s="50" t="n">
        <f aca="false">IFERROR(INDEX('Output Utente'!$G$2:$G$492,MATCH(482,'Output Utente'!$Q$2:$Q$492,0)),"")</f>
        <v>0</v>
      </c>
      <c r="K485" s="50" t="n">
        <f aca="false">IFERROR(INDEX('Output Utente'!$H$2:$H$492,MATCH(482,'Output Utente'!$Q$2:$Q$492,0)),"")</f>
        <v>1</v>
      </c>
      <c r="L485" s="7" t="str">
        <f aca="false">IFERROR(INDEX('Output Utente'!$E$2:$E$492,MATCH(482,'Output Utente'!$Q$2:$Q$492,0)),"")</f>
        <v>NO</v>
      </c>
      <c r="M485" s="7" t="str">
        <f aca="false">IFERROR(INDEX('Output Utente'!$U$2:$U$492,MATCH(482,'Output Utente'!$Q$2:$Q$492,0)),"")</f>
        <v>OK</v>
      </c>
      <c r="N485" s="7" t="str">
        <f aca="false">IFERROR(INDEX('Output Utente'!$AE$2:$AE$492,MATCH(482,'Output Utente'!$Q$2:$Q$492,0)),"")</f>
        <v>🟡 Attesa rischiosa</v>
      </c>
    </row>
    <row r="486" customFormat="false" ht="15" hidden="false" customHeight="true" outlineLevel="0" collapsed="false">
      <c r="A486" s="49" t="n">
        <v>483</v>
      </c>
      <c r="B486" s="7" t="n">
        <f aca="false">IFERROR(INDEX('Output Utente'!$A$2:$A$492,MATCH(483,'Output Utente'!$Q$2:$Q$492,0)),"")</f>
        <v>7357</v>
      </c>
      <c r="C486" s="7" t="str">
        <f aca="false">IFERROR(INDEX('Output Utente'!$B$2:$B$492,MATCH(483,'Output Utente'!$Q$2:$Q$492,0)),"")</f>
        <v>C</v>
      </c>
      <c r="D486" s="7" t="str">
        <f aca="false">IFERROR(INDEX('Output Utente'!$C$2:$C$492,MATCH(483,'Output Utente'!$Q$2:$Q$492,0)),"")</f>
        <v>Lahdo</v>
      </c>
      <c r="E486" s="7" t="str">
        <f aca="false">IFERROR(INDEX('Input Giocatori 2026_27'!$D$3:$D$493,MATCH($B486,'Input Giocatori 2026_27'!$A$3:$A$493,0)),"")</f>
        <v>Como</v>
      </c>
      <c r="F486" s="50" t="n">
        <f aca="false">IFERROR(INDEX('Output Utente'!$N$2:$N$492,MATCH(483,'Output Utente'!$Q$2:$Q$492,0)),"")</f>
        <v>1</v>
      </c>
      <c r="G486" s="50" t="n">
        <f aca="false">IFERROR(INDEX('Output Utente'!$O$2:$O$492,MATCH(483,'Output Utente'!$Q$2:$Q$492,0)),"")</f>
        <v>1</v>
      </c>
      <c r="H486" s="7" t="str">
        <f aca="false">IFERROR(INDEX('Output Utente'!$P$2:$P$492,MATCH(483,'Output Utente'!$Q$2:$Q$492,0)),"")</f>
        <v>Scommessa/Riserva</v>
      </c>
      <c r="I486" s="50" t="n">
        <f aca="false">IFERROR(INDEX('Output Utente'!$F$2:$F$492,MATCH(483,'Output Utente'!$Q$2:$Q$492,0)),"")</f>
        <v>1</v>
      </c>
      <c r="J486" s="50" t="n">
        <f aca="false">IFERROR(INDEX('Output Utente'!$G$2:$G$492,MATCH(483,'Output Utente'!$Q$2:$Q$492,0)),"")</f>
        <v>0</v>
      </c>
      <c r="K486" s="50" t="n">
        <f aca="false">IFERROR(INDEX('Output Utente'!$H$2:$H$492,MATCH(483,'Output Utente'!$Q$2:$Q$492,0)),"")</f>
        <v>1</v>
      </c>
      <c r="L486" s="7" t="str">
        <f aca="false">IFERROR(INDEX('Output Utente'!$E$2:$E$492,MATCH(483,'Output Utente'!$Q$2:$Q$492,0)),"")</f>
        <v>NO</v>
      </c>
      <c r="M486" s="7" t="str">
        <f aca="false">IFERROR(INDEX('Output Utente'!$U$2:$U$492,MATCH(483,'Output Utente'!$Q$2:$Q$492,0)),"")</f>
        <v>OK</v>
      </c>
      <c r="N486" s="7" t="str">
        <f aca="false">IFERROR(INDEX('Output Utente'!$AE$2:$AE$492,MATCH(483,'Output Utente'!$Q$2:$Q$492,0)),"")</f>
        <v>🟡 Attesa rischiosa</v>
      </c>
    </row>
    <row r="487" customFormat="false" ht="15" hidden="false" customHeight="true" outlineLevel="0" collapsed="false">
      <c r="A487" s="49" t="n">
        <v>484</v>
      </c>
      <c r="B487" s="7" t="n">
        <f aca="false">IFERROR(INDEX('Output Utente'!$A$2:$A$492,MATCH(484,'Output Utente'!$Q$2:$Q$492,0)),"")</f>
        <v>7319</v>
      </c>
      <c r="C487" s="7" t="str">
        <f aca="false">IFERROR(INDEX('Output Utente'!$B$2:$B$492,MATCH(484,'Output Utente'!$Q$2:$Q$492,0)),"")</f>
        <v>C</v>
      </c>
      <c r="D487" s="7" t="str">
        <f aca="false">IFERROR(INDEX('Output Utente'!$C$2:$C$492,MATCH(484,'Output Utente'!$Q$2:$Q$492,0)),"")</f>
        <v>Fofana Sa.</v>
      </c>
      <c r="E487" s="7" t="str">
        <f aca="false">IFERROR(INDEX('Input Giocatori 2026_27'!$D$3:$D$493,MATCH($B487,'Input Giocatori 2026_27'!$A$3:$A$493,0)),"")</f>
        <v>Lecce</v>
      </c>
      <c r="F487" s="50" t="n">
        <f aca="false">IFERROR(INDEX('Output Utente'!$N$2:$N$492,MATCH(484,'Output Utente'!$Q$2:$Q$492,0)),"")</f>
        <v>1</v>
      </c>
      <c r="G487" s="50" t="n">
        <f aca="false">IFERROR(INDEX('Output Utente'!$O$2:$O$492,MATCH(484,'Output Utente'!$Q$2:$Q$492,0)),"")</f>
        <v>1</v>
      </c>
      <c r="H487" s="7" t="str">
        <f aca="false">IFERROR(INDEX('Output Utente'!$P$2:$P$492,MATCH(484,'Output Utente'!$Q$2:$Q$492,0)),"")</f>
        <v>Scommessa/Riserva</v>
      </c>
      <c r="I487" s="50" t="n">
        <f aca="false">IFERROR(INDEX('Output Utente'!$F$2:$F$492,MATCH(484,'Output Utente'!$Q$2:$Q$492,0)),"")</f>
        <v>1</v>
      </c>
      <c r="J487" s="50" t="n">
        <f aca="false">IFERROR(INDEX('Output Utente'!$G$2:$G$492,MATCH(484,'Output Utente'!$Q$2:$Q$492,0)),"")</f>
        <v>0</v>
      </c>
      <c r="K487" s="50" t="n">
        <f aca="false">IFERROR(INDEX('Output Utente'!$H$2:$H$492,MATCH(484,'Output Utente'!$Q$2:$Q$492,0)),"")</f>
        <v>1</v>
      </c>
      <c r="L487" s="7" t="str">
        <f aca="false">IFERROR(INDEX('Output Utente'!$E$2:$E$492,MATCH(484,'Output Utente'!$Q$2:$Q$492,0)),"")</f>
        <v>NO</v>
      </c>
      <c r="M487" s="7" t="str">
        <f aca="false">IFERROR(INDEX('Output Utente'!$U$2:$U$492,MATCH(484,'Output Utente'!$Q$2:$Q$492,0)),"")</f>
        <v>OK</v>
      </c>
      <c r="N487" s="7" t="str">
        <f aca="false">IFERROR(INDEX('Output Utente'!$AE$2:$AE$492,MATCH(484,'Output Utente'!$Q$2:$Q$492,0)),"")</f>
        <v>🟡 Attesa rischiosa</v>
      </c>
    </row>
    <row r="488" customFormat="false" ht="15" hidden="false" customHeight="true" outlineLevel="0" collapsed="false">
      <c r="A488" s="49" t="n">
        <v>485</v>
      </c>
      <c r="B488" s="7" t="n">
        <f aca="false">IFERROR(INDEX('Output Utente'!$A$2:$A$492,MATCH(485,'Output Utente'!$Q$2:$Q$492,0)),"")</f>
        <v>7157</v>
      </c>
      <c r="C488" s="7" t="str">
        <f aca="false">IFERROR(INDEX('Output Utente'!$B$2:$B$492,MATCH(485,'Output Utente'!$Q$2:$Q$492,0)),"")</f>
        <v>C</v>
      </c>
      <c r="D488" s="7" t="str">
        <f aca="false">IFERROR(INDEX('Output Utente'!$C$2:$C$492,MATCH(485,'Output Utente'!$Q$2:$Q$492,0)),"")</f>
        <v>Iannoni</v>
      </c>
      <c r="E488" s="7" t="str">
        <f aca="false">IFERROR(INDEX('Input Giocatori 2026_27'!$D$3:$D$493,MATCH($B488,'Input Giocatori 2026_27'!$A$3:$A$493,0)),"")</f>
        <v>Sassuolo</v>
      </c>
      <c r="F488" s="50" t="n">
        <f aca="false">IFERROR(INDEX('Output Utente'!$N$2:$N$492,MATCH(485,'Output Utente'!$Q$2:$Q$492,0)),"")</f>
        <v>1</v>
      </c>
      <c r="G488" s="50" t="n">
        <f aca="false">IFERROR(INDEX('Output Utente'!$O$2:$O$492,MATCH(485,'Output Utente'!$Q$2:$Q$492,0)),"")</f>
        <v>1</v>
      </c>
      <c r="H488" s="7" t="str">
        <f aca="false">IFERROR(INDEX('Output Utente'!$P$2:$P$492,MATCH(485,'Output Utente'!$Q$2:$Q$492,0)),"")</f>
        <v>Scommessa/Riserva</v>
      </c>
      <c r="I488" s="50" t="n">
        <f aca="false">IFERROR(INDEX('Output Utente'!$F$2:$F$492,MATCH(485,'Output Utente'!$Q$2:$Q$492,0)),"")</f>
        <v>1</v>
      </c>
      <c r="J488" s="50" t="n">
        <f aca="false">IFERROR(INDEX('Output Utente'!$G$2:$G$492,MATCH(485,'Output Utente'!$Q$2:$Q$492,0)),"")</f>
        <v>0</v>
      </c>
      <c r="K488" s="50" t="n">
        <f aca="false">IFERROR(INDEX('Output Utente'!$H$2:$H$492,MATCH(485,'Output Utente'!$Q$2:$Q$492,0)),"")</f>
        <v>1</v>
      </c>
      <c r="L488" s="7" t="str">
        <f aca="false">IFERROR(INDEX('Output Utente'!$E$2:$E$492,MATCH(485,'Output Utente'!$Q$2:$Q$492,0)),"")</f>
        <v>NO</v>
      </c>
      <c r="M488" s="7" t="str">
        <f aca="false">IFERROR(INDEX('Output Utente'!$U$2:$U$492,MATCH(485,'Output Utente'!$Q$2:$Q$492,0)),"")</f>
        <v>OK</v>
      </c>
      <c r="N488" s="7" t="str">
        <f aca="false">IFERROR(INDEX('Output Utente'!$AE$2:$AE$492,MATCH(485,'Output Utente'!$Q$2:$Q$492,0)),"")</f>
        <v>🟡 Attesa rischiosa</v>
      </c>
    </row>
    <row r="489" customFormat="false" ht="15" hidden="false" customHeight="true" outlineLevel="0" collapsed="false">
      <c r="A489" s="49" t="n">
        <v>486</v>
      </c>
      <c r="B489" s="7" t="n">
        <f aca="false">IFERROR(INDEX('Output Utente'!$A$2:$A$492,MATCH(486,'Output Utente'!$Q$2:$Q$492,0)),"")</f>
        <v>7481</v>
      </c>
      <c r="C489" s="7" t="str">
        <f aca="false">IFERROR(INDEX('Output Utente'!$B$2:$B$492,MATCH(486,'Output Utente'!$Q$2:$Q$492,0)),"")</f>
        <v>C</v>
      </c>
      <c r="D489" s="7" t="str">
        <f aca="false">IFERROR(INDEX('Output Utente'!$C$2:$C$492,MATCH(486,'Output Utente'!$Q$2:$Q$492,0)),"")</f>
        <v>Dagasso</v>
      </c>
      <c r="E489" s="7" t="str">
        <f aca="false">IFERROR(INDEX('Input Giocatori 2026_27'!$D$3:$D$493,MATCH($B489,'Input Giocatori 2026_27'!$A$3:$A$493,0)),"")</f>
        <v>Venezia</v>
      </c>
      <c r="F489" s="50" t="n">
        <f aca="false">IFERROR(INDEX('Output Utente'!$N$2:$N$492,MATCH(486,'Output Utente'!$Q$2:$Q$492,0)),"")</f>
        <v>1</v>
      </c>
      <c r="G489" s="50" t="n">
        <f aca="false">IFERROR(INDEX('Output Utente'!$O$2:$O$492,MATCH(486,'Output Utente'!$Q$2:$Q$492,0)),"")</f>
        <v>1</v>
      </c>
      <c r="H489" s="7" t="str">
        <f aca="false">IFERROR(INDEX('Output Utente'!$P$2:$P$492,MATCH(486,'Output Utente'!$Q$2:$Q$492,0)),"")</f>
        <v>Scommessa/Riserva</v>
      </c>
      <c r="I489" s="50" t="n">
        <f aca="false">IFERROR(INDEX('Output Utente'!$F$2:$F$492,MATCH(486,'Output Utente'!$Q$2:$Q$492,0)),"")</f>
        <v>1</v>
      </c>
      <c r="J489" s="50" t="n">
        <f aca="false">IFERROR(INDEX('Output Utente'!$G$2:$G$492,MATCH(486,'Output Utente'!$Q$2:$Q$492,0)),"")</f>
        <v>0</v>
      </c>
      <c r="K489" s="50" t="n">
        <f aca="false">IFERROR(INDEX('Output Utente'!$H$2:$H$492,MATCH(486,'Output Utente'!$Q$2:$Q$492,0)),"")</f>
        <v>1</v>
      </c>
      <c r="L489" s="7" t="str">
        <f aca="false">IFERROR(INDEX('Output Utente'!$E$2:$E$492,MATCH(486,'Output Utente'!$Q$2:$Q$492,0)),"")</f>
        <v>NO</v>
      </c>
      <c r="M489" s="7" t="str">
        <f aca="false">IFERROR(INDEX('Output Utente'!$U$2:$U$492,MATCH(486,'Output Utente'!$Q$2:$Q$492,0)),"")</f>
        <v>OK</v>
      </c>
      <c r="N489" s="7" t="str">
        <f aca="false">IFERROR(INDEX('Output Utente'!$AE$2:$AE$492,MATCH(486,'Output Utente'!$Q$2:$Q$492,0)),"")</f>
        <v>🟡 Attesa rischiosa</v>
      </c>
    </row>
    <row r="490" customFormat="false" ht="15" hidden="false" customHeight="true" outlineLevel="0" collapsed="false">
      <c r="A490" s="49" t="n">
        <v>487</v>
      </c>
      <c r="B490" s="7" t="n">
        <f aca="false">IFERROR(INDEX('Output Utente'!$A$2:$A$492,MATCH(487,'Output Utente'!$Q$2:$Q$492,0)),"")</f>
        <v>7338</v>
      </c>
      <c r="C490" s="7" t="str">
        <f aca="false">IFERROR(INDEX('Output Utente'!$B$2:$B$492,MATCH(487,'Output Utente'!$Q$2:$Q$492,0)),"")</f>
        <v>A</v>
      </c>
      <c r="D490" s="7" t="str">
        <f aca="false">IFERROR(INDEX('Output Utente'!$C$2:$C$492,MATCH(487,'Output Utente'!$Q$2:$Q$492,0)),"")</f>
        <v>Albarracin</v>
      </c>
      <c r="E490" s="7" t="str">
        <f aca="false">IFERROR(INDEX('Input Giocatori 2026_27'!$D$3:$D$493,MATCH($B490,'Input Giocatori 2026_27'!$A$3:$A$493,0)),"")</f>
        <v>Cagliari</v>
      </c>
      <c r="F490" s="50" t="n">
        <f aca="false">IFERROR(INDEX('Output Utente'!$N$2:$N$492,MATCH(487,'Output Utente'!$Q$2:$Q$492,0)),"")</f>
        <v>1</v>
      </c>
      <c r="G490" s="50" t="n">
        <f aca="false">IFERROR(INDEX('Output Utente'!$O$2:$O$492,MATCH(487,'Output Utente'!$Q$2:$Q$492,0)),"")</f>
        <v>1</v>
      </c>
      <c r="H490" s="7" t="str">
        <f aca="false">IFERROR(INDEX('Output Utente'!$P$2:$P$492,MATCH(487,'Output Utente'!$Q$2:$Q$492,0)),"")</f>
        <v>Scommessa/Riserva</v>
      </c>
      <c r="I490" s="50" t="n">
        <f aca="false">IFERROR(INDEX('Output Utente'!$F$2:$F$492,MATCH(487,'Output Utente'!$Q$2:$Q$492,0)),"")</f>
        <v>1</v>
      </c>
      <c r="J490" s="50" t="n">
        <f aca="false">IFERROR(INDEX('Output Utente'!$G$2:$G$492,MATCH(487,'Output Utente'!$Q$2:$Q$492,0)),"")</f>
        <v>1</v>
      </c>
      <c r="K490" s="50" t="n">
        <f aca="false">IFERROR(INDEX('Output Utente'!$H$2:$H$492,MATCH(487,'Output Utente'!$Q$2:$Q$492,0)),"")</f>
        <v>1</v>
      </c>
      <c r="L490" s="7" t="str">
        <f aca="false">IFERROR(INDEX('Output Utente'!$E$2:$E$492,MATCH(487,'Output Utente'!$Q$2:$Q$492,0)),"")</f>
        <v>NO</v>
      </c>
      <c r="M490" s="7" t="str">
        <f aca="false">IFERROR(INDEX('Output Utente'!$U$2:$U$492,MATCH(487,'Output Utente'!$Q$2:$Q$492,0)),"")</f>
        <v>OK</v>
      </c>
      <c r="N490" s="7" t="str">
        <f aca="false">IFERROR(INDEX('Output Utente'!$AE$2:$AE$492,MATCH(487,'Output Utente'!$Q$2:$Q$492,0)),"")</f>
        <v>🔴 Non aspettare</v>
      </c>
    </row>
    <row r="491" customFormat="false" ht="15" hidden="false" customHeight="true" outlineLevel="0" collapsed="false">
      <c r="A491" s="49" t="n">
        <v>488</v>
      </c>
      <c r="B491" s="7" t="n">
        <f aca="false">IFERROR(INDEX('Output Utente'!$A$2:$A$492,MATCH(488,'Output Utente'!$Q$2:$Q$492,0)),"")</f>
        <v>7027</v>
      </c>
      <c r="C491" s="7" t="str">
        <f aca="false">IFERROR(INDEX('Output Utente'!$B$2:$B$492,MATCH(488,'Output Utente'!$Q$2:$Q$492,0)),"")</f>
        <v>A</v>
      </c>
      <c r="D491" s="7" t="str">
        <f aca="false">IFERROR(INDEX('Output Utente'!$C$2:$C$492,MATCH(488,'Output Utente'!$Q$2:$Q$492,0)),"")</f>
        <v>Azon</v>
      </c>
      <c r="E491" s="7" t="str">
        <f aca="false">IFERROR(INDEX('Input Giocatori 2026_27'!$D$3:$D$493,MATCH($B491,'Input Giocatori 2026_27'!$A$3:$A$493,0)),"")</f>
        <v>Como</v>
      </c>
      <c r="F491" s="50" t="n">
        <f aca="false">IFERROR(INDEX('Output Utente'!$N$2:$N$492,MATCH(488,'Output Utente'!$Q$2:$Q$492,0)),"")</f>
        <v>1</v>
      </c>
      <c r="G491" s="50" t="n">
        <f aca="false">IFERROR(INDEX('Output Utente'!$O$2:$O$492,MATCH(488,'Output Utente'!$Q$2:$Q$492,0)),"")</f>
        <v>1</v>
      </c>
      <c r="H491" s="7" t="str">
        <f aca="false">IFERROR(INDEX('Output Utente'!$P$2:$P$492,MATCH(488,'Output Utente'!$Q$2:$Q$492,0)),"")</f>
        <v>Scommessa/Riserva</v>
      </c>
      <c r="I491" s="50" t="n">
        <f aca="false">IFERROR(INDEX('Output Utente'!$F$2:$F$492,MATCH(488,'Output Utente'!$Q$2:$Q$492,0)),"")</f>
        <v>1</v>
      </c>
      <c r="J491" s="50" t="n">
        <f aca="false">IFERROR(INDEX('Output Utente'!$G$2:$G$492,MATCH(488,'Output Utente'!$Q$2:$Q$492,0)),"")</f>
        <v>1</v>
      </c>
      <c r="K491" s="50" t="n">
        <f aca="false">IFERROR(INDEX('Output Utente'!$H$2:$H$492,MATCH(488,'Output Utente'!$Q$2:$Q$492,0)),"")</f>
        <v>1</v>
      </c>
      <c r="L491" s="7" t="str">
        <f aca="false">IFERROR(INDEX('Output Utente'!$E$2:$E$492,MATCH(488,'Output Utente'!$Q$2:$Q$492,0)),"")</f>
        <v>NO</v>
      </c>
      <c r="M491" s="7" t="str">
        <f aca="false">IFERROR(INDEX('Output Utente'!$U$2:$U$492,MATCH(488,'Output Utente'!$Q$2:$Q$492,0)),"")</f>
        <v>OK</v>
      </c>
      <c r="N491" s="7" t="str">
        <f aca="false">IFERROR(INDEX('Output Utente'!$AE$2:$AE$492,MATCH(488,'Output Utente'!$Q$2:$Q$492,0)),"")</f>
        <v>🔴 Non aspettare</v>
      </c>
    </row>
    <row r="492" customFormat="false" ht="15" hidden="false" customHeight="true" outlineLevel="0" collapsed="false">
      <c r="A492" s="49" t="n">
        <v>489</v>
      </c>
      <c r="B492" s="7" t="n">
        <f aca="false">IFERROR(INDEX('Output Utente'!$A$2:$A$492,MATCH(489,'Output Utente'!$Q$2:$Q$492,0)),"")</f>
        <v>7158</v>
      </c>
      <c r="C492" s="7" t="str">
        <f aca="false">IFERROR(INDEX('Output Utente'!$B$2:$B$492,MATCH(489,'Output Utente'!$Q$2:$Q$492,0)),"")</f>
        <v>A</v>
      </c>
      <c r="D492" s="7" t="str">
        <f aca="false">IFERROR(INDEX('Output Utente'!$C$2:$C$492,MATCH(489,'Output Utente'!$Q$2:$Q$492,0)),"")</f>
        <v>Moro L.</v>
      </c>
      <c r="E492" s="7" t="str">
        <f aca="false">IFERROR(INDEX('Input Giocatori 2026_27'!$D$3:$D$493,MATCH($B492,'Input Giocatori 2026_27'!$A$3:$A$493,0)),"")</f>
        <v>Sassuolo</v>
      </c>
      <c r="F492" s="50" t="n">
        <f aca="false">IFERROR(INDEX('Output Utente'!$N$2:$N$492,MATCH(489,'Output Utente'!$Q$2:$Q$492,0)),"")</f>
        <v>1</v>
      </c>
      <c r="G492" s="50" t="n">
        <f aca="false">IFERROR(INDEX('Output Utente'!$O$2:$O$492,MATCH(489,'Output Utente'!$Q$2:$Q$492,0)),"")</f>
        <v>1</v>
      </c>
      <c r="H492" s="7" t="str">
        <f aca="false">IFERROR(INDEX('Output Utente'!$P$2:$P$492,MATCH(489,'Output Utente'!$Q$2:$Q$492,0)),"")</f>
        <v>Scommessa/Riserva</v>
      </c>
      <c r="I492" s="50" t="n">
        <f aca="false">IFERROR(INDEX('Output Utente'!$F$2:$F$492,MATCH(489,'Output Utente'!$Q$2:$Q$492,0)),"")</f>
        <v>1</v>
      </c>
      <c r="J492" s="50" t="n">
        <f aca="false">IFERROR(INDEX('Output Utente'!$G$2:$G$492,MATCH(489,'Output Utente'!$Q$2:$Q$492,0)),"")</f>
        <v>1</v>
      </c>
      <c r="K492" s="50" t="n">
        <f aca="false">IFERROR(INDEX('Output Utente'!$H$2:$H$492,MATCH(489,'Output Utente'!$Q$2:$Q$492,0)),"")</f>
        <v>1</v>
      </c>
      <c r="L492" s="7" t="str">
        <f aca="false">IFERROR(INDEX('Output Utente'!$E$2:$E$492,MATCH(489,'Output Utente'!$Q$2:$Q$492,0)),"")</f>
        <v>NO</v>
      </c>
      <c r="M492" s="7" t="str">
        <f aca="false">IFERROR(INDEX('Output Utente'!$U$2:$U$492,MATCH(489,'Output Utente'!$Q$2:$Q$492,0)),"")</f>
        <v>OK</v>
      </c>
      <c r="N492" s="7" t="str">
        <f aca="false">IFERROR(INDEX('Output Utente'!$AE$2:$AE$492,MATCH(489,'Output Utente'!$Q$2:$Q$492,0)),"")</f>
        <v>🔴 Non aspettare</v>
      </c>
    </row>
    <row r="493" customFormat="false" ht="15" hidden="false" customHeight="true" outlineLevel="0" collapsed="false">
      <c r="A493" s="49" t="n">
        <v>490</v>
      </c>
      <c r="B493" s="7" t="n">
        <f aca="false">IFERROR(INDEX('Output Utente'!$A$2:$A$492,MATCH(490,'Output Utente'!$Q$2:$Q$492,0)),"")</f>
        <v>7408</v>
      </c>
      <c r="C493" s="7" t="str">
        <f aca="false">IFERROR(INDEX('Output Utente'!$B$2:$B$492,MATCH(490,'Output Utente'!$Q$2:$Q$492,0)),"")</f>
        <v>A</v>
      </c>
      <c r="D493" s="7" t="str">
        <f aca="false">IFERROR(INDEX('Output Utente'!$C$2:$C$492,MATCH(490,'Output Utente'!$Q$2:$Q$492,0)),"")</f>
        <v>Lisman</v>
      </c>
      <c r="E493" s="7" t="str">
        <f aca="false">IFERROR(INDEX('Input Giocatori 2026_27'!$D$3:$D$493,MATCH($B493,'Input Giocatori 2026_27'!$A$3:$A$493,0)),"")</f>
        <v>Venezia</v>
      </c>
      <c r="F493" s="50" t="n">
        <f aca="false">IFERROR(INDEX('Output Utente'!$N$2:$N$492,MATCH(490,'Output Utente'!$Q$2:$Q$492,0)),"")</f>
        <v>1</v>
      </c>
      <c r="G493" s="50" t="n">
        <f aca="false">IFERROR(INDEX('Output Utente'!$O$2:$O$492,MATCH(490,'Output Utente'!$Q$2:$Q$492,0)),"")</f>
        <v>1</v>
      </c>
      <c r="H493" s="7" t="str">
        <f aca="false">IFERROR(INDEX('Output Utente'!$P$2:$P$492,MATCH(490,'Output Utente'!$Q$2:$Q$492,0)),"")</f>
        <v>Scommessa/Riserva</v>
      </c>
      <c r="I493" s="50" t="n">
        <f aca="false">IFERROR(INDEX('Output Utente'!$F$2:$F$492,MATCH(490,'Output Utente'!$Q$2:$Q$492,0)),"")</f>
        <v>1</v>
      </c>
      <c r="J493" s="50" t="n">
        <f aca="false">IFERROR(INDEX('Output Utente'!$G$2:$G$492,MATCH(490,'Output Utente'!$Q$2:$Q$492,0)),"")</f>
        <v>1</v>
      </c>
      <c r="K493" s="50" t="n">
        <f aca="false">IFERROR(INDEX('Output Utente'!$H$2:$H$492,MATCH(490,'Output Utente'!$Q$2:$Q$492,0)),"")</f>
        <v>1</v>
      </c>
      <c r="L493" s="7" t="str">
        <f aca="false">IFERROR(INDEX('Output Utente'!$E$2:$E$492,MATCH(490,'Output Utente'!$Q$2:$Q$492,0)),"")</f>
        <v>NO</v>
      </c>
      <c r="M493" s="7" t="str">
        <f aca="false">IFERROR(INDEX('Output Utente'!$U$2:$U$492,MATCH(490,'Output Utente'!$Q$2:$Q$492,0)),"")</f>
        <v>OK</v>
      </c>
      <c r="N493" s="7" t="str">
        <f aca="false">IFERROR(INDEX('Output Utente'!$AE$2:$AE$492,MATCH(490,'Output Utente'!$Q$2:$Q$492,0)),"")</f>
        <v>🔴 Non aspettare</v>
      </c>
    </row>
    <row r="494" customFormat="false" ht="15" hidden="false" customHeight="true" outlineLevel="0" collapsed="false">
      <c r="A494" s="49" t="n">
        <v>491</v>
      </c>
      <c r="B494" s="7" t="n">
        <f aca="false">IFERROR(INDEX('Output Utente'!$A$2:$A$492,MATCH(491,'Output Utente'!$Q$2:$Q$492,0)),"")</f>
        <v>7482</v>
      </c>
      <c r="C494" s="7" t="str">
        <f aca="false">IFERROR(INDEX('Output Utente'!$B$2:$B$492,MATCH(491,'Output Utente'!$Q$2:$Q$492,0)),"")</f>
        <v>A</v>
      </c>
      <c r="D494" s="7" t="str">
        <f aca="false">IFERROR(INDEX('Output Utente'!$C$2:$C$492,MATCH(491,'Output Utente'!$Q$2:$Q$492,0)),"")</f>
        <v>Lauberbach</v>
      </c>
      <c r="E494" s="7" t="str">
        <f aca="false">IFERROR(INDEX('Input Giocatori 2026_27'!$D$3:$D$493,MATCH($B494,'Input Giocatori 2026_27'!$A$3:$A$493,0)),"")</f>
        <v>Venezia</v>
      </c>
      <c r="F494" s="50" t="n">
        <f aca="false">IFERROR(INDEX('Output Utente'!$N$2:$N$492,MATCH(491,'Output Utente'!$Q$2:$Q$492,0)),"")</f>
        <v>1</v>
      </c>
      <c r="G494" s="50" t="n">
        <f aca="false">IFERROR(INDEX('Output Utente'!$O$2:$O$492,MATCH(491,'Output Utente'!$Q$2:$Q$492,0)),"")</f>
        <v>1</v>
      </c>
      <c r="H494" s="7" t="str">
        <f aca="false">IFERROR(INDEX('Output Utente'!$P$2:$P$492,MATCH(491,'Output Utente'!$Q$2:$Q$492,0)),"")</f>
        <v>Scommessa/Riserva</v>
      </c>
      <c r="I494" s="50" t="n">
        <f aca="false">IFERROR(INDEX('Output Utente'!$F$2:$F$492,MATCH(491,'Output Utente'!$Q$2:$Q$492,0)),"")</f>
        <v>1</v>
      </c>
      <c r="J494" s="50" t="n">
        <f aca="false">IFERROR(INDEX('Output Utente'!$G$2:$G$492,MATCH(491,'Output Utente'!$Q$2:$Q$492,0)),"")</f>
        <v>1</v>
      </c>
      <c r="K494" s="50" t="n">
        <f aca="false">IFERROR(INDEX('Output Utente'!$H$2:$H$492,MATCH(491,'Output Utente'!$Q$2:$Q$492,0)),"")</f>
        <v>1</v>
      </c>
      <c r="L494" s="7" t="str">
        <f aca="false">IFERROR(INDEX('Output Utente'!$E$2:$E$492,MATCH(491,'Output Utente'!$Q$2:$Q$492,0)),"")</f>
        <v>NO</v>
      </c>
      <c r="M494" s="7" t="str">
        <f aca="false">IFERROR(INDEX('Output Utente'!$U$2:$U$492,MATCH(491,'Output Utente'!$Q$2:$Q$492,0)),"")</f>
        <v>OK</v>
      </c>
      <c r="N494" s="7" t="str">
        <f aca="false">IFERROR(INDEX('Output Utente'!$AE$2:$AE$492,MATCH(491,'Output Utente'!$Q$2:$Q$492,0)),"")</f>
        <v>🔴 Non aspettare</v>
      </c>
    </row>
  </sheetData>
  <autoFilter ref="A3:N494"/>
  <mergeCells count="1">
    <mergeCell ref="A1:K1"/>
  </mergeCells>
  <conditionalFormatting sqref="M4:M494">
    <cfRule type="cellIs" priority="2" operator="equal" aboveAverage="0" equalAverage="0" bottom="0" percent="0" rank="0" text="" dxfId="9">
      <formula>"Rischio Alto"</formula>
    </cfRule>
    <cfRule type="cellIs" priority="3" operator="equal" aboveAverage="0" equalAverage="0" bottom="0" percent="0" rank="0" text="" dxfId="10">
      <formula>"Attenzione"</formula>
    </cfRule>
    <cfRule type="cellIs" priority="4" operator="equal" aboveAverage="0" equalAverage="0" bottom="0" percent="0" rank="0" text="" dxfId="11">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7"/>
    <col collapsed="false" customWidth="true" hidden="false" outlineLevel="0" max="3" min="3" style="1" width="4"/>
    <col collapsed="false" customWidth="true" hidden="false" outlineLevel="0" max="4" min="4" style="1" width="20"/>
    <col collapsed="false" customWidth="true" hidden="false" outlineLevel="0" max="5" min="5" style="1" width="16"/>
    <col collapsed="false" customWidth="true" hidden="false" outlineLevel="0" max="6" min="6" style="1" width="7"/>
    <col collapsed="false" customWidth="true" hidden="false" outlineLevel="0" max="7" min="7" style="1" width="9"/>
    <col collapsed="false" customWidth="true" hidden="false" outlineLevel="0" max="8" min="8" style="1" width="16"/>
    <col collapsed="false" customWidth="true" hidden="false" outlineLevel="0" max="9" min="9" style="1" width="11"/>
    <col collapsed="false" customWidth="true" hidden="false" outlineLevel="0" max="11" min="10" style="1" width="13"/>
    <col collapsed="false" customWidth="true" hidden="false" outlineLevel="0" max="12" min="12" style="1" width="10"/>
    <col collapsed="false" customWidth="true" hidden="false" outlineLevel="0" max="14" min="14" style="1" width="24"/>
    <col collapsed="false" customWidth="true" hidden="false" outlineLevel="0" max="15" min="15" style="1" width="12"/>
  </cols>
  <sheetData>
    <row r="1" customFormat="false" ht="21.75" hidden="false" customHeight="true" outlineLevel="0" collapsed="false">
      <c r="A1" s="51" t="s">
        <v>709</v>
      </c>
      <c r="B1" s="51"/>
      <c r="C1" s="51"/>
      <c r="D1" s="51"/>
      <c r="E1" s="51"/>
      <c r="F1" s="51"/>
      <c r="G1" s="51"/>
      <c r="H1" s="51"/>
      <c r="I1" s="51"/>
      <c r="J1" s="51"/>
      <c r="K1" s="51"/>
      <c r="N1" s="52" t="s">
        <v>710</v>
      </c>
      <c r="O1" s="52"/>
      <c r="P1" s="52"/>
      <c r="R1" s="34" t="s">
        <v>711</v>
      </c>
    </row>
    <row r="2" customFormat="false" ht="14.25" hidden="false" customHeight="true" outlineLevel="0" collapsed="false">
      <c r="R2" s="21" t="s">
        <v>712</v>
      </c>
      <c r="S2" s="21" t="n">
        <f aca="false">MAX(0,'Info Lega'!$B$4-SUMIFS('Output Utente'!$M$2:$M$492,'Output Utente'!$D$2:$D$492,'Info Lega'!$B$28))</f>
        <v>1000</v>
      </c>
    </row>
    <row r="3" customFormat="false" ht="15" hidden="false" customHeight="true" outlineLevel="0" collapsed="false">
      <c r="A3" s="25" t="s">
        <v>706</v>
      </c>
      <c r="B3" s="25" t="s">
        <v>105</v>
      </c>
      <c r="C3" s="25" t="s">
        <v>106</v>
      </c>
      <c r="D3" s="25" t="s">
        <v>107</v>
      </c>
      <c r="E3" s="25" t="s">
        <v>707</v>
      </c>
      <c r="F3" s="25" t="s">
        <v>109</v>
      </c>
      <c r="G3" s="25" t="s">
        <v>111</v>
      </c>
      <c r="H3" s="25" t="s">
        <v>20</v>
      </c>
      <c r="I3" s="25" t="s">
        <v>625</v>
      </c>
      <c r="J3" s="25" t="s">
        <v>626</v>
      </c>
      <c r="K3" s="25" t="s">
        <v>627</v>
      </c>
      <c r="L3" s="25" t="s">
        <v>624</v>
      </c>
      <c r="N3" s="26" t="s">
        <v>108</v>
      </c>
      <c r="O3" s="38" t="str">
        <f aca="false">'Info Lega'!$B$28</f>
        <v>xxx1</v>
      </c>
      <c r="R3" s="21" t="s">
        <v>713</v>
      </c>
      <c r="S3" s="21" t="n">
        <f aca="false">('Info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row>
    <row r="4" customFormat="false" ht="15" hidden="false" customHeight="true" outlineLevel="0" collapsed="false">
      <c r="A4" s="29" t="n">
        <v>1</v>
      </c>
      <c r="B4" s="26" t="str">
        <f aca="false">IFERROR(INDEX('Output Utente'!$A$2:$A$492,MATCH(1,'Output Utente'!$R$2:$R$492,0)),"")</f>
        <v/>
      </c>
      <c r="C4" s="26" t="str">
        <f aca="false">IFERROR(INDEX('Output Utente'!$B$2:$B$492,MATCH(1,'Output Utente'!$R$2:$R$492,0)),"")</f>
        <v/>
      </c>
      <c r="D4" s="26" t="str">
        <f aca="false">IFERROR(INDEX('Output Utente'!$C$2:$C$492,MATCH(1,'Output Utente'!$R$2:$R$492,0)),"")</f>
        <v/>
      </c>
      <c r="E4" s="26" t="str">
        <f aca="false">IFERROR(INDEX('Input Giocatori 2026_27'!$D$3:$D$493,MATCH($B4,'Input Giocatori 2026_27'!$A$3:$A$493,0)),"")</f>
        <v/>
      </c>
      <c r="F4" s="27" t="str">
        <f aca="false">IFERROR(INDEX('Output Utente'!$N$2:$N$492,MATCH(1,'Output Utente'!$R$2:$R$492,0)),"")</f>
        <v/>
      </c>
      <c r="G4" s="26" t="str">
        <f aca="false">IFERROR(INDEX('Output Utente'!$O$2:$O$492,MATCH(1,'Output Utente'!$R$2:$R$492,0)),"")</f>
        <v/>
      </c>
      <c r="H4" s="26" t="str">
        <f aca="false">IFERROR(INDEX('Output Utente'!$P$2:$P$492,MATCH(1,'Output Utente'!$R$2:$R$492,0)),"")</f>
        <v/>
      </c>
      <c r="I4" s="27" t="str">
        <f aca="false">IFERROR(INDEX('Output Utente'!$F$2:$F$492,MATCH(1,'Output Utente'!$R$2:$R$492,0)),"")</f>
        <v/>
      </c>
      <c r="J4" s="27" t="str">
        <f aca="false">IFERROR(INDEX('Output Utente'!$G$2:$G$492,MATCH(1,'Output Utente'!$R$2:$R$492,0)),"")</f>
        <v/>
      </c>
      <c r="K4" s="27" t="str">
        <f aca="false">IFERROR(INDEX('Output Utente'!$H$2:$H$492,MATCH(1,'Output Utente'!$R$2:$R$492,0)),"")</f>
        <v/>
      </c>
      <c r="L4" s="26" t="str">
        <f aca="false">IFERROR(INDEX('Output Utente'!$E$2:$E$492,MATCH(1,'Output Utente'!$R$2:$R$492,0)),"")</f>
        <v/>
      </c>
      <c r="N4" s="26" t="s">
        <v>714</v>
      </c>
      <c r="O4" s="53" t="n">
        <f aca="false">'Info Lega'!$B$4</f>
        <v>1000</v>
      </c>
    </row>
    <row r="5" customFormat="false" ht="15" hidden="false" customHeight="true" outlineLevel="0" collapsed="false">
      <c r="A5" s="29" t="n">
        <v>2</v>
      </c>
      <c r="B5" s="26" t="str">
        <f aca="false">IFERROR(INDEX('Output Utente'!$A$2:$A$492,MATCH(2,'Output Utente'!$R$2:$R$492,0)),"")</f>
        <v/>
      </c>
      <c r="C5" s="26" t="str">
        <f aca="false">IFERROR(INDEX('Output Utente'!$B$2:$B$492,MATCH(2,'Output Utente'!$R$2:$R$492,0)),"")</f>
        <v/>
      </c>
      <c r="D5" s="26" t="str">
        <f aca="false">IFERROR(INDEX('Output Utente'!$C$2:$C$492,MATCH(2,'Output Utente'!$R$2:$R$492,0)),"")</f>
        <v/>
      </c>
      <c r="E5" s="26" t="str">
        <f aca="false">IFERROR(INDEX('Input Giocatori 2026_27'!$D$3:$D$493,MATCH($B5,'Input Giocatori 2026_27'!$A$3:$A$493,0)),"")</f>
        <v/>
      </c>
      <c r="F5" s="27" t="str">
        <f aca="false">IFERROR(INDEX('Output Utente'!$N$2:$N$492,MATCH(2,'Output Utente'!$R$2:$R$492,0)),"")</f>
        <v/>
      </c>
      <c r="G5" s="26" t="str">
        <f aca="false">IFERROR(INDEX('Output Utente'!$O$2:$O$492,MATCH(2,'Output Utente'!$R$2:$R$492,0)),"")</f>
        <v/>
      </c>
      <c r="H5" s="26" t="str">
        <f aca="false">IFERROR(INDEX('Output Utente'!$P$2:$P$492,MATCH(2,'Output Utente'!$R$2:$R$492,0)),"")</f>
        <v/>
      </c>
      <c r="I5" s="27" t="str">
        <f aca="false">IFERROR(INDEX('Output Utente'!$F$2:$F$492,MATCH(2,'Output Utente'!$R$2:$R$492,0)),"")</f>
        <v/>
      </c>
      <c r="J5" s="27" t="str">
        <f aca="false">IFERROR(INDEX('Output Utente'!$G$2:$G$492,MATCH(2,'Output Utente'!$R$2:$R$492,0)),"")</f>
        <v/>
      </c>
      <c r="K5" s="27" t="str">
        <f aca="false">IFERROR(INDEX('Output Utente'!$H$2:$H$492,MATCH(2,'Output Utente'!$R$2:$R$492,0)),"")</f>
        <v/>
      </c>
      <c r="L5" s="26" t="str">
        <f aca="false">IFERROR(INDEX('Output Utente'!$E$2:$E$492,MATCH(2,'Output Utente'!$R$2:$R$492,0)),"")</f>
        <v/>
      </c>
      <c r="N5" s="26" t="s">
        <v>715</v>
      </c>
      <c r="O5" s="53" t="n">
        <f aca="false">SUMIFS('Output Utente'!$M$2:$M$492,'Output Utente'!$D$2:$D$492,'Info Lega'!$B$28)</f>
        <v>0</v>
      </c>
      <c r="R5" s="21" t="s">
        <v>716</v>
      </c>
    </row>
    <row r="6" customFormat="false" ht="15" hidden="false" customHeight="true" outlineLevel="0" collapsed="false">
      <c r="A6" s="29" t="n">
        <v>3</v>
      </c>
      <c r="B6" s="26" t="str">
        <f aca="false">IFERROR(INDEX('Output Utente'!$A$2:$A$492,MATCH(3,'Output Utente'!$R$2:$R$492,0)),"")</f>
        <v/>
      </c>
      <c r="C6" s="26" t="str">
        <f aca="false">IFERROR(INDEX('Output Utente'!$B$2:$B$492,MATCH(3,'Output Utente'!$R$2:$R$492,0)),"")</f>
        <v/>
      </c>
      <c r="D6" s="26" t="str">
        <f aca="false">IFERROR(INDEX('Output Utente'!$C$2:$C$492,MATCH(3,'Output Utente'!$R$2:$R$492,0)),"")</f>
        <v/>
      </c>
      <c r="E6" s="26" t="str">
        <f aca="false">IFERROR(INDEX('Input Giocatori 2026_27'!$D$3:$D$493,MATCH($B6,'Input Giocatori 2026_27'!$A$3:$A$493,0)),"")</f>
        <v/>
      </c>
      <c r="F6" s="27" t="str">
        <f aca="false">IFERROR(INDEX('Output Utente'!$N$2:$N$492,MATCH(3,'Output Utente'!$R$2:$R$492,0)),"")</f>
        <v/>
      </c>
      <c r="G6" s="26" t="str">
        <f aca="false">IFERROR(INDEX('Output Utente'!$O$2:$O$492,MATCH(3,'Output Utente'!$R$2:$R$492,0)),"")</f>
        <v/>
      </c>
      <c r="H6" s="26" t="str">
        <f aca="false">IFERROR(INDEX('Output Utente'!$P$2:$P$492,MATCH(3,'Output Utente'!$R$2:$R$492,0)),"")</f>
        <v/>
      </c>
      <c r="I6" s="27" t="str">
        <f aca="false">IFERROR(INDEX('Output Utente'!$F$2:$F$492,MATCH(3,'Output Utente'!$R$2:$R$492,0)),"")</f>
        <v/>
      </c>
      <c r="J6" s="27" t="str">
        <f aca="false">IFERROR(INDEX('Output Utente'!$G$2:$G$492,MATCH(3,'Output Utente'!$R$2:$R$492,0)),"")</f>
        <v/>
      </c>
      <c r="K6" s="27" t="str">
        <f aca="false">IFERROR(INDEX('Output Utente'!$H$2:$H$492,MATCH(3,'Output Utente'!$R$2:$R$492,0)),"")</f>
        <v/>
      </c>
      <c r="L6" s="26" t="str">
        <f aca="false">IFERROR(INDEX('Output Utente'!$E$2:$E$492,MATCH(3,'Output Utente'!$R$2:$R$492,0)),"")</f>
        <v/>
      </c>
      <c r="N6" s="26" t="s">
        <v>717</v>
      </c>
      <c r="O6" s="53" t="n">
        <f aca="false">$O$4-$O$5</f>
        <v>1000</v>
      </c>
      <c r="R6" s="54" t="s">
        <v>718</v>
      </c>
      <c r="S6" s="54"/>
      <c r="T6" s="54"/>
      <c r="U6" s="54"/>
    </row>
    <row r="7" customFormat="false" ht="15" hidden="false" customHeight="true" outlineLevel="0" collapsed="false">
      <c r="A7" s="29" t="n">
        <v>4</v>
      </c>
      <c r="B7" s="26" t="str">
        <f aca="false">IFERROR(INDEX('Output Utente'!$A$2:$A$492,MATCH(4,'Output Utente'!$R$2:$R$492,0)),"")</f>
        <v/>
      </c>
      <c r="C7" s="26" t="str">
        <f aca="false">IFERROR(INDEX('Output Utente'!$B$2:$B$492,MATCH(4,'Output Utente'!$R$2:$R$492,0)),"")</f>
        <v/>
      </c>
      <c r="D7" s="26" t="str">
        <f aca="false">IFERROR(INDEX('Output Utente'!$C$2:$C$492,MATCH(4,'Output Utente'!$R$2:$R$492,0)),"")</f>
        <v/>
      </c>
      <c r="E7" s="26" t="str">
        <f aca="false">IFERROR(INDEX('Input Giocatori 2026_27'!$D$3:$D$493,MATCH($B7,'Input Giocatori 2026_27'!$A$3:$A$493,0)),"")</f>
        <v/>
      </c>
      <c r="F7" s="27" t="str">
        <f aca="false">IFERROR(INDEX('Output Utente'!$N$2:$N$492,MATCH(4,'Output Utente'!$R$2:$R$492,0)),"")</f>
        <v/>
      </c>
      <c r="G7" s="26" t="str">
        <f aca="false">IFERROR(INDEX('Output Utente'!$O$2:$O$492,MATCH(4,'Output Utente'!$R$2:$R$492,0)),"")</f>
        <v/>
      </c>
      <c r="H7" s="26" t="str">
        <f aca="false">IFERROR(INDEX('Output Utente'!$P$2:$P$492,MATCH(4,'Output Utente'!$R$2:$R$492,0)),"")</f>
        <v/>
      </c>
      <c r="I7" s="27" t="str">
        <f aca="false">IFERROR(INDEX('Output Utente'!$F$2:$F$492,MATCH(4,'Output Utente'!$R$2:$R$492,0)),"")</f>
        <v/>
      </c>
      <c r="J7" s="27" t="str">
        <f aca="false">IFERROR(INDEX('Output Utente'!$G$2:$G$492,MATCH(4,'Output Utente'!$R$2:$R$492,0)),"")</f>
        <v/>
      </c>
      <c r="K7" s="27" t="str">
        <f aca="false">IFERROR(INDEX('Output Utente'!$H$2:$H$492,MATCH(4,'Output Utente'!$R$2:$R$492,0)),"")</f>
        <v/>
      </c>
      <c r="L7" s="26" t="str">
        <f aca="false">IFERROR(INDEX('Output Utente'!$E$2:$E$492,MATCH(4,'Output Utente'!$R$2:$R$492,0)),"")</f>
        <v/>
      </c>
      <c r="N7" s="26" t="s">
        <v>719</v>
      </c>
      <c r="O7" s="38" t="str">
        <f aca="false">COUNTIFS('Output Utente'!$D$2:$D$492,'Info Lega'!$B$28,'Output Utente'!$B$2:$B$492,"P")&amp;" / "&amp;'Info Lega'!$B$5</f>
        <v>0 / 3</v>
      </c>
      <c r="R7" s="54"/>
      <c r="S7" s="54"/>
      <c r="T7" s="54"/>
      <c r="U7" s="54"/>
    </row>
    <row r="8" customFormat="false" ht="15" hidden="false" customHeight="true" outlineLevel="0" collapsed="false">
      <c r="A8" s="29" t="n">
        <v>5</v>
      </c>
      <c r="B8" s="26" t="str">
        <f aca="false">IFERROR(INDEX('Output Utente'!$A$2:$A$492,MATCH(5,'Output Utente'!$R$2:$R$492,0)),"")</f>
        <v/>
      </c>
      <c r="C8" s="26" t="str">
        <f aca="false">IFERROR(INDEX('Output Utente'!$B$2:$B$492,MATCH(5,'Output Utente'!$R$2:$R$492,0)),"")</f>
        <v/>
      </c>
      <c r="D8" s="26" t="str">
        <f aca="false">IFERROR(INDEX('Output Utente'!$C$2:$C$492,MATCH(5,'Output Utente'!$R$2:$R$492,0)),"")</f>
        <v/>
      </c>
      <c r="E8" s="26" t="str">
        <f aca="false">IFERROR(INDEX('Input Giocatori 2026_27'!$D$3:$D$493,MATCH($B8,'Input Giocatori 2026_27'!$A$3:$A$493,0)),"")</f>
        <v/>
      </c>
      <c r="F8" s="27" t="str">
        <f aca="false">IFERROR(INDEX('Output Utente'!$N$2:$N$492,MATCH(5,'Output Utente'!$R$2:$R$492,0)),"")</f>
        <v/>
      </c>
      <c r="G8" s="26" t="str">
        <f aca="false">IFERROR(INDEX('Output Utente'!$O$2:$O$492,MATCH(5,'Output Utente'!$R$2:$R$492,0)),"")</f>
        <v/>
      </c>
      <c r="H8" s="26" t="str">
        <f aca="false">IFERROR(INDEX('Output Utente'!$P$2:$P$492,MATCH(5,'Output Utente'!$R$2:$R$492,0)),"")</f>
        <v/>
      </c>
      <c r="I8" s="27" t="str">
        <f aca="false">IFERROR(INDEX('Output Utente'!$F$2:$F$492,MATCH(5,'Output Utente'!$R$2:$R$492,0)),"")</f>
        <v/>
      </c>
      <c r="J8" s="27" t="str">
        <f aca="false">IFERROR(INDEX('Output Utente'!$G$2:$G$492,MATCH(5,'Output Utente'!$R$2:$R$492,0)),"")</f>
        <v/>
      </c>
      <c r="K8" s="27" t="str">
        <f aca="false">IFERROR(INDEX('Output Utente'!$H$2:$H$492,MATCH(5,'Output Utente'!$R$2:$R$492,0)),"")</f>
        <v/>
      </c>
      <c r="L8" s="26" t="str">
        <f aca="false">IFERROR(INDEX('Output Utente'!$E$2:$E$492,MATCH(5,'Output Utente'!$R$2:$R$492,0)),"")</f>
        <v/>
      </c>
      <c r="N8" s="26" t="s">
        <v>720</v>
      </c>
      <c r="O8" s="38" t="str">
        <f aca="false">COUNTIFS('Output Utente'!$D$2:$D$492,'Info Lega'!$B$28,'Output Utente'!$B$2:$B$492,"D")&amp;" / "&amp;'Info Lega'!$B$6</f>
        <v>0 / 8</v>
      </c>
      <c r="R8" s="54"/>
      <c r="S8" s="54"/>
      <c r="T8" s="54"/>
      <c r="U8" s="54"/>
    </row>
    <row r="9" customFormat="false" ht="15" hidden="false" customHeight="true" outlineLevel="0" collapsed="false">
      <c r="A9" s="29" t="n">
        <v>6</v>
      </c>
      <c r="B9" s="26" t="str">
        <f aca="false">IFERROR(INDEX('Output Utente'!$A$2:$A$492,MATCH(6,'Output Utente'!$R$2:$R$492,0)),"")</f>
        <v/>
      </c>
      <c r="C9" s="26" t="str">
        <f aca="false">IFERROR(INDEX('Output Utente'!$B$2:$B$492,MATCH(6,'Output Utente'!$R$2:$R$492,0)),"")</f>
        <v/>
      </c>
      <c r="D9" s="26" t="str">
        <f aca="false">IFERROR(INDEX('Output Utente'!$C$2:$C$492,MATCH(6,'Output Utente'!$R$2:$R$492,0)),"")</f>
        <v/>
      </c>
      <c r="E9" s="26" t="str">
        <f aca="false">IFERROR(INDEX('Input Giocatori 2026_27'!$D$3:$D$493,MATCH($B9,'Input Giocatori 2026_27'!$A$3:$A$493,0)),"")</f>
        <v/>
      </c>
      <c r="F9" s="27" t="str">
        <f aca="false">IFERROR(INDEX('Output Utente'!$N$2:$N$492,MATCH(6,'Output Utente'!$R$2:$R$492,0)),"")</f>
        <v/>
      </c>
      <c r="G9" s="26" t="str">
        <f aca="false">IFERROR(INDEX('Output Utente'!$O$2:$O$492,MATCH(6,'Output Utente'!$R$2:$R$492,0)),"")</f>
        <v/>
      </c>
      <c r="H9" s="26" t="str">
        <f aca="false">IFERROR(INDEX('Output Utente'!$P$2:$P$492,MATCH(6,'Output Utente'!$R$2:$R$492,0)),"")</f>
        <v/>
      </c>
      <c r="I9" s="27" t="str">
        <f aca="false">IFERROR(INDEX('Output Utente'!$F$2:$F$492,MATCH(6,'Output Utente'!$R$2:$R$492,0)),"")</f>
        <v/>
      </c>
      <c r="J9" s="27" t="str">
        <f aca="false">IFERROR(INDEX('Output Utente'!$G$2:$G$492,MATCH(6,'Output Utente'!$R$2:$R$492,0)),"")</f>
        <v/>
      </c>
      <c r="K9" s="27" t="str">
        <f aca="false">IFERROR(INDEX('Output Utente'!$H$2:$H$492,MATCH(6,'Output Utente'!$R$2:$R$492,0)),"")</f>
        <v/>
      </c>
      <c r="L9" s="26" t="str">
        <f aca="false">IFERROR(INDEX('Output Utente'!$E$2:$E$492,MATCH(6,'Output Utente'!$R$2:$R$492,0)),"")</f>
        <v/>
      </c>
      <c r="N9" s="26" t="s">
        <v>721</v>
      </c>
      <c r="O9" s="38" t="str">
        <f aca="false">COUNTIFS('Output Utente'!$D$2:$D$492,'Info Lega'!$B$28,'Output Utente'!$B$2:$B$492,"C")&amp;" / "&amp;'Info Lega'!$B$7</f>
        <v>0 / 8</v>
      </c>
    </row>
    <row r="10" customFormat="false" ht="15" hidden="false" customHeight="true" outlineLevel="0" collapsed="false">
      <c r="A10" s="29" t="n">
        <v>7</v>
      </c>
      <c r="B10" s="26" t="str">
        <f aca="false">IFERROR(INDEX('Output Utente'!$A$2:$A$492,MATCH(7,'Output Utente'!$R$2:$R$492,0)),"")</f>
        <v/>
      </c>
      <c r="C10" s="26" t="str">
        <f aca="false">IFERROR(INDEX('Output Utente'!$B$2:$B$492,MATCH(7,'Output Utente'!$R$2:$R$492,0)),"")</f>
        <v/>
      </c>
      <c r="D10" s="26" t="str">
        <f aca="false">IFERROR(INDEX('Output Utente'!$C$2:$C$492,MATCH(7,'Output Utente'!$R$2:$R$492,0)),"")</f>
        <v/>
      </c>
      <c r="E10" s="26" t="str">
        <f aca="false">IFERROR(INDEX('Input Giocatori 2026_27'!$D$3:$D$493,MATCH($B10,'Input Giocatori 2026_27'!$A$3:$A$493,0)),"")</f>
        <v/>
      </c>
      <c r="F10" s="27" t="str">
        <f aca="false">IFERROR(INDEX('Output Utente'!$N$2:$N$492,MATCH(7,'Output Utente'!$R$2:$R$492,0)),"")</f>
        <v/>
      </c>
      <c r="G10" s="26" t="str">
        <f aca="false">IFERROR(INDEX('Output Utente'!$O$2:$O$492,MATCH(7,'Output Utente'!$R$2:$R$492,0)),"")</f>
        <v/>
      </c>
      <c r="H10" s="26" t="str">
        <f aca="false">IFERROR(INDEX('Output Utente'!$P$2:$P$492,MATCH(7,'Output Utente'!$R$2:$R$492,0)),"")</f>
        <v/>
      </c>
      <c r="I10" s="27" t="str">
        <f aca="false">IFERROR(INDEX('Output Utente'!$F$2:$F$492,MATCH(7,'Output Utente'!$R$2:$R$492,0)),"")</f>
        <v/>
      </c>
      <c r="J10" s="27" t="str">
        <f aca="false">IFERROR(INDEX('Output Utente'!$G$2:$G$492,MATCH(7,'Output Utente'!$R$2:$R$492,0)),"")</f>
        <v/>
      </c>
      <c r="K10" s="27" t="str">
        <f aca="false">IFERROR(INDEX('Output Utente'!$H$2:$H$492,MATCH(7,'Output Utente'!$R$2:$R$492,0)),"")</f>
        <v/>
      </c>
      <c r="L10" s="26" t="str">
        <f aca="false">IFERROR(INDEX('Output Utente'!$E$2:$E$492,MATCH(7,'Output Utente'!$R$2:$R$492,0)),"")</f>
        <v/>
      </c>
      <c r="N10" s="26" t="s">
        <v>722</v>
      </c>
      <c r="O10" s="38" t="str">
        <f aca="false">COUNTIFS('Output Utente'!$D$2:$D$492,'Info Lega'!$B$28,'Output Utente'!$B$2:$B$492,"A")&amp;" / "&amp;'Info Lega'!$B$8</f>
        <v>0 / 6</v>
      </c>
    </row>
    <row r="11" customFormat="false" ht="15" hidden="false" customHeight="true" outlineLevel="0" collapsed="false">
      <c r="A11" s="29" t="n">
        <v>8</v>
      </c>
      <c r="B11" s="26" t="str">
        <f aca="false">IFERROR(INDEX('Output Utente'!$A$2:$A$492,MATCH(8,'Output Utente'!$R$2:$R$492,0)),"")</f>
        <v/>
      </c>
      <c r="C11" s="26" t="str">
        <f aca="false">IFERROR(INDEX('Output Utente'!$B$2:$B$492,MATCH(8,'Output Utente'!$R$2:$R$492,0)),"")</f>
        <v/>
      </c>
      <c r="D11" s="26" t="str">
        <f aca="false">IFERROR(INDEX('Output Utente'!$C$2:$C$492,MATCH(8,'Output Utente'!$R$2:$R$492,0)),"")</f>
        <v/>
      </c>
      <c r="E11" s="26" t="str">
        <f aca="false">IFERROR(INDEX('Input Giocatori 2026_27'!$D$3:$D$493,MATCH($B11,'Input Giocatori 2026_27'!$A$3:$A$493,0)),"")</f>
        <v/>
      </c>
      <c r="F11" s="27" t="str">
        <f aca="false">IFERROR(INDEX('Output Utente'!$N$2:$N$492,MATCH(8,'Output Utente'!$R$2:$R$492,0)),"")</f>
        <v/>
      </c>
      <c r="G11" s="26" t="str">
        <f aca="false">IFERROR(INDEX('Output Utente'!$O$2:$O$492,MATCH(8,'Output Utente'!$R$2:$R$492,0)),"")</f>
        <v/>
      </c>
      <c r="H11" s="26" t="str">
        <f aca="false">IFERROR(INDEX('Output Utente'!$P$2:$P$492,MATCH(8,'Output Utente'!$R$2:$R$492,0)),"")</f>
        <v/>
      </c>
      <c r="I11" s="27" t="str">
        <f aca="false">IFERROR(INDEX('Output Utente'!$F$2:$F$492,MATCH(8,'Output Utente'!$R$2:$R$492,0)),"")</f>
        <v/>
      </c>
      <c r="J11" s="27" t="str">
        <f aca="false">IFERROR(INDEX('Output Utente'!$G$2:$G$492,MATCH(8,'Output Utente'!$R$2:$R$492,0)),"")</f>
        <v/>
      </c>
      <c r="K11" s="27" t="str">
        <f aca="false">IFERROR(INDEX('Output Utente'!$H$2:$H$492,MATCH(8,'Output Utente'!$R$2:$R$492,0)),"")</f>
        <v/>
      </c>
      <c r="L11" s="26" t="str">
        <f aca="false">IFERROR(INDEX('Output Utente'!$E$2:$E$492,MATCH(8,'Output Utente'!$R$2:$R$492,0)),"")</f>
        <v/>
      </c>
      <c r="N11" s="26" t="s">
        <v>723</v>
      </c>
      <c r="O11" s="38" t="n">
        <f aca="false">('Info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row>
    <row r="12" customFormat="false" ht="15" hidden="false" customHeight="true" outlineLevel="0" collapsed="false">
      <c r="A12" s="29" t="n">
        <v>9</v>
      </c>
      <c r="B12" s="26" t="str">
        <f aca="false">IFERROR(INDEX('Output Utente'!$A$2:$A$492,MATCH(9,'Output Utente'!$R$2:$R$492,0)),"")</f>
        <v/>
      </c>
      <c r="C12" s="26" t="str">
        <f aca="false">IFERROR(INDEX('Output Utente'!$B$2:$B$492,MATCH(9,'Output Utente'!$R$2:$R$492,0)),"")</f>
        <v/>
      </c>
      <c r="D12" s="26" t="str">
        <f aca="false">IFERROR(INDEX('Output Utente'!$C$2:$C$492,MATCH(9,'Output Utente'!$R$2:$R$492,0)),"")</f>
        <v/>
      </c>
      <c r="E12" s="26" t="str">
        <f aca="false">IFERROR(INDEX('Input Giocatori 2026_27'!$D$3:$D$493,MATCH($B12,'Input Giocatori 2026_27'!$A$3:$A$493,0)),"")</f>
        <v/>
      </c>
      <c r="F12" s="27" t="str">
        <f aca="false">IFERROR(INDEX('Output Utente'!$N$2:$N$492,MATCH(9,'Output Utente'!$R$2:$R$492,0)),"")</f>
        <v/>
      </c>
      <c r="G12" s="26" t="str">
        <f aca="false">IFERROR(INDEX('Output Utente'!$O$2:$O$492,MATCH(9,'Output Utente'!$R$2:$R$492,0)),"")</f>
        <v/>
      </c>
      <c r="H12" s="26" t="str">
        <f aca="false">IFERROR(INDEX('Output Utente'!$P$2:$P$492,MATCH(9,'Output Utente'!$R$2:$R$492,0)),"")</f>
        <v/>
      </c>
      <c r="I12" s="27" t="str">
        <f aca="false">IFERROR(INDEX('Output Utente'!$F$2:$F$492,MATCH(9,'Output Utente'!$R$2:$R$492,0)),"")</f>
        <v/>
      </c>
      <c r="J12" s="27" t="str">
        <f aca="false">IFERROR(INDEX('Output Utente'!$G$2:$G$492,MATCH(9,'Output Utente'!$R$2:$R$492,0)),"")</f>
        <v/>
      </c>
      <c r="K12" s="27" t="str">
        <f aca="false">IFERROR(INDEX('Output Utente'!$H$2:$H$492,MATCH(9,'Output Utente'!$R$2:$R$492,0)),"")</f>
        <v/>
      </c>
      <c r="L12" s="26" t="str">
        <f aca="false">IFERROR(INDEX('Output Utente'!$E$2:$E$492,MATCH(9,'Output Utente'!$R$2:$R$492,0)),"")</f>
        <v/>
      </c>
      <c r="N12" s="26" t="s">
        <v>724</v>
      </c>
      <c r="O12" s="53" t="n">
        <f aca="false">IFERROR(IF($O$11&gt;0,$O$6/$O$11,""),"")</f>
        <v>40</v>
      </c>
    </row>
    <row r="13" customFormat="false" ht="15" hidden="false" customHeight="true" outlineLevel="0" collapsed="false">
      <c r="A13" s="29" t="n">
        <v>10</v>
      </c>
      <c r="B13" s="26" t="str">
        <f aca="false">IFERROR(INDEX('Output Utente'!$A$2:$A$492,MATCH(10,'Output Utente'!$R$2:$R$492,0)),"")</f>
        <v/>
      </c>
      <c r="C13" s="26" t="str">
        <f aca="false">IFERROR(INDEX('Output Utente'!$B$2:$B$492,MATCH(10,'Output Utente'!$R$2:$R$492,0)),"")</f>
        <v/>
      </c>
      <c r="D13" s="26" t="str">
        <f aca="false">IFERROR(INDEX('Output Utente'!$C$2:$C$492,MATCH(10,'Output Utente'!$R$2:$R$492,0)),"")</f>
        <v/>
      </c>
      <c r="E13" s="26" t="str">
        <f aca="false">IFERROR(INDEX('Input Giocatori 2026_27'!$D$3:$D$493,MATCH($B13,'Input Giocatori 2026_27'!$A$3:$A$493,0)),"")</f>
        <v/>
      </c>
      <c r="F13" s="27" t="str">
        <f aca="false">IFERROR(INDEX('Output Utente'!$N$2:$N$492,MATCH(10,'Output Utente'!$R$2:$R$492,0)),"")</f>
        <v/>
      </c>
      <c r="G13" s="26" t="str">
        <f aca="false">IFERROR(INDEX('Output Utente'!$O$2:$O$492,MATCH(10,'Output Utente'!$R$2:$R$492,0)),"")</f>
        <v/>
      </c>
      <c r="H13" s="26" t="str">
        <f aca="false">IFERROR(INDEX('Output Utente'!$P$2:$P$492,MATCH(10,'Output Utente'!$R$2:$R$492,0)),"")</f>
        <v/>
      </c>
      <c r="I13" s="27" t="str">
        <f aca="false">IFERROR(INDEX('Output Utente'!$F$2:$F$492,MATCH(10,'Output Utente'!$R$2:$R$492,0)),"")</f>
        <v/>
      </c>
      <c r="J13" s="27" t="str">
        <f aca="false">IFERROR(INDEX('Output Utente'!$G$2:$G$492,MATCH(10,'Output Utente'!$R$2:$R$492,0)),"")</f>
        <v/>
      </c>
      <c r="K13" s="27" t="str">
        <f aca="false">IFERROR(INDEX('Output Utente'!$H$2:$H$492,MATCH(10,'Output Utente'!$R$2:$R$492,0)),"")</f>
        <v/>
      </c>
      <c r="L13" s="26" t="str">
        <f aca="false">IFERROR(INDEX('Output Utente'!$E$2:$E$492,MATCH(10,'Output Utente'!$R$2:$R$492,0)),"")</f>
        <v/>
      </c>
    </row>
    <row r="14" customFormat="false" ht="15" hidden="false" customHeight="true" outlineLevel="0" collapsed="false">
      <c r="A14" s="29" t="n">
        <v>11</v>
      </c>
      <c r="B14" s="26" t="str">
        <f aca="false">IFERROR(INDEX('Output Utente'!$A$2:$A$492,MATCH(11,'Output Utente'!$R$2:$R$492,0)),"")</f>
        <v/>
      </c>
      <c r="C14" s="26" t="str">
        <f aca="false">IFERROR(INDEX('Output Utente'!$B$2:$B$492,MATCH(11,'Output Utente'!$R$2:$R$492,0)),"")</f>
        <v/>
      </c>
      <c r="D14" s="26" t="str">
        <f aca="false">IFERROR(INDEX('Output Utente'!$C$2:$C$492,MATCH(11,'Output Utente'!$R$2:$R$492,0)),"")</f>
        <v/>
      </c>
      <c r="E14" s="26" t="str">
        <f aca="false">IFERROR(INDEX('Input Giocatori 2026_27'!$D$3:$D$493,MATCH($B14,'Input Giocatori 2026_27'!$A$3:$A$493,0)),"")</f>
        <v/>
      </c>
      <c r="F14" s="27" t="str">
        <f aca="false">IFERROR(INDEX('Output Utente'!$N$2:$N$492,MATCH(11,'Output Utente'!$R$2:$R$492,0)),"")</f>
        <v/>
      </c>
      <c r="G14" s="26" t="str">
        <f aca="false">IFERROR(INDEX('Output Utente'!$O$2:$O$492,MATCH(11,'Output Utente'!$R$2:$R$492,0)),"")</f>
        <v/>
      </c>
      <c r="H14" s="26" t="str">
        <f aca="false">IFERROR(INDEX('Output Utente'!$P$2:$P$492,MATCH(11,'Output Utente'!$R$2:$R$492,0)),"")</f>
        <v/>
      </c>
      <c r="I14" s="27" t="str">
        <f aca="false">IFERROR(INDEX('Output Utente'!$F$2:$F$492,MATCH(11,'Output Utente'!$R$2:$R$492,0)),"")</f>
        <v/>
      </c>
      <c r="J14" s="27" t="str">
        <f aca="false">IFERROR(INDEX('Output Utente'!$G$2:$G$492,MATCH(11,'Output Utente'!$R$2:$R$492,0)),"")</f>
        <v/>
      </c>
      <c r="K14" s="27" t="str">
        <f aca="false">IFERROR(INDEX('Output Utente'!$H$2:$H$492,MATCH(11,'Output Utente'!$R$2:$R$492,0)),"")</f>
        <v/>
      </c>
      <c r="L14" s="26" t="str">
        <f aca="false">IFERROR(INDEX('Output Utente'!$E$2:$E$492,MATCH(11,'Output Utente'!$R$2:$R$492,0)),"")</f>
        <v/>
      </c>
    </row>
    <row r="15" customFormat="false" ht="15" hidden="false" customHeight="true" outlineLevel="0" collapsed="false">
      <c r="A15" s="29" t="n">
        <v>12</v>
      </c>
      <c r="B15" s="26" t="str">
        <f aca="false">IFERROR(INDEX('Output Utente'!$A$2:$A$492,MATCH(12,'Output Utente'!$R$2:$R$492,0)),"")</f>
        <v/>
      </c>
      <c r="C15" s="26" t="str">
        <f aca="false">IFERROR(INDEX('Output Utente'!$B$2:$B$492,MATCH(12,'Output Utente'!$R$2:$R$492,0)),"")</f>
        <v/>
      </c>
      <c r="D15" s="26" t="str">
        <f aca="false">IFERROR(INDEX('Output Utente'!$C$2:$C$492,MATCH(12,'Output Utente'!$R$2:$R$492,0)),"")</f>
        <v/>
      </c>
      <c r="E15" s="26" t="str">
        <f aca="false">IFERROR(INDEX('Input Giocatori 2026_27'!$D$3:$D$493,MATCH($B15,'Input Giocatori 2026_27'!$A$3:$A$493,0)),"")</f>
        <v/>
      </c>
      <c r="F15" s="27" t="str">
        <f aca="false">IFERROR(INDEX('Output Utente'!$N$2:$N$492,MATCH(12,'Output Utente'!$R$2:$R$492,0)),"")</f>
        <v/>
      </c>
      <c r="G15" s="26" t="str">
        <f aca="false">IFERROR(INDEX('Output Utente'!$O$2:$O$492,MATCH(12,'Output Utente'!$R$2:$R$492,0)),"")</f>
        <v/>
      </c>
      <c r="H15" s="26" t="str">
        <f aca="false">IFERROR(INDEX('Output Utente'!$P$2:$P$492,MATCH(12,'Output Utente'!$R$2:$R$492,0)),"")</f>
        <v/>
      </c>
      <c r="I15" s="27" t="str">
        <f aca="false">IFERROR(INDEX('Output Utente'!$F$2:$F$492,MATCH(12,'Output Utente'!$R$2:$R$492,0)),"")</f>
        <v/>
      </c>
      <c r="J15" s="27" t="str">
        <f aca="false">IFERROR(INDEX('Output Utente'!$G$2:$G$492,MATCH(12,'Output Utente'!$R$2:$R$492,0)),"")</f>
        <v/>
      </c>
      <c r="K15" s="27" t="str">
        <f aca="false">IFERROR(INDEX('Output Utente'!$H$2:$H$492,MATCH(12,'Output Utente'!$R$2:$R$492,0)),"")</f>
        <v/>
      </c>
      <c r="L15" s="26" t="str">
        <f aca="false">IFERROR(INDEX('Output Utente'!$E$2:$E$492,MATCH(12,'Output Utente'!$R$2:$R$492,0)),"")</f>
        <v/>
      </c>
    </row>
    <row r="16" customFormat="false" ht="15" hidden="false" customHeight="true" outlineLevel="0" collapsed="false">
      <c r="A16" s="29" t="n">
        <v>13</v>
      </c>
      <c r="B16" s="26" t="str">
        <f aca="false">IFERROR(INDEX('Output Utente'!$A$2:$A$492,MATCH(13,'Output Utente'!$R$2:$R$492,0)),"")</f>
        <v/>
      </c>
      <c r="C16" s="26" t="str">
        <f aca="false">IFERROR(INDEX('Output Utente'!$B$2:$B$492,MATCH(13,'Output Utente'!$R$2:$R$492,0)),"")</f>
        <v/>
      </c>
      <c r="D16" s="26" t="str">
        <f aca="false">IFERROR(INDEX('Output Utente'!$C$2:$C$492,MATCH(13,'Output Utente'!$R$2:$R$492,0)),"")</f>
        <v/>
      </c>
      <c r="E16" s="26" t="str">
        <f aca="false">IFERROR(INDEX('Input Giocatori 2026_27'!$D$3:$D$493,MATCH($B16,'Input Giocatori 2026_27'!$A$3:$A$493,0)),"")</f>
        <v/>
      </c>
      <c r="F16" s="27" t="str">
        <f aca="false">IFERROR(INDEX('Output Utente'!$N$2:$N$492,MATCH(13,'Output Utente'!$R$2:$R$492,0)),"")</f>
        <v/>
      </c>
      <c r="G16" s="26" t="str">
        <f aca="false">IFERROR(INDEX('Output Utente'!$O$2:$O$492,MATCH(13,'Output Utente'!$R$2:$R$492,0)),"")</f>
        <v/>
      </c>
      <c r="H16" s="26" t="str">
        <f aca="false">IFERROR(INDEX('Output Utente'!$P$2:$P$492,MATCH(13,'Output Utente'!$R$2:$R$492,0)),"")</f>
        <v/>
      </c>
      <c r="I16" s="27" t="str">
        <f aca="false">IFERROR(INDEX('Output Utente'!$F$2:$F$492,MATCH(13,'Output Utente'!$R$2:$R$492,0)),"")</f>
        <v/>
      </c>
      <c r="J16" s="27" t="str">
        <f aca="false">IFERROR(INDEX('Output Utente'!$G$2:$G$492,MATCH(13,'Output Utente'!$R$2:$R$492,0)),"")</f>
        <v/>
      </c>
      <c r="K16" s="27" t="str">
        <f aca="false">IFERROR(INDEX('Output Utente'!$H$2:$H$492,MATCH(13,'Output Utente'!$R$2:$R$492,0)),"")</f>
        <v/>
      </c>
      <c r="L16" s="26" t="str">
        <f aca="false">IFERROR(INDEX('Output Utente'!$E$2:$E$492,MATCH(13,'Output Utente'!$R$2:$R$492,0)),"")</f>
        <v/>
      </c>
    </row>
    <row r="17" customFormat="false" ht="15" hidden="false" customHeight="true" outlineLevel="0" collapsed="false">
      <c r="A17" s="29" t="n">
        <v>14</v>
      </c>
      <c r="B17" s="26" t="str">
        <f aca="false">IFERROR(INDEX('Output Utente'!$A$2:$A$492,MATCH(14,'Output Utente'!$R$2:$R$492,0)),"")</f>
        <v/>
      </c>
      <c r="C17" s="26" t="str">
        <f aca="false">IFERROR(INDEX('Output Utente'!$B$2:$B$492,MATCH(14,'Output Utente'!$R$2:$R$492,0)),"")</f>
        <v/>
      </c>
      <c r="D17" s="26" t="str">
        <f aca="false">IFERROR(INDEX('Output Utente'!$C$2:$C$492,MATCH(14,'Output Utente'!$R$2:$R$492,0)),"")</f>
        <v/>
      </c>
      <c r="E17" s="26" t="str">
        <f aca="false">IFERROR(INDEX('Input Giocatori 2026_27'!$D$3:$D$493,MATCH($B17,'Input Giocatori 2026_27'!$A$3:$A$493,0)),"")</f>
        <v/>
      </c>
      <c r="F17" s="27" t="str">
        <f aca="false">IFERROR(INDEX('Output Utente'!$N$2:$N$492,MATCH(14,'Output Utente'!$R$2:$R$492,0)),"")</f>
        <v/>
      </c>
      <c r="G17" s="26" t="str">
        <f aca="false">IFERROR(INDEX('Output Utente'!$O$2:$O$492,MATCH(14,'Output Utente'!$R$2:$R$492,0)),"")</f>
        <v/>
      </c>
      <c r="H17" s="26" t="str">
        <f aca="false">IFERROR(INDEX('Output Utente'!$P$2:$P$492,MATCH(14,'Output Utente'!$R$2:$R$492,0)),"")</f>
        <v/>
      </c>
      <c r="I17" s="27" t="str">
        <f aca="false">IFERROR(INDEX('Output Utente'!$F$2:$F$492,MATCH(14,'Output Utente'!$R$2:$R$492,0)),"")</f>
        <v/>
      </c>
      <c r="J17" s="27" t="str">
        <f aca="false">IFERROR(INDEX('Output Utente'!$G$2:$G$492,MATCH(14,'Output Utente'!$R$2:$R$492,0)),"")</f>
        <v/>
      </c>
      <c r="K17" s="27" t="str">
        <f aca="false">IFERROR(INDEX('Output Utente'!$H$2:$H$492,MATCH(14,'Output Utente'!$R$2:$R$492,0)),"")</f>
        <v/>
      </c>
      <c r="L17" s="26" t="str">
        <f aca="false">IFERROR(INDEX('Output Utente'!$E$2:$E$492,MATCH(14,'Output Utente'!$R$2:$R$492,0)),"")</f>
        <v/>
      </c>
    </row>
    <row r="18" customFormat="false" ht="15" hidden="false" customHeight="true" outlineLevel="0" collapsed="false">
      <c r="A18" s="29" t="n">
        <v>15</v>
      </c>
      <c r="B18" s="26" t="str">
        <f aca="false">IFERROR(INDEX('Output Utente'!$A$2:$A$492,MATCH(15,'Output Utente'!$R$2:$R$492,0)),"")</f>
        <v/>
      </c>
      <c r="C18" s="26" t="str">
        <f aca="false">IFERROR(INDEX('Output Utente'!$B$2:$B$492,MATCH(15,'Output Utente'!$R$2:$R$492,0)),"")</f>
        <v/>
      </c>
      <c r="D18" s="26" t="str">
        <f aca="false">IFERROR(INDEX('Output Utente'!$C$2:$C$492,MATCH(15,'Output Utente'!$R$2:$R$492,0)),"")</f>
        <v/>
      </c>
      <c r="E18" s="26" t="str">
        <f aca="false">IFERROR(INDEX('Input Giocatori 2026_27'!$D$3:$D$493,MATCH($B18,'Input Giocatori 2026_27'!$A$3:$A$493,0)),"")</f>
        <v/>
      </c>
      <c r="F18" s="27" t="str">
        <f aca="false">IFERROR(INDEX('Output Utente'!$N$2:$N$492,MATCH(15,'Output Utente'!$R$2:$R$492,0)),"")</f>
        <v/>
      </c>
      <c r="G18" s="26" t="str">
        <f aca="false">IFERROR(INDEX('Output Utente'!$O$2:$O$492,MATCH(15,'Output Utente'!$R$2:$R$492,0)),"")</f>
        <v/>
      </c>
      <c r="H18" s="26" t="str">
        <f aca="false">IFERROR(INDEX('Output Utente'!$P$2:$P$492,MATCH(15,'Output Utente'!$R$2:$R$492,0)),"")</f>
        <v/>
      </c>
      <c r="I18" s="27" t="str">
        <f aca="false">IFERROR(INDEX('Output Utente'!$F$2:$F$492,MATCH(15,'Output Utente'!$R$2:$R$492,0)),"")</f>
        <v/>
      </c>
      <c r="J18" s="27" t="str">
        <f aca="false">IFERROR(INDEX('Output Utente'!$G$2:$G$492,MATCH(15,'Output Utente'!$R$2:$R$492,0)),"")</f>
        <v/>
      </c>
      <c r="K18" s="27" t="str">
        <f aca="false">IFERROR(INDEX('Output Utente'!$H$2:$H$492,MATCH(15,'Output Utente'!$R$2:$R$492,0)),"")</f>
        <v/>
      </c>
      <c r="L18" s="26" t="str">
        <f aca="false">IFERROR(INDEX('Output Utente'!$E$2:$E$492,MATCH(15,'Output Utente'!$R$2:$R$492,0)),"")</f>
        <v/>
      </c>
    </row>
    <row r="19" customFormat="false" ht="15" hidden="false" customHeight="true" outlineLevel="0" collapsed="false">
      <c r="A19" s="29" t="n">
        <v>16</v>
      </c>
      <c r="B19" s="26" t="str">
        <f aca="false">IFERROR(INDEX('Output Utente'!$A$2:$A$492,MATCH(16,'Output Utente'!$R$2:$R$492,0)),"")</f>
        <v/>
      </c>
      <c r="C19" s="26" t="str">
        <f aca="false">IFERROR(INDEX('Output Utente'!$B$2:$B$492,MATCH(16,'Output Utente'!$R$2:$R$492,0)),"")</f>
        <v/>
      </c>
      <c r="D19" s="26" t="str">
        <f aca="false">IFERROR(INDEX('Output Utente'!$C$2:$C$492,MATCH(16,'Output Utente'!$R$2:$R$492,0)),"")</f>
        <v/>
      </c>
      <c r="E19" s="26" t="str">
        <f aca="false">IFERROR(INDEX('Input Giocatori 2026_27'!$D$3:$D$493,MATCH($B19,'Input Giocatori 2026_27'!$A$3:$A$493,0)),"")</f>
        <v/>
      </c>
      <c r="F19" s="27" t="str">
        <f aca="false">IFERROR(INDEX('Output Utente'!$N$2:$N$492,MATCH(16,'Output Utente'!$R$2:$R$492,0)),"")</f>
        <v/>
      </c>
      <c r="G19" s="26" t="str">
        <f aca="false">IFERROR(INDEX('Output Utente'!$O$2:$O$492,MATCH(16,'Output Utente'!$R$2:$R$492,0)),"")</f>
        <v/>
      </c>
      <c r="H19" s="26" t="str">
        <f aca="false">IFERROR(INDEX('Output Utente'!$P$2:$P$492,MATCH(16,'Output Utente'!$R$2:$R$492,0)),"")</f>
        <v/>
      </c>
      <c r="I19" s="27" t="str">
        <f aca="false">IFERROR(INDEX('Output Utente'!$F$2:$F$492,MATCH(16,'Output Utente'!$R$2:$R$492,0)),"")</f>
        <v/>
      </c>
      <c r="J19" s="27" t="str">
        <f aca="false">IFERROR(INDEX('Output Utente'!$G$2:$G$492,MATCH(16,'Output Utente'!$R$2:$R$492,0)),"")</f>
        <v/>
      </c>
      <c r="K19" s="27" t="str">
        <f aca="false">IFERROR(INDEX('Output Utente'!$H$2:$H$492,MATCH(16,'Output Utente'!$R$2:$R$492,0)),"")</f>
        <v/>
      </c>
      <c r="L19" s="26" t="str">
        <f aca="false">IFERROR(INDEX('Output Utente'!$E$2:$E$492,MATCH(16,'Output Utente'!$R$2:$R$492,0)),"")</f>
        <v/>
      </c>
    </row>
    <row r="20" customFormat="false" ht="15" hidden="false" customHeight="true" outlineLevel="0" collapsed="false">
      <c r="A20" s="29" t="n">
        <v>17</v>
      </c>
      <c r="B20" s="26" t="str">
        <f aca="false">IFERROR(INDEX('Output Utente'!$A$2:$A$492,MATCH(17,'Output Utente'!$R$2:$R$492,0)),"")</f>
        <v/>
      </c>
      <c r="C20" s="26" t="str">
        <f aca="false">IFERROR(INDEX('Output Utente'!$B$2:$B$492,MATCH(17,'Output Utente'!$R$2:$R$492,0)),"")</f>
        <v/>
      </c>
      <c r="D20" s="26" t="str">
        <f aca="false">IFERROR(INDEX('Output Utente'!$C$2:$C$492,MATCH(17,'Output Utente'!$R$2:$R$492,0)),"")</f>
        <v/>
      </c>
      <c r="E20" s="26" t="str">
        <f aca="false">IFERROR(INDEX('Input Giocatori 2026_27'!$D$3:$D$493,MATCH($B20,'Input Giocatori 2026_27'!$A$3:$A$493,0)),"")</f>
        <v/>
      </c>
      <c r="F20" s="27" t="str">
        <f aca="false">IFERROR(INDEX('Output Utente'!$N$2:$N$492,MATCH(17,'Output Utente'!$R$2:$R$492,0)),"")</f>
        <v/>
      </c>
      <c r="G20" s="26" t="str">
        <f aca="false">IFERROR(INDEX('Output Utente'!$O$2:$O$492,MATCH(17,'Output Utente'!$R$2:$R$492,0)),"")</f>
        <v/>
      </c>
      <c r="H20" s="26" t="str">
        <f aca="false">IFERROR(INDEX('Output Utente'!$P$2:$P$492,MATCH(17,'Output Utente'!$R$2:$R$492,0)),"")</f>
        <v/>
      </c>
      <c r="I20" s="27" t="str">
        <f aca="false">IFERROR(INDEX('Output Utente'!$F$2:$F$492,MATCH(17,'Output Utente'!$R$2:$R$492,0)),"")</f>
        <v/>
      </c>
      <c r="J20" s="27" t="str">
        <f aca="false">IFERROR(INDEX('Output Utente'!$G$2:$G$492,MATCH(17,'Output Utente'!$R$2:$R$492,0)),"")</f>
        <v/>
      </c>
      <c r="K20" s="27" t="str">
        <f aca="false">IFERROR(INDEX('Output Utente'!$H$2:$H$492,MATCH(17,'Output Utente'!$R$2:$R$492,0)),"")</f>
        <v/>
      </c>
      <c r="L20" s="26" t="str">
        <f aca="false">IFERROR(INDEX('Output Utente'!$E$2:$E$492,MATCH(17,'Output Utente'!$R$2:$R$492,0)),"")</f>
        <v/>
      </c>
    </row>
    <row r="21" customFormat="false" ht="15" hidden="false" customHeight="true" outlineLevel="0" collapsed="false">
      <c r="A21" s="29" t="n">
        <v>18</v>
      </c>
      <c r="B21" s="26" t="str">
        <f aca="false">IFERROR(INDEX('Output Utente'!$A$2:$A$492,MATCH(18,'Output Utente'!$R$2:$R$492,0)),"")</f>
        <v/>
      </c>
      <c r="C21" s="26" t="str">
        <f aca="false">IFERROR(INDEX('Output Utente'!$B$2:$B$492,MATCH(18,'Output Utente'!$R$2:$R$492,0)),"")</f>
        <v/>
      </c>
      <c r="D21" s="26" t="str">
        <f aca="false">IFERROR(INDEX('Output Utente'!$C$2:$C$492,MATCH(18,'Output Utente'!$R$2:$R$492,0)),"")</f>
        <v/>
      </c>
      <c r="E21" s="26" t="str">
        <f aca="false">IFERROR(INDEX('Input Giocatori 2026_27'!$D$3:$D$493,MATCH($B21,'Input Giocatori 2026_27'!$A$3:$A$493,0)),"")</f>
        <v/>
      </c>
      <c r="F21" s="27" t="str">
        <f aca="false">IFERROR(INDEX('Output Utente'!$N$2:$N$492,MATCH(18,'Output Utente'!$R$2:$R$492,0)),"")</f>
        <v/>
      </c>
      <c r="G21" s="26" t="str">
        <f aca="false">IFERROR(INDEX('Output Utente'!$O$2:$O$492,MATCH(18,'Output Utente'!$R$2:$R$492,0)),"")</f>
        <v/>
      </c>
      <c r="H21" s="26" t="str">
        <f aca="false">IFERROR(INDEX('Output Utente'!$P$2:$P$492,MATCH(18,'Output Utente'!$R$2:$R$492,0)),"")</f>
        <v/>
      </c>
      <c r="I21" s="27" t="str">
        <f aca="false">IFERROR(INDEX('Output Utente'!$F$2:$F$492,MATCH(18,'Output Utente'!$R$2:$R$492,0)),"")</f>
        <v/>
      </c>
      <c r="J21" s="27" t="str">
        <f aca="false">IFERROR(INDEX('Output Utente'!$G$2:$G$492,MATCH(18,'Output Utente'!$R$2:$R$492,0)),"")</f>
        <v/>
      </c>
      <c r="K21" s="27" t="str">
        <f aca="false">IFERROR(INDEX('Output Utente'!$H$2:$H$492,MATCH(18,'Output Utente'!$R$2:$R$492,0)),"")</f>
        <v/>
      </c>
      <c r="L21" s="26" t="str">
        <f aca="false">IFERROR(INDEX('Output Utente'!$E$2:$E$492,MATCH(18,'Output Utente'!$R$2:$R$492,0)),"")</f>
        <v/>
      </c>
    </row>
    <row r="22" customFormat="false" ht="15" hidden="false" customHeight="true" outlineLevel="0" collapsed="false">
      <c r="A22" s="29" t="n">
        <v>19</v>
      </c>
      <c r="B22" s="26" t="str">
        <f aca="false">IFERROR(INDEX('Output Utente'!$A$2:$A$492,MATCH(19,'Output Utente'!$R$2:$R$492,0)),"")</f>
        <v/>
      </c>
      <c r="C22" s="26" t="str">
        <f aca="false">IFERROR(INDEX('Output Utente'!$B$2:$B$492,MATCH(19,'Output Utente'!$R$2:$R$492,0)),"")</f>
        <v/>
      </c>
      <c r="D22" s="26" t="str">
        <f aca="false">IFERROR(INDEX('Output Utente'!$C$2:$C$492,MATCH(19,'Output Utente'!$R$2:$R$492,0)),"")</f>
        <v/>
      </c>
      <c r="E22" s="26" t="str">
        <f aca="false">IFERROR(INDEX('Input Giocatori 2026_27'!$D$3:$D$493,MATCH($B22,'Input Giocatori 2026_27'!$A$3:$A$493,0)),"")</f>
        <v/>
      </c>
      <c r="F22" s="27" t="str">
        <f aca="false">IFERROR(INDEX('Output Utente'!$N$2:$N$492,MATCH(19,'Output Utente'!$R$2:$R$492,0)),"")</f>
        <v/>
      </c>
      <c r="G22" s="26" t="str">
        <f aca="false">IFERROR(INDEX('Output Utente'!$O$2:$O$492,MATCH(19,'Output Utente'!$R$2:$R$492,0)),"")</f>
        <v/>
      </c>
      <c r="H22" s="26" t="str">
        <f aca="false">IFERROR(INDEX('Output Utente'!$P$2:$P$492,MATCH(19,'Output Utente'!$R$2:$R$492,0)),"")</f>
        <v/>
      </c>
      <c r="I22" s="27" t="str">
        <f aca="false">IFERROR(INDEX('Output Utente'!$F$2:$F$492,MATCH(19,'Output Utente'!$R$2:$R$492,0)),"")</f>
        <v/>
      </c>
      <c r="J22" s="27" t="str">
        <f aca="false">IFERROR(INDEX('Output Utente'!$G$2:$G$492,MATCH(19,'Output Utente'!$R$2:$R$492,0)),"")</f>
        <v/>
      </c>
      <c r="K22" s="27" t="str">
        <f aca="false">IFERROR(INDEX('Output Utente'!$H$2:$H$492,MATCH(19,'Output Utente'!$R$2:$R$492,0)),"")</f>
        <v/>
      </c>
      <c r="L22" s="26" t="str">
        <f aca="false">IFERROR(INDEX('Output Utente'!$E$2:$E$492,MATCH(19,'Output Utente'!$R$2:$R$492,0)),"")</f>
        <v/>
      </c>
    </row>
    <row r="23" customFormat="false" ht="15" hidden="false" customHeight="true" outlineLevel="0" collapsed="false">
      <c r="A23" s="29" t="n">
        <v>20</v>
      </c>
      <c r="B23" s="26" t="str">
        <f aca="false">IFERROR(INDEX('Output Utente'!$A$2:$A$492,MATCH(20,'Output Utente'!$R$2:$R$492,0)),"")</f>
        <v/>
      </c>
      <c r="C23" s="26" t="str">
        <f aca="false">IFERROR(INDEX('Output Utente'!$B$2:$B$492,MATCH(20,'Output Utente'!$R$2:$R$492,0)),"")</f>
        <v/>
      </c>
      <c r="D23" s="26" t="str">
        <f aca="false">IFERROR(INDEX('Output Utente'!$C$2:$C$492,MATCH(20,'Output Utente'!$R$2:$R$492,0)),"")</f>
        <v/>
      </c>
      <c r="E23" s="26" t="str">
        <f aca="false">IFERROR(INDEX('Input Giocatori 2026_27'!$D$3:$D$493,MATCH($B23,'Input Giocatori 2026_27'!$A$3:$A$493,0)),"")</f>
        <v/>
      </c>
      <c r="F23" s="27" t="str">
        <f aca="false">IFERROR(INDEX('Output Utente'!$N$2:$N$492,MATCH(20,'Output Utente'!$R$2:$R$492,0)),"")</f>
        <v/>
      </c>
      <c r="G23" s="26" t="str">
        <f aca="false">IFERROR(INDEX('Output Utente'!$O$2:$O$492,MATCH(20,'Output Utente'!$R$2:$R$492,0)),"")</f>
        <v/>
      </c>
      <c r="H23" s="26" t="str">
        <f aca="false">IFERROR(INDEX('Output Utente'!$P$2:$P$492,MATCH(20,'Output Utente'!$R$2:$R$492,0)),"")</f>
        <v/>
      </c>
      <c r="I23" s="27" t="str">
        <f aca="false">IFERROR(INDEX('Output Utente'!$F$2:$F$492,MATCH(20,'Output Utente'!$R$2:$R$492,0)),"")</f>
        <v/>
      </c>
      <c r="J23" s="27" t="str">
        <f aca="false">IFERROR(INDEX('Output Utente'!$G$2:$G$492,MATCH(20,'Output Utente'!$R$2:$R$492,0)),"")</f>
        <v/>
      </c>
      <c r="K23" s="27" t="str">
        <f aca="false">IFERROR(INDEX('Output Utente'!$H$2:$H$492,MATCH(20,'Output Utente'!$R$2:$R$492,0)),"")</f>
        <v/>
      </c>
      <c r="L23" s="26" t="str">
        <f aca="false">IFERROR(INDEX('Output Utente'!$E$2:$E$492,MATCH(20,'Output Utente'!$R$2:$R$492,0)),"")</f>
        <v/>
      </c>
    </row>
    <row r="24" customFormat="false" ht="15" hidden="false" customHeight="true" outlineLevel="0" collapsed="false">
      <c r="A24" s="29" t="n">
        <v>21</v>
      </c>
      <c r="B24" s="26" t="str">
        <f aca="false">IFERROR(INDEX('Output Utente'!$A$2:$A$492,MATCH(21,'Output Utente'!$R$2:$R$492,0)),"")</f>
        <v/>
      </c>
      <c r="C24" s="26" t="str">
        <f aca="false">IFERROR(INDEX('Output Utente'!$B$2:$B$492,MATCH(21,'Output Utente'!$R$2:$R$492,0)),"")</f>
        <v/>
      </c>
      <c r="D24" s="26" t="str">
        <f aca="false">IFERROR(INDEX('Output Utente'!$C$2:$C$492,MATCH(21,'Output Utente'!$R$2:$R$492,0)),"")</f>
        <v/>
      </c>
      <c r="E24" s="26" t="str">
        <f aca="false">IFERROR(INDEX('Input Giocatori 2026_27'!$D$3:$D$493,MATCH($B24,'Input Giocatori 2026_27'!$A$3:$A$493,0)),"")</f>
        <v/>
      </c>
      <c r="F24" s="27" t="str">
        <f aca="false">IFERROR(INDEX('Output Utente'!$N$2:$N$492,MATCH(21,'Output Utente'!$R$2:$R$492,0)),"")</f>
        <v/>
      </c>
      <c r="G24" s="26" t="str">
        <f aca="false">IFERROR(INDEX('Output Utente'!$O$2:$O$492,MATCH(21,'Output Utente'!$R$2:$R$492,0)),"")</f>
        <v/>
      </c>
      <c r="H24" s="26" t="str">
        <f aca="false">IFERROR(INDEX('Output Utente'!$P$2:$P$492,MATCH(21,'Output Utente'!$R$2:$R$492,0)),"")</f>
        <v/>
      </c>
      <c r="I24" s="27" t="str">
        <f aca="false">IFERROR(INDEX('Output Utente'!$F$2:$F$492,MATCH(21,'Output Utente'!$R$2:$R$492,0)),"")</f>
        <v/>
      </c>
      <c r="J24" s="27" t="str">
        <f aca="false">IFERROR(INDEX('Output Utente'!$G$2:$G$492,MATCH(21,'Output Utente'!$R$2:$R$492,0)),"")</f>
        <v/>
      </c>
      <c r="K24" s="27" t="str">
        <f aca="false">IFERROR(INDEX('Output Utente'!$H$2:$H$492,MATCH(21,'Output Utente'!$R$2:$R$492,0)),"")</f>
        <v/>
      </c>
      <c r="L24" s="26" t="str">
        <f aca="false">IFERROR(INDEX('Output Utente'!$E$2:$E$492,MATCH(21,'Output Utente'!$R$2:$R$492,0)),"")</f>
        <v/>
      </c>
    </row>
    <row r="25" customFormat="false" ht="15" hidden="false" customHeight="true" outlineLevel="0" collapsed="false">
      <c r="A25" s="29" t="n">
        <v>22</v>
      </c>
      <c r="B25" s="26" t="str">
        <f aca="false">IFERROR(INDEX('Output Utente'!$A$2:$A$492,MATCH(22,'Output Utente'!$R$2:$R$492,0)),"")</f>
        <v/>
      </c>
      <c r="C25" s="26" t="str">
        <f aca="false">IFERROR(INDEX('Output Utente'!$B$2:$B$492,MATCH(22,'Output Utente'!$R$2:$R$492,0)),"")</f>
        <v/>
      </c>
      <c r="D25" s="26" t="str">
        <f aca="false">IFERROR(INDEX('Output Utente'!$C$2:$C$492,MATCH(22,'Output Utente'!$R$2:$R$492,0)),"")</f>
        <v/>
      </c>
      <c r="E25" s="26" t="str">
        <f aca="false">IFERROR(INDEX('Input Giocatori 2026_27'!$D$3:$D$493,MATCH($B25,'Input Giocatori 2026_27'!$A$3:$A$493,0)),"")</f>
        <v/>
      </c>
      <c r="F25" s="27" t="str">
        <f aca="false">IFERROR(INDEX('Output Utente'!$N$2:$N$492,MATCH(22,'Output Utente'!$R$2:$R$492,0)),"")</f>
        <v/>
      </c>
      <c r="G25" s="26" t="str">
        <f aca="false">IFERROR(INDEX('Output Utente'!$O$2:$O$492,MATCH(22,'Output Utente'!$R$2:$R$492,0)),"")</f>
        <v/>
      </c>
      <c r="H25" s="26" t="str">
        <f aca="false">IFERROR(INDEX('Output Utente'!$P$2:$P$492,MATCH(22,'Output Utente'!$R$2:$R$492,0)),"")</f>
        <v/>
      </c>
      <c r="I25" s="27" t="str">
        <f aca="false">IFERROR(INDEX('Output Utente'!$F$2:$F$492,MATCH(22,'Output Utente'!$R$2:$R$492,0)),"")</f>
        <v/>
      </c>
      <c r="J25" s="27" t="str">
        <f aca="false">IFERROR(INDEX('Output Utente'!$G$2:$G$492,MATCH(22,'Output Utente'!$R$2:$R$492,0)),"")</f>
        <v/>
      </c>
      <c r="K25" s="27" t="str">
        <f aca="false">IFERROR(INDEX('Output Utente'!$H$2:$H$492,MATCH(22,'Output Utente'!$R$2:$R$492,0)),"")</f>
        <v/>
      </c>
      <c r="L25" s="26" t="str">
        <f aca="false">IFERROR(INDEX('Output Utente'!$E$2:$E$492,MATCH(22,'Output Utente'!$R$2:$R$492,0)),"")</f>
        <v/>
      </c>
    </row>
    <row r="26" customFormat="false" ht="15" hidden="false" customHeight="true" outlineLevel="0" collapsed="false">
      <c r="A26" s="29" t="n">
        <v>23</v>
      </c>
      <c r="B26" s="26" t="str">
        <f aca="false">IFERROR(INDEX('Output Utente'!$A$2:$A$492,MATCH(23,'Output Utente'!$R$2:$R$492,0)),"")</f>
        <v/>
      </c>
      <c r="C26" s="26" t="str">
        <f aca="false">IFERROR(INDEX('Output Utente'!$B$2:$B$492,MATCH(23,'Output Utente'!$R$2:$R$492,0)),"")</f>
        <v/>
      </c>
      <c r="D26" s="26" t="str">
        <f aca="false">IFERROR(INDEX('Output Utente'!$C$2:$C$492,MATCH(23,'Output Utente'!$R$2:$R$492,0)),"")</f>
        <v/>
      </c>
      <c r="E26" s="26" t="str">
        <f aca="false">IFERROR(INDEX('Input Giocatori 2026_27'!$D$3:$D$493,MATCH($B26,'Input Giocatori 2026_27'!$A$3:$A$493,0)),"")</f>
        <v/>
      </c>
      <c r="F26" s="27" t="str">
        <f aca="false">IFERROR(INDEX('Output Utente'!$N$2:$N$492,MATCH(23,'Output Utente'!$R$2:$R$492,0)),"")</f>
        <v/>
      </c>
      <c r="G26" s="26" t="str">
        <f aca="false">IFERROR(INDEX('Output Utente'!$O$2:$O$492,MATCH(23,'Output Utente'!$R$2:$R$492,0)),"")</f>
        <v/>
      </c>
      <c r="H26" s="26" t="str">
        <f aca="false">IFERROR(INDEX('Output Utente'!$P$2:$P$492,MATCH(23,'Output Utente'!$R$2:$R$492,0)),"")</f>
        <v/>
      </c>
      <c r="I26" s="27" t="str">
        <f aca="false">IFERROR(INDEX('Output Utente'!$F$2:$F$492,MATCH(23,'Output Utente'!$R$2:$R$492,0)),"")</f>
        <v/>
      </c>
      <c r="J26" s="27" t="str">
        <f aca="false">IFERROR(INDEX('Output Utente'!$G$2:$G$492,MATCH(23,'Output Utente'!$R$2:$R$492,0)),"")</f>
        <v/>
      </c>
      <c r="K26" s="27" t="str">
        <f aca="false">IFERROR(INDEX('Output Utente'!$H$2:$H$492,MATCH(23,'Output Utente'!$R$2:$R$492,0)),"")</f>
        <v/>
      </c>
      <c r="L26" s="26" t="str">
        <f aca="false">IFERROR(INDEX('Output Utente'!$E$2:$E$492,MATCH(23,'Output Utente'!$R$2:$R$492,0)),"")</f>
        <v/>
      </c>
    </row>
    <row r="27" customFormat="false" ht="15" hidden="false" customHeight="true" outlineLevel="0" collapsed="false">
      <c r="A27" s="29" t="n">
        <v>24</v>
      </c>
      <c r="B27" s="26" t="str">
        <f aca="false">IFERROR(INDEX('Output Utente'!$A$2:$A$492,MATCH(24,'Output Utente'!$R$2:$R$492,0)),"")</f>
        <v/>
      </c>
      <c r="C27" s="26" t="str">
        <f aca="false">IFERROR(INDEX('Output Utente'!$B$2:$B$492,MATCH(24,'Output Utente'!$R$2:$R$492,0)),"")</f>
        <v/>
      </c>
      <c r="D27" s="26" t="str">
        <f aca="false">IFERROR(INDEX('Output Utente'!$C$2:$C$492,MATCH(24,'Output Utente'!$R$2:$R$492,0)),"")</f>
        <v/>
      </c>
      <c r="E27" s="26" t="str">
        <f aca="false">IFERROR(INDEX('Input Giocatori 2026_27'!$D$3:$D$493,MATCH($B27,'Input Giocatori 2026_27'!$A$3:$A$493,0)),"")</f>
        <v/>
      </c>
      <c r="F27" s="27" t="str">
        <f aca="false">IFERROR(INDEX('Output Utente'!$N$2:$N$492,MATCH(24,'Output Utente'!$R$2:$R$492,0)),"")</f>
        <v/>
      </c>
      <c r="G27" s="26" t="str">
        <f aca="false">IFERROR(INDEX('Output Utente'!$O$2:$O$492,MATCH(24,'Output Utente'!$R$2:$R$492,0)),"")</f>
        <v/>
      </c>
      <c r="H27" s="26" t="str">
        <f aca="false">IFERROR(INDEX('Output Utente'!$P$2:$P$492,MATCH(24,'Output Utente'!$R$2:$R$492,0)),"")</f>
        <v/>
      </c>
      <c r="I27" s="27" t="str">
        <f aca="false">IFERROR(INDEX('Output Utente'!$F$2:$F$492,MATCH(24,'Output Utente'!$R$2:$R$492,0)),"")</f>
        <v/>
      </c>
      <c r="J27" s="27" t="str">
        <f aca="false">IFERROR(INDEX('Output Utente'!$G$2:$G$492,MATCH(24,'Output Utente'!$R$2:$R$492,0)),"")</f>
        <v/>
      </c>
      <c r="K27" s="27" t="str">
        <f aca="false">IFERROR(INDEX('Output Utente'!$H$2:$H$492,MATCH(24,'Output Utente'!$R$2:$R$492,0)),"")</f>
        <v/>
      </c>
      <c r="L27" s="26" t="str">
        <f aca="false">IFERROR(INDEX('Output Utente'!$E$2:$E$492,MATCH(24,'Output Utente'!$R$2:$R$492,0)),"")</f>
        <v/>
      </c>
    </row>
    <row r="28" customFormat="false" ht="15" hidden="false" customHeight="true" outlineLevel="0" collapsed="false">
      <c r="A28" s="29" t="n">
        <v>25</v>
      </c>
      <c r="B28" s="26" t="str">
        <f aca="false">IFERROR(INDEX('Output Utente'!$A$2:$A$492,MATCH(25,'Output Utente'!$R$2:$R$492,0)),"")</f>
        <v/>
      </c>
      <c r="C28" s="26" t="str">
        <f aca="false">IFERROR(INDEX('Output Utente'!$B$2:$B$492,MATCH(25,'Output Utente'!$R$2:$R$492,0)),"")</f>
        <v/>
      </c>
      <c r="D28" s="26" t="str">
        <f aca="false">IFERROR(INDEX('Output Utente'!$C$2:$C$492,MATCH(25,'Output Utente'!$R$2:$R$492,0)),"")</f>
        <v/>
      </c>
      <c r="E28" s="26" t="str">
        <f aca="false">IFERROR(INDEX('Input Giocatori 2026_27'!$D$3:$D$493,MATCH($B28,'Input Giocatori 2026_27'!$A$3:$A$493,0)),"")</f>
        <v/>
      </c>
      <c r="F28" s="27" t="str">
        <f aca="false">IFERROR(INDEX('Output Utente'!$N$2:$N$492,MATCH(25,'Output Utente'!$R$2:$R$492,0)),"")</f>
        <v/>
      </c>
      <c r="G28" s="26" t="str">
        <f aca="false">IFERROR(INDEX('Output Utente'!$O$2:$O$492,MATCH(25,'Output Utente'!$R$2:$R$492,0)),"")</f>
        <v/>
      </c>
      <c r="H28" s="26" t="str">
        <f aca="false">IFERROR(INDEX('Output Utente'!$P$2:$P$492,MATCH(25,'Output Utente'!$R$2:$R$492,0)),"")</f>
        <v/>
      </c>
      <c r="I28" s="27" t="str">
        <f aca="false">IFERROR(INDEX('Output Utente'!$F$2:$F$492,MATCH(25,'Output Utente'!$R$2:$R$492,0)),"")</f>
        <v/>
      </c>
      <c r="J28" s="27" t="str">
        <f aca="false">IFERROR(INDEX('Output Utente'!$G$2:$G$492,MATCH(25,'Output Utente'!$R$2:$R$492,0)),"")</f>
        <v/>
      </c>
      <c r="K28" s="27" t="str">
        <f aca="false">IFERROR(INDEX('Output Utente'!$H$2:$H$492,MATCH(25,'Output Utente'!$R$2:$R$492,0)),"")</f>
        <v/>
      </c>
      <c r="L28" s="26" t="str">
        <f aca="false">IFERROR(INDEX('Output Utente'!$E$2:$E$492,MATCH(25,'Output Utente'!$R$2:$R$492,0)),"")</f>
        <v/>
      </c>
    </row>
    <row r="29" customFormat="false" ht="15" hidden="false" customHeight="true" outlineLevel="0" collapsed="false">
      <c r="A29" s="29" t="n">
        <v>26</v>
      </c>
      <c r="B29" s="26" t="str">
        <f aca="false">IFERROR(INDEX('Output Utente'!$A$2:$A$492,MATCH(26,'Output Utente'!$R$2:$R$492,0)),"")</f>
        <v/>
      </c>
      <c r="C29" s="26" t="str">
        <f aca="false">IFERROR(INDEX('Output Utente'!$B$2:$B$492,MATCH(26,'Output Utente'!$R$2:$R$492,0)),"")</f>
        <v/>
      </c>
      <c r="D29" s="26" t="str">
        <f aca="false">IFERROR(INDEX('Output Utente'!$C$2:$C$492,MATCH(26,'Output Utente'!$R$2:$R$492,0)),"")</f>
        <v/>
      </c>
      <c r="E29" s="26" t="str">
        <f aca="false">IFERROR(INDEX('Input Giocatori 2026_27'!$D$3:$D$493,MATCH($B29,'Input Giocatori 2026_27'!$A$3:$A$493,0)),"")</f>
        <v/>
      </c>
      <c r="F29" s="27" t="str">
        <f aca="false">IFERROR(INDEX('Output Utente'!$N$2:$N$492,MATCH(26,'Output Utente'!$R$2:$R$492,0)),"")</f>
        <v/>
      </c>
      <c r="G29" s="26" t="str">
        <f aca="false">IFERROR(INDEX('Output Utente'!$O$2:$O$492,MATCH(26,'Output Utente'!$R$2:$R$492,0)),"")</f>
        <v/>
      </c>
      <c r="H29" s="26" t="str">
        <f aca="false">IFERROR(INDEX('Output Utente'!$P$2:$P$492,MATCH(26,'Output Utente'!$R$2:$R$492,0)),"")</f>
        <v/>
      </c>
      <c r="I29" s="27" t="str">
        <f aca="false">IFERROR(INDEX('Output Utente'!$F$2:$F$492,MATCH(26,'Output Utente'!$R$2:$R$492,0)),"")</f>
        <v/>
      </c>
      <c r="J29" s="27" t="str">
        <f aca="false">IFERROR(INDEX('Output Utente'!$G$2:$G$492,MATCH(26,'Output Utente'!$R$2:$R$492,0)),"")</f>
        <v/>
      </c>
      <c r="K29" s="27" t="str">
        <f aca="false">IFERROR(INDEX('Output Utente'!$H$2:$H$492,MATCH(26,'Output Utente'!$R$2:$R$492,0)),"")</f>
        <v/>
      </c>
      <c r="L29" s="26" t="str">
        <f aca="false">IFERROR(INDEX('Output Utente'!$E$2:$E$492,MATCH(26,'Output Utente'!$R$2:$R$492,0)),"")</f>
        <v/>
      </c>
    </row>
    <row r="30" customFormat="false" ht="15" hidden="false" customHeight="true" outlineLevel="0" collapsed="false">
      <c r="A30" s="29" t="n">
        <v>27</v>
      </c>
      <c r="B30" s="26" t="str">
        <f aca="false">IFERROR(INDEX('Output Utente'!$A$2:$A$492,MATCH(27,'Output Utente'!$R$2:$R$492,0)),"")</f>
        <v/>
      </c>
      <c r="C30" s="26" t="str">
        <f aca="false">IFERROR(INDEX('Output Utente'!$B$2:$B$492,MATCH(27,'Output Utente'!$R$2:$R$492,0)),"")</f>
        <v/>
      </c>
      <c r="D30" s="26" t="str">
        <f aca="false">IFERROR(INDEX('Output Utente'!$C$2:$C$492,MATCH(27,'Output Utente'!$R$2:$R$492,0)),"")</f>
        <v/>
      </c>
      <c r="E30" s="26" t="str">
        <f aca="false">IFERROR(INDEX('Input Giocatori 2026_27'!$D$3:$D$493,MATCH($B30,'Input Giocatori 2026_27'!$A$3:$A$493,0)),"")</f>
        <v/>
      </c>
      <c r="F30" s="27" t="str">
        <f aca="false">IFERROR(INDEX('Output Utente'!$N$2:$N$492,MATCH(27,'Output Utente'!$R$2:$R$492,0)),"")</f>
        <v/>
      </c>
      <c r="G30" s="26" t="str">
        <f aca="false">IFERROR(INDEX('Output Utente'!$O$2:$O$492,MATCH(27,'Output Utente'!$R$2:$R$492,0)),"")</f>
        <v/>
      </c>
      <c r="H30" s="26" t="str">
        <f aca="false">IFERROR(INDEX('Output Utente'!$P$2:$P$492,MATCH(27,'Output Utente'!$R$2:$R$492,0)),"")</f>
        <v/>
      </c>
      <c r="I30" s="27" t="str">
        <f aca="false">IFERROR(INDEX('Output Utente'!$F$2:$F$492,MATCH(27,'Output Utente'!$R$2:$R$492,0)),"")</f>
        <v/>
      </c>
      <c r="J30" s="27" t="str">
        <f aca="false">IFERROR(INDEX('Output Utente'!$G$2:$G$492,MATCH(27,'Output Utente'!$R$2:$R$492,0)),"")</f>
        <v/>
      </c>
      <c r="K30" s="27" t="str">
        <f aca="false">IFERROR(INDEX('Output Utente'!$H$2:$H$492,MATCH(27,'Output Utente'!$R$2:$R$492,0)),"")</f>
        <v/>
      </c>
      <c r="L30" s="26" t="str">
        <f aca="false">IFERROR(INDEX('Output Utente'!$E$2:$E$492,MATCH(27,'Output Utente'!$R$2:$R$492,0)),"")</f>
        <v/>
      </c>
    </row>
    <row r="31" customFormat="false" ht="15" hidden="false" customHeight="true" outlineLevel="0" collapsed="false">
      <c r="A31" s="29" t="n">
        <v>28</v>
      </c>
      <c r="B31" s="26" t="str">
        <f aca="false">IFERROR(INDEX('Output Utente'!$A$2:$A$492,MATCH(28,'Output Utente'!$R$2:$R$492,0)),"")</f>
        <v/>
      </c>
      <c r="C31" s="26" t="str">
        <f aca="false">IFERROR(INDEX('Output Utente'!$B$2:$B$492,MATCH(28,'Output Utente'!$R$2:$R$492,0)),"")</f>
        <v/>
      </c>
      <c r="D31" s="26" t="str">
        <f aca="false">IFERROR(INDEX('Output Utente'!$C$2:$C$492,MATCH(28,'Output Utente'!$R$2:$R$492,0)),"")</f>
        <v/>
      </c>
      <c r="E31" s="26" t="str">
        <f aca="false">IFERROR(INDEX('Input Giocatori 2026_27'!$D$3:$D$493,MATCH($B31,'Input Giocatori 2026_27'!$A$3:$A$493,0)),"")</f>
        <v/>
      </c>
      <c r="F31" s="27" t="str">
        <f aca="false">IFERROR(INDEX('Output Utente'!$N$2:$N$492,MATCH(28,'Output Utente'!$R$2:$R$492,0)),"")</f>
        <v/>
      </c>
      <c r="G31" s="26" t="str">
        <f aca="false">IFERROR(INDEX('Output Utente'!$O$2:$O$492,MATCH(28,'Output Utente'!$R$2:$R$492,0)),"")</f>
        <v/>
      </c>
      <c r="H31" s="26" t="str">
        <f aca="false">IFERROR(INDEX('Output Utente'!$P$2:$P$492,MATCH(28,'Output Utente'!$R$2:$R$492,0)),"")</f>
        <v/>
      </c>
      <c r="I31" s="27" t="str">
        <f aca="false">IFERROR(INDEX('Output Utente'!$F$2:$F$492,MATCH(28,'Output Utente'!$R$2:$R$492,0)),"")</f>
        <v/>
      </c>
      <c r="J31" s="27" t="str">
        <f aca="false">IFERROR(INDEX('Output Utente'!$G$2:$G$492,MATCH(28,'Output Utente'!$R$2:$R$492,0)),"")</f>
        <v/>
      </c>
      <c r="K31" s="27" t="str">
        <f aca="false">IFERROR(INDEX('Output Utente'!$H$2:$H$492,MATCH(28,'Output Utente'!$R$2:$R$492,0)),"")</f>
        <v/>
      </c>
      <c r="L31" s="26" t="str">
        <f aca="false">IFERROR(INDEX('Output Utente'!$E$2:$E$492,MATCH(28,'Output Utente'!$R$2:$R$492,0)),"")</f>
        <v/>
      </c>
    </row>
    <row r="32" customFormat="false" ht="15" hidden="false" customHeight="true" outlineLevel="0" collapsed="false">
      <c r="A32" s="29" t="n">
        <v>29</v>
      </c>
      <c r="B32" s="26" t="str">
        <f aca="false">IFERROR(INDEX('Output Utente'!$A$2:$A$492,MATCH(29,'Output Utente'!$R$2:$R$492,0)),"")</f>
        <v/>
      </c>
      <c r="C32" s="26" t="str">
        <f aca="false">IFERROR(INDEX('Output Utente'!$B$2:$B$492,MATCH(29,'Output Utente'!$R$2:$R$492,0)),"")</f>
        <v/>
      </c>
      <c r="D32" s="26" t="str">
        <f aca="false">IFERROR(INDEX('Output Utente'!$C$2:$C$492,MATCH(29,'Output Utente'!$R$2:$R$492,0)),"")</f>
        <v/>
      </c>
      <c r="E32" s="26" t="str">
        <f aca="false">IFERROR(INDEX('Input Giocatori 2026_27'!$D$3:$D$493,MATCH($B32,'Input Giocatori 2026_27'!$A$3:$A$493,0)),"")</f>
        <v/>
      </c>
      <c r="F32" s="27" t="str">
        <f aca="false">IFERROR(INDEX('Output Utente'!$N$2:$N$492,MATCH(29,'Output Utente'!$R$2:$R$492,0)),"")</f>
        <v/>
      </c>
      <c r="G32" s="26" t="str">
        <f aca="false">IFERROR(INDEX('Output Utente'!$O$2:$O$492,MATCH(29,'Output Utente'!$R$2:$R$492,0)),"")</f>
        <v/>
      </c>
      <c r="H32" s="26" t="str">
        <f aca="false">IFERROR(INDEX('Output Utente'!$P$2:$P$492,MATCH(29,'Output Utente'!$R$2:$R$492,0)),"")</f>
        <v/>
      </c>
      <c r="I32" s="27" t="str">
        <f aca="false">IFERROR(INDEX('Output Utente'!$F$2:$F$492,MATCH(29,'Output Utente'!$R$2:$R$492,0)),"")</f>
        <v/>
      </c>
      <c r="J32" s="27" t="str">
        <f aca="false">IFERROR(INDEX('Output Utente'!$G$2:$G$492,MATCH(29,'Output Utente'!$R$2:$R$492,0)),"")</f>
        <v/>
      </c>
      <c r="K32" s="27" t="str">
        <f aca="false">IFERROR(INDEX('Output Utente'!$H$2:$H$492,MATCH(29,'Output Utente'!$R$2:$R$492,0)),"")</f>
        <v/>
      </c>
      <c r="L32" s="26" t="str">
        <f aca="false">IFERROR(INDEX('Output Utente'!$E$2:$E$492,MATCH(29,'Output Utente'!$R$2:$R$492,0)),"")</f>
        <v/>
      </c>
    </row>
    <row r="33" customFormat="false" ht="15" hidden="false" customHeight="true" outlineLevel="0" collapsed="false">
      <c r="A33" s="29" t="n">
        <v>30</v>
      </c>
      <c r="B33" s="26" t="str">
        <f aca="false">IFERROR(INDEX('Output Utente'!$A$2:$A$492,MATCH(30,'Output Utente'!$R$2:$R$492,0)),"")</f>
        <v/>
      </c>
      <c r="C33" s="26" t="str">
        <f aca="false">IFERROR(INDEX('Output Utente'!$B$2:$B$492,MATCH(30,'Output Utente'!$R$2:$R$492,0)),"")</f>
        <v/>
      </c>
      <c r="D33" s="26" t="str">
        <f aca="false">IFERROR(INDEX('Output Utente'!$C$2:$C$492,MATCH(30,'Output Utente'!$R$2:$R$492,0)),"")</f>
        <v/>
      </c>
      <c r="E33" s="26" t="str">
        <f aca="false">IFERROR(INDEX('Input Giocatori 2026_27'!$D$3:$D$493,MATCH($B33,'Input Giocatori 2026_27'!$A$3:$A$493,0)),"")</f>
        <v/>
      </c>
      <c r="F33" s="27" t="str">
        <f aca="false">IFERROR(INDEX('Output Utente'!$N$2:$N$492,MATCH(30,'Output Utente'!$R$2:$R$492,0)),"")</f>
        <v/>
      </c>
      <c r="G33" s="26" t="str">
        <f aca="false">IFERROR(INDEX('Output Utente'!$O$2:$O$492,MATCH(30,'Output Utente'!$R$2:$R$492,0)),"")</f>
        <v/>
      </c>
      <c r="H33" s="26" t="str">
        <f aca="false">IFERROR(INDEX('Output Utente'!$P$2:$P$492,MATCH(30,'Output Utente'!$R$2:$R$492,0)),"")</f>
        <v/>
      </c>
      <c r="I33" s="27" t="str">
        <f aca="false">IFERROR(INDEX('Output Utente'!$F$2:$F$492,MATCH(30,'Output Utente'!$R$2:$R$492,0)),"")</f>
        <v/>
      </c>
      <c r="J33" s="27" t="str">
        <f aca="false">IFERROR(INDEX('Output Utente'!$G$2:$G$492,MATCH(30,'Output Utente'!$R$2:$R$492,0)),"")</f>
        <v/>
      </c>
      <c r="K33" s="27" t="str">
        <f aca="false">IFERROR(INDEX('Output Utente'!$H$2:$H$492,MATCH(30,'Output Utente'!$R$2:$R$492,0)),"")</f>
        <v/>
      </c>
      <c r="L33" s="26" t="str">
        <f aca="false">IFERROR(INDEX('Output Utente'!$E$2:$E$492,MATCH(30,'Output Utente'!$R$2:$R$492,0)),"")</f>
        <v/>
      </c>
    </row>
    <row r="34" customFormat="false" ht="15" hidden="false" customHeight="true" outlineLevel="0" collapsed="false">
      <c r="A34" s="29" t="n">
        <v>31</v>
      </c>
      <c r="B34" s="26" t="str">
        <f aca="false">IFERROR(INDEX('Output Utente'!$A$2:$A$492,MATCH(31,'Output Utente'!$R$2:$R$492,0)),"")</f>
        <v/>
      </c>
      <c r="C34" s="26" t="str">
        <f aca="false">IFERROR(INDEX('Output Utente'!$B$2:$B$492,MATCH(31,'Output Utente'!$R$2:$R$492,0)),"")</f>
        <v/>
      </c>
      <c r="D34" s="26" t="str">
        <f aca="false">IFERROR(INDEX('Output Utente'!$C$2:$C$492,MATCH(31,'Output Utente'!$R$2:$R$492,0)),"")</f>
        <v/>
      </c>
      <c r="E34" s="26" t="str">
        <f aca="false">IFERROR(INDEX('Input Giocatori 2026_27'!$D$3:$D$493,MATCH($B34,'Input Giocatori 2026_27'!$A$3:$A$493,0)),"")</f>
        <v/>
      </c>
      <c r="F34" s="27" t="str">
        <f aca="false">IFERROR(INDEX('Output Utente'!$N$2:$N$492,MATCH(31,'Output Utente'!$R$2:$R$492,0)),"")</f>
        <v/>
      </c>
      <c r="G34" s="26" t="str">
        <f aca="false">IFERROR(INDEX('Output Utente'!$O$2:$O$492,MATCH(31,'Output Utente'!$R$2:$R$492,0)),"")</f>
        <v/>
      </c>
      <c r="H34" s="26" t="str">
        <f aca="false">IFERROR(INDEX('Output Utente'!$P$2:$P$492,MATCH(31,'Output Utente'!$R$2:$R$492,0)),"")</f>
        <v/>
      </c>
      <c r="I34" s="27" t="str">
        <f aca="false">IFERROR(INDEX('Output Utente'!$F$2:$F$492,MATCH(31,'Output Utente'!$R$2:$R$492,0)),"")</f>
        <v/>
      </c>
      <c r="J34" s="27" t="str">
        <f aca="false">IFERROR(INDEX('Output Utente'!$G$2:$G$492,MATCH(31,'Output Utente'!$R$2:$R$492,0)),"")</f>
        <v/>
      </c>
      <c r="K34" s="27" t="str">
        <f aca="false">IFERROR(INDEX('Output Utente'!$H$2:$H$492,MATCH(31,'Output Utente'!$R$2:$R$492,0)),"")</f>
        <v/>
      </c>
      <c r="L34" s="26" t="str">
        <f aca="false">IFERROR(INDEX('Output Utente'!$E$2:$E$492,MATCH(31,'Output Utente'!$R$2:$R$492,0)),"")</f>
        <v/>
      </c>
    </row>
    <row r="35" customFormat="false" ht="15" hidden="false" customHeight="true" outlineLevel="0" collapsed="false">
      <c r="A35" s="29" t="n">
        <v>32</v>
      </c>
      <c r="B35" s="26" t="str">
        <f aca="false">IFERROR(INDEX('Output Utente'!$A$2:$A$492,MATCH(32,'Output Utente'!$R$2:$R$492,0)),"")</f>
        <v/>
      </c>
      <c r="C35" s="26" t="str">
        <f aca="false">IFERROR(INDEX('Output Utente'!$B$2:$B$492,MATCH(32,'Output Utente'!$R$2:$R$492,0)),"")</f>
        <v/>
      </c>
      <c r="D35" s="26" t="str">
        <f aca="false">IFERROR(INDEX('Output Utente'!$C$2:$C$492,MATCH(32,'Output Utente'!$R$2:$R$492,0)),"")</f>
        <v/>
      </c>
      <c r="E35" s="26" t="str">
        <f aca="false">IFERROR(INDEX('Input Giocatori 2026_27'!$D$3:$D$493,MATCH($B35,'Input Giocatori 2026_27'!$A$3:$A$493,0)),"")</f>
        <v/>
      </c>
      <c r="F35" s="27" t="str">
        <f aca="false">IFERROR(INDEX('Output Utente'!$N$2:$N$492,MATCH(32,'Output Utente'!$R$2:$R$492,0)),"")</f>
        <v/>
      </c>
      <c r="G35" s="26" t="str">
        <f aca="false">IFERROR(INDEX('Output Utente'!$O$2:$O$492,MATCH(32,'Output Utente'!$R$2:$R$492,0)),"")</f>
        <v/>
      </c>
      <c r="H35" s="26" t="str">
        <f aca="false">IFERROR(INDEX('Output Utente'!$P$2:$P$492,MATCH(32,'Output Utente'!$R$2:$R$492,0)),"")</f>
        <v/>
      </c>
      <c r="I35" s="27" t="str">
        <f aca="false">IFERROR(INDEX('Output Utente'!$F$2:$F$492,MATCH(32,'Output Utente'!$R$2:$R$492,0)),"")</f>
        <v/>
      </c>
      <c r="J35" s="27" t="str">
        <f aca="false">IFERROR(INDEX('Output Utente'!$G$2:$G$492,MATCH(32,'Output Utente'!$R$2:$R$492,0)),"")</f>
        <v/>
      </c>
      <c r="K35" s="27" t="str">
        <f aca="false">IFERROR(INDEX('Output Utente'!$H$2:$H$492,MATCH(32,'Output Utente'!$R$2:$R$492,0)),"")</f>
        <v/>
      </c>
      <c r="L35" s="26" t="str">
        <f aca="false">IFERROR(INDEX('Output Utente'!$E$2:$E$492,MATCH(32,'Output Utente'!$R$2:$R$492,0)),"")</f>
        <v/>
      </c>
    </row>
    <row r="36" customFormat="false" ht="15" hidden="false" customHeight="true" outlineLevel="0" collapsed="false">
      <c r="A36" s="29" t="n">
        <v>33</v>
      </c>
      <c r="B36" s="26" t="str">
        <f aca="false">IFERROR(INDEX('Output Utente'!$A$2:$A$492,MATCH(33,'Output Utente'!$R$2:$R$492,0)),"")</f>
        <v/>
      </c>
      <c r="C36" s="26" t="str">
        <f aca="false">IFERROR(INDEX('Output Utente'!$B$2:$B$492,MATCH(33,'Output Utente'!$R$2:$R$492,0)),"")</f>
        <v/>
      </c>
      <c r="D36" s="26" t="str">
        <f aca="false">IFERROR(INDEX('Output Utente'!$C$2:$C$492,MATCH(33,'Output Utente'!$R$2:$R$492,0)),"")</f>
        <v/>
      </c>
      <c r="E36" s="26" t="str">
        <f aca="false">IFERROR(INDEX('Input Giocatori 2026_27'!$D$3:$D$493,MATCH($B36,'Input Giocatori 2026_27'!$A$3:$A$493,0)),"")</f>
        <v/>
      </c>
      <c r="F36" s="27" t="str">
        <f aca="false">IFERROR(INDEX('Output Utente'!$N$2:$N$492,MATCH(33,'Output Utente'!$R$2:$R$492,0)),"")</f>
        <v/>
      </c>
      <c r="G36" s="26" t="str">
        <f aca="false">IFERROR(INDEX('Output Utente'!$O$2:$O$492,MATCH(33,'Output Utente'!$R$2:$R$492,0)),"")</f>
        <v/>
      </c>
      <c r="H36" s="26" t="str">
        <f aca="false">IFERROR(INDEX('Output Utente'!$P$2:$P$492,MATCH(33,'Output Utente'!$R$2:$R$492,0)),"")</f>
        <v/>
      </c>
      <c r="I36" s="27" t="str">
        <f aca="false">IFERROR(INDEX('Output Utente'!$F$2:$F$492,MATCH(33,'Output Utente'!$R$2:$R$492,0)),"")</f>
        <v/>
      </c>
      <c r="J36" s="27" t="str">
        <f aca="false">IFERROR(INDEX('Output Utente'!$G$2:$G$492,MATCH(33,'Output Utente'!$R$2:$R$492,0)),"")</f>
        <v/>
      </c>
      <c r="K36" s="27" t="str">
        <f aca="false">IFERROR(INDEX('Output Utente'!$H$2:$H$492,MATCH(33,'Output Utente'!$R$2:$R$492,0)),"")</f>
        <v/>
      </c>
      <c r="L36" s="26" t="str">
        <f aca="false">IFERROR(INDEX('Output Utente'!$E$2:$E$492,MATCH(33,'Output Utente'!$R$2:$R$492,0)),"")</f>
        <v/>
      </c>
    </row>
    <row r="37" customFormat="false" ht="15" hidden="false" customHeight="true" outlineLevel="0" collapsed="false">
      <c r="A37" s="29" t="n">
        <v>34</v>
      </c>
      <c r="B37" s="26" t="str">
        <f aca="false">IFERROR(INDEX('Output Utente'!$A$2:$A$492,MATCH(34,'Output Utente'!$R$2:$R$492,0)),"")</f>
        <v/>
      </c>
      <c r="C37" s="26" t="str">
        <f aca="false">IFERROR(INDEX('Output Utente'!$B$2:$B$492,MATCH(34,'Output Utente'!$R$2:$R$492,0)),"")</f>
        <v/>
      </c>
      <c r="D37" s="26" t="str">
        <f aca="false">IFERROR(INDEX('Output Utente'!$C$2:$C$492,MATCH(34,'Output Utente'!$R$2:$R$492,0)),"")</f>
        <v/>
      </c>
      <c r="E37" s="26" t="str">
        <f aca="false">IFERROR(INDEX('Input Giocatori 2026_27'!$D$3:$D$493,MATCH($B37,'Input Giocatori 2026_27'!$A$3:$A$493,0)),"")</f>
        <v/>
      </c>
      <c r="F37" s="27" t="str">
        <f aca="false">IFERROR(INDEX('Output Utente'!$N$2:$N$492,MATCH(34,'Output Utente'!$R$2:$R$492,0)),"")</f>
        <v/>
      </c>
      <c r="G37" s="26" t="str">
        <f aca="false">IFERROR(INDEX('Output Utente'!$O$2:$O$492,MATCH(34,'Output Utente'!$R$2:$R$492,0)),"")</f>
        <v/>
      </c>
      <c r="H37" s="26" t="str">
        <f aca="false">IFERROR(INDEX('Output Utente'!$P$2:$P$492,MATCH(34,'Output Utente'!$R$2:$R$492,0)),"")</f>
        <v/>
      </c>
      <c r="I37" s="27" t="str">
        <f aca="false">IFERROR(INDEX('Output Utente'!$F$2:$F$492,MATCH(34,'Output Utente'!$R$2:$R$492,0)),"")</f>
        <v/>
      </c>
      <c r="J37" s="27" t="str">
        <f aca="false">IFERROR(INDEX('Output Utente'!$G$2:$G$492,MATCH(34,'Output Utente'!$R$2:$R$492,0)),"")</f>
        <v/>
      </c>
      <c r="K37" s="27" t="str">
        <f aca="false">IFERROR(INDEX('Output Utente'!$H$2:$H$492,MATCH(34,'Output Utente'!$R$2:$R$492,0)),"")</f>
        <v/>
      </c>
      <c r="L37" s="26" t="str">
        <f aca="false">IFERROR(INDEX('Output Utente'!$E$2:$E$492,MATCH(34,'Output Utente'!$R$2:$R$492,0)),"")</f>
        <v/>
      </c>
    </row>
    <row r="38" customFormat="false" ht="15" hidden="false" customHeight="true" outlineLevel="0" collapsed="false">
      <c r="A38" s="29" t="n">
        <v>35</v>
      </c>
      <c r="B38" s="26" t="str">
        <f aca="false">IFERROR(INDEX('Output Utente'!$A$2:$A$492,MATCH(35,'Output Utente'!$R$2:$R$492,0)),"")</f>
        <v/>
      </c>
      <c r="C38" s="26" t="str">
        <f aca="false">IFERROR(INDEX('Output Utente'!$B$2:$B$492,MATCH(35,'Output Utente'!$R$2:$R$492,0)),"")</f>
        <v/>
      </c>
      <c r="D38" s="26" t="str">
        <f aca="false">IFERROR(INDEX('Output Utente'!$C$2:$C$492,MATCH(35,'Output Utente'!$R$2:$R$492,0)),"")</f>
        <v/>
      </c>
      <c r="E38" s="26" t="str">
        <f aca="false">IFERROR(INDEX('Input Giocatori 2026_27'!$D$3:$D$493,MATCH($B38,'Input Giocatori 2026_27'!$A$3:$A$493,0)),"")</f>
        <v/>
      </c>
      <c r="F38" s="27" t="str">
        <f aca="false">IFERROR(INDEX('Output Utente'!$N$2:$N$492,MATCH(35,'Output Utente'!$R$2:$R$492,0)),"")</f>
        <v/>
      </c>
      <c r="G38" s="26" t="str">
        <f aca="false">IFERROR(INDEX('Output Utente'!$O$2:$O$492,MATCH(35,'Output Utente'!$R$2:$R$492,0)),"")</f>
        <v/>
      </c>
      <c r="H38" s="26" t="str">
        <f aca="false">IFERROR(INDEX('Output Utente'!$P$2:$P$492,MATCH(35,'Output Utente'!$R$2:$R$492,0)),"")</f>
        <v/>
      </c>
      <c r="I38" s="27" t="str">
        <f aca="false">IFERROR(INDEX('Output Utente'!$F$2:$F$492,MATCH(35,'Output Utente'!$R$2:$R$492,0)),"")</f>
        <v/>
      </c>
      <c r="J38" s="27" t="str">
        <f aca="false">IFERROR(INDEX('Output Utente'!$G$2:$G$492,MATCH(35,'Output Utente'!$R$2:$R$492,0)),"")</f>
        <v/>
      </c>
      <c r="K38" s="27" t="str">
        <f aca="false">IFERROR(INDEX('Output Utente'!$H$2:$H$492,MATCH(35,'Output Utente'!$R$2:$R$492,0)),"")</f>
        <v/>
      </c>
      <c r="L38" s="26" t="str">
        <f aca="false">IFERROR(INDEX('Output Utente'!$E$2:$E$492,MATCH(35,'Output Utente'!$R$2:$R$492,0)),"")</f>
        <v/>
      </c>
    </row>
    <row r="39" customFormat="false" ht="15" hidden="false" customHeight="true" outlineLevel="0" collapsed="false">
      <c r="A39" s="29" t="n">
        <v>36</v>
      </c>
      <c r="B39" s="26" t="str">
        <f aca="false">IFERROR(INDEX('Output Utente'!$A$2:$A$492,MATCH(36,'Output Utente'!$R$2:$R$492,0)),"")</f>
        <v/>
      </c>
      <c r="C39" s="26" t="str">
        <f aca="false">IFERROR(INDEX('Output Utente'!$B$2:$B$492,MATCH(36,'Output Utente'!$R$2:$R$492,0)),"")</f>
        <v/>
      </c>
      <c r="D39" s="26" t="str">
        <f aca="false">IFERROR(INDEX('Output Utente'!$C$2:$C$492,MATCH(36,'Output Utente'!$R$2:$R$492,0)),"")</f>
        <v/>
      </c>
      <c r="E39" s="26" t="str">
        <f aca="false">IFERROR(INDEX('Input Giocatori 2026_27'!$D$3:$D$493,MATCH($B39,'Input Giocatori 2026_27'!$A$3:$A$493,0)),"")</f>
        <v/>
      </c>
      <c r="F39" s="27" t="str">
        <f aca="false">IFERROR(INDEX('Output Utente'!$N$2:$N$492,MATCH(36,'Output Utente'!$R$2:$R$492,0)),"")</f>
        <v/>
      </c>
      <c r="G39" s="26" t="str">
        <f aca="false">IFERROR(INDEX('Output Utente'!$O$2:$O$492,MATCH(36,'Output Utente'!$R$2:$R$492,0)),"")</f>
        <v/>
      </c>
      <c r="H39" s="26" t="str">
        <f aca="false">IFERROR(INDEX('Output Utente'!$P$2:$P$492,MATCH(36,'Output Utente'!$R$2:$R$492,0)),"")</f>
        <v/>
      </c>
      <c r="I39" s="27" t="str">
        <f aca="false">IFERROR(INDEX('Output Utente'!$F$2:$F$492,MATCH(36,'Output Utente'!$R$2:$R$492,0)),"")</f>
        <v/>
      </c>
      <c r="J39" s="27" t="str">
        <f aca="false">IFERROR(INDEX('Output Utente'!$G$2:$G$492,MATCH(36,'Output Utente'!$R$2:$R$492,0)),"")</f>
        <v/>
      </c>
      <c r="K39" s="27" t="str">
        <f aca="false">IFERROR(INDEX('Output Utente'!$H$2:$H$492,MATCH(36,'Output Utente'!$R$2:$R$492,0)),"")</f>
        <v/>
      </c>
      <c r="L39" s="26" t="str">
        <f aca="false">IFERROR(INDEX('Output Utente'!$E$2:$E$492,MATCH(36,'Output Utente'!$R$2:$R$492,0)),"")</f>
        <v/>
      </c>
    </row>
    <row r="40" customFormat="false" ht="15" hidden="false" customHeight="true" outlineLevel="0" collapsed="false">
      <c r="A40" s="29" t="n">
        <v>37</v>
      </c>
      <c r="B40" s="26" t="str">
        <f aca="false">IFERROR(INDEX('Output Utente'!$A$2:$A$492,MATCH(37,'Output Utente'!$R$2:$R$492,0)),"")</f>
        <v/>
      </c>
      <c r="C40" s="26" t="str">
        <f aca="false">IFERROR(INDEX('Output Utente'!$B$2:$B$492,MATCH(37,'Output Utente'!$R$2:$R$492,0)),"")</f>
        <v/>
      </c>
      <c r="D40" s="26" t="str">
        <f aca="false">IFERROR(INDEX('Output Utente'!$C$2:$C$492,MATCH(37,'Output Utente'!$R$2:$R$492,0)),"")</f>
        <v/>
      </c>
      <c r="E40" s="26" t="str">
        <f aca="false">IFERROR(INDEX('Input Giocatori 2026_27'!$D$3:$D$493,MATCH($B40,'Input Giocatori 2026_27'!$A$3:$A$493,0)),"")</f>
        <v/>
      </c>
      <c r="F40" s="27" t="str">
        <f aca="false">IFERROR(INDEX('Output Utente'!$N$2:$N$492,MATCH(37,'Output Utente'!$R$2:$R$492,0)),"")</f>
        <v/>
      </c>
      <c r="G40" s="26" t="str">
        <f aca="false">IFERROR(INDEX('Output Utente'!$O$2:$O$492,MATCH(37,'Output Utente'!$R$2:$R$492,0)),"")</f>
        <v/>
      </c>
      <c r="H40" s="26" t="str">
        <f aca="false">IFERROR(INDEX('Output Utente'!$P$2:$P$492,MATCH(37,'Output Utente'!$R$2:$R$492,0)),"")</f>
        <v/>
      </c>
      <c r="I40" s="27" t="str">
        <f aca="false">IFERROR(INDEX('Output Utente'!$F$2:$F$492,MATCH(37,'Output Utente'!$R$2:$R$492,0)),"")</f>
        <v/>
      </c>
      <c r="J40" s="27" t="str">
        <f aca="false">IFERROR(INDEX('Output Utente'!$G$2:$G$492,MATCH(37,'Output Utente'!$R$2:$R$492,0)),"")</f>
        <v/>
      </c>
      <c r="K40" s="27" t="str">
        <f aca="false">IFERROR(INDEX('Output Utente'!$H$2:$H$492,MATCH(37,'Output Utente'!$R$2:$R$492,0)),"")</f>
        <v/>
      </c>
      <c r="L40" s="26" t="str">
        <f aca="false">IFERROR(INDEX('Output Utente'!$E$2:$E$492,MATCH(37,'Output Utente'!$R$2:$R$492,0)),"")</f>
        <v/>
      </c>
    </row>
    <row r="41" customFormat="false" ht="15" hidden="false" customHeight="true" outlineLevel="0" collapsed="false">
      <c r="A41" s="29" t="n">
        <v>38</v>
      </c>
      <c r="B41" s="26" t="str">
        <f aca="false">IFERROR(INDEX('Output Utente'!$A$2:$A$492,MATCH(38,'Output Utente'!$R$2:$R$492,0)),"")</f>
        <v/>
      </c>
      <c r="C41" s="26" t="str">
        <f aca="false">IFERROR(INDEX('Output Utente'!$B$2:$B$492,MATCH(38,'Output Utente'!$R$2:$R$492,0)),"")</f>
        <v/>
      </c>
      <c r="D41" s="26" t="str">
        <f aca="false">IFERROR(INDEX('Output Utente'!$C$2:$C$492,MATCH(38,'Output Utente'!$R$2:$R$492,0)),"")</f>
        <v/>
      </c>
      <c r="E41" s="26" t="str">
        <f aca="false">IFERROR(INDEX('Input Giocatori 2026_27'!$D$3:$D$493,MATCH($B41,'Input Giocatori 2026_27'!$A$3:$A$493,0)),"")</f>
        <v/>
      </c>
      <c r="F41" s="27" t="str">
        <f aca="false">IFERROR(INDEX('Output Utente'!$N$2:$N$492,MATCH(38,'Output Utente'!$R$2:$R$492,0)),"")</f>
        <v/>
      </c>
      <c r="G41" s="26" t="str">
        <f aca="false">IFERROR(INDEX('Output Utente'!$O$2:$O$492,MATCH(38,'Output Utente'!$R$2:$R$492,0)),"")</f>
        <v/>
      </c>
      <c r="H41" s="26" t="str">
        <f aca="false">IFERROR(INDEX('Output Utente'!$P$2:$P$492,MATCH(38,'Output Utente'!$R$2:$R$492,0)),"")</f>
        <v/>
      </c>
      <c r="I41" s="27" t="str">
        <f aca="false">IFERROR(INDEX('Output Utente'!$F$2:$F$492,MATCH(38,'Output Utente'!$R$2:$R$492,0)),"")</f>
        <v/>
      </c>
      <c r="J41" s="27" t="str">
        <f aca="false">IFERROR(INDEX('Output Utente'!$G$2:$G$492,MATCH(38,'Output Utente'!$R$2:$R$492,0)),"")</f>
        <v/>
      </c>
      <c r="K41" s="27" t="str">
        <f aca="false">IFERROR(INDEX('Output Utente'!$H$2:$H$492,MATCH(38,'Output Utente'!$R$2:$R$492,0)),"")</f>
        <v/>
      </c>
      <c r="L41" s="26" t="str">
        <f aca="false">IFERROR(INDEX('Output Utente'!$E$2:$E$492,MATCH(38,'Output Utente'!$R$2:$R$492,0)),"")</f>
        <v/>
      </c>
    </row>
    <row r="42" customFormat="false" ht="15" hidden="false" customHeight="true" outlineLevel="0" collapsed="false">
      <c r="A42" s="29" t="n">
        <v>39</v>
      </c>
      <c r="B42" s="26" t="str">
        <f aca="false">IFERROR(INDEX('Output Utente'!$A$2:$A$492,MATCH(39,'Output Utente'!$R$2:$R$492,0)),"")</f>
        <v/>
      </c>
      <c r="C42" s="26" t="str">
        <f aca="false">IFERROR(INDEX('Output Utente'!$B$2:$B$492,MATCH(39,'Output Utente'!$R$2:$R$492,0)),"")</f>
        <v/>
      </c>
      <c r="D42" s="26" t="str">
        <f aca="false">IFERROR(INDEX('Output Utente'!$C$2:$C$492,MATCH(39,'Output Utente'!$R$2:$R$492,0)),"")</f>
        <v/>
      </c>
      <c r="E42" s="26" t="str">
        <f aca="false">IFERROR(INDEX('Input Giocatori 2026_27'!$D$3:$D$493,MATCH($B42,'Input Giocatori 2026_27'!$A$3:$A$493,0)),"")</f>
        <v/>
      </c>
      <c r="F42" s="27" t="str">
        <f aca="false">IFERROR(INDEX('Output Utente'!$N$2:$N$492,MATCH(39,'Output Utente'!$R$2:$R$492,0)),"")</f>
        <v/>
      </c>
      <c r="G42" s="26" t="str">
        <f aca="false">IFERROR(INDEX('Output Utente'!$O$2:$O$492,MATCH(39,'Output Utente'!$R$2:$R$492,0)),"")</f>
        <v/>
      </c>
      <c r="H42" s="26" t="str">
        <f aca="false">IFERROR(INDEX('Output Utente'!$P$2:$P$492,MATCH(39,'Output Utente'!$R$2:$R$492,0)),"")</f>
        <v/>
      </c>
      <c r="I42" s="27" t="str">
        <f aca="false">IFERROR(INDEX('Output Utente'!$F$2:$F$492,MATCH(39,'Output Utente'!$R$2:$R$492,0)),"")</f>
        <v/>
      </c>
      <c r="J42" s="27" t="str">
        <f aca="false">IFERROR(INDEX('Output Utente'!$G$2:$G$492,MATCH(39,'Output Utente'!$R$2:$R$492,0)),"")</f>
        <v/>
      </c>
      <c r="K42" s="27" t="str">
        <f aca="false">IFERROR(INDEX('Output Utente'!$H$2:$H$492,MATCH(39,'Output Utente'!$R$2:$R$492,0)),"")</f>
        <v/>
      </c>
      <c r="L42" s="26" t="str">
        <f aca="false">IFERROR(INDEX('Output Utente'!$E$2:$E$492,MATCH(39,'Output Utente'!$R$2:$R$492,0)),"")</f>
        <v/>
      </c>
    </row>
    <row r="43" customFormat="false" ht="15" hidden="false" customHeight="true" outlineLevel="0" collapsed="false">
      <c r="A43" s="29" t="n">
        <v>40</v>
      </c>
      <c r="B43" s="26" t="str">
        <f aca="false">IFERROR(INDEX('Output Utente'!$A$2:$A$492,MATCH(40,'Output Utente'!$R$2:$R$492,0)),"")</f>
        <v/>
      </c>
      <c r="C43" s="26" t="str">
        <f aca="false">IFERROR(INDEX('Output Utente'!$B$2:$B$492,MATCH(40,'Output Utente'!$R$2:$R$492,0)),"")</f>
        <v/>
      </c>
      <c r="D43" s="26" t="str">
        <f aca="false">IFERROR(INDEX('Output Utente'!$C$2:$C$492,MATCH(40,'Output Utente'!$R$2:$R$492,0)),"")</f>
        <v/>
      </c>
      <c r="E43" s="26" t="str">
        <f aca="false">IFERROR(INDEX('Input Giocatori 2026_27'!$D$3:$D$493,MATCH($B43,'Input Giocatori 2026_27'!$A$3:$A$493,0)),"")</f>
        <v/>
      </c>
      <c r="F43" s="27" t="str">
        <f aca="false">IFERROR(INDEX('Output Utente'!$N$2:$N$492,MATCH(40,'Output Utente'!$R$2:$R$492,0)),"")</f>
        <v/>
      </c>
      <c r="G43" s="26" t="str">
        <f aca="false">IFERROR(INDEX('Output Utente'!$O$2:$O$492,MATCH(40,'Output Utente'!$R$2:$R$492,0)),"")</f>
        <v/>
      </c>
      <c r="H43" s="26" t="str">
        <f aca="false">IFERROR(INDEX('Output Utente'!$P$2:$P$492,MATCH(40,'Output Utente'!$R$2:$R$492,0)),"")</f>
        <v/>
      </c>
      <c r="I43" s="27" t="str">
        <f aca="false">IFERROR(INDEX('Output Utente'!$F$2:$F$492,MATCH(40,'Output Utente'!$R$2:$R$492,0)),"")</f>
        <v/>
      </c>
      <c r="J43" s="27" t="str">
        <f aca="false">IFERROR(INDEX('Output Utente'!$G$2:$G$492,MATCH(40,'Output Utente'!$R$2:$R$492,0)),"")</f>
        <v/>
      </c>
      <c r="K43" s="27" t="str">
        <f aca="false">IFERROR(INDEX('Output Utente'!$H$2:$H$492,MATCH(40,'Output Utente'!$R$2:$R$492,0)),"")</f>
        <v/>
      </c>
      <c r="L43" s="26" t="str">
        <f aca="false">IFERROR(INDEX('Output Utente'!$E$2:$E$492,MATCH(40,'Output Utente'!$R$2:$R$492,0)),"")</f>
        <v/>
      </c>
    </row>
    <row r="44" customFormat="false" ht="15" hidden="false" customHeight="true" outlineLevel="0" collapsed="false">
      <c r="A44" s="29" t="n">
        <v>41</v>
      </c>
      <c r="B44" s="26" t="str">
        <f aca="false">IFERROR(INDEX('Output Utente'!$A$2:$A$492,MATCH(41,'Output Utente'!$R$2:$R$492,0)),"")</f>
        <v/>
      </c>
      <c r="C44" s="26" t="str">
        <f aca="false">IFERROR(INDEX('Output Utente'!$B$2:$B$492,MATCH(41,'Output Utente'!$R$2:$R$492,0)),"")</f>
        <v/>
      </c>
      <c r="D44" s="26" t="str">
        <f aca="false">IFERROR(INDEX('Output Utente'!$C$2:$C$492,MATCH(41,'Output Utente'!$R$2:$R$492,0)),"")</f>
        <v/>
      </c>
      <c r="E44" s="26" t="str">
        <f aca="false">IFERROR(INDEX('Input Giocatori 2026_27'!$D$3:$D$493,MATCH($B44,'Input Giocatori 2026_27'!$A$3:$A$493,0)),"")</f>
        <v/>
      </c>
      <c r="F44" s="27" t="str">
        <f aca="false">IFERROR(INDEX('Output Utente'!$N$2:$N$492,MATCH(41,'Output Utente'!$R$2:$R$492,0)),"")</f>
        <v/>
      </c>
      <c r="G44" s="26" t="str">
        <f aca="false">IFERROR(INDEX('Output Utente'!$O$2:$O$492,MATCH(41,'Output Utente'!$R$2:$R$492,0)),"")</f>
        <v/>
      </c>
      <c r="H44" s="26" t="str">
        <f aca="false">IFERROR(INDEX('Output Utente'!$P$2:$P$492,MATCH(41,'Output Utente'!$R$2:$R$492,0)),"")</f>
        <v/>
      </c>
      <c r="I44" s="27" t="str">
        <f aca="false">IFERROR(INDEX('Output Utente'!$F$2:$F$492,MATCH(41,'Output Utente'!$R$2:$R$492,0)),"")</f>
        <v/>
      </c>
      <c r="J44" s="27" t="str">
        <f aca="false">IFERROR(INDEX('Output Utente'!$G$2:$G$492,MATCH(41,'Output Utente'!$R$2:$R$492,0)),"")</f>
        <v/>
      </c>
      <c r="K44" s="27" t="str">
        <f aca="false">IFERROR(INDEX('Output Utente'!$H$2:$H$492,MATCH(41,'Output Utente'!$R$2:$R$492,0)),"")</f>
        <v/>
      </c>
      <c r="L44" s="26" t="str">
        <f aca="false">IFERROR(INDEX('Output Utente'!$E$2:$E$492,MATCH(41,'Output Utente'!$R$2:$R$492,0)),"")</f>
        <v/>
      </c>
    </row>
    <row r="45" customFormat="false" ht="15" hidden="false" customHeight="true" outlineLevel="0" collapsed="false">
      <c r="A45" s="29" t="n">
        <v>42</v>
      </c>
      <c r="B45" s="26" t="str">
        <f aca="false">IFERROR(INDEX('Output Utente'!$A$2:$A$492,MATCH(42,'Output Utente'!$R$2:$R$492,0)),"")</f>
        <v/>
      </c>
      <c r="C45" s="26" t="str">
        <f aca="false">IFERROR(INDEX('Output Utente'!$B$2:$B$492,MATCH(42,'Output Utente'!$R$2:$R$492,0)),"")</f>
        <v/>
      </c>
      <c r="D45" s="26" t="str">
        <f aca="false">IFERROR(INDEX('Output Utente'!$C$2:$C$492,MATCH(42,'Output Utente'!$R$2:$R$492,0)),"")</f>
        <v/>
      </c>
      <c r="E45" s="26" t="str">
        <f aca="false">IFERROR(INDEX('Input Giocatori 2026_27'!$D$3:$D$493,MATCH($B45,'Input Giocatori 2026_27'!$A$3:$A$493,0)),"")</f>
        <v/>
      </c>
      <c r="F45" s="27" t="str">
        <f aca="false">IFERROR(INDEX('Output Utente'!$N$2:$N$492,MATCH(42,'Output Utente'!$R$2:$R$492,0)),"")</f>
        <v/>
      </c>
      <c r="G45" s="26" t="str">
        <f aca="false">IFERROR(INDEX('Output Utente'!$O$2:$O$492,MATCH(42,'Output Utente'!$R$2:$R$492,0)),"")</f>
        <v/>
      </c>
      <c r="H45" s="26" t="str">
        <f aca="false">IFERROR(INDEX('Output Utente'!$P$2:$P$492,MATCH(42,'Output Utente'!$R$2:$R$492,0)),"")</f>
        <v/>
      </c>
      <c r="I45" s="27" t="str">
        <f aca="false">IFERROR(INDEX('Output Utente'!$F$2:$F$492,MATCH(42,'Output Utente'!$R$2:$R$492,0)),"")</f>
        <v/>
      </c>
      <c r="J45" s="27" t="str">
        <f aca="false">IFERROR(INDEX('Output Utente'!$G$2:$G$492,MATCH(42,'Output Utente'!$R$2:$R$492,0)),"")</f>
        <v/>
      </c>
      <c r="K45" s="27" t="str">
        <f aca="false">IFERROR(INDEX('Output Utente'!$H$2:$H$492,MATCH(42,'Output Utente'!$R$2:$R$492,0)),"")</f>
        <v/>
      </c>
      <c r="L45" s="26" t="str">
        <f aca="false">IFERROR(INDEX('Output Utente'!$E$2:$E$492,MATCH(42,'Output Utente'!$R$2:$R$492,0)),"")</f>
        <v/>
      </c>
    </row>
    <row r="46" customFormat="false" ht="15" hidden="false" customHeight="true" outlineLevel="0" collapsed="false">
      <c r="A46" s="29" t="n">
        <v>43</v>
      </c>
      <c r="B46" s="26" t="str">
        <f aca="false">IFERROR(INDEX('Output Utente'!$A$2:$A$492,MATCH(43,'Output Utente'!$R$2:$R$492,0)),"")</f>
        <v/>
      </c>
      <c r="C46" s="26" t="str">
        <f aca="false">IFERROR(INDEX('Output Utente'!$B$2:$B$492,MATCH(43,'Output Utente'!$R$2:$R$492,0)),"")</f>
        <v/>
      </c>
      <c r="D46" s="26" t="str">
        <f aca="false">IFERROR(INDEX('Output Utente'!$C$2:$C$492,MATCH(43,'Output Utente'!$R$2:$R$492,0)),"")</f>
        <v/>
      </c>
      <c r="E46" s="26" t="str">
        <f aca="false">IFERROR(INDEX('Input Giocatori 2026_27'!$D$3:$D$493,MATCH($B46,'Input Giocatori 2026_27'!$A$3:$A$493,0)),"")</f>
        <v/>
      </c>
      <c r="F46" s="27" t="str">
        <f aca="false">IFERROR(INDEX('Output Utente'!$N$2:$N$492,MATCH(43,'Output Utente'!$R$2:$R$492,0)),"")</f>
        <v/>
      </c>
      <c r="G46" s="26" t="str">
        <f aca="false">IFERROR(INDEX('Output Utente'!$O$2:$O$492,MATCH(43,'Output Utente'!$R$2:$R$492,0)),"")</f>
        <v/>
      </c>
      <c r="H46" s="26" t="str">
        <f aca="false">IFERROR(INDEX('Output Utente'!$P$2:$P$492,MATCH(43,'Output Utente'!$R$2:$R$492,0)),"")</f>
        <v/>
      </c>
      <c r="I46" s="27" t="str">
        <f aca="false">IFERROR(INDEX('Output Utente'!$F$2:$F$492,MATCH(43,'Output Utente'!$R$2:$R$492,0)),"")</f>
        <v/>
      </c>
      <c r="J46" s="27" t="str">
        <f aca="false">IFERROR(INDEX('Output Utente'!$G$2:$G$492,MATCH(43,'Output Utente'!$R$2:$R$492,0)),"")</f>
        <v/>
      </c>
      <c r="K46" s="27" t="str">
        <f aca="false">IFERROR(INDEX('Output Utente'!$H$2:$H$492,MATCH(43,'Output Utente'!$R$2:$R$492,0)),"")</f>
        <v/>
      </c>
      <c r="L46" s="26" t="str">
        <f aca="false">IFERROR(INDEX('Output Utente'!$E$2:$E$492,MATCH(43,'Output Utente'!$R$2:$R$492,0)),"")</f>
        <v/>
      </c>
    </row>
    <row r="47" customFormat="false" ht="15" hidden="false" customHeight="true" outlineLevel="0" collapsed="false">
      <c r="A47" s="29" t="n">
        <v>44</v>
      </c>
      <c r="B47" s="26" t="str">
        <f aca="false">IFERROR(INDEX('Output Utente'!$A$2:$A$492,MATCH(44,'Output Utente'!$R$2:$R$492,0)),"")</f>
        <v/>
      </c>
      <c r="C47" s="26" t="str">
        <f aca="false">IFERROR(INDEX('Output Utente'!$B$2:$B$492,MATCH(44,'Output Utente'!$R$2:$R$492,0)),"")</f>
        <v/>
      </c>
      <c r="D47" s="26" t="str">
        <f aca="false">IFERROR(INDEX('Output Utente'!$C$2:$C$492,MATCH(44,'Output Utente'!$R$2:$R$492,0)),"")</f>
        <v/>
      </c>
      <c r="E47" s="26" t="str">
        <f aca="false">IFERROR(INDEX('Input Giocatori 2026_27'!$D$3:$D$493,MATCH($B47,'Input Giocatori 2026_27'!$A$3:$A$493,0)),"")</f>
        <v/>
      </c>
      <c r="F47" s="27" t="str">
        <f aca="false">IFERROR(INDEX('Output Utente'!$N$2:$N$492,MATCH(44,'Output Utente'!$R$2:$R$492,0)),"")</f>
        <v/>
      </c>
      <c r="G47" s="26" t="str">
        <f aca="false">IFERROR(INDEX('Output Utente'!$O$2:$O$492,MATCH(44,'Output Utente'!$R$2:$R$492,0)),"")</f>
        <v/>
      </c>
      <c r="H47" s="26" t="str">
        <f aca="false">IFERROR(INDEX('Output Utente'!$P$2:$P$492,MATCH(44,'Output Utente'!$R$2:$R$492,0)),"")</f>
        <v/>
      </c>
      <c r="I47" s="27" t="str">
        <f aca="false">IFERROR(INDEX('Output Utente'!$F$2:$F$492,MATCH(44,'Output Utente'!$R$2:$R$492,0)),"")</f>
        <v/>
      </c>
      <c r="J47" s="27" t="str">
        <f aca="false">IFERROR(INDEX('Output Utente'!$G$2:$G$492,MATCH(44,'Output Utente'!$R$2:$R$492,0)),"")</f>
        <v/>
      </c>
      <c r="K47" s="27" t="str">
        <f aca="false">IFERROR(INDEX('Output Utente'!$H$2:$H$492,MATCH(44,'Output Utente'!$R$2:$R$492,0)),"")</f>
        <v/>
      </c>
      <c r="L47" s="26" t="str">
        <f aca="false">IFERROR(INDEX('Output Utente'!$E$2:$E$492,MATCH(44,'Output Utente'!$R$2:$R$492,0)),"")</f>
        <v/>
      </c>
    </row>
    <row r="48" customFormat="false" ht="15" hidden="false" customHeight="true" outlineLevel="0" collapsed="false">
      <c r="A48" s="29" t="n">
        <v>45</v>
      </c>
      <c r="B48" s="26" t="str">
        <f aca="false">IFERROR(INDEX('Output Utente'!$A$2:$A$492,MATCH(45,'Output Utente'!$R$2:$R$492,0)),"")</f>
        <v/>
      </c>
      <c r="C48" s="26" t="str">
        <f aca="false">IFERROR(INDEX('Output Utente'!$B$2:$B$492,MATCH(45,'Output Utente'!$R$2:$R$492,0)),"")</f>
        <v/>
      </c>
      <c r="D48" s="26" t="str">
        <f aca="false">IFERROR(INDEX('Output Utente'!$C$2:$C$492,MATCH(45,'Output Utente'!$R$2:$R$492,0)),"")</f>
        <v/>
      </c>
      <c r="E48" s="26" t="str">
        <f aca="false">IFERROR(INDEX('Input Giocatori 2026_27'!$D$3:$D$493,MATCH($B48,'Input Giocatori 2026_27'!$A$3:$A$493,0)),"")</f>
        <v/>
      </c>
      <c r="F48" s="27" t="str">
        <f aca="false">IFERROR(INDEX('Output Utente'!$N$2:$N$492,MATCH(45,'Output Utente'!$R$2:$R$492,0)),"")</f>
        <v/>
      </c>
      <c r="G48" s="26" t="str">
        <f aca="false">IFERROR(INDEX('Output Utente'!$O$2:$O$492,MATCH(45,'Output Utente'!$R$2:$R$492,0)),"")</f>
        <v/>
      </c>
      <c r="H48" s="26" t="str">
        <f aca="false">IFERROR(INDEX('Output Utente'!$P$2:$P$492,MATCH(45,'Output Utente'!$R$2:$R$492,0)),"")</f>
        <v/>
      </c>
      <c r="I48" s="27" t="str">
        <f aca="false">IFERROR(INDEX('Output Utente'!$F$2:$F$492,MATCH(45,'Output Utente'!$R$2:$R$492,0)),"")</f>
        <v/>
      </c>
      <c r="J48" s="27" t="str">
        <f aca="false">IFERROR(INDEX('Output Utente'!$G$2:$G$492,MATCH(45,'Output Utente'!$R$2:$R$492,0)),"")</f>
        <v/>
      </c>
      <c r="K48" s="27" t="str">
        <f aca="false">IFERROR(INDEX('Output Utente'!$H$2:$H$492,MATCH(45,'Output Utente'!$R$2:$R$492,0)),"")</f>
        <v/>
      </c>
      <c r="L48" s="26" t="str">
        <f aca="false">IFERROR(INDEX('Output Utente'!$E$2:$E$492,MATCH(45,'Output Utente'!$R$2:$R$492,0)),"")</f>
        <v/>
      </c>
    </row>
    <row r="49" customFormat="false" ht="15" hidden="false" customHeight="true" outlineLevel="0" collapsed="false">
      <c r="A49" s="29" t="n">
        <v>46</v>
      </c>
      <c r="B49" s="26" t="str">
        <f aca="false">IFERROR(INDEX('Output Utente'!$A$2:$A$492,MATCH(46,'Output Utente'!$R$2:$R$492,0)),"")</f>
        <v/>
      </c>
      <c r="C49" s="26" t="str">
        <f aca="false">IFERROR(INDEX('Output Utente'!$B$2:$B$492,MATCH(46,'Output Utente'!$R$2:$R$492,0)),"")</f>
        <v/>
      </c>
      <c r="D49" s="26" t="str">
        <f aca="false">IFERROR(INDEX('Output Utente'!$C$2:$C$492,MATCH(46,'Output Utente'!$R$2:$R$492,0)),"")</f>
        <v/>
      </c>
      <c r="E49" s="26" t="str">
        <f aca="false">IFERROR(INDEX('Input Giocatori 2026_27'!$D$3:$D$493,MATCH($B49,'Input Giocatori 2026_27'!$A$3:$A$493,0)),"")</f>
        <v/>
      </c>
      <c r="F49" s="27" t="str">
        <f aca="false">IFERROR(INDEX('Output Utente'!$N$2:$N$492,MATCH(46,'Output Utente'!$R$2:$R$492,0)),"")</f>
        <v/>
      </c>
      <c r="G49" s="26" t="str">
        <f aca="false">IFERROR(INDEX('Output Utente'!$O$2:$O$492,MATCH(46,'Output Utente'!$R$2:$R$492,0)),"")</f>
        <v/>
      </c>
      <c r="H49" s="26" t="str">
        <f aca="false">IFERROR(INDEX('Output Utente'!$P$2:$P$492,MATCH(46,'Output Utente'!$R$2:$R$492,0)),"")</f>
        <v/>
      </c>
      <c r="I49" s="27" t="str">
        <f aca="false">IFERROR(INDEX('Output Utente'!$F$2:$F$492,MATCH(46,'Output Utente'!$R$2:$R$492,0)),"")</f>
        <v/>
      </c>
      <c r="J49" s="27" t="str">
        <f aca="false">IFERROR(INDEX('Output Utente'!$G$2:$G$492,MATCH(46,'Output Utente'!$R$2:$R$492,0)),"")</f>
        <v/>
      </c>
      <c r="K49" s="27" t="str">
        <f aca="false">IFERROR(INDEX('Output Utente'!$H$2:$H$492,MATCH(46,'Output Utente'!$R$2:$R$492,0)),"")</f>
        <v/>
      </c>
      <c r="L49" s="26" t="str">
        <f aca="false">IFERROR(INDEX('Output Utente'!$E$2:$E$492,MATCH(46,'Output Utente'!$R$2:$R$492,0)),"")</f>
        <v/>
      </c>
    </row>
    <row r="50" customFormat="false" ht="15" hidden="false" customHeight="true" outlineLevel="0" collapsed="false">
      <c r="A50" s="29" t="n">
        <v>47</v>
      </c>
      <c r="B50" s="26" t="str">
        <f aca="false">IFERROR(INDEX('Output Utente'!$A$2:$A$492,MATCH(47,'Output Utente'!$R$2:$R$492,0)),"")</f>
        <v/>
      </c>
      <c r="C50" s="26" t="str">
        <f aca="false">IFERROR(INDEX('Output Utente'!$B$2:$B$492,MATCH(47,'Output Utente'!$R$2:$R$492,0)),"")</f>
        <v/>
      </c>
      <c r="D50" s="26" t="str">
        <f aca="false">IFERROR(INDEX('Output Utente'!$C$2:$C$492,MATCH(47,'Output Utente'!$R$2:$R$492,0)),"")</f>
        <v/>
      </c>
      <c r="E50" s="26" t="str">
        <f aca="false">IFERROR(INDEX('Input Giocatori 2026_27'!$D$3:$D$493,MATCH($B50,'Input Giocatori 2026_27'!$A$3:$A$493,0)),"")</f>
        <v/>
      </c>
      <c r="F50" s="27" t="str">
        <f aca="false">IFERROR(INDEX('Output Utente'!$N$2:$N$492,MATCH(47,'Output Utente'!$R$2:$R$492,0)),"")</f>
        <v/>
      </c>
      <c r="G50" s="26" t="str">
        <f aca="false">IFERROR(INDEX('Output Utente'!$O$2:$O$492,MATCH(47,'Output Utente'!$R$2:$R$492,0)),"")</f>
        <v/>
      </c>
      <c r="H50" s="26" t="str">
        <f aca="false">IFERROR(INDEX('Output Utente'!$P$2:$P$492,MATCH(47,'Output Utente'!$R$2:$R$492,0)),"")</f>
        <v/>
      </c>
      <c r="I50" s="27" t="str">
        <f aca="false">IFERROR(INDEX('Output Utente'!$F$2:$F$492,MATCH(47,'Output Utente'!$R$2:$R$492,0)),"")</f>
        <v/>
      </c>
      <c r="J50" s="27" t="str">
        <f aca="false">IFERROR(INDEX('Output Utente'!$G$2:$G$492,MATCH(47,'Output Utente'!$R$2:$R$492,0)),"")</f>
        <v/>
      </c>
      <c r="K50" s="27" t="str">
        <f aca="false">IFERROR(INDEX('Output Utente'!$H$2:$H$492,MATCH(47,'Output Utente'!$R$2:$R$492,0)),"")</f>
        <v/>
      </c>
      <c r="L50" s="26" t="str">
        <f aca="false">IFERROR(INDEX('Output Utente'!$E$2:$E$492,MATCH(47,'Output Utente'!$R$2:$R$492,0)),"")</f>
        <v/>
      </c>
    </row>
    <row r="51" customFormat="false" ht="15" hidden="false" customHeight="true" outlineLevel="0" collapsed="false">
      <c r="A51" s="29" t="n">
        <v>48</v>
      </c>
      <c r="B51" s="26" t="str">
        <f aca="false">IFERROR(INDEX('Output Utente'!$A$2:$A$492,MATCH(48,'Output Utente'!$R$2:$R$492,0)),"")</f>
        <v/>
      </c>
      <c r="C51" s="26" t="str">
        <f aca="false">IFERROR(INDEX('Output Utente'!$B$2:$B$492,MATCH(48,'Output Utente'!$R$2:$R$492,0)),"")</f>
        <v/>
      </c>
      <c r="D51" s="26" t="str">
        <f aca="false">IFERROR(INDEX('Output Utente'!$C$2:$C$492,MATCH(48,'Output Utente'!$R$2:$R$492,0)),"")</f>
        <v/>
      </c>
      <c r="E51" s="26" t="str">
        <f aca="false">IFERROR(INDEX('Input Giocatori 2026_27'!$D$3:$D$493,MATCH($B51,'Input Giocatori 2026_27'!$A$3:$A$493,0)),"")</f>
        <v/>
      </c>
      <c r="F51" s="27" t="str">
        <f aca="false">IFERROR(INDEX('Output Utente'!$N$2:$N$492,MATCH(48,'Output Utente'!$R$2:$R$492,0)),"")</f>
        <v/>
      </c>
      <c r="G51" s="26" t="str">
        <f aca="false">IFERROR(INDEX('Output Utente'!$O$2:$O$492,MATCH(48,'Output Utente'!$R$2:$R$492,0)),"")</f>
        <v/>
      </c>
      <c r="H51" s="26" t="str">
        <f aca="false">IFERROR(INDEX('Output Utente'!$P$2:$P$492,MATCH(48,'Output Utente'!$R$2:$R$492,0)),"")</f>
        <v/>
      </c>
      <c r="I51" s="27" t="str">
        <f aca="false">IFERROR(INDEX('Output Utente'!$F$2:$F$492,MATCH(48,'Output Utente'!$R$2:$R$492,0)),"")</f>
        <v/>
      </c>
      <c r="J51" s="27" t="str">
        <f aca="false">IFERROR(INDEX('Output Utente'!$G$2:$G$492,MATCH(48,'Output Utente'!$R$2:$R$492,0)),"")</f>
        <v/>
      </c>
      <c r="K51" s="27" t="str">
        <f aca="false">IFERROR(INDEX('Output Utente'!$H$2:$H$492,MATCH(48,'Output Utente'!$R$2:$R$492,0)),"")</f>
        <v/>
      </c>
      <c r="L51" s="26" t="str">
        <f aca="false">IFERROR(INDEX('Output Utente'!$E$2:$E$492,MATCH(48,'Output Utente'!$R$2:$R$492,0)),"")</f>
        <v/>
      </c>
    </row>
    <row r="52" customFormat="false" ht="15" hidden="false" customHeight="true" outlineLevel="0" collapsed="false">
      <c r="A52" s="29" t="n">
        <v>49</v>
      </c>
      <c r="B52" s="26" t="str">
        <f aca="false">IFERROR(INDEX('Output Utente'!$A$2:$A$492,MATCH(49,'Output Utente'!$R$2:$R$492,0)),"")</f>
        <v/>
      </c>
      <c r="C52" s="26" t="str">
        <f aca="false">IFERROR(INDEX('Output Utente'!$B$2:$B$492,MATCH(49,'Output Utente'!$R$2:$R$492,0)),"")</f>
        <v/>
      </c>
      <c r="D52" s="26" t="str">
        <f aca="false">IFERROR(INDEX('Output Utente'!$C$2:$C$492,MATCH(49,'Output Utente'!$R$2:$R$492,0)),"")</f>
        <v/>
      </c>
      <c r="E52" s="26" t="str">
        <f aca="false">IFERROR(INDEX('Input Giocatori 2026_27'!$D$3:$D$493,MATCH($B52,'Input Giocatori 2026_27'!$A$3:$A$493,0)),"")</f>
        <v/>
      </c>
      <c r="F52" s="27" t="str">
        <f aca="false">IFERROR(INDEX('Output Utente'!$N$2:$N$492,MATCH(49,'Output Utente'!$R$2:$R$492,0)),"")</f>
        <v/>
      </c>
      <c r="G52" s="26" t="str">
        <f aca="false">IFERROR(INDEX('Output Utente'!$O$2:$O$492,MATCH(49,'Output Utente'!$R$2:$R$492,0)),"")</f>
        <v/>
      </c>
      <c r="H52" s="26" t="str">
        <f aca="false">IFERROR(INDEX('Output Utente'!$P$2:$P$492,MATCH(49,'Output Utente'!$R$2:$R$492,0)),"")</f>
        <v/>
      </c>
      <c r="I52" s="27" t="str">
        <f aca="false">IFERROR(INDEX('Output Utente'!$F$2:$F$492,MATCH(49,'Output Utente'!$R$2:$R$492,0)),"")</f>
        <v/>
      </c>
      <c r="J52" s="27" t="str">
        <f aca="false">IFERROR(INDEX('Output Utente'!$G$2:$G$492,MATCH(49,'Output Utente'!$R$2:$R$492,0)),"")</f>
        <v/>
      </c>
      <c r="K52" s="27" t="str">
        <f aca="false">IFERROR(INDEX('Output Utente'!$H$2:$H$492,MATCH(49,'Output Utente'!$R$2:$R$492,0)),"")</f>
        <v/>
      </c>
      <c r="L52" s="26" t="str">
        <f aca="false">IFERROR(INDEX('Output Utente'!$E$2:$E$492,MATCH(49,'Output Utente'!$R$2:$R$492,0)),"")</f>
        <v/>
      </c>
    </row>
    <row r="53" customFormat="false" ht="15" hidden="false" customHeight="true" outlineLevel="0" collapsed="false">
      <c r="A53" s="29" t="n">
        <v>50</v>
      </c>
      <c r="B53" s="26" t="str">
        <f aca="false">IFERROR(INDEX('Output Utente'!$A$2:$A$492,MATCH(50,'Output Utente'!$R$2:$R$492,0)),"")</f>
        <v/>
      </c>
      <c r="C53" s="26" t="str">
        <f aca="false">IFERROR(INDEX('Output Utente'!$B$2:$B$492,MATCH(50,'Output Utente'!$R$2:$R$492,0)),"")</f>
        <v/>
      </c>
      <c r="D53" s="26" t="str">
        <f aca="false">IFERROR(INDEX('Output Utente'!$C$2:$C$492,MATCH(50,'Output Utente'!$R$2:$R$492,0)),"")</f>
        <v/>
      </c>
      <c r="E53" s="26" t="str">
        <f aca="false">IFERROR(INDEX('Input Giocatori 2026_27'!$D$3:$D$493,MATCH($B53,'Input Giocatori 2026_27'!$A$3:$A$493,0)),"")</f>
        <v/>
      </c>
      <c r="F53" s="27" t="str">
        <f aca="false">IFERROR(INDEX('Output Utente'!$N$2:$N$492,MATCH(50,'Output Utente'!$R$2:$R$492,0)),"")</f>
        <v/>
      </c>
      <c r="G53" s="26" t="str">
        <f aca="false">IFERROR(INDEX('Output Utente'!$O$2:$O$492,MATCH(50,'Output Utente'!$R$2:$R$492,0)),"")</f>
        <v/>
      </c>
      <c r="H53" s="26" t="str">
        <f aca="false">IFERROR(INDEX('Output Utente'!$P$2:$P$492,MATCH(50,'Output Utente'!$R$2:$R$492,0)),"")</f>
        <v/>
      </c>
      <c r="I53" s="27" t="str">
        <f aca="false">IFERROR(INDEX('Output Utente'!$F$2:$F$492,MATCH(50,'Output Utente'!$R$2:$R$492,0)),"")</f>
        <v/>
      </c>
      <c r="J53" s="27" t="str">
        <f aca="false">IFERROR(INDEX('Output Utente'!$G$2:$G$492,MATCH(50,'Output Utente'!$R$2:$R$492,0)),"")</f>
        <v/>
      </c>
      <c r="K53" s="27" t="str">
        <f aca="false">IFERROR(INDEX('Output Utente'!$H$2:$H$492,MATCH(50,'Output Utente'!$R$2:$R$492,0)),"")</f>
        <v/>
      </c>
      <c r="L53" s="26" t="str">
        <f aca="false">IFERROR(INDEX('Output Utente'!$E$2:$E$492,MATCH(50,'Output Utente'!$R$2:$R$492,0)),"")</f>
        <v/>
      </c>
    </row>
    <row r="54" customFormat="false" ht="15" hidden="false" customHeight="true" outlineLevel="0" collapsed="false">
      <c r="A54" s="29" t="n">
        <v>51</v>
      </c>
      <c r="B54" s="26" t="str">
        <f aca="false">IFERROR(INDEX('Output Utente'!$A$2:$A$492,MATCH(51,'Output Utente'!$R$2:$R$492,0)),"")</f>
        <v/>
      </c>
      <c r="C54" s="26" t="str">
        <f aca="false">IFERROR(INDEX('Output Utente'!$B$2:$B$492,MATCH(51,'Output Utente'!$R$2:$R$492,0)),"")</f>
        <v/>
      </c>
      <c r="D54" s="26" t="str">
        <f aca="false">IFERROR(INDEX('Output Utente'!$C$2:$C$492,MATCH(51,'Output Utente'!$R$2:$R$492,0)),"")</f>
        <v/>
      </c>
      <c r="E54" s="26" t="str">
        <f aca="false">IFERROR(INDEX('Input Giocatori 2026_27'!$D$3:$D$493,MATCH($B54,'Input Giocatori 2026_27'!$A$3:$A$493,0)),"")</f>
        <v/>
      </c>
      <c r="F54" s="27" t="str">
        <f aca="false">IFERROR(INDEX('Output Utente'!$N$2:$N$492,MATCH(51,'Output Utente'!$R$2:$R$492,0)),"")</f>
        <v/>
      </c>
      <c r="G54" s="26" t="str">
        <f aca="false">IFERROR(INDEX('Output Utente'!$O$2:$O$492,MATCH(51,'Output Utente'!$R$2:$R$492,0)),"")</f>
        <v/>
      </c>
      <c r="H54" s="26" t="str">
        <f aca="false">IFERROR(INDEX('Output Utente'!$P$2:$P$492,MATCH(51,'Output Utente'!$R$2:$R$492,0)),"")</f>
        <v/>
      </c>
      <c r="I54" s="27" t="str">
        <f aca="false">IFERROR(INDEX('Output Utente'!$F$2:$F$492,MATCH(51,'Output Utente'!$R$2:$R$492,0)),"")</f>
        <v/>
      </c>
      <c r="J54" s="27" t="str">
        <f aca="false">IFERROR(INDEX('Output Utente'!$G$2:$G$492,MATCH(51,'Output Utente'!$R$2:$R$492,0)),"")</f>
        <v/>
      </c>
      <c r="K54" s="27" t="str">
        <f aca="false">IFERROR(INDEX('Output Utente'!$H$2:$H$492,MATCH(51,'Output Utente'!$R$2:$R$492,0)),"")</f>
        <v/>
      </c>
      <c r="L54" s="26" t="str">
        <f aca="false">IFERROR(INDEX('Output Utente'!$E$2:$E$492,MATCH(51,'Output Utente'!$R$2:$R$492,0)),"")</f>
        <v/>
      </c>
    </row>
    <row r="55" customFormat="false" ht="15" hidden="false" customHeight="true" outlineLevel="0" collapsed="false">
      <c r="A55" s="29" t="n">
        <v>52</v>
      </c>
      <c r="B55" s="26" t="str">
        <f aca="false">IFERROR(INDEX('Output Utente'!$A$2:$A$492,MATCH(52,'Output Utente'!$R$2:$R$492,0)),"")</f>
        <v/>
      </c>
      <c r="C55" s="26" t="str">
        <f aca="false">IFERROR(INDEX('Output Utente'!$B$2:$B$492,MATCH(52,'Output Utente'!$R$2:$R$492,0)),"")</f>
        <v/>
      </c>
      <c r="D55" s="26" t="str">
        <f aca="false">IFERROR(INDEX('Output Utente'!$C$2:$C$492,MATCH(52,'Output Utente'!$R$2:$R$492,0)),"")</f>
        <v/>
      </c>
      <c r="E55" s="26" t="str">
        <f aca="false">IFERROR(INDEX('Input Giocatori 2026_27'!$D$3:$D$493,MATCH($B55,'Input Giocatori 2026_27'!$A$3:$A$493,0)),"")</f>
        <v/>
      </c>
      <c r="F55" s="27" t="str">
        <f aca="false">IFERROR(INDEX('Output Utente'!$N$2:$N$492,MATCH(52,'Output Utente'!$R$2:$R$492,0)),"")</f>
        <v/>
      </c>
      <c r="G55" s="26" t="str">
        <f aca="false">IFERROR(INDEX('Output Utente'!$O$2:$O$492,MATCH(52,'Output Utente'!$R$2:$R$492,0)),"")</f>
        <v/>
      </c>
      <c r="H55" s="26" t="str">
        <f aca="false">IFERROR(INDEX('Output Utente'!$P$2:$P$492,MATCH(52,'Output Utente'!$R$2:$R$492,0)),"")</f>
        <v/>
      </c>
      <c r="I55" s="27" t="str">
        <f aca="false">IFERROR(INDEX('Output Utente'!$F$2:$F$492,MATCH(52,'Output Utente'!$R$2:$R$492,0)),"")</f>
        <v/>
      </c>
      <c r="J55" s="27" t="str">
        <f aca="false">IFERROR(INDEX('Output Utente'!$G$2:$G$492,MATCH(52,'Output Utente'!$R$2:$R$492,0)),"")</f>
        <v/>
      </c>
      <c r="K55" s="27" t="str">
        <f aca="false">IFERROR(INDEX('Output Utente'!$H$2:$H$492,MATCH(52,'Output Utente'!$R$2:$R$492,0)),"")</f>
        <v/>
      </c>
      <c r="L55" s="26" t="str">
        <f aca="false">IFERROR(INDEX('Output Utente'!$E$2:$E$492,MATCH(52,'Output Utente'!$R$2:$R$492,0)),"")</f>
        <v/>
      </c>
    </row>
    <row r="56" customFormat="false" ht="15" hidden="false" customHeight="true" outlineLevel="0" collapsed="false">
      <c r="A56" s="29" t="n">
        <v>53</v>
      </c>
      <c r="B56" s="26" t="str">
        <f aca="false">IFERROR(INDEX('Output Utente'!$A$2:$A$492,MATCH(53,'Output Utente'!$R$2:$R$492,0)),"")</f>
        <v/>
      </c>
      <c r="C56" s="26" t="str">
        <f aca="false">IFERROR(INDEX('Output Utente'!$B$2:$B$492,MATCH(53,'Output Utente'!$R$2:$R$492,0)),"")</f>
        <v/>
      </c>
      <c r="D56" s="26" t="str">
        <f aca="false">IFERROR(INDEX('Output Utente'!$C$2:$C$492,MATCH(53,'Output Utente'!$R$2:$R$492,0)),"")</f>
        <v/>
      </c>
      <c r="E56" s="26" t="str">
        <f aca="false">IFERROR(INDEX('Input Giocatori 2026_27'!$D$3:$D$493,MATCH($B56,'Input Giocatori 2026_27'!$A$3:$A$493,0)),"")</f>
        <v/>
      </c>
      <c r="F56" s="27" t="str">
        <f aca="false">IFERROR(INDEX('Output Utente'!$N$2:$N$492,MATCH(53,'Output Utente'!$R$2:$R$492,0)),"")</f>
        <v/>
      </c>
      <c r="G56" s="26" t="str">
        <f aca="false">IFERROR(INDEX('Output Utente'!$O$2:$O$492,MATCH(53,'Output Utente'!$R$2:$R$492,0)),"")</f>
        <v/>
      </c>
      <c r="H56" s="26" t="str">
        <f aca="false">IFERROR(INDEX('Output Utente'!$P$2:$P$492,MATCH(53,'Output Utente'!$R$2:$R$492,0)),"")</f>
        <v/>
      </c>
      <c r="I56" s="27" t="str">
        <f aca="false">IFERROR(INDEX('Output Utente'!$F$2:$F$492,MATCH(53,'Output Utente'!$R$2:$R$492,0)),"")</f>
        <v/>
      </c>
      <c r="J56" s="27" t="str">
        <f aca="false">IFERROR(INDEX('Output Utente'!$G$2:$G$492,MATCH(53,'Output Utente'!$R$2:$R$492,0)),"")</f>
        <v/>
      </c>
      <c r="K56" s="27" t="str">
        <f aca="false">IFERROR(INDEX('Output Utente'!$H$2:$H$492,MATCH(53,'Output Utente'!$R$2:$R$492,0)),"")</f>
        <v/>
      </c>
      <c r="L56" s="26" t="str">
        <f aca="false">IFERROR(INDEX('Output Utente'!$E$2:$E$492,MATCH(53,'Output Utente'!$R$2:$R$492,0)),"")</f>
        <v/>
      </c>
    </row>
    <row r="57" customFormat="false" ht="15" hidden="false" customHeight="true" outlineLevel="0" collapsed="false">
      <c r="A57" s="29" t="n">
        <v>54</v>
      </c>
      <c r="B57" s="26" t="str">
        <f aca="false">IFERROR(INDEX('Output Utente'!$A$2:$A$492,MATCH(54,'Output Utente'!$R$2:$R$492,0)),"")</f>
        <v/>
      </c>
      <c r="C57" s="26" t="str">
        <f aca="false">IFERROR(INDEX('Output Utente'!$B$2:$B$492,MATCH(54,'Output Utente'!$R$2:$R$492,0)),"")</f>
        <v/>
      </c>
      <c r="D57" s="26" t="str">
        <f aca="false">IFERROR(INDEX('Output Utente'!$C$2:$C$492,MATCH(54,'Output Utente'!$R$2:$R$492,0)),"")</f>
        <v/>
      </c>
      <c r="E57" s="26" t="str">
        <f aca="false">IFERROR(INDEX('Input Giocatori 2026_27'!$D$3:$D$493,MATCH($B57,'Input Giocatori 2026_27'!$A$3:$A$493,0)),"")</f>
        <v/>
      </c>
      <c r="F57" s="27" t="str">
        <f aca="false">IFERROR(INDEX('Output Utente'!$N$2:$N$492,MATCH(54,'Output Utente'!$R$2:$R$492,0)),"")</f>
        <v/>
      </c>
      <c r="G57" s="26" t="str">
        <f aca="false">IFERROR(INDEX('Output Utente'!$O$2:$O$492,MATCH(54,'Output Utente'!$R$2:$R$492,0)),"")</f>
        <v/>
      </c>
      <c r="H57" s="26" t="str">
        <f aca="false">IFERROR(INDEX('Output Utente'!$P$2:$P$492,MATCH(54,'Output Utente'!$R$2:$R$492,0)),"")</f>
        <v/>
      </c>
      <c r="I57" s="27" t="str">
        <f aca="false">IFERROR(INDEX('Output Utente'!$F$2:$F$492,MATCH(54,'Output Utente'!$R$2:$R$492,0)),"")</f>
        <v/>
      </c>
      <c r="J57" s="27" t="str">
        <f aca="false">IFERROR(INDEX('Output Utente'!$G$2:$G$492,MATCH(54,'Output Utente'!$R$2:$R$492,0)),"")</f>
        <v/>
      </c>
      <c r="K57" s="27" t="str">
        <f aca="false">IFERROR(INDEX('Output Utente'!$H$2:$H$492,MATCH(54,'Output Utente'!$R$2:$R$492,0)),"")</f>
        <v/>
      </c>
      <c r="L57" s="26" t="str">
        <f aca="false">IFERROR(INDEX('Output Utente'!$E$2:$E$492,MATCH(54,'Output Utente'!$R$2:$R$492,0)),"")</f>
        <v/>
      </c>
    </row>
    <row r="58" customFormat="false" ht="15" hidden="false" customHeight="true" outlineLevel="0" collapsed="false">
      <c r="A58" s="29" t="n">
        <v>55</v>
      </c>
      <c r="B58" s="26" t="str">
        <f aca="false">IFERROR(INDEX('Output Utente'!$A$2:$A$492,MATCH(55,'Output Utente'!$R$2:$R$492,0)),"")</f>
        <v/>
      </c>
      <c r="C58" s="26" t="str">
        <f aca="false">IFERROR(INDEX('Output Utente'!$B$2:$B$492,MATCH(55,'Output Utente'!$R$2:$R$492,0)),"")</f>
        <v/>
      </c>
      <c r="D58" s="26" t="str">
        <f aca="false">IFERROR(INDEX('Output Utente'!$C$2:$C$492,MATCH(55,'Output Utente'!$R$2:$R$492,0)),"")</f>
        <v/>
      </c>
      <c r="E58" s="26" t="str">
        <f aca="false">IFERROR(INDEX('Input Giocatori 2026_27'!$D$3:$D$493,MATCH($B58,'Input Giocatori 2026_27'!$A$3:$A$493,0)),"")</f>
        <v/>
      </c>
      <c r="F58" s="27" t="str">
        <f aca="false">IFERROR(INDEX('Output Utente'!$N$2:$N$492,MATCH(55,'Output Utente'!$R$2:$R$492,0)),"")</f>
        <v/>
      </c>
      <c r="G58" s="26" t="str">
        <f aca="false">IFERROR(INDEX('Output Utente'!$O$2:$O$492,MATCH(55,'Output Utente'!$R$2:$R$492,0)),"")</f>
        <v/>
      </c>
      <c r="H58" s="26" t="str">
        <f aca="false">IFERROR(INDEX('Output Utente'!$P$2:$P$492,MATCH(55,'Output Utente'!$R$2:$R$492,0)),"")</f>
        <v/>
      </c>
      <c r="I58" s="27" t="str">
        <f aca="false">IFERROR(INDEX('Output Utente'!$F$2:$F$492,MATCH(55,'Output Utente'!$R$2:$R$492,0)),"")</f>
        <v/>
      </c>
      <c r="J58" s="27" t="str">
        <f aca="false">IFERROR(INDEX('Output Utente'!$G$2:$G$492,MATCH(55,'Output Utente'!$R$2:$R$492,0)),"")</f>
        <v/>
      </c>
      <c r="K58" s="27" t="str">
        <f aca="false">IFERROR(INDEX('Output Utente'!$H$2:$H$492,MATCH(55,'Output Utente'!$R$2:$R$492,0)),"")</f>
        <v/>
      </c>
      <c r="L58" s="26" t="str">
        <f aca="false">IFERROR(INDEX('Output Utente'!$E$2:$E$492,MATCH(55,'Output Utente'!$R$2:$R$492,0)),"")</f>
        <v/>
      </c>
    </row>
    <row r="59" customFormat="false" ht="15" hidden="false" customHeight="true" outlineLevel="0" collapsed="false">
      <c r="A59" s="29" t="n">
        <v>56</v>
      </c>
      <c r="B59" s="26" t="str">
        <f aca="false">IFERROR(INDEX('Output Utente'!$A$2:$A$492,MATCH(56,'Output Utente'!$R$2:$R$492,0)),"")</f>
        <v/>
      </c>
      <c r="C59" s="26" t="str">
        <f aca="false">IFERROR(INDEX('Output Utente'!$B$2:$B$492,MATCH(56,'Output Utente'!$R$2:$R$492,0)),"")</f>
        <v/>
      </c>
      <c r="D59" s="26" t="str">
        <f aca="false">IFERROR(INDEX('Output Utente'!$C$2:$C$492,MATCH(56,'Output Utente'!$R$2:$R$492,0)),"")</f>
        <v/>
      </c>
      <c r="E59" s="26" t="str">
        <f aca="false">IFERROR(INDEX('Input Giocatori 2026_27'!$D$3:$D$493,MATCH($B59,'Input Giocatori 2026_27'!$A$3:$A$493,0)),"")</f>
        <v/>
      </c>
      <c r="F59" s="27" t="str">
        <f aca="false">IFERROR(INDEX('Output Utente'!$N$2:$N$492,MATCH(56,'Output Utente'!$R$2:$R$492,0)),"")</f>
        <v/>
      </c>
      <c r="G59" s="26" t="str">
        <f aca="false">IFERROR(INDEX('Output Utente'!$O$2:$O$492,MATCH(56,'Output Utente'!$R$2:$R$492,0)),"")</f>
        <v/>
      </c>
      <c r="H59" s="26" t="str">
        <f aca="false">IFERROR(INDEX('Output Utente'!$P$2:$P$492,MATCH(56,'Output Utente'!$R$2:$R$492,0)),"")</f>
        <v/>
      </c>
      <c r="I59" s="27" t="str">
        <f aca="false">IFERROR(INDEX('Output Utente'!$F$2:$F$492,MATCH(56,'Output Utente'!$R$2:$R$492,0)),"")</f>
        <v/>
      </c>
      <c r="J59" s="27" t="str">
        <f aca="false">IFERROR(INDEX('Output Utente'!$G$2:$G$492,MATCH(56,'Output Utente'!$R$2:$R$492,0)),"")</f>
        <v/>
      </c>
      <c r="K59" s="27" t="str">
        <f aca="false">IFERROR(INDEX('Output Utente'!$H$2:$H$492,MATCH(56,'Output Utente'!$R$2:$R$492,0)),"")</f>
        <v/>
      </c>
      <c r="L59" s="26" t="str">
        <f aca="false">IFERROR(INDEX('Output Utente'!$E$2:$E$492,MATCH(56,'Output Utente'!$R$2:$R$492,0)),"")</f>
        <v/>
      </c>
    </row>
    <row r="60" customFormat="false" ht="15" hidden="false" customHeight="true" outlineLevel="0" collapsed="false">
      <c r="A60" s="29" t="n">
        <v>57</v>
      </c>
      <c r="B60" s="26" t="str">
        <f aca="false">IFERROR(INDEX('Output Utente'!$A$2:$A$492,MATCH(57,'Output Utente'!$R$2:$R$492,0)),"")</f>
        <v/>
      </c>
      <c r="C60" s="26" t="str">
        <f aca="false">IFERROR(INDEX('Output Utente'!$B$2:$B$492,MATCH(57,'Output Utente'!$R$2:$R$492,0)),"")</f>
        <v/>
      </c>
      <c r="D60" s="26" t="str">
        <f aca="false">IFERROR(INDEX('Output Utente'!$C$2:$C$492,MATCH(57,'Output Utente'!$R$2:$R$492,0)),"")</f>
        <v/>
      </c>
      <c r="E60" s="26" t="str">
        <f aca="false">IFERROR(INDEX('Input Giocatori 2026_27'!$D$3:$D$493,MATCH($B60,'Input Giocatori 2026_27'!$A$3:$A$493,0)),"")</f>
        <v/>
      </c>
      <c r="F60" s="27" t="str">
        <f aca="false">IFERROR(INDEX('Output Utente'!$N$2:$N$492,MATCH(57,'Output Utente'!$R$2:$R$492,0)),"")</f>
        <v/>
      </c>
      <c r="G60" s="26" t="str">
        <f aca="false">IFERROR(INDEX('Output Utente'!$O$2:$O$492,MATCH(57,'Output Utente'!$R$2:$R$492,0)),"")</f>
        <v/>
      </c>
      <c r="H60" s="26" t="str">
        <f aca="false">IFERROR(INDEX('Output Utente'!$P$2:$P$492,MATCH(57,'Output Utente'!$R$2:$R$492,0)),"")</f>
        <v/>
      </c>
      <c r="I60" s="27" t="str">
        <f aca="false">IFERROR(INDEX('Output Utente'!$F$2:$F$492,MATCH(57,'Output Utente'!$R$2:$R$492,0)),"")</f>
        <v/>
      </c>
      <c r="J60" s="27" t="str">
        <f aca="false">IFERROR(INDEX('Output Utente'!$G$2:$G$492,MATCH(57,'Output Utente'!$R$2:$R$492,0)),"")</f>
        <v/>
      </c>
      <c r="K60" s="27" t="str">
        <f aca="false">IFERROR(INDEX('Output Utente'!$H$2:$H$492,MATCH(57,'Output Utente'!$R$2:$R$492,0)),"")</f>
        <v/>
      </c>
      <c r="L60" s="26" t="str">
        <f aca="false">IFERROR(INDEX('Output Utente'!$E$2:$E$492,MATCH(57,'Output Utente'!$R$2:$R$492,0)),"")</f>
        <v/>
      </c>
    </row>
    <row r="61" customFormat="false" ht="15" hidden="false" customHeight="true" outlineLevel="0" collapsed="false">
      <c r="A61" s="29" t="n">
        <v>58</v>
      </c>
      <c r="B61" s="26" t="str">
        <f aca="false">IFERROR(INDEX('Output Utente'!$A$2:$A$492,MATCH(58,'Output Utente'!$R$2:$R$492,0)),"")</f>
        <v/>
      </c>
      <c r="C61" s="26" t="str">
        <f aca="false">IFERROR(INDEX('Output Utente'!$B$2:$B$492,MATCH(58,'Output Utente'!$R$2:$R$492,0)),"")</f>
        <v/>
      </c>
      <c r="D61" s="26" t="str">
        <f aca="false">IFERROR(INDEX('Output Utente'!$C$2:$C$492,MATCH(58,'Output Utente'!$R$2:$R$492,0)),"")</f>
        <v/>
      </c>
      <c r="E61" s="26" t="str">
        <f aca="false">IFERROR(INDEX('Input Giocatori 2026_27'!$D$3:$D$493,MATCH($B61,'Input Giocatori 2026_27'!$A$3:$A$493,0)),"")</f>
        <v/>
      </c>
      <c r="F61" s="27" t="str">
        <f aca="false">IFERROR(INDEX('Output Utente'!$N$2:$N$492,MATCH(58,'Output Utente'!$R$2:$R$492,0)),"")</f>
        <v/>
      </c>
      <c r="G61" s="26" t="str">
        <f aca="false">IFERROR(INDEX('Output Utente'!$O$2:$O$492,MATCH(58,'Output Utente'!$R$2:$R$492,0)),"")</f>
        <v/>
      </c>
      <c r="H61" s="26" t="str">
        <f aca="false">IFERROR(INDEX('Output Utente'!$P$2:$P$492,MATCH(58,'Output Utente'!$R$2:$R$492,0)),"")</f>
        <v/>
      </c>
      <c r="I61" s="27" t="str">
        <f aca="false">IFERROR(INDEX('Output Utente'!$F$2:$F$492,MATCH(58,'Output Utente'!$R$2:$R$492,0)),"")</f>
        <v/>
      </c>
      <c r="J61" s="27" t="str">
        <f aca="false">IFERROR(INDEX('Output Utente'!$G$2:$G$492,MATCH(58,'Output Utente'!$R$2:$R$492,0)),"")</f>
        <v/>
      </c>
      <c r="K61" s="27" t="str">
        <f aca="false">IFERROR(INDEX('Output Utente'!$H$2:$H$492,MATCH(58,'Output Utente'!$R$2:$R$492,0)),"")</f>
        <v/>
      </c>
      <c r="L61" s="26" t="str">
        <f aca="false">IFERROR(INDEX('Output Utente'!$E$2:$E$492,MATCH(58,'Output Utente'!$R$2:$R$492,0)),"")</f>
        <v/>
      </c>
    </row>
    <row r="62" customFormat="false" ht="15" hidden="false" customHeight="true" outlineLevel="0" collapsed="false">
      <c r="A62" s="29" t="n">
        <v>59</v>
      </c>
      <c r="B62" s="26" t="str">
        <f aca="false">IFERROR(INDEX('Output Utente'!$A$2:$A$492,MATCH(59,'Output Utente'!$R$2:$R$492,0)),"")</f>
        <v/>
      </c>
      <c r="C62" s="26" t="str">
        <f aca="false">IFERROR(INDEX('Output Utente'!$B$2:$B$492,MATCH(59,'Output Utente'!$R$2:$R$492,0)),"")</f>
        <v/>
      </c>
      <c r="D62" s="26" t="str">
        <f aca="false">IFERROR(INDEX('Output Utente'!$C$2:$C$492,MATCH(59,'Output Utente'!$R$2:$R$492,0)),"")</f>
        <v/>
      </c>
      <c r="E62" s="26" t="str">
        <f aca="false">IFERROR(INDEX('Input Giocatori 2026_27'!$D$3:$D$493,MATCH($B62,'Input Giocatori 2026_27'!$A$3:$A$493,0)),"")</f>
        <v/>
      </c>
      <c r="F62" s="27" t="str">
        <f aca="false">IFERROR(INDEX('Output Utente'!$N$2:$N$492,MATCH(59,'Output Utente'!$R$2:$R$492,0)),"")</f>
        <v/>
      </c>
      <c r="G62" s="26" t="str">
        <f aca="false">IFERROR(INDEX('Output Utente'!$O$2:$O$492,MATCH(59,'Output Utente'!$R$2:$R$492,0)),"")</f>
        <v/>
      </c>
      <c r="H62" s="26" t="str">
        <f aca="false">IFERROR(INDEX('Output Utente'!$P$2:$P$492,MATCH(59,'Output Utente'!$R$2:$R$492,0)),"")</f>
        <v/>
      </c>
      <c r="I62" s="27" t="str">
        <f aca="false">IFERROR(INDEX('Output Utente'!$F$2:$F$492,MATCH(59,'Output Utente'!$R$2:$R$492,0)),"")</f>
        <v/>
      </c>
      <c r="J62" s="27" t="str">
        <f aca="false">IFERROR(INDEX('Output Utente'!$G$2:$G$492,MATCH(59,'Output Utente'!$R$2:$R$492,0)),"")</f>
        <v/>
      </c>
      <c r="K62" s="27" t="str">
        <f aca="false">IFERROR(INDEX('Output Utente'!$H$2:$H$492,MATCH(59,'Output Utente'!$R$2:$R$492,0)),"")</f>
        <v/>
      </c>
      <c r="L62" s="26" t="str">
        <f aca="false">IFERROR(INDEX('Output Utente'!$E$2:$E$492,MATCH(59,'Output Utente'!$R$2:$R$492,0)),"")</f>
        <v/>
      </c>
    </row>
    <row r="63" customFormat="false" ht="15" hidden="false" customHeight="true" outlineLevel="0" collapsed="false">
      <c r="A63" s="29" t="n">
        <v>60</v>
      </c>
      <c r="B63" s="26" t="str">
        <f aca="false">IFERROR(INDEX('Output Utente'!$A$2:$A$492,MATCH(60,'Output Utente'!$R$2:$R$492,0)),"")</f>
        <v/>
      </c>
      <c r="C63" s="26" t="str">
        <f aca="false">IFERROR(INDEX('Output Utente'!$B$2:$B$492,MATCH(60,'Output Utente'!$R$2:$R$492,0)),"")</f>
        <v/>
      </c>
      <c r="D63" s="26" t="str">
        <f aca="false">IFERROR(INDEX('Output Utente'!$C$2:$C$492,MATCH(60,'Output Utente'!$R$2:$R$492,0)),"")</f>
        <v/>
      </c>
      <c r="E63" s="26" t="str">
        <f aca="false">IFERROR(INDEX('Input Giocatori 2026_27'!$D$3:$D$493,MATCH($B63,'Input Giocatori 2026_27'!$A$3:$A$493,0)),"")</f>
        <v/>
      </c>
      <c r="F63" s="27" t="str">
        <f aca="false">IFERROR(INDEX('Output Utente'!$N$2:$N$492,MATCH(60,'Output Utente'!$R$2:$R$492,0)),"")</f>
        <v/>
      </c>
      <c r="G63" s="26" t="str">
        <f aca="false">IFERROR(INDEX('Output Utente'!$O$2:$O$492,MATCH(60,'Output Utente'!$R$2:$R$492,0)),"")</f>
        <v/>
      </c>
      <c r="H63" s="26" t="str">
        <f aca="false">IFERROR(INDEX('Output Utente'!$P$2:$P$492,MATCH(60,'Output Utente'!$R$2:$R$492,0)),"")</f>
        <v/>
      </c>
      <c r="I63" s="27" t="str">
        <f aca="false">IFERROR(INDEX('Output Utente'!$F$2:$F$492,MATCH(60,'Output Utente'!$R$2:$R$492,0)),"")</f>
        <v/>
      </c>
      <c r="J63" s="27" t="str">
        <f aca="false">IFERROR(INDEX('Output Utente'!$G$2:$G$492,MATCH(60,'Output Utente'!$R$2:$R$492,0)),"")</f>
        <v/>
      </c>
      <c r="K63" s="27" t="str">
        <f aca="false">IFERROR(INDEX('Output Utente'!$H$2:$H$492,MATCH(60,'Output Utente'!$R$2:$R$492,0)),"")</f>
        <v/>
      </c>
      <c r="L63" s="26" t="str">
        <f aca="false">IFERROR(INDEX('Output Utente'!$E$2:$E$492,MATCH(60,'Output Utente'!$R$2:$R$492,0)),"")</f>
        <v/>
      </c>
    </row>
    <row r="64" customFormat="false" ht="15" hidden="false" customHeight="true" outlineLevel="0" collapsed="false">
      <c r="A64" s="29" t="n">
        <v>61</v>
      </c>
      <c r="B64" s="26" t="str">
        <f aca="false">IFERROR(INDEX('Output Utente'!$A$2:$A$492,MATCH(61,'Output Utente'!$R$2:$R$492,0)),"")</f>
        <v/>
      </c>
      <c r="C64" s="26" t="str">
        <f aca="false">IFERROR(INDEX('Output Utente'!$B$2:$B$492,MATCH(61,'Output Utente'!$R$2:$R$492,0)),"")</f>
        <v/>
      </c>
      <c r="D64" s="26" t="str">
        <f aca="false">IFERROR(INDEX('Output Utente'!$C$2:$C$492,MATCH(61,'Output Utente'!$R$2:$R$492,0)),"")</f>
        <v/>
      </c>
      <c r="E64" s="26" t="str">
        <f aca="false">IFERROR(INDEX('Input Giocatori 2026_27'!$D$3:$D$493,MATCH($B64,'Input Giocatori 2026_27'!$A$3:$A$493,0)),"")</f>
        <v/>
      </c>
      <c r="F64" s="27" t="str">
        <f aca="false">IFERROR(INDEX('Output Utente'!$N$2:$N$492,MATCH(61,'Output Utente'!$R$2:$R$492,0)),"")</f>
        <v/>
      </c>
      <c r="G64" s="26" t="str">
        <f aca="false">IFERROR(INDEX('Output Utente'!$O$2:$O$492,MATCH(61,'Output Utente'!$R$2:$R$492,0)),"")</f>
        <v/>
      </c>
      <c r="H64" s="26" t="str">
        <f aca="false">IFERROR(INDEX('Output Utente'!$P$2:$P$492,MATCH(61,'Output Utente'!$R$2:$R$492,0)),"")</f>
        <v/>
      </c>
      <c r="I64" s="27" t="str">
        <f aca="false">IFERROR(INDEX('Output Utente'!$F$2:$F$492,MATCH(61,'Output Utente'!$R$2:$R$492,0)),"")</f>
        <v/>
      </c>
      <c r="J64" s="27" t="str">
        <f aca="false">IFERROR(INDEX('Output Utente'!$G$2:$G$492,MATCH(61,'Output Utente'!$R$2:$R$492,0)),"")</f>
        <v/>
      </c>
      <c r="K64" s="27" t="str">
        <f aca="false">IFERROR(INDEX('Output Utente'!$H$2:$H$492,MATCH(61,'Output Utente'!$R$2:$R$492,0)),"")</f>
        <v/>
      </c>
      <c r="L64" s="26" t="str">
        <f aca="false">IFERROR(INDEX('Output Utente'!$E$2:$E$492,MATCH(61,'Output Utente'!$R$2:$R$492,0)),"")</f>
        <v/>
      </c>
    </row>
    <row r="65" customFormat="false" ht="15" hidden="false" customHeight="true" outlineLevel="0" collapsed="false">
      <c r="A65" s="29" t="n">
        <v>62</v>
      </c>
      <c r="B65" s="26" t="str">
        <f aca="false">IFERROR(INDEX('Output Utente'!$A$2:$A$492,MATCH(62,'Output Utente'!$R$2:$R$492,0)),"")</f>
        <v/>
      </c>
      <c r="C65" s="26" t="str">
        <f aca="false">IFERROR(INDEX('Output Utente'!$B$2:$B$492,MATCH(62,'Output Utente'!$R$2:$R$492,0)),"")</f>
        <v/>
      </c>
      <c r="D65" s="26" t="str">
        <f aca="false">IFERROR(INDEX('Output Utente'!$C$2:$C$492,MATCH(62,'Output Utente'!$R$2:$R$492,0)),"")</f>
        <v/>
      </c>
      <c r="E65" s="26" t="str">
        <f aca="false">IFERROR(INDEX('Input Giocatori 2026_27'!$D$3:$D$493,MATCH($B65,'Input Giocatori 2026_27'!$A$3:$A$493,0)),"")</f>
        <v/>
      </c>
      <c r="F65" s="27" t="str">
        <f aca="false">IFERROR(INDEX('Output Utente'!$N$2:$N$492,MATCH(62,'Output Utente'!$R$2:$R$492,0)),"")</f>
        <v/>
      </c>
      <c r="G65" s="26" t="str">
        <f aca="false">IFERROR(INDEX('Output Utente'!$O$2:$O$492,MATCH(62,'Output Utente'!$R$2:$R$492,0)),"")</f>
        <v/>
      </c>
      <c r="H65" s="26" t="str">
        <f aca="false">IFERROR(INDEX('Output Utente'!$P$2:$P$492,MATCH(62,'Output Utente'!$R$2:$R$492,0)),"")</f>
        <v/>
      </c>
      <c r="I65" s="27" t="str">
        <f aca="false">IFERROR(INDEX('Output Utente'!$F$2:$F$492,MATCH(62,'Output Utente'!$R$2:$R$492,0)),"")</f>
        <v/>
      </c>
      <c r="J65" s="27" t="str">
        <f aca="false">IFERROR(INDEX('Output Utente'!$G$2:$G$492,MATCH(62,'Output Utente'!$R$2:$R$492,0)),"")</f>
        <v/>
      </c>
      <c r="K65" s="27" t="str">
        <f aca="false">IFERROR(INDEX('Output Utente'!$H$2:$H$492,MATCH(62,'Output Utente'!$R$2:$R$492,0)),"")</f>
        <v/>
      </c>
      <c r="L65" s="26" t="str">
        <f aca="false">IFERROR(INDEX('Output Utente'!$E$2:$E$492,MATCH(62,'Output Utente'!$R$2:$R$492,0)),"")</f>
        <v/>
      </c>
    </row>
    <row r="66" customFormat="false" ht="15" hidden="false" customHeight="true" outlineLevel="0" collapsed="false">
      <c r="A66" s="29" t="n">
        <v>63</v>
      </c>
      <c r="B66" s="26" t="str">
        <f aca="false">IFERROR(INDEX('Output Utente'!$A$2:$A$492,MATCH(63,'Output Utente'!$R$2:$R$492,0)),"")</f>
        <v/>
      </c>
      <c r="C66" s="26" t="str">
        <f aca="false">IFERROR(INDEX('Output Utente'!$B$2:$B$492,MATCH(63,'Output Utente'!$R$2:$R$492,0)),"")</f>
        <v/>
      </c>
      <c r="D66" s="26" t="str">
        <f aca="false">IFERROR(INDEX('Output Utente'!$C$2:$C$492,MATCH(63,'Output Utente'!$R$2:$R$492,0)),"")</f>
        <v/>
      </c>
      <c r="E66" s="26" t="str">
        <f aca="false">IFERROR(INDEX('Input Giocatori 2026_27'!$D$3:$D$493,MATCH($B66,'Input Giocatori 2026_27'!$A$3:$A$493,0)),"")</f>
        <v/>
      </c>
      <c r="F66" s="27" t="str">
        <f aca="false">IFERROR(INDEX('Output Utente'!$N$2:$N$492,MATCH(63,'Output Utente'!$R$2:$R$492,0)),"")</f>
        <v/>
      </c>
      <c r="G66" s="26" t="str">
        <f aca="false">IFERROR(INDEX('Output Utente'!$O$2:$O$492,MATCH(63,'Output Utente'!$R$2:$R$492,0)),"")</f>
        <v/>
      </c>
      <c r="H66" s="26" t="str">
        <f aca="false">IFERROR(INDEX('Output Utente'!$P$2:$P$492,MATCH(63,'Output Utente'!$R$2:$R$492,0)),"")</f>
        <v/>
      </c>
      <c r="I66" s="27" t="str">
        <f aca="false">IFERROR(INDEX('Output Utente'!$F$2:$F$492,MATCH(63,'Output Utente'!$R$2:$R$492,0)),"")</f>
        <v/>
      </c>
      <c r="J66" s="27" t="str">
        <f aca="false">IFERROR(INDEX('Output Utente'!$G$2:$G$492,MATCH(63,'Output Utente'!$R$2:$R$492,0)),"")</f>
        <v/>
      </c>
      <c r="K66" s="27" t="str">
        <f aca="false">IFERROR(INDEX('Output Utente'!$H$2:$H$492,MATCH(63,'Output Utente'!$R$2:$R$492,0)),"")</f>
        <v/>
      </c>
      <c r="L66" s="26" t="str">
        <f aca="false">IFERROR(INDEX('Output Utente'!$E$2:$E$492,MATCH(63,'Output Utente'!$R$2:$R$492,0)),"")</f>
        <v/>
      </c>
    </row>
    <row r="67" customFormat="false" ht="15" hidden="false" customHeight="true" outlineLevel="0" collapsed="false">
      <c r="A67" s="29" t="n">
        <v>64</v>
      </c>
      <c r="B67" s="26" t="str">
        <f aca="false">IFERROR(INDEX('Output Utente'!$A$2:$A$492,MATCH(64,'Output Utente'!$R$2:$R$492,0)),"")</f>
        <v/>
      </c>
      <c r="C67" s="26" t="str">
        <f aca="false">IFERROR(INDEX('Output Utente'!$B$2:$B$492,MATCH(64,'Output Utente'!$R$2:$R$492,0)),"")</f>
        <v/>
      </c>
      <c r="D67" s="26" t="str">
        <f aca="false">IFERROR(INDEX('Output Utente'!$C$2:$C$492,MATCH(64,'Output Utente'!$R$2:$R$492,0)),"")</f>
        <v/>
      </c>
      <c r="E67" s="26" t="str">
        <f aca="false">IFERROR(INDEX('Input Giocatori 2026_27'!$D$3:$D$493,MATCH($B67,'Input Giocatori 2026_27'!$A$3:$A$493,0)),"")</f>
        <v/>
      </c>
      <c r="F67" s="27" t="str">
        <f aca="false">IFERROR(INDEX('Output Utente'!$N$2:$N$492,MATCH(64,'Output Utente'!$R$2:$R$492,0)),"")</f>
        <v/>
      </c>
      <c r="G67" s="26" t="str">
        <f aca="false">IFERROR(INDEX('Output Utente'!$O$2:$O$492,MATCH(64,'Output Utente'!$R$2:$R$492,0)),"")</f>
        <v/>
      </c>
      <c r="H67" s="26" t="str">
        <f aca="false">IFERROR(INDEX('Output Utente'!$P$2:$P$492,MATCH(64,'Output Utente'!$R$2:$R$492,0)),"")</f>
        <v/>
      </c>
      <c r="I67" s="27" t="str">
        <f aca="false">IFERROR(INDEX('Output Utente'!$F$2:$F$492,MATCH(64,'Output Utente'!$R$2:$R$492,0)),"")</f>
        <v/>
      </c>
      <c r="J67" s="27" t="str">
        <f aca="false">IFERROR(INDEX('Output Utente'!$G$2:$G$492,MATCH(64,'Output Utente'!$R$2:$R$492,0)),"")</f>
        <v/>
      </c>
      <c r="K67" s="27" t="str">
        <f aca="false">IFERROR(INDEX('Output Utente'!$H$2:$H$492,MATCH(64,'Output Utente'!$R$2:$R$492,0)),"")</f>
        <v/>
      </c>
      <c r="L67" s="26" t="str">
        <f aca="false">IFERROR(INDEX('Output Utente'!$E$2:$E$492,MATCH(64,'Output Utente'!$R$2:$R$492,0)),"")</f>
        <v/>
      </c>
    </row>
    <row r="68" customFormat="false" ht="15" hidden="false" customHeight="true" outlineLevel="0" collapsed="false">
      <c r="A68" s="29" t="n">
        <v>65</v>
      </c>
      <c r="B68" s="26" t="str">
        <f aca="false">IFERROR(INDEX('Output Utente'!$A$2:$A$492,MATCH(65,'Output Utente'!$R$2:$R$492,0)),"")</f>
        <v/>
      </c>
      <c r="C68" s="26" t="str">
        <f aca="false">IFERROR(INDEX('Output Utente'!$B$2:$B$492,MATCH(65,'Output Utente'!$R$2:$R$492,0)),"")</f>
        <v/>
      </c>
      <c r="D68" s="26" t="str">
        <f aca="false">IFERROR(INDEX('Output Utente'!$C$2:$C$492,MATCH(65,'Output Utente'!$R$2:$R$492,0)),"")</f>
        <v/>
      </c>
      <c r="E68" s="26" t="str">
        <f aca="false">IFERROR(INDEX('Input Giocatori 2026_27'!$D$3:$D$493,MATCH($B68,'Input Giocatori 2026_27'!$A$3:$A$493,0)),"")</f>
        <v/>
      </c>
      <c r="F68" s="27" t="str">
        <f aca="false">IFERROR(INDEX('Output Utente'!$N$2:$N$492,MATCH(65,'Output Utente'!$R$2:$R$492,0)),"")</f>
        <v/>
      </c>
      <c r="G68" s="26" t="str">
        <f aca="false">IFERROR(INDEX('Output Utente'!$O$2:$O$492,MATCH(65,'Output Utente'!$R$2:$R$492,0)),"")</f>
        <v/>
      </c>
      <c r="H68" s="26" t="str">
        <f aca="false">IFERROR(INDEX('Output Utente'!$P$2:$P$492,MATCH(65,'Output Utente'!$R$2:$R$492,0)),"")</f>
        <v/>
      </c>
      <c r="I68" s="27" t="str">
        <f aca="false">IFERROR(INDEX('Output Utente'!$F$2:$F$492,MATCH(65,'Output Utente'!$R$2:$R$492,0)),"")</f>
        <v/>
      </c>
      <c r="J68" s="27" t="str">
        <f aca="false">IFERROR(INDEX('Output Utente'!$G$2:$G$492,MATCH(65,'Output Utente'!$R$2:$R$492,0)),"")</f>
        <v/>
      </c>
      <c r="K68" s="27" t="str">
        <f aca="false">IFERROR(INDEX('Output Utente'!$H$2:$H$492,MATCH(65,'Output Utente'!$R$2:$R$492,0)),"")</f>
        <v/>
      </c>
      <c r="L68" s="26" t="str">
        <f aca="false">IFERROR(INDEX('Output Utente'!$E$2:$E$492,MATCH(65,'Output Utente'!$R$2:$R$492,0)),"")</f>
        <v/>
      </c>
    </row>
    <row r="69" customFormat="false" ht="15" hidden="false" customHeight="true" outlineLevel="0" collapsed="false">
      <c r="A69" s="29" t="n">
        <v>66</v>
      </c>
      <c r="B69" s="26" t="str">
        <f aca="false">IFERROR(INDEX('Output Utente'!$A$2:$A$492,MATCH(66,'Output Utente'!$R$2:$R$492,0)),"")</f>
        <v/>
      </c>
      <c r="C69" s="26" t="str">
        <f aca="false">IFERROR(INDEX('Output Utente'!$B$2:$B$492,MATCH(66,'Output Utente'!$R$2:$R$492,0)),"")</f>
        <v/>
      </c>
      <c r="D69" s="26" t="str">
        <f aca="false">IFERROR(INDEX('Output Utente'!$C$2:$C$492,MATCH(66,'Output Utente'!$R$2:$R$492,0)),"")</f>
        <v/>
      </c>
      <c r="E69" s="26" t="str">
        <f aca="false">IFERROR(INDEX('Input Giocatori 2026_27'!$D$3:$D$493,MATCH($B69,'Input Giocatori 2026_27'!$A$3:$A$493,0)),"")</f>
        <v/>
      </c>
      <c r="F69" s="27" t="str">
        <f aca="false">IFERROR(INDEX('Output Utente'!$N$2:$N$492,MATCH(66,'Output Utente'!$R$2:$R$492,0)),"")</f>
        <v/>
      </c>
      <c r="G69" s="26" t="str">
        <f aca="false">IFERROR(INDEX('Output Utente'!$O$2:$O$492,MATCH(66,'Output Utente'!$R$2:$R$492,0)),"")</f>
        <v/>
      </c>
      <c r="H69" s="26" t="str">
        <f aca="false">IFERROR(INDEX('Output Utente'!$P$2:$P$492,MATCH(66,'Output Utente'!$R$2:$R$492,0)),"")</f>
        <v/>
      </c>
      <c r="I69" s="27" t="str">
        <f aca="false">IFERROR(INDEX('Output Utente'!$F$2:$F$492,MATCH(66,'Output Utente'!$R$2:$R$492,0)),"")</f>
        <v/>
      </c>
      <c r="J69" s="27" t="str">
        <f aca="false">IFERROR(INDEX('Output Utente'!$G$2:$G$492,MATCH(66,'Output Utente'!$R$2:$R$492,0)),"")</f>
        <v/>
      </c>
      <c r="K69" s="27" t="str">
        <f aca="false">IFERROR(INDEX('Output Utente'!$H$2:$H$492,MATCH(66,'Output Utente'!$R$2:$R$492,0)),"")</f>
        <v/>
      </c>
      <c r="L69" s="26" t="str">
        <f aca="false">IFERROR(INDEX('Output Utente'!$E$2:$E$492,MATCH(66,'Output Utente'!$R$2:$R$492,0)),"")</f>
        <v/>
      </c>
    </row>
    <row r="70" customFormat="false" ht="15" hidden="false" customHeight="true" outlineLevel="0" collapsed="false">
      <c r="A70" s="29" t="n">
        <v>67</v>
      </c>
      <c r="B70" s="26" t="str">
        <f aca="false">IFERROR(INDEX('Output Utente'!$A$2:$A$492,MATCH(67,'Output Utente'!$R$2:$R$492,0)),"")</f>
        <v/>
      </c>
      <c r="C70" s="26" t="str">
        <f aca="false">IFERROR(INDEX('Output Utente'!$B$2:$B$492,MATCH(67,'Output Utente'!$R$2:$R$492,0)),"")</f>
        <v/>
      </c>
      <c r="D70" s="26" t="str">
        <f aca="false">IFERROR(INDEX('Output Utente'!$C$2:$C$492,MATCH(67,'Output Utente'!$R$2:$R$492,0)),"")</f>
        <v/>
      </c>
      <c r="E70" s="26" t="str">
        <f aca="false">IFERROR(INDEX('Input Giocatori 2026_27'!$D$3:$D$493,MATCH($B70,'Input Giocatori 2026_27'!$A$3:$A$493,0)),"")</f>
        <v/>
      </c>
      <c r="F70" s="27" t="str">
        <f aca="false">IFERROR(INDEX('Output Utente'!$N$2:$N$492,MATCH(67,'Output Utente'!$R$2:$R$492,0)),"")</f>
        <v/>
      </c>
      <c r="G70" s="26" t="str">
        <f aca="false">IFERROR(INDEX('Output Utente'!$O$2:$O$492,MATCH(67,'Output Utente'!$R$2:$R$492,0)),"")</f>
        <v/>
      </c>
      <c r="H70" s="26" t="str">
        <f aca="false">IFERROR(INDEX('Output Utente'!$P$2:$P$492,MATCH(67,'Output Utente'!$R$2:$R$492,0)),"")</f>
        <v/>
      </c>
      <c r="I70" s="27" t="str">
        <f aca="false">IFERROR(INDEX('Output Utente'!$F$2:$F$492,MATCH(67,'Output Utente'!$R$2:$R$492,0)),"")</f>
        <v/>
      </c>
      <c r="J70" s="27" t="str">
        <f aca="false">IFERROR(INDEX('Output Utente'!$G$2:$G$492,MATCH(67,'Output Utente'!$R$2:$R$492,0)),"")</f>
        <v/>
      </c>
      <c r="K70" s="27" t="str">
        <f aca="false">IFERROR(INDEX('Output Utente'!$H$2:$H$492,MATCH(67,'Output Utente'!$R$2:$R$492,0)),"")</f>
        <v/>
      </c>
      <c r="L70" s="26" t="str">
        <f aca="false">IFERROR(INDEX('Output Utente'!$E$2:$E$492,MATCH(67,'Output Utente'!$R$2:$R$492,0)),"")</f>
        <v/>
      </c>
    </row>
    <row r="71" customFormat="false" ht="15" hidden="false" customHeight="true" outlineLevel="0" collapsed="false">
      <c r="A71" s="29" t="n">
        <v>68</v>
      </c>
      <c r="B71" s="26" t="str">
        <f aca="false">IFERROR(INDEX('Output Utente'!$A$2:$A$492,MATCH(68,'Output Utente'!$R$2:$R$492,0)),"")</f>
        <v/>
      </c>
      <c r="C71" s="26" t="str">
        <f aca="false">IFERROR(INDEX('Output Utente'!$B$2:$B$492,MATCH(68,'Output Utente'!$R$2:$R$492,0)),"")</f>
        <v/>
      </c>
      <c r="D71" s="26" t="str">
        <f aca="false">IFERROR(INDEX('Output Utente'!$C$2:$C$492,MATCH(68,'Output Utente'!$R$2:$R$492,0)),"")</f>
        <v/>
      </c>
      <c r="E71" s="26" t="str">
        <f aca="false">IFERROR(INDEX('Input Giocatori 2026_27'!$D$3:$D$493,MATCH($B71,'Input Giocatori 2026_27'!$A$3:$A$493,0)),"")</f>
        <v/>
      </c>
      <c r="F71" s="27" t="str">
        <f aca="false">IFERROR(INDEX('Output Utente'!$N$2:$N$492,MATCH(68,'Output Utente'!$R$2:$R$492,0)),"")</f>
        <v/>
      </c>
      <c r="G71" s="26" t="str">
        <f aca="false">IFERROR(INDEX('Output Utente'!$O$2:$O$492,MATCH(68,'Output Utente'!$R$2:$R$492,0)),"")</f>
        <v/>
      </c>
      <c r="H71" s="26" t="str">
        <f aca="false">IFERROR(INDEX('Output Utente'!$P$2:$P$492,MATCH(68,'Output Utente'!$R$2:$R$492,0)),"")</f>
        <v/>
      </c>
      <c r="I71" s="27" t="str">
        <f aca="false">IFERROR(INDEX('Output Utente'!$F$2:$F$492,MATCH(68,'Output Utente'!$R$2:$R$492,0)),"")</f>
        <v/>
      </c>
      <c r="J71" s="27" t="str">
        <f aca="false">IFERROR(INDEX('Output Utente'!$G$2:$G$492,MATCH(68,'Output Utente'!$R$2:$R$492,0)),"")</f>
        <v/>
      </c>
      <c r="K71" s="27" t="str">
        <f aca="false">IFERROR(INDEX('Output Utente'!$H$2:$H$492,MATCH(68,'Output Utente'!$R$2:$R$492,0)),"")</f>
        <v/>
      </c>
      <c r="L71" s="26" t="str">
        <f aca="false">IFERROR(INDEX('Output Utente'!$E$2:$E$492,MATCH(68,'Output Utente'!$R$2:$R$492,0)),"")</f>
        <v/>
      </c>
    </row>
    <row r="72" customFormat="false" ht="15" hidden="false" customHeight="true" outlineLevel="0" collapsed="false">
      <c r="A72" s="29" t="n">
        <v>69</v>
      </c>
      <c r="B72" s="26" t="str">
        <f aca="false">IFERROR(INDEX('Output Utente'!$A$2:$A$492,MATCH(69,'Output Utente'!$R$2:$R$492,0)),"")</f>
        <v/>
      </c>
      <c r="C72" s="26" t="str">
        <f aca="false">IFERROR(INDEX('Output Utente'!$B$2:$B$492,MATCH(69,'Output Utente'!$R$2:$R$492,0)),"")</f>
        <v/>
      </c>
      <c r="D72" s="26" t="str">
        <f aca="false">IFERROR(INDEX('Output Utente'!$C$2:$C$492,MATCH(69,'Output Utente'!$R$2:$R$492,0)),"")</f>
        <v/>
      </c>
      <c r="E72" s="26" t="str">
        <f aca="false">IFERROR(INDEX('Input Giocatori 2026_27'!$D$3:$D$493,MATCH($B72,'Input Giocatori 2026_27'!$A$3:$A$493,0)),"")</f>
        <v/>
      </c>
      <c r="F72" s="27" t="str">
        <f aca="false">IFERROR(INDEX('Output Utente'!$N$2:$N$492,MATCH(69,'Output Utente'!$R$2:$R$492,0)),"")</f>
        <v/>
      </c>
      <c r="G72" s="26" t="str">
        <f aca="false">IFERROR(INDEX('Output Utente'!$O$2:$O$492,MATCH(69,'Output Utente'!$R$2:$R$492,0)),"")</f>
        <v/>
      </c>
      <c r="H72" s="26" t="str">
        <f aca="false">IFERROR(INDEX('Output Utente'!$P$2:$P$492,MATCH(69,'Output Utente'!$R$2:$R$492,0)),"")</f>
        <v/>
      </c>
      <c r="I72" s="27" t="str">
        <f aca="false">IFERROR(INDEX('Output Utente'!$F$2:$F$492,MATCH(69,'Output Utente'!$R$2:$R$492,0)),"")</f>
        <v/>
      </c>
      <c r="J72" s="27" t="str">
        <f aca="false">IFERROR(INDEX('Output Utente'!$G$2:$G$492,MATCH(69,'Output Utente'!$R$2:$R$492,0)),"")</f>
        <v/>
      </c>
      <c r="K72" s="27" t="str">
        <f aca="false">IFERROR(INDEX('Output Utente'!$H$2:$H$492,MATCH(69,'Output Utente'!$R$2:$R$492,0)),"")</f>
        <v/>
      </c>
      <c r="L72" s="26" t="str">
        <f aca="false">IFERROR(INDEX('Output Utente'!$E$2:$E$492,MATCH(69,'Output Utente'!$R$2:$R$492,0)),"")</f>
        <v/>
      </c>
    </row>
    <row r="73" customFormat="false" ht="15" hidden="false" customHeight="true" outlineLevel="0" collapsed="false">
      <c r="A73" s="29" t="n">
        <v>70</v>
      </c>
      <c r="B73" s="26" t="str">
        <f aca="false">IFERROR(INDEX('Output Utente'!$A$2:$A$492,MATCH(70,'Output Utente'!$R$2:$R$492,0)),"")</f>
        <v/>
      </c>
      <c r="C73" s="26" t="str">
        <f aca="false">IFERROR(INDEX('Output Utente'!$B$2:$B$492,MATCH(70,'Output Utente'!$R$2:$R$492,0)),"")</f>
        <v/>
      </c>
      <c r="D73" s="26" t="str">
        <f aca="false">IFERROR(INDEX('Output Utente'!$C$2:$C$492,MATCH(70,'Output Utente'!$R$2:$R$492,0)),"")</f>
        <v/>
      </c>
      <c r="E73" s="26" t="str">
        <f aca="false">IFERROR(INDEX('Input Giocatori 2026_27'!$D$3:$D$493,MATCH($B73,'Input Giocatori 2026_27'!$A$3:$A$493,0)),"")</f>
        <v/>
      </c>
      <c r="F73" s="27" t="str">
        <f aca="false">IFERROR(INDEX('Output Utente'!$N$2:$N$492,MATCH(70,'Output Utente'!$R$2:$R$492,0)),"")</f>
        <v/>
      </c>
      <c r="G73" s="26" t="str">
        <f aca="false">IFERROR(INDEX('Output Utente'!$O$2:$O$492,MATCH(70,'Output Utente'!$R$2:$R$492,0)),"")</f>
        <v/>
      </c>
      <c r="H73" s="26" t="str">
        <f aca="false">IFERROR(INDEX('Output Utente'!$P$2:$P$492,MATCH(70,'Output Utente'!$R$2:$R$492,0)),"")</f>
        <v/>
      </c>
      <c r="I73" s="27" t="str">
        <f aca="false">IFERROR(INDEX('Output Utente'!$F$2:$F$492,MATCH(70,'Output Utente'!$R$2:$R$492,0)),"")</f>
        <v/>
      </c>
      <c r="J73" s="27" t="str">
        <f aca="false">IFERROR(INDEX('Output Utente'!$G$2:$G$492,MATCH(70,'Output Utente'!$R$2:$R$492,0)),"")</f>
        <v/>
      </c>
      <c r="K73" s="27" t="str">
        <f aca="false">IFERROR(INDEX('Output Utente'!$H$2:$H$492,MATCH(70,'Output Utente'!$R$2:$R$492,0)),"")</f>
        <v/>
      </c>
      <c r="L73" s="26" t="str">
        <f aca="false">IFERROR(INDEX('Output Utente'!$E$2:$E$492,MATCH(70,'Output Utente'!$R$2:$R$492,0)),"")</f>
        <v/>
      </c>
    </row>
    <row r="74" customFormat="false" ht="15" hidden="false" customHeight="true" outlineLevel="0" collapsed="false">
      <c r="A74" s="29" t="n">
        <v>71</v>
      </c>
      <c r="B74" s="26" t="str">
        <f aca="false">IFERROR(INDEX('Output Utente'!$A$2:$A$492,MATCH(71,'Output Utente'!$R$2:$R$492,0)),"")</f>
        <v/>
      </c>
      <c r="C74" s="26" t="str">
        <f aca="false">IFERROR(INDEX('Output Utente'!$B$2:$B$492,MATCH(71,'Output Utente'!$R$2:$R$492,0)),"")</f>
        <v/>
      </c>
      <c r="D74" s="26" t="str">
        <f aca="false">IFERROR(INDEX('Output Utente'!$C$2:$C$492,MATCH(71,'Output Utente'!$R$2:$R$492,0)),"")</f>
        <v/>
      </c>
      <c r="E74" s="26" t="str">
        <f aca="false">IFERROR(INDEX('Input Giocatori 2026_27'!$D$3:$D$493,MATCH($B74,'Input Giocatori 2026_27'!$A$3:$A$493,0)),"")</f>
        <v/>
      </c>
      <c r="F74" s="27" t="str">
        <f aca="false">IFERROR(INDEX('Output Utente'!$N$2:$N$492,MATCH(71,'Output Utente'!$R$2:$R$492,0)),"")</f>
        <v/>
      </c>
      <c r="G74" s="26" t="str">
        <f aca="false">IFERROR(INDEX('Output Utente'!$O$2:$O$492,MATCH(71,'Output Utente'!$R$2:$R$492,0)),"")</f>
        <v/>
      </c>
      <c r="H74" s="26" t="str">
        <f aca="false">IFERROR(INDEX('Output Utente'!$P$2:$P$492,MATCH(71,'Output Utente'!$R$2:$R$492,0)),"")</f>
        <v/>
      </c>
      <c r="I74" s="27" t="str">
        <f aca="false">IFERROR(INDEX('Output Utente'!$F$2:$F$492,MATCH(71,'Output Utente'!$R$2:$R$492,0)),"")</f>
        <v/>
      </c>
      <c r="J74" s="27" t="str">
        <f aca="false">IFERROR(INDEX('Output Utente'!$G$2:$G$492,MATCH(71,'Output Utente'!$R$2:$R$492,0)),"")</f>
        <v/>
      </c>
      <c r="K74" s="27" t="str">
        <f aca="false">IFERROR(INDEX('Output Utente'!$H$2:$H$492,MATCH(71,'Output Utente'!$R$2:$R$492,0)),"")</f>
        <v/>
      </c>
      <c r="L74" s="26" t="str">
        <f aca="false">IFERROR(INDEX('Output Utente'!$E$2:$E$492,MATCH(71,'Output Utente'!$R$2:$R$492,0)),"")</f>
        <v/>
      </c>
    </row>
    <row r="75" customFormat="false" ht="15" hidden="false" customHeight="true" outlineLevel="0" collapsed="false">
      <c r="A75" s="29" t="n">
        <v>72</v>
      </c>
      <c r="B75" s="26" t="str">
        <f aca="false">IFERROR(INDEX('Output Utente'!$A$2:$A$492,MATCH(72,'Output Utente'!$R$2:$R$492,0)),"")</f>
        <v/>
      </c>
      <c r="C75" s="26" t="str">
        <f aca="false">IFERROR(INDEX('Output Utente'!$B$2:$B$492,MATCH(72,'Output Utente'!$R$2:$R$492,0)),"")</f>
        <v/>
      </c>
      <c r="D75" s="26" t="str">
        <f aca="false">IFERROR(INDEX('Output Utente'!$C$2:$C$492,MATCH(72,'Output Utente'!$R$2:$R$492,0)),"")</f>
        <v/>
      </c>
      <c r="E75" s="26" t="str">
        <f aca="false">IFERROR(INDEX('Input Giocatori 2026_27'!$D$3:$D$493,MATCH($B75,'Input Giocatori 2026_27'!$A$3:$A$493,0)),"")</f>
        <v/>
      </c>
      <c r="F75" s="27" t="str">
        <f aca="false">IFERROR(INDEX('Output Utente'!$N$2:$N$492,MATCH(72,'Output Utente'!$R$2:$R$492,0)),"")</f>
        <v/>
      </c>
      <c r="G75" s="26" t="str">
        <f aca="false">IFERROR(INDEX('Output Utente'!$O$2:$O$492,MATCH(72,'Output Utente'!$R$2:$R$492,0)),"")</f>
        <v/>
      </c>
      <c r="H75" s="26" t="str">
        <f aca="false">IFERROR(INDEX('Output Utente'!$P$2:$P$492,MATCH(72,'Output Utente'!$R$2:$R$492,0)),"")</f>
        <v/>
      </c>
      <c r="I75" s="27" t="str">
        <f aca="false">IFERROR(INDEX('Output Utente'!$F$2:$F$492,MATCH(72,'Output Utente'!$R$2:$R$492,0)),"")</f>
        <v/>
      </c>
      <c r="J75" s="27" t="str">
        <f aca="false">IFERROR(INDEX('Output Utente'!$G$2:$G$492,MATCH(72,'Output Utente'!$R$2:$R$492,0)),"")</f>
        <v/>
      </c>
      <c r="K75" s="27" t="str">
        <f aca="false">IFERROR(INDEX('Output Utente'!$H$2:$H$492,MATCH(72,'Output Utente'!$R$2:$R$492,0)),"")</f>
        <v/>
      </c>
      <c r="L75" s="26" t="str">
        <f aca="false">IFERROR(INDEX('Output Utente'!$E$2:$E$492,MATCH(72,'Output Utente'!$R$2:$R$492,0)),"")</f>
        <v/>
      </c>
    </row>
    <row r="76" customFormat="false" ht="15" hidden="false" customHeight="true" outlineLevel="0" collapsed="false">
      <c r="A76" s="29" t="n">
        <v>73</v>
      </c>
      <c r="B76" s="26" t="str">
        <f aca="false">IFERROR(INDEX('Output Utente'!$A$2:$A$492,MATCH(73,'Output Utente'!$R$2:$R$492,0)),"")</f>
        <v/>
      </c>
      <c r="C76" s="26" t="str">
        <f aca="false">IFERROR(INDEX('Output Utente'!$B$2:$B$492,MATCH(73,'Output Utente'!$R$2:$R$492,0)),"")</f>
        <v/>
      </c>
      <c r="D76" s="26" t="str">
        <f aca="false">IFERROR(INDEX('Output Utente'!$C$2:$C$492,MATCH(73,'Output Utente'!$R$2:$R$492,0)),"")</f>
        <v/>
      </c>
      <c r="E76" s="26" t="str">
        <f aca="false">IFERROR(INDEX('Input Giocatori 2026_27'!$D$3:$D$493,MATCH($B76,'Input Giocatori 2026_27'!$A$3:$A$493,0)),"")</f>
        <v/>
      </c>
      <c r="F76" s="27" t="str">
        <f aca="false">IFERROR(INDEX('Output Utente'!$N$2:$N$492,MATCH(73,'Output Utente'!$R$2:$R$492,0)),"")</f>
        <v/>
      </c>
      <c r="G76" s="26" t="str">
        <f aca="false">IFERROR(INDEX('Output Utente'!$O$2:$O$492,MATCH(73,'Output Utente'!$R$2:$R$492,0)),"")</f>
        <v/>
      </c>
      <c r="H76" s="26" t="str">
        <f aca="false">IFERROR(INDEX('Output Utente'!$P$2:$P$492,MATCH(73,'Output Utente'!$R$2:$R$492,0)),"")</f>
        <v/>
      </c>
      <c r="I76" s="27" t="str">
        <f aca="false">IFERROR(INDEX('Output Utente'!$F$2:$F$492,MATCH(73,'Output Utente'!$R$2:$R$492,0)),"")</f>
        <v/>
      </c>
      <c r="J76" s="27" t="str">
        <f aca="false">IFERROR(INDEX('Output Utente'!$G$2:$G$492,MATCH(73,'Output Utente'!$R$2:$R$492,0)),"")</f>
        <v/>
      </c>
      <c r="K76" s="27" t="str">
        <f aca="false">IFERROR(INDEX('Output Utente'!$H$2:$H$492,MATCH(73,'Output Utente'!$R$2:$R$492,0)),"")</f>
        <v/>
      </c>
      <c r="L76" s="26" t="str">
        <f aca="false">IFERROR(INDEX('Output Utente'!$E$2:$E$492,MATCH(73,'Output Utente'!$R$2:$R$492,0)),"")</f>
        <v/>
      </c>
    </row>
    <row r="77" customFormat="false" ht="15" hidden="false" customHeight="true" outlineLevel="0" collapsed="false">
      <c r="A77" s="29" t="n">
        <v>74</v>
      </c>
      <c r="B77" s="26" t="str">
        <f aca="false">IFERROR(INDEX('Output Utente'!$A$2:$A$492,MATCH(74,'Output Utente'!$R$2:$R$492,0)),"")</f>
        <v/>
      </c>
      <c r="C77" s="26" t="str">
        <f aca="false">IFERROR(INDEX('Output Utente'!$B$2:$B$492,MATCH(74,'Output Utente'!$R$2:$R$492,0)),"")</f>
        <v/>
      </c>
      <c r="D77" s="26" t="str">
        <f aca="false">IFERROR(INDEX('Output Utente'!$C$2:$C$492,MATCH(74,'Output Utente'!$R$2:$R$492,0)),"")</f>
        <v/>
      </c>
      <c r="E77" s="26" t="str">
        <f aca="false">IFERROR(INDEX('Input Giocatori 2026_27'!$D$3:$D$493,MATCH($B77,'Input Giocatori 2026_27'!$A$3:$A$493,0)),"")</f>
        <v/>
      </c>
      <c r="F77" s="27" t="str">
        <f aca="false">IFERROR(INDEX('Output Utente'!$N$2:$N$492,MATCH(74,'Output Utente'!$R$2:$R$492,0)),"")</f>
        <v/>
      </c>
      <c r="G77" s="26" t="str">
        <f aca="false">IFERROR(INDEX('Output Utente'!$O$2:$O$492,MATCH(74,'Output Utente'!$R$2:$R$492,0)),"")</f>
        <v/>
      </c>
      <c r="H77" s="26" t="str">
        <f aca="false">IFERROR(INDEX('Output Utente'!$P$2:$P$492,MATCH(74,'Output Utente'!$R$2:$R$492,0)),"")</f>
        <v/>
      </c>
      <c r="I77" s="27" t="str">
        <f aca="false">IFERROR(INDEX('Output Utente'!$F$2:$F$492,MATCH(74,'Output Utente'!$R$2:$R$492,0)),"")</f>
        <v/>
      </c>
      <c r="J77" s="27" t="str">
        <f aca="false">IFERROR(INDEX('Output Utente'!$G$2:$G$492,MATCH(74,'Output Utente'!$R$2:$R$492,0)),"")</f>
        <v/>
      </c>
      <c r="K77" s="27" t="str">
        <f aca="false">IFERROR(INDEX('Output Utente'!$H$2:$H$492,MATCH(74,'Output Utente'!$R$2:$R$492,0)),"")</f>
        <v/>
      </c>
      <c r="L77" s="26" t="str">
        <f aca="false">IFERROR(INDEX('Output Utente'!$E$2:$E$492,MATCH(74,'Output Utente'!$R$2:$R$492,0)),"")</f>
        <v/>
      </c>
    </row>
    <row r="78" customFormat="false" ht="15" hidden="false" customHeight="true" outlineLevel="0" collapsed="false">
      <c r="A78" s="29" t="n">
        <v>75</v>
      </c>
      <c r="B78" s="26" t="str">
        <f aca="false">IFERROR(INDEX('Output Utente'!$A$2:$A$492,MATCH(75,'Output Utente'!$R$2:$R$492,0)),"")</f>
        <v/>
      </c>
      <c r="C78" s="26" t="str">
        <f aca="false">IFERROR(INDEX('Output Utente'!$B$2:$B$492,MATCH(75,'Output Utente'!$R$2:$R$492,0)),"")</f>
        <v/>
      </c>
      <c r="D78" s="26" t="str">
        <f aca="false">IFERROR(INDEX('Output Utente'!$C$2:$C$492,MATCH(75,'Output Utente'!$R$2:$R$492,0)),"")</f>
        <v/>
      </c>
      <c r="E78" s="26" t="str">
        <f aca="false">IFERROR(INDEX('Input Giocatori 2026_27'!$D$3:$D$493,MATCH($B78,'Input Giocatori 2026_27'!$A$3:$A$493,0)),"")</f>
        <v/>
      </c>
      <c r="F78" s="27" t="str">
        <f aca="false">IFERROR(INDEX('Output Utente'!$N$2:$N$492,MATCH(75,'Output Utente'!$R$2:$R$492,0)),"")</f>
        <v/>
      </c>
      <c r="G78" s="26" t="str">
        <f aca="false">IFERROR(INDEX('Output Utente'!$O$2:$O$492,MATCH(75,'Output Utente'!$R$2:$R$492,0)),"")</f>
        <v/>
      </c>
      <c r="H78" s="26" t="str">
        <f aca="false">IFERROR(INDEX('Output Utente'!$P$2:$P$492,MATCH(75,'Output Utente'!$R$2:$R$492,0)),"")</f>
        <v/>
      </c>
      <c r="I78" s="27" t="str">
        <f aca="false">IFERROR(INDEX('Output Utente'!$F$2:$F$492,MATCH(75,'Output Utente'!$R$2:$R$492,0)),"")</f>
        <v/>
      </c>
      <c r="J78" s="27" t="str">
        <f aca="false">IFERROR(INDEX('Output Utente'!$G$2:$G$492,MATCH(75,'Output Utente'!$R$2:$R$492,0)),"")</f>
        <v/>
      </c>
      <c r="K78" s="27" t="str">
        <f aca="false">IFERROR(INDEX('Output Utente'!$H$2:$H$492,MATCH(75,'Output Utente'!$R$2:$R$492,0)),"")</f>
        <v/>
      </c>
      <c r="L78" s="26" t="str">
        <f aca="false">IFERROR(INDEX('Output Utente'!$E$2:$E$492,MATCH(75,'Output Utente'!$R$2:$R$492,0)),"")</f>
        <v/>
      </c>
    </row>
    <row r="79" customFormat="false" ht="15" hidden="false" customHeight="true" outlineLevel="0" collapsed="false">
      <c r="A79" s="29" t="n">
        <v>76</v>
      </c>
      <c r="B79" s="26" t="str">
        <f aca="false">IFERROR(INDEX('Output Utente'!$A$2:$A$492,MATCH(76,'Output Utente'!$R$2:$R$492,0)),"")</f>
        <v/>
      </c>
      <c r="C79" s="26" t="str">
        <f aca="false">IFERROR(INDEX('Output Utente'!$B$2:$B$492,MATCH(76,'Output Utente'!$R$2:$R$492,0)),"")</f>
        <v/>
      </c>
      <c r="D79" s="26" t="str">
        <f aca="false">IFERROR(INDEX('Output Utente'!$C$2:$C$492,MATCH(76,'Output Utente'!$R$2:$R$492,0)),"")</f>
        <v/>
      </c>
      <c r="E79" s="26" t="str">
        <f aca="false">IFERROR(INDEX('Input Giocatori 2026_27'!$D$3:$D$493,MATCH($B79,'Input Giocatori 2026_27'!$A$3:$A$493,0)),"")</f>
        <v/>
      </c>
      <c r="F79" s="27" t="str">
        <f aca="false">IFERROR(INDEX('Output Utente'!$N$2:$N$492,MATCH(76,'Output Utente'!$R$2:$R$492,0)),"")</f>
        <v/>
      </c>
      <c r="G79" s="26" t="str">
        <f aca="false">IFERROR(INDEX('Output Utente'!$O$2:$O$492,MATCH(76,'Output Utente'!$R$2:$R$492,0)),"")</f>
        <v/>
      </c>
      <c r="H79" s="26" t="str">
        <f aca="false">IFERROR(INDEX('Output Utente'!$P$2:$P$492,MATCH(76,'Output Utente'!$R$2:$R$492,0)),"")</f>
        <v/>
      </c>
      <c r="I79" s="27" t="str">
        <f aca="false">IFERROR(INDEX('Output Utente'!$F$2:$F$492,MATCH(76,'Output Utente'!$R$2:$R$492,0)),"")</f>
        <v/>
      </c>
      <c r="J79" s="27" t="str">
        <f aca="false">IFERROR(INDEX('Output Utente'!$G$2:$G$492,MATCH(76,'Output Utente'!$R$2:$R$492,0)),"")</f>
        <v/>
      </c>
      <c r="K79" s="27" t="str">
        <f aca="false">IFERROR(INDEX('Output Utente'!$H$2:$H$492,MATCH(76,'Output Utente'!$R$2:$R$492,0)),"")</f>
        <v/>
      </c>
      <c r="L79" s="26" t="str">
        <f aca="false">IFERROR(INDEX('Output Utente'!$E$2:$E$492,MATCH(76,'Output Utente'!$R$2:$R$492,0)),"")</f>
        <v/>
      </c>
    </row>
    <row r="80" customFormat="false" ht="15" hidden="false" customHeight="true" outlineLevel="0" collapsed="false">
      <c r="A80" s="29" t="n">
        <v>77</v>
      </c>
      <c r="B80" s="26" t="str">
        <f aca="false">IFERROR(INDEX('Output Utente'!$A$2:$A$492,MATCH(77,'Output Utente'!$R$2:$R$492,0)),"")</f>
        <v/>
      </c>
      <c r="C80" s="26" t="str">
        <f aca="false">IFERROR(INDEX('Output Utente'!$B$2:$B$492,MATCH(77,'Output Utente'!$R$2:$R$492,0)),"")</f>
        <v/>
      </c>
      <c r="D80" s="26" t="str">
        <f aca="false">IFERROR(INDEX('Output Utente'!$C$2:$C$492,MATCH(77,'Output Utente'!$R$2:$R$492,0)),"")</f>
        <v/>
      </c>
      <c r="E80" s="26" t="str">
        <f aca="false">IFERROR(INDEX('Input Giocatori 2026_27'!$D$3:$D$493,MATCH($B80,'Input Giocatori 2026_27'!$A$3:$A$493,0)),"")</f>
        <v/>
      </c>
      <c r="F80" s="27" t="str">
        <f aca="false">IFERROR(INDEX('Output Utente'!$N$2:$N$492,MATCH(77,'Output Utente'!$R$2:$R$492,0)),"")</f>
        <v/>
      </c>
      <c r="G80" s="26" t="str">
        <f aca="false">IFERROR(INDEX('Output Utente'!$O$2:$O$492,MATCH(77,'Output Utente'!$R$2:$R$492,0)),"")</f>
        <v/>
      </c>
      <c r="H80" s="26" t="str">
        <f aca="false">IFERROR(INDEX('Output Utente'!$P$2:$P$492,MATCH(77,'Output Utente'!$R$2:$R$492,0)),"")</f>
        <v/>
      </c>
      <c r="I80" s="27" t="str">
        <f aca="false">IFERROR(INDEX('Output Utente'!$F$2:$F$492,MATCH(77,'Output Utente'!$R$2:$R$492,0)),"")</f>
        <v/>
      </c>
      <c r="J80" s="27" t="str">
        <f aca="false">IFERROR(INDEX('Output Utente'!$G$2:$G$492,MATCH(77,'Output Utente'!$R$2:$R$492,0)),"")</f>
        <v/>
      </c>
      <c r="K80" s="27" t="str">
        <f aca="false">IFERROR(INDEX('Output Utente'!$H$2:$H$492,MATCH(77,'Output Utente'!$R$2:$R$492,0)),"")</f>
        <v/>
      </c>
      <c r="L80" s="26" t="str">
        <f aca="false">IFERROR(INDEX('Output Utente'!$E$2:$E$492,MATCH(77,'Output Utente'!$R$2:$R$492,0)),"")</f>
        <v/>
      </c>
    </row>
    <row r="81" customFormat="false" ht="15" hidden="false" customHeight="true" outlineLevel="0" collapsed="false">
      <c r="A81" s="29" t="n">
        <v>78</v>
      </c>
      <c r="B81" s="26" t="str">
        <f aca="false">IFERROR(INDEX('Output Utente'!$A$2:$A$492,MATCH(78,'Output Utente'!$R$2:$R$492,0)),"")</f>
        <v/>
      </c>
      <c r="C81" s="26" t="str">
        <f aca="false">IFERROR(INDEX('Output Utente'!$B$2:$B$492,MATCH(78,'Output Utente'!$R$2:$R$492,0)),"")</f>
        <v/>
      </c>
      <c r="D81" s="26" t="str">
        <f aca="false">IFERROR(INDEX('Output Utente'!$C$2:$C$492,MATCH(78,'Output Utente'!$R$2:$R$492,0)),"")</f>
        <v/>
      </c>
      <c r="E81" s="26" t="str">
        <f aca="false">IFERROR(INDEX('Input Giocatori 2026_27'!$D$3:$D$493,MATCH($B81,'Input Giocatori 2026_27'!$A$3:$A$493,0)),"")</f>
        <v/>
      </c>
      <c r="F81" s="27" t="str">
        <f aca="false">IFERROR(INDEX('Output Utente'!$N$2:$N$492,MATCH(78,'Output Utente'!$R$2:$R$492,0)),"")</f>
        <v/>
      </c>
      <c r="G81" s="26" t="str">
        <f aca="false">IFERROR(INDEX('Output Utente'!$O$2:$O$492,MATCH(78,'Output Utente'!$R$2:$R$492,0)),"")</f>
        <v/>
      </c>
      <c r="H81" s="26" t="str">
        <f aca="false">IFERROR(INDEX('Output Utente'!$P$2:$P$492,MATCH(78,'Output Utente'!$R$2:$R$492,0)),"")</f>
        <v/>
      </c>
      <c r="I81" s="27" t="str">
        <f aca="false">IFERROR(INDEX('Output Utente'!$F$2:$F$492,MATCH(78,'Output Utente'!$R$2:$R$492,0)),"")</f>
        <v/>
      </c>
      <c r="J81" s="27" t="str">
        <f aca="false">IFERROR(INDEX('Output Utente'!$G$2:$G$492,MATCH(78,'Output Utente'!$R$2:$R$492,0)),"")</f>
        <v/>
      </c>
      <c r="K81" s="27" t="str">
        <f aca="false">IFERROR(INDEX('Output Utente'!$H$2:$H$492,MATCH(78,'Output Utente'!$R$2:$R$492,0)),"")</f>
        <v/>
      </c>
      <c r="L81" s="26" t="str">
        <f aca="false">IFERROR(INDEX('Output Utente'!$E$2:$E$492,MATCH(78,'Output Utente'!$R$2:$R$492,0)),"")</f>
        <v/>
      </c>
    </row>
    <row r="82" customFormat="false" ht="15" hidden="false" customHeight="true" outlineLevel="0" collapsed="false">
      <c r="A82" s="29" t="n">
        <v>79</v>
      </c>
      <c r="B82" s="26" t="str">
        <f aca="false">IFERROR(INDEX('Output Utente'!$A$2:$A$492,MATCH(79,'Output Utente'!$R$2:$R$492,0)),"")</f>
        <v/>
      </c>
      <c r="C82" s="26" t="str">
        <f aca="false">IFERROR(INDEX('Output Utente'!$B$2:$B$492,MATCH(79,'Output Utente'!$R$2:$R$492,0)),"")</f>
        <v/>
      </c>
      <c r="D82" s="26" t="str">
        <f aca="false">IFERROR(INDEX('Output Utente'!$C$2:$C$492,MATCH(79,'Output Utente'!$R$2:$R$492,0)),"")</f>
        <v/>
      </c>
      <c r="E82" s="26" t="str">
        <f aca="false">IFERROR(INDEX('Input Giocatori 2026_27'!$D$3:$D$493,MATCH($B82,'Input Giocatori 2026_27'!$A$3:$A$493,0)),"")</f>
        <v/>
      </c>
      <c r="F82" s="27" t="str">
        <f aca="false">IFERROR(INDEX('Output Utente'!$N$2:$N$492,MATCH(79,'Output Utente'!$R$2:$R$492,0)),"")</f>
        <v/>
      </c>
      <c r="G82" s="26" t="str">
        <f aca="false">IFERROR(INDEX('Output Utente'!$O$2:$O$492,MATCH(79,'Output Utente'!$R$2:$R$492,0)),"")</f>
        <v/>
      </c>
      <c r="H82" s="26" t="str">
        <f aca="false">IFERROR(INDEX('Output Utente'!$P$2:$P$492,MATCH(79,'Output Utente'!$R$2:$R$492,0)),"")</f>
        <v/>
      </c>
      <c r="I82" s="27" t="str">
        <f aca="false">IFERROR(INDEX('Output Utente'!$F$2:$F$492,MATCH(79,'Output Utente'!$R$2:$R$492,0)),"")</f>
        <v/>
      </c>
      <c r="J82" s="27" t="str">
        <f aca="false">IFERROR(INDEX('Output Utente'!$G$2:$G$492,MATCH(79,'Output Utente'!$R$2:$R$492,0)),"")</f>
        <v/>
      </c>
      <c r="K82" s="27" t="str">
        <f aca="false">IFERROR(INDEX('Output Utente'!$H$2:$H$492,MATCH(79,'Output Utente'!$R$2:$R$492,0)),"")</f>
        <v/>
      </c>
      <c r="L82" s="26" t="str">
        <f aca="false">IFERROR(INDEX('Output Utente'!$E$2:$E$492,MATCH(79,'Output Utente'!$R$2:$R$492,0)),"")</f>
        <v/>
      </c>
    </row>
    <row r="83" customFormat="false" ht="15" hidden="false" customHeight="true" outlineLevel="0" collapsed="false">
      <c r="A83" s="29" t="n">
        <v>80</v>
      </c>
      <c r="B83" s="26" t="str">
        <f aca="false">IFERROR(INDEX('Output Utente'!$A$2:$A$492,MATCH(80,'Output Utente'!$R$2:$R$492,0)),"")</f>
        <v/>
      </c>
      <c r="C83" s="26" t="str">
        <f aca="false">IFERROR(INDEX('Output Utente'!$B$2:$B$492,MATCH(80,'Output Utente'!$R$2:$R$492,0)),"")</f>
        <v/>
      </c>
      <c r="D83" s="26" t="str">
        <f aca="false">IFERROR(INDEX('Output Utente'!$C$2:$C$492,MATCH(80,'Output Utente'!$R$2:$R$492,0)),"")</f>
        <v/>
      </c>
      <c r="E83" s="26" t="str">
        <f aca="false">IFERROR(INDEX('Input Giocatori 2026_27'!$D$3:$D$493,MATCH($B83,'Input Giocatori 2026_27'!$A$3:$A$493,0)),"")</f>
        <v/>
      </c>
      <c r="F83" s="27" t="str">
        <f aca="false">IFERROR(INDEX('Output Utente'!$N$2:$N$492,MATCH(80,'Output Utente'!$R$2:$R$492,0)),"")</f>
        <v/>
      </c>
      <c r="G83" s="26" t="str">
        <f aca="false">IFERROR(INDEX('Output Utente'!$O$2:$O$492,MATCH(80,'Output Utente'!$R$2:$R$492,0)),"")</f>
        <v/>
      </c>
      <c r="H83" s="26" t="str">
        <f aca="false">IFERROR(INDEX('Output Utente'!$P$2:$P$492,MATCH(80,'Output Utente'!$R$2:$R$492,0)),"")</f>
        <v/>
      </c>
      <c r="I83" s="27" t="str">
        <f aca="false">IFERROR(INDEX('Output Utente'!$F$2:$F$492,MATCH(80,'Output Utente'!$R$2:$R$492,0)),"")</f>
        <v/>
      </c>
      <c r="J83" s="27" t="str">
        <f aca="false">IFERROR(INDEX('Output Utente'!$G$2:$G$492,MATCH(80,'Output Utente'!$R$2:$R$492,0)),"")</f>
        <v/>
      </c>
      <c r="K83" s="27" t="str">
        <f aca="false">IFERROR(INDEX('Output Utente'!$H$2:$H$492,MATCH(80,'Output Utente'!$R$2:$R$492,0)),"")</f>
        <v/>
      </c>
      <c r="L83" s="26" t="str">
        <f aca="false">IFERROR(INDEX('Output Utente'!$E$2:$E$492,MATCH(80,'Output Utente'!$R$2:$R$492,0)),"")</f>
        <v/>
      </c>
    </row>
    <row r="84" customFormat="false" ht="15" hidden="false" customHeight="true" outlineLevel="0" collapsed="false">
      <c r="A84" s="29" t="n">
        <v>81</v>
      </c>
      <c r="B84" s="26" t="str">
        <f aca="false">IFERROR(INDEX('Output Utente'!$A$2:$A$492,MATCH(81,'Output Utente'!$R$2:$R$492,0)),"")</f>
        <v/>
      </c>
      <c r="C84" s="26" t="str">
        <f aca="false">IFERROR(INDEX('Output Utente'!$B$2:$B$492,MATCH(81,'Output Utente'!$R$2:$R$492,0)),"")</f>
        <v/>
      </c>
      <c r="D84" s="26" t="str">
        <f aca="false">IFERROR(INDEX('Output Utente'!$C$2:$C$492,MATCH(81,'Output Utente'!$R$2:$R$492,0)),"")</f>
        <v/>
      </c>
      <c r="E84" s="26" t="str">
        <f aca="false">IFERROR(INDEX('Input Giocatori 2026_27'!$D$3:$D$493,MATCH($B84,'Input Giocatori 2026_27'!$A$3:$A$493,0)),"")</f>
        <v/>
      </c>
      <c r="F84" s="27" t="str">
        <f aca="false">IFERROR(INDEX('Output Utente'!$N$2:$N$492,MATCH(81,'Output Utente'!$R$2:$R$492,0)),"")</f>
        <v/>
      </c>
      <c r="G84" s="26" t="str">
        <f aca="false">IFERROR(INDEX('Output Utente'!$O$2:$O$492,MATCH(81,'Output Utente'!$R$2:$R$492,0)),"")</f>
        <v/>
      </c>
      <c r="H84" s="26" t="str">
        <f aca="false">IFERROR(INDEX('Output Utente'!$P$2:$P$492,MATCH(81,'Output Utente'!$R$2:$R$492,0)),"")</f>
        <v/>
      </c>
      <c r="I84" s="27" t="str">
        <f aca="false">IFERROR(INDEX('Output Utente'!$F$2:$F$492,MATCH(81,'Output Utente'!$R$2:$R$492,0)),"")</f>
        <v/>
      </c>
      <c r="J84" s="27" t="str">
        <f aca="false">IFERROR(INDEX('Output Utente'!$G$2:$G$492,MATCH(81,'Output Utente'!$R$2:$R$492,0)),"")</f>
        <v/>
      </c>
      <c r="K84" s="27" t="str">
        <f aca="false">IFERROR(INDEX('Output Utente'!$H$2:$H$492,MATCH(81,'Output Utente'!$R$2:$R$492,0)),"")</f>
        <v/>
      </c>
      <c r="L84" s="26" t="str">
        <f aca="false">IFERROR(INDEX('Output Utente'!$E$2:$E$492,MATCH(81,'Output Utente'!$R$2:$R$492,0)),"")</f>
        <v/>
      </c>
    </row>
    <row r="85" customFormat="false" ht="15" hidden="false" customHeight="true" outlineLevel="0" collapsed="false">
      <c r="A85" s="29" t="n">
        <v>82</v>
      </c>
      <c r="B85" s="26" t="str">
        <f aca="false">IFERROR(INDEX('Output Utente'!$A$2:$A$492,MATCH(82,'Output Utente'!$R$2:$R$492,0)),"")</f>
        <v/>
      </c>
      <c r="C85" s="26" t="str">
        <f aca="false">IFERROR(INDEX('Output Utente'!$B$2:$B$492,MATCH(82,'Output Utente'!$R$2:$R$492,0)),"")</f>
        <v/>
      </c>
      <c r="D85" s="26" t="str">
        <f aca="false">IFERROR(INDEX('Output Utente'!$C$2:$C$492,MATCH(82,'Output Utente'!$R$2:$R$492,0)),"")</f>
        <v/>
      </c>
      <c r="E85" s="26" t="str">
        <f aca="false">IFERROR(INDEX('Input Giocatori 2026_27'!$D$3:$D$493,MATCH($B85,'Input Giocatori 2026_27'!$A$3:$A$493,0)),"")</f>
        <v/>
      </c>
      <c r="F85" s="27" t="str">
        <f aca="false">IFERROR(INDEX('Output Utente'!$N$2:$N$492,MATCH(82,'Output Utente'!$R$2:$R$492,0)),"")</f>
        <v/>
      </c>
      <c r="G85" s="26" t="str">
        <f aca="false">IFERROR(INDEX('Output Utente'!$O$2:$O$492,MATCH(82,'Output Utente'!$R$2:$R$492,0)),"")</f>
        <v/>
      </c>
      <c r="H85" s="26" t="str">
        <f aca="false">IFERROR(INDEX('Output Utente'!$P$2:$P$492,MATCH(82,'Output Utente'!$R$2:$R$492,0)),"")</f>
        <v/>
      </c>
      <c r="I85" s="27" t="str">
        <f aca="false">IFERROR(INDEX('Output Utente'!$F$2:$F$492,MATCH(82,'Output Utente'!$R$2:$R$492,0)),"")</f>
        <v/>
      </c>
      <c r="J85" s="27" t="str">
        <f aca="false">IFERROR(INDEX('Output Utente'!$G$2:$G$492,MATCH(82,'Output Utente'!$R$2:$R$492,0)),"")</f>
        <v/>
      </c>
      <c r="K85" s="27" t="str">
        <f aca="false">IFERROR(INDEX('Output Utente'!$H$2:$H$492,MATCH(82,'Output Utente'!$R$2:$R$492,0)),"")</f>
        <v/>
      </c>
      <c r="L85" s="26" t="str">
        <f aca="false">IFERROR(INDEX('Output Utente'!$E$2:$E$492,MATCH(82,'Output Utente'!$R$2:$R$492,0)),"")</f>
        <v/>
      </c>
    </row>
    <row r="86" customFormat="false" ht="15" hidden="false" customHeight="true" outlineLevel="0" collapsed="false">
      <c r="A86" s="29" t="n">
        <v>83</v>
      </c>
      <c r="B86" s="26" t="str">
        <f aca="false">IFERROR(INDEX('Output Utente'!$A$2:$A$492,MATCH(83,'Output Utente'!$R$2:$R$492,0)),"")</f>
        <v/>
      </c>
      <c r="C86" s="26" t="str">
        <f aca="false">IFERROR(INDEX('Output Utente'!$B$2:$B$492,MATCH(83,'Output Utente'!$R$2:$R$492,0)),"")</f>
        <v/>
      </c>
      <c r="D86" s="26" t="str">
        <f aca="false">IFERROR(INDEX('Output Utente'!$C$2:$C$492,MATCH(83,'Output Utente'!$R$2:$R$492,0)),"")</f>
        <v/>
      </c>
      <c r="E86" s="26" t="str">
        <f aca="false">IFERROR(INDEX('Input Giocatori 2026_27'!$D$3:$D$493,MATCH($B86,'Input Giocatori 2026_27'!$A$3:$A$493,0)),"")</f>
        <v/>
      </c>
      <c r="F86" s="27" t="str">
        <f aca="false">IFERROR(INDEX('Output Utente'!$N$2:$N$492,MATCH(83,'Output Utente'!$R$2:$R$492,0)),"")</f>
        <v/>
      </c>
      <c r="G86" s="26" t="str">
        <f aca="false">IFERROR(INDEX('Output Utente'!$O$2:$O$492,MATCH(83,'Output Utente'!$R$2:$R$492,0)),"")</f>
        <v/>
      </c>
      <c r="H86" s="26" t="str">
        <f aca="false">IFERROR(INDEX('Output Utente'!$P$2:$P$492,MATCH(83,'Output Utente'!$R$2:$R$492,0)),"")</f>
        <v/>
      </c>
      <c r="I86" s="27" t="str">
        <f aca="false">IFERROR(INDEX('Output Utente'!$F$2:$F$492,MATCH(83,'Output Utente'!$R$2:$R$492,0)),"")</f>
        <v/>
      </c>
      <c r="J86" s="27" t="str">
        <f aca="false">IFERROR(INDEX('Output Utente'!$G$2:$G$492,MATCH(83,'Output Utente'!$R$2:$R$492,0)),"")</f>
        <v/>
      </c>
      <c r="K86" s="27" t="str">
        <f aca="false">IFERROR(INDEX('Output Utente'!$H$2:$H$492,MATCH(83,'Output Utente'!$R$2:$R$492,0)),"")</f>
        <v/>
      </c>
      <c r="L86" s="26" t="str">
        <f aca="false">IFERROR(INDEX('Output Utente'!$E$2:$E$492,MATCH(83,'Output Utente'!$R$2:$R$492,0)),"")</f>
        <v/>
      </c>
    </row>
    <row r="87" customFormat="false" ht="15" hidden="false" customHeight="true" outlineLevel="0" collapsed="false">
      <c r="A87" s="29" t="n">
        <v>84</v>
      </c>
      <c r="B87" s="26" t="str">
        <f aca="false">IFERROR(INDEX('Output Utente'!$A$2:$A$492,MATCH(84,'Output Utente'!$R$2:$R$492,0)),"")</f>
        <v/>
      </c>
      <c r="C87" s="26" t="str">
        <f aca="false">IFERROR(INDEX('Output Utente'!$B$2:$B$492,MATCH(84,'Output Utente'!$R$2:$R$492,0)),"")</f>
        <v/>
      </c>
      <c r="D87" s="26" t="str">
        <f aca="false">IFERROR(INDEX('Output Utente'!$C$2:$C$492,MATCH(84,'Output Utente'!$R$2:$R$492,0)),"")</f>
        <v/>
      </c>
      <c r="E87" s="26" t="str">
        <f aca="false">IFERROR(INDEX('Input Giocatori 2026_27'!$D$3:$D$493,MATCH($B87,'Input Giocatori 2026_27'!$A$3:$A$493,0)),"")</f>
        <v/>
      </c>
      <c r="F87" s="27" t="str">
        <f aca="false">IFERROR(INDEX('Output Utente'!$N$2:$N$492,MATCH(84,'Output Utente'!$R$2:$R$492,0)),"")</f>
        <v/>
      </c>
      <c r="G87" s="26" t="str">
        <f aca="false">IFERROR(INDEX('Output Utente'!$O$2:$O$492,MATCH(84,'Output Utente'!$R$2:$R$492,0)),"")</f>
        <v/>
      </c>
      <c r="H87" s="26" t="str">
        <f aca="false">IFERROR(INDEX('Output Utente'!$P$2:$P$492,MATCH(84,'Output Utente'!$R$2:$R$492,0)),"")</f>
        <v/>
      </c>
      <c r="I87" s="27" t="str">
        <f aca="false">IFERROR(INDEX('Output Utente'!$F$2:$F$492,MATCH(84,'Output Utente'!$R$2:$R$492,0)),"")</f>
        <v/>
      </c>
      <c r="J87" s="27" t="str">
        <f aca="false">IFERROR(INDEX('Output Utente'!$G$2:$G$492,MATCH(84,'Output Utente'!$R$2:$R$492,0)),"")</f>
        <v/>
      </c>
      <c r="K87" s="27" t="str">
        <f aca="false">IFERROR(INDEX('Output Utente'!$H$2:$H$492,MATCH(84,'Output Utente'!$R$2:$R$492,0)),"")</f>
        <v/>
      </c>
      <c r="L87" s="26" t="str">
        <f aca="false">IFERROR(INDEX('Output Utente'!$E$2:$E$492,MATCH(84,'Output Utente'!$R$2:$R$492,0)),"")</f>
        <v/>
      </c>
    </row>
    <row r="88" customFormat="false" ht="15" hidden="false" customHeight="true" outlineLevel="0" collapsed="false">
      <c r="A88" s="29" t="n">
        <v>85</v>
      </c>
      <c r="B88" s="26" t="str">
        <f aca="false">IFERROR(INDEX('Output Utente'!$A$2:$A$492,MATCH(85,'Output Utente'!$R$2:$R$492,0)),"")</f>
        <v/>
      </c>
      <c r="C88" s="26" t="str">
        <f aca="false">IFERROR(INDEX('Output Utente'!$B$2:$B$492,MATCH(85,'Output Utente'!$R$2:$R$492,0)),"")</f>
        <v/>
      </c>
      <c r="D88" s="26" t="str">
        <f aca="false">IFERROR(INDEX('Output Utente'!$C$2:$C$492,MATCH(85,'Output Utente'!$R$2:$R$492,0)),"")</f>
        <v/>
      </c>
      <c r="E88" s="26" t="str">
        <f aca="false">IFERROR(INDEX('Input Giocatori 2026_27'!$D$3:$D$493,MATCH($B88,'Input Giocatori 2026_27'!$A$3:$A$493,0)),"")</f>
        <v/>
      </c>
      <c r="F88" s="27" t="str">
        <f aca="false">IFERROR(INDEX('Output Utente'!$N$2:$N$492,MATCH(85,'Output Utente'!$R$2:$R$492,0)),"")</f>
        <v/>
      </c>
      <c r="G88" s="26" t="str">
        <f aca="false">IFERROR(INDEX('Output Utente'!$O$2:$O$492,MATCH(85,'Output Utente'!$R$2:$R$492,0)),"")</f>
        <v/>
      </c>
      <c r="H88" s="26" t="str">
        <f aca="false">IFERROR(INDEX('Output Utente'!$P$2:$P$492,MATCH(85,'Output Utente'!$R$2:$R$492,0)),"")</f>
        <v/>
      </c>
      <c r="I88" s="27" t="str">
        <f aca="false">IFERROR(INDEX('Output Utente'!$F$2:$F$492,MATCH(85,'Output Utente'!$R$2:$R$492,0)),"")</f>
        <v/>
      </c>
      <c r="J88" s="27" t="str">
        <f aca="false">IFERROR(INDEX('Output Utente'!$G$2:$G$492,MATCH(85,'Output Utente'!$R$2:$R$492,0)),"")</f>
        <v/>
      </c>
      <c r="K88" s="27" t="str">
        <f aca="false">IFERROR(INDEX('Output Utente'!$H$2:$H$492,MATCH(85,'Output Utente'!$R$2:$R$492,0)),"")</f>
        <v/>
      </c>
      <c r="L88" s="26" t="str">
        <f aca="false">IFERROR(INDEX('Output Utente'!$E$2:$E$492,MATCH(85,'Output Utente'!$R$2:$R$492,0)),"")</f>
        <v/>
      </c>
    </row>
    <row r="89" customFormat="false" ht="15" hidden="false" customHeight="true" outlineLevel="0" collapsed="false">
      <c r="A89" s="29" t="n">
        <v>86</v>
      </c>
      <c r="B89" s="26" t="str">
        <f aca="false">IFERROR(INDEX('Output Utente'!$A$2:$A$492,MATCH(86,'Output Utente'!$R$2:$R$492,0)),"")</f>
        <v/>
      </c>
      <c r="C89" s="26" t="str">
        <f aca="false">IFERROR(INDEX('Output Utente'!$B$2:$B$492,MATCH(86,'Output Utente'!$R$2:$R$492,0)),"")</f>
        <v/>
      </c>
      <c r="D89" s="26" t="str">
        <f aca="false">IFERROR(INDEX('Output Utente'!$C$2:$C$492,MATCH(86,'Output Utente'!$R$2:$R$492,0)),"")</f>
        <v/>
      </c>
      <c r="E89" s="26" t="str">
        <f aca="false">IFERROR(INDEX('Input Giocatori 2026_27'!$D$3:$D$493,MATCH($B89,'Input Giocatori 2026_27'!$A$3:$A$493,0)),"")</f>
        <v/>
      </c>
      <c r="F89" s="27" t="str">
        <f aca="false">IFERROR(INDEX('Output Utente'!$N$2:$N$492,MATCH(86,'Output Utente'!$R$2:$R$492,0)),"")</f>
        <v/>
      </c>
      <c r="G89" s="26" t="str">
        <f aca="false">IFERROR(INDEX('Output Utente'!$O$2:$O$492,MATCH(86,'Output Utente'!$R$2:$R$492,0)),"")</f>
        <v/>
      </c>
      <c r="H89" s="26" t="str">
        <f aca="false">IFERROR(INDEX('Output Utente'!$P$2:$P$492,MATCH(86,'Output Utente'!$R$2:$R$492,0)),"")</f>
        <v/>
      </c>
      <c r="I89" s="27" t="str">
        <f aca="false">IFERROR(INDEX('Output Utente'!$F$2:$F$492,MATCH(86,'Output Utente'!$R$2:$R$492,0)),"")</f>
        <v/>
      </c>
      <c r="J89" s="27" t="str">
        <f aca="false">IFERROR(INDEX('Output Utente'!$G$2:$G$492,MATCH(86,'Output Utente'!$R$2:$R$492,0)),"")</f>
        <v/>
      </c>
      <c r="K89" s="27" t="str">
        <f aca="false">IFERROR(INDEX('Output Utente'!$H$2:$H$492,MATCH(86,'Output Utente'!$R$2:$R$492,0)),"")</f>
        <v/>
      </c>
      <c r="L89" s="26" t="str">
        <f aca="false">IFERROR(INDEX('Output Utente'!$E$2:$E$492,MATCH(86,'Output Utente'!$R$2:$R$492,0)),"")</f>
        <v/>
      </c>
    </row>
    <row r="90" customFormat="false" ht="15" hidden="false" customHeight="true" outlineLevel="0" collapsed="false">
      <c r="A90" s="29" t="n">
        <v>87</v>
      </c>
      <c r="B90" s="26" t="str">
        <f aca="false">IFERROR(INDEX('Output Utente'!$A$2:$A$492,MATCH(87,'Output Utente'!$R$2:$R$492,0)),"")</f>
        <v/>
      </c>
      <c r="C90" s="26" t="str">
        <f aca="false">IFERROR(INDEX('Output Utente'!$B$2:$B$492,MATCH(87,'Output Utente'!$R$2:$R$492,0)),"")</f>
        <v/>
      </c>
      <c r="D90" s="26" t="str">
        <f aca="false">IFERROR(INDEX('Output Utente'!$C$2:$C$492,MATCH(87,'Output Utente'!$R$2:$R$492,0)),"")</f>
        <v/>
      </c>
      <c r="E90" s="26" t="str">
        <f aca="false">IFERROR(INDEX('Input Giocatori 2026_27'!$D$3:$D$493,MATCH($B90,'Input Giocatori 2026_27'!$A$3:$A$493,0)),"")</f>
        <v/>
      </c>
      <c r="F90" s="27" t="str">
        <f aca="false">IFERROR(INDEX('Output Utente'!$N$2:$N$492,MATCH(87,'Output Utente'!$R$2:$R$492,0)),"")</f>
        <v/>
      </c>
      <c r="G90" s="26" t="str">
        <f aca="false">IFERROR(INDEX('Output Utente'!$O$2:$O$492,MATCH(87,'Output Utente'!$R$2:$R$492,0)),"")</f>
        <v/>
      </c>
      <c r="H90" s="26" t="str">
        <f aca="false">IFERROR(INDEX('Output Utente'!$P$2:$P$492,MATCH(87,'Output Utente'!$R$2:$R$492,0)),"")</f>
        <v/>
      </c>
      <c r="I90" s="27" t="str">
        <f aca="false">IFERROR(INDEX('Output Utente'!$F$2:$F$492,MATCH(87,'Output Utente'!$R$2:$R$492,0)),"")</f>
        <v/>
      </c>
      <c r="J90" s="27" t="str">
        <f aca="false">IFERROR(INDEX('Output Utente'!$G$2:$G$492,MATCH(87,'Output Utente'!$R$2:$R$492,0)),"")</f>
        <v/>
      </c>
      <c r="K90" s="27" t="str">
        <f aca="false">IFERROR(INDEX('Output Utente'!$H$2:$H$492,MATCH(87,'Output Utente'!$R$2:$R$492,0)),"")</f>
        <v/>
      </c>
      <c r="L90" s="26" t="str">
        <f aca="false">IFERROR(INDEX('Output Utente'!$E$2:$E$492,MATCH(87,'Output Utente'!$R$2:$R$492,0)),"")</f>
        <v/>
      </c>
    </row>
    <row r="91" customFormat="false" ht="15" hidden="false" customHeight="true" outlineLevel="0" collapsed="false">
      <c r="A91" s="29" t="n">
        <v>88</v>
      </c>
      <c r="B91" s="26" t="str">
        <f aca="false">IFERROR(INDEX('Output Utente'!$A$2:$A$492,MATCH(88,'Output Utente'!$R$2:$R$492,0)),"")</f>
        <v/>
      </c>
      <c r="C91" s="26" t="str">
        <f aca="false">IFERROR(INDEX('Output Utente'!$B$2:$B$492,MATCH(88,'Output Utente'!$R$2:$R$492,0)),"")</f>
        <v/>
      </c>
      <c r="D91" s="26" t="str">
        <f aca="false">IFERROR(INDEX('Output Utente'!$C$2:$C$492,MATCH(88,'Output Utente'!$R$2:$R$492,0)),"")</f>
        <v/>
      </c>
      <c r="E91" s="26" t="str">
        <f aca="false">IFERROR(INDEX('Input Giocatori 2026_27'!$D$3:$D$493,MATCH($B91,'Input Giocatori 2026_27'!$A$3:$A$493,0)),"")</f>
        <v/>
      </c>
      <c r="F91" s="27" t="str">
        <f aca="false">IFERROR(INDEX('Output Utente'!$N$2:$N$492,MATCH(88,'Output Utente'!$R$2:$R$492,0)),"")</f>
        <v/>
      </c>
      <c r="G91" s="26" t="str">
        <f aca="false">IFERROR(INDEX('Output Utente'!$O$2:$O$492,MATCH(88,'Output Utente'!$R$2:$R$492,0)),"")</f>
        <v/>
      </c>
      <c r="H91" s="26" t="str">
        <f aca="false">IFERROR(INDEX('Output Utente'!$P$2:$P$492,MATCH(88,'Output Utente'!$R$2:$R$492,0)),"")</f>
        <v/>
      </c>
      <c r="I91" s="27" t="str">
        <f aca="false">IFERROR(INDEX('Output Utente'!$F$2:$F$492,MATCH(88,'Output Utente'!$R$2:$R$492,0)),"")</f>
        <v/>
      </c>
      <c r="J91" s="27" t="str">
        <f aca="false">IFERROR(INDEX('Output Utente'!$G$2:$G$492,MATCH(88,'Output Utente'!$R$2:$R$492,0)),"")</f>
        <v/>
      </c>
      <c r="K91" s="27" t="str">
        <f aca="false">IFERROR(INDEX('Output Utente'!$H$2:$H$492,MATCH(88,'Output Utente'!$R$2:$R$492,0)),"")</f>
        <v/>
      </c>
      <c r="L91" s="26" t="str">
        <f aca="false">IFERROR(INDEX('Output Utente'!$E$2:$E$492,MATCH(88,'Output Utente'!$R$2:$R$492,0)),"")</f>
        <v/>
      </c>
    </row>
    <row r="92" customFormat="false" ht="15" hidden="false" customHeight="true" outlineLevel="0" collapsed="false">
      <c r="A92" s="29" t="n">
        <v>89</v>
      </c>
      <c r="B92" s="26" t="str">
        <f aca="false">IFERROR(INDEX('Output Utente'!$A$2:$A$492,MATCH(89,'Output Utente'!$R$2:$R$492,0)),"")</f>
        <v/>
      </c>
      <c r="C92" s="26" t="str">
        <f aca="false">IFERROR(INDEX('Output Utente'!$B$2:$B$492,MATCH(89,'Output Utente'!$R$2:$R$492,0)),"")</f>
        <v/>
      </c>
      <c r="D92" s="26" t="str">
        <f aca="false">IFERROR(INDEX('Output Utente'!$C$2:$C$492,MATCH(89,'Output Utente'!$R$2:$R$492,0)),"")</f>
        <v/>
      </c>
      <c r="E92" s="26" t="str">
        <f aca="false">IFERROR(INDEX('Input Giocatori 2026_27'!$D$3:$D$493,MATCH($B92,'Input Giocatori 2026_27'!$A$3:$A$493,0)),"")</f>
        <v/>
      </c>
      <c r="F92" s="27" t="str">
        <f aca="false">IFERROR(INDEX('Output Utente'!$N$2:$N$492,MATCH(89,'Output Utente'!$R$2:$R$492,0)),"")</f>
        <v/>
      </c>
      <c r="G92" s="26" t="str">
        <f aca="false">IFERROR(INDEX('Output Utente'!$O$2:$O$492,MATCH(89,'Output Utente'!$R$2:$R$492,0)),"")</f>
        <v/>
      </c>
      <c r="H92" s="26" t="str">
        <f aca="false">IFERROR(INDEX('Output Utente'!$P$2:$P$492,MATCH(89,'Output Utente'!$R$2:$R$492,0)),"")</f>
        <v/>
      </c>
      <c r="I92" s="27" t="str">
        <f aca="false">IFERROR(INDEX('Output Utente'!$F$2:$F$492,MATCH(89,'Output Utente'!$R$2:$R$492,0)),"")</f>
        <v/>
      </c>
      <c r="J92" s="27" t="str">
        <f aca="false">IFERROR(INDEX('Output Utente'!$G$2:$G$492,MATCH(89,'Output Utente'!$R$2:$R$492,0)),"")</f>
        <v/>
      </c>
      <c r="K92" s="27" t="str">
        <f aca="false">IFERROR(INDEX('Output Utente'!$H$2:$H$492,MATCH(89,'Output Utente'!$R$2:$R$492,0)),"")</f>
        <v/>
      </c>
      <c r="L92" s="26" t="str">
        <f aca="false">IFERROR(INDEX('Output Utente'!$E$2:$E$492,MATCH(89,'Output Utente'!$R$2:$R$492,0)),"")</f>
        <v/>
      </c>
    </row>
    <row r="93" customFormat="false" ht="15" hidden="false" customHeight="true" outlineLevel="0" collapsed="false">
      <c r="A93" s="29" t="n">
        <v>90</v>
      </c>
      <c r="B93" s="26" t="str">
        <f aca="false">IFERROR(INDEX('Output Utente'!$A$2:$A$492,MATCH(90,'Output Utente'!$R$2:$R$492,0)),"")</f>
        <v/>
      </c>
      <c r="C93" s="26" t="str">
        <f aca="false">IFERROR(INDEX('Output Utente'!$B$2:$B$492,MATCH(90,'Output Utente'!$R$2:$R$492,0)),"")</f>
        <v/>
      </c>
      <c r="D93" s="26" t="str">
        <f aca="false">IFERROR(INDEX('Output Utente'!$C$2:$C$492,MATCH(90,'Output Utente'!$R$2:$R$492,0)),"")</f>
        <v/>
      </c>
      <c r="E93" s="26" t="str">
        <f aca="false">IFERROR(INDEX('Input Giocatori 2026_27'!$D$3:$D$493,MATCH($B93,'Input Giocatori 2026_27'!$A$3:$A$493,0)),"")</f>
        <v/>
      </c>
      <c r="F93" s="27" t="str">
        <f aca="false">IFERROR(INDEX('Output Utente'!$N$2:$N$492,MATCH(90,'Output Utente'!$R$2:$R$492,0)),"")</f>
        <v/>
      </c>
      <c r="G93" s="26" t="str">
        <f aca="false">IFERROR(INDEX('Output Utente'!$O$2:$O$492,MATCH(90,'Output Utente'!$R$2:$R$492,0)),"")</f>
        <v/>
      </c>
      <c r="H93" s="26" t="str">
        <f aca="false">IFERROR(INDEX('Output Utente'!$P$2:$P$492,MATCH(90,'Output Utente'!$R$2:$R$492,0)),"")</f>
        <v/>
      </c>
      <c r="I93" s="27" t="str">
        <f aca="false">IFERROR(INDEX('Output Utente'!$F$2:$F$492,MATCH(90,'Output Utente'!$R$2:$R$492,0)),"")</f>
        <v/>
      </c>
      <c r="J93" s="27" t="str">
        <f aca="false">IFERROR(INDEX('Output Utente'!$G$2:$G$492,MATCH(90,'Output Utente'!$R$2:$R$492,0)),"")</f>
        <v/>
      </c>
      <c r="K93" s="27" t="str">
        <f aca="false">IFERROR(INDEX('Output Utente'!$H$2:$H$492,MATCH(90,'Output Utente'!$R$2:$R$492,0)),"")</f>
        <v/>
      </c>
      <c r="L93" s="26" t="str">
        <f aca="false">IFERROR(INDEX('Output Utente'!$E$2:$E$492,MATCH(90,'Output Utente'!$R$2:$R$492,0)),"")</f>
        <v/>
      </c>
    </row>
    <row r="94" customFormat="false" ht="15" hidden="false" customHeight="true" outlineLevel="0" collapsed="false">
      <c r="A94" s="29" t="n">
        <v>91</v>
      </c>
      <c r="B94" s="26" t="str">
        <f aca="false">IFERROR(INDEX('Output Utente'!$A$2:$A$492,MATCH(91,'Output Utente'!$R$2:$R$492,0)),"")</f>
        <v/>
      </c>
      <c r="C94" s="26" t="str">
        <f aca="false">IFERROR(INDEX('Output Utente'!$B$2:$B$492,MATCH(91,'Output Utente'!$R$2:$R$492,0)),"")</f>
        <v/>
      </c>
      <c r="D94" s="26" t="str">
        <f aca="false">IFERROR(INDEX('Output Utente'!$C$2:$C$492,MATCH(91,'Output Utente'!$R$2:$R$492,0)),"")</f>
        <v/>
      </c>
      <c r="E94" s="26" t="str">
        <f aca="false">IFERROR(INDEX('Input Giocatori 2026_27'!$D$3:$D$493,MATCH($B94,'Input Giocatori 2026_27'!$A$3:$A$493,0)),"")</f>
        <v/>
      </c>
      <c r="F94" s="27" t="str">
        <f aca="false">IFERROR(INDEX('Output Utente'!$N$2:$N$492,MATCH(91,'Output Utente'!$R$2:$R$492,0)),"")</f>
        <v/>
      </c>
      <c r="G94" s="26" t="str">
        <f aca="false">IFERROR(INDEX('Output Utente'!$O$2:$O$492,MATCH(91,'Output Utente'!$R$2:$R$492,0)),"")</f>
        <v/>
      </c>
      <c r="H94" s="26" t="str">
        <f aca="false">IFERROR(INDEX('Output Utente'!$P$2:$P$492,MATCH(91,'Output Utente'!$R$2:$R$492,0)),"")</f>
        <v/>
      </c>
      <c r="I94" s="27" t="str">
        <f aca="false">IFERROR(INDEX('Output Utente'!$F$2:$F$492,MATCH(91,'Output Utente'!$R$2:$R$492,0)),"")</f>
        <v/>
      </c>
      <c r="J94" s="27" t="str">
        <f aca="false">IFERROR(INDEX('Output Utente'!$G$2:$G$492,MATCH(91,'Output Utente'!$R$2:$R$492,0)),"")</f>
        <v/>
      </c>
      <c r="K94" s="27" t="str">
        <f aca="false">IFERROR(INDEX('Output Utente'!$H$2:$H$492,MATCH(91,'Output Utente'!$R$2:$R$492,0)),"")</f>
        <v/>
      </c>
      <c r="L94" s="26" t="str">
        <f aca="false">IFERROR(INDEX('Output Utente'!$E$2:$E$492,MATCH(91,'Output Utente'!$R$2:$R$492,0)),"")</f>
        <v/>
      </c>
    </row>
    <row r="95" customFormat="false" ht="15" hidden="false" customHeight="true" outlineLevel="0" collapsed="false">
      <c r="A95" s="29" t="n">
        <v>92</v>
      </c>
      <c r="B95" s="26" t="str">
        <f aca="false">IFERROR(INDEX('Output Utente'!$A$2:$A$492,MATCH(92,'Output Utente'!$R$2:$R$492,0)),"")</f>
        <v/>
      </c>
      <c r="C95" s="26" t="str">
        <f aca="false">IFERROR(INDEX('Output Utente'!$B$2:$B$492,MATCH(92,'Output Utente'!$R$2:$R$492,0)),"")</f>
        <v/>
      </c>
      <c r="D95" s="26" t="str">
        <f aca="false">IFERROR(INDEX('Output Utente'!$C$2:$C$492,MATCH(92,'Output Utente'!$R$2:$R$492,0)),"")</f>
        <v/>
      </c>
      <c r="E95" s="26" t="str">
        <f aca="false">IFERROR(INDEX('Input Giocatori 2026_27'!$D$3:$D$493,MATCH($B95,'Input Giocatori 2026_27'!$A$3:$A$493,0)),"")</f>
        <v/>
      </c>
      <c r="F95" s="27" t="str">
        <f aca="false">IFERROR(INDEX('Output Utente'!$N$2:$N$492,MATCH(92,'Output Utente'!$R$2:$R$492,0)),"")</f>
        <v/>
      </c>
      <c r="G95" s="26" t="str">
        <f aca="false">IFERROR(INDEX('Output Utente'!$O$2:$O$492,MATCH(92,'Output Utente'!$R$2:$R$492,0)),"")</f>
        <v/>
      </c>
      <c r="H95" s="26" t="str">
        <f aca="false">IFERROR(INDEX('Output Utente'!$P$2:$P$492,MATCH(92,'Output Utente'!$R$2:$R$492,0)),"")</f>
        <v/>
      </c>
      <c r="I95" s="27" t="str">
        <f aca="false">IFERROR(INDEX('Output Utente'!$F$2:$F$492,MATCH(92,'Output Utente'!$R$2:$R$492,0)),"")</f>
        <v/>
      </c>
      <c r="J95" s="27" t="str">
        <f aca="false">IFERROR(INDEX('Output Utente'!$G$2:$G$492,MATCH(92,'Output Utente'!$R$2:$R$492,0)),"")</f>
        <v/>
      </c>
      <c r="K95" s="27" t="str">
        <f aca="false">IFERROR(INDEX('Output Utente'!$H$2:$H$492,MATCH(92,'Output Utente'!$R$2:$R$492,0)),"")</f>
        <v/>
      </c>
      <c r="L95" s="26" t="str">
        <f aca="false">IFERROR(INDEX('Output Utente'!$E$2:$E$492,MATCH(92,'Output Utente'!$R$2:$R$492,0)),"")</f>
        <v/>
      </c>
    </row>
    <row r="96" customFormat="false" ht="15" hidden="false" customHeight="true" outlineLevel="0" collapsed="false">
      <c r="A96" s="29" t="n">
        <v>93</v>
      </c>
      <c r="B96" s="26" t="str">
        <f aca="false">IFERROR(INDEX('Output Utente'!$A$2:$A$492,MATCH(93,'Output Utente'!$R$2:$R$492,0)),"")</f>
        <v/>
      </c>
      <c r="C96" s="26" t="str">
        <f aca="false">IFERROR(INDEX('Output Utente'!$B$2:$B$492,MATCH(93,'Output Utente'!$R$2:$R$492,0)),"")</f>
        <v/>
      </c>
      <c r="D96" s="26" t="str">
        <f aca="false">IFERROR(INDEX('Output Utente'!$C$2:$C$492,MATCH(93,'Output Utente'!$R$2:$R$492,0)),"")</f>
        <v/>
      </c>
      <c r="E96" s="26" t="str">
        <f aca="false">IFERROR(INDEX('Input Giocatori 2026_27'!$D$3:$D$493,MATCH($B96,'Input Giocatori 2026_27'!$A$3:$A$493,0)),"")</f>
        <v/>
      </c>
      <c r="F96" s="27" t="str">
        <f aca="false">IFERROR(INDEX('Output Utente'!$N$2:$N$492,MATCH(93,'Output Utente'!$R$2:$R$492,0)),"")</f>
        <v/>
      </c>
      <c r="G96" s="26" t="str">
        <f aca="false">IFERROR(INDEX('Output Utente'!$O$2:$O$492,MATCH(93,'Output Utente'!$R$2:$R$492,0)),"")</f>
        <v/>
      </c>
      <c r="H96" s="26" t="str">
        <f aca="false">IFERROR(INDEX('Output Utente'!$P$2:$P$492,MATCH(93,'Output Utente'!$R$2:$R$492,0)),"")</f>
        <v/>
      </c>
      <c r="I96" s="27" t="str">
        <f aca="false">IFERROR(INDEX('Output Utente'!$F$2:$F$492,MATCH(93,'Output Utente'!$R$2:$R$492,0)),"")</f>
        <v/>
      </c>
      <c r="J96" s="27" t="str">
        <f aca="false">IFERROR(INDEX('Output Utente'!$G$2:$G$492,MATCH(93,'Output Utente'!$R$2:$R$492,0)),"")</f>
        <v/>
      </c>
      <c r="K96" s="27" t="str">
        <f aca="false">IFERROR(INDEX('Output Utente'!$H$2:$H$492,MATCH(93,'Output Utente'!$R$2:$R$492,0)),"")</f>
        <v/>
      </c>
      <c r="L96" s="26" t="str">
        <f aca="false">IFERROR(INDEX('Output Utente'!$E$2:$E$492,MATCH(93,'Output Utente'!$R$2:$R$492,0)),"")</f>
        <v/>
      </c>
    </row>
    <row r="97" customFormat="false" ht="15" hidden="false" customHeight="true" outlineLevel="0" collapsed="false">
      <c r="A97" s="29" t="n">
        <v>94</v>
      </c>
      <c r="B97" s="26" t="str">
        <f aca="false">IFERROR(INDEX('Output Utente'!$A$2:$A$492,MATCH(94,'Output Utente'!$R$2:$R$492,0)),"")</f>
        <v/>
      </c>
      <c r="C97" s="26" t="str">
        <f aca="false">IFERROR(INDEX('Output Utente'!$B$2:$B$492,MATCH(94,'Output Utente'!$R$2:$R$492,0)),"")</f>
        <v/>
      </c>
      <c r="D97" s="26" t="str">
        <f aca="false">IFERROR(INDEX('Output Utente'!$C$2:$C$492,MATCH(94,'Output Utente'!$R$2:$R$492,0)),"")</f>
        <v/>
      </c>
      <c r="E97" s="26" t="str">
        <f aca="false">IFERROR(INDEX('Input Giocatori 2026_27'!$D$3:$D$493,MATCH($B97,'Input Giocatori 2026_27'!$A$3:$A$493,0)),"")</f>
        <v/>
      </c>
      <c r="F97" s="27" t="str">
        <f aca="false">IFERROR(INDEX('Output Utente'!$N$2:$N$492,MATCH(94,'Output Utente'!$R$2:$R$492,0)),"")</f>
        <v/>
      </c>
      <c r="G97" s="26" t="str">
        <f aca="false">IFERROR(INDEX('Output Utente'!$O$2:$O$492,MATCH(94,'Output Utente'!$R$2:$R$492,0)),"")</f>
        <v/>
      </c>
      <c r="H97" s="26" t="str">
        <f aca="false">IFERROR(INDEX('Output Utente'!$P$2:$P$492,MATCH(94,'Output Utente'!$R$2:$R$492,0)),"")</f>
        <v/>
      </c>
      <c r="I97" s="27" t="str">
        <f aca="false">IFERROR(INDEX('Output Utente'!$F$2:$F$492,MATCH(94,'Output Utente'!$R$2:$R$492,0)),"")</f>
        <v/>
      </c>
      <c r="J97" s="27" t="str">
        <f aca="false">IFERROR(INDEX('Output Utente'!$G$2:$G$492,MATCH(94,'Output Utente'!$R$2:$R$492,0)),"")</f>
        <v/>
      </c>
      <c r="K97" s="27" t="str">
        <f aca="false">IFERROR(INDEX('Output Utente'!$H$2:$H$492,MATCH(94,'Output Utente'!$R$2:$R$492,0)),"")</f>
        <v/>
      </c>
      <c r="L97" s="26" t="str">
        <f aca="false">IFERROR(INDEX('Output Utente'!$E$2:$E$492,MATCH(94,'Output Utente'!$R$2:$R$492,0)),"")</f>
        <v/>
      </c>
    </row>
    <row r="98" customFormat="false" ht="15" hidden="false" customHeight="true" outlineLevel="0" collapsed="false">
      <c r="A98" s="29" t="n">
        <v>95</v>
      </c>
      <c r="B98" s="26" t="str">
        <f aca="false">IFERROR(INDEX('Output Utente'!$A$2:$A$492,MATCH(95,'Output Utente'!$R$2:$R$492,0)),"")</f>
        <v/>
      </c>
      <c r="C98" s="26" t="str">
        <f aca="false">IFERROR(INDEX('Output Utente'!$B$2:$B$492,MATCH(95,'Output Utente'!$R$2:$R$492,0)),"")</f>
        <v/>
      </c>
      <c r="D98" s="26" t="str">
        <f aca="false">IFERROR(INDEX('Output Utente'!$C$2:$C$492,MATCH(95,'Output Utente'!$R$2:$R$492,0)),"")</f>
        <v/>
      </c>
      <c r="E98" s="26" t="str">
        <f aca="false">IFERROR(INDEX('Input Giocatori 2026_27'!$D$3:$D$493,MATCH($B98,'Input Giocatori 2026_27'!$A$3:$A$493,0)),"")</f>
        <v/>
      </c>
      <c r="F98" s="27" t="str">
        <f aca="false">IFERROR(INDEX('Output Utente'!$N$2:$N$492,MATCH(95,'Output Utente'!$R$2:$R$492,0)),"")</f>
        <v/>
      </c>
      <c r="G98" s="26" t="str">
        <f aca="false">IFERROR(INDEX('Output Utente'!$O$2:$O$492,MATCH(95,'Output Utente'!$R$2:$R$492,0)),"")</f>
        <v/>
      </c>
      <c r="H98" s="26" t="str">
        <f aca="false">IFERROR(INDEX('Output Utente'!$P$2:$P$492,MATCH(95,'Output Utente'!$R$2:$R$492,0)),"")</f>
        <v/>
      </c>
      <c r="I98" s="27" t="str">
        <f aca="false">IFERROR(INDEX('Output Utente'!$F$2:$F$492,MATCH(95,'Output Utente'!$R$2:$R$492,0)),"")</f>
        <v/>
      </c>
      <c r="J98" s="27" t="str">
        <f aca="false">IFERROR(INDEX('Output Utente'!$G$2:$G$492,MATCH(95,'Output Utente'!$R$2:$R$492,0)),"")</f>
        <v/>
      </c>
      <c r="K98" s="27" t="str">
        <f aca="false">IFERROR(INDEX('Output Utente'!$H$2:$H$492,MATCH(95,'Output Utente'!$R$2:$R$492,0)),"")</f>
        <v/>
      </c>
      <c r="L98" s="26" t="str">
        <f aca="false">IFERROR(INDEX('Output Utente'!$E$2:$E$492,MATCH(95,'Output Utente'!$R$2:$R$492,0)),"")</f>
        <v/>
      </c>
    </row>
    <row r="99" customFormat="false" ht="15" hidden="false" customHeight="true" outlineLevel="0" collapsed="false">
      <c r="A99" s="29" t="n">
        <v>96</v>
      </c>
      <c r="B99" s="26" t="str">
        <f aca="false">IFERROR(INDEX('Output Utente'!$A$2:$A$492,MATCH(96,'Output Utente'!$R$2:$R$492,0)),"")</f>
        <v/>
      </c>
      <c r="C99" s="26" t="str">
        <f aca="false">IFERROR(INDEX('Output Utente'!$B$2:$B$492,MATCH(96,'Output Utente'!$R$2:$R$492,0)),"")</f>
        <v/>
      </c>
      <c r="D99" s="26" t="str">
        <f aca="false">IFERROR(INDEX('Output Utente'!$C$2:$C$492,MATCH(96,'Output Utente'!$R$2:$R$492,0)),"")</f>
        <v/>
      </c>
      <c r="E99" s="26" t="str">
        <f aca="false">IFERROR(INDEX('Input Giocatori 2026_27'!$D$3:$D$493,MATCH($B99,'Input Giocatori 2026_27'!$A$3:$A$493,0)),"")</f>
        <v/>
      </c>
      <c r="F99" s="27" t="str">
        <f aca="false">IFERROR(INDEX('Output Utente'!$N$2:$N$492,MATCH(96,'Output Utente'!$R$2:$R$492,0)),"")</f>
        <v/>
      </c>
      <c r="G99" s="26" t="str">
        <f aca="false">IFERROR(INDEX('Output Utente'!$O$2:$O$492,MATCH(96,'Output Utente'!$R$2:$R$492,0)),"")</f>
        <v/>
      </c>
      <c r="H99" s="26" t="str">
        <f aca="false">IFERROR(INDEX('Output Utente'!$P$2:$P$492,MATCH(96,'Output Utente'!$R$2:$R$492,0)),"")</f>
        <v/>
      </c>
      <c r="I99" s="27" t="str">
        <f aca="false">IFERROR(INDEX('Output Utente'!$F$2:$F$492,MATCH(96,'Output Utente'!$R$2:$R$492,0)),"")</f>
        <v/>
      </c>
      <c r="J99" s="27" t="str">
        <f aca="false">IFERROR(INDEX('Output Utente'!$G$2:$G$492,MATCH(96,'Output Utente'!$R$2:$R$492,0)),"")</f>
        <v/>
      </c>
      <c r="K99" s="27" t="str">
        <f aca="false">IFERROR(INDEX('Output Utente'!$H$2:$H$492,MATCH(96,'Output Utente'!$R$2:$R$492,0)),"")</f>
        <v/>
      </c>
      <c r="L99" s="26" t="str">
        <f aca="false">IFERROR(INDEX('Output Utente'!$E$2:$E$492,MATCH(96,'Output Utente'!$R$2:$R$492,0)),"")</f>
        <v/>
      </c>
    </row>
    <row r="100" customFormat="false" ht="15" hidden="false" customHeight="true" outlineLevel="0" collapsed="false">
      <c r="A100" s="29" t="n">
        <v>97</v>
      </c>
      <c r="B100" s="26" t="str">
        <f aca="false">IFERROR(INDEX('Output Utente'!$A$2:$A$492,MATCH(97,'Output Utente'!$R$2:$R$492,0)),"")</f>
        <v/>
      </c>
      <c r="C100" s="26" t="str">
        <f aca="false">IFERROR(INDEX('Output Utente'!$B$2:$B$492,MATCH(97,'Output Utente'!$R$2:$R$492,0)),"")</f>
        <v/>
      </c>
      <c r="D100" s="26" t="str">
        <f aca="false">IFERROR(INDEX('Output Utente'!$C$2:$C$492,MATCH(97,'Output Utente'!$R$2:$R$492,0)),"")</f>
        <v/>
      </c>
      <c r="E100" s="26" t="str">
        <f aca="false">IFERROR(INDEX('Input Giocatori 2026_27'!$D$3:$D$493,MATCH($B100,'Input Giocatori 2026_27'!$A$3:$A$493,0)),"")</f>
        <v/>
      </c>
      <c r="F100" s="27" t="str">
        <f aca="false">IFERROR(INDEX('Output Utente'!$N$2:$N$492,MATCH(97,'Output Utente'!$R$2:$R$492,0)),"")</f>
        <v/>
      </c>
      <c r="G100" s="26" t="str">
        <f aca="false">IFERROR(INDEX('Output Utente'!$O$2:$O$492,MATCH(97,'Output Utente'!$R$2:$R$492,0)),"")</f>
        <v/>
      </c>
      <c r="H100" s="26" t="str">
        <f aca="false">IFERROR(INDEX('Output Utente'!$P$2:$P$492,MATCH(97,'Output Utente'!$R$2:$R$492,0)),"")</f>
        <v/>
      </c>
      <c r="I100" s="27" t="str">
        <f aca="false">IFERROR(INDEX('Output Utente'!$F$2:$F$492,MATCH(97,'Output Utente'!$R$2:$R$492,0)),"")</f>
        <v/>
      </c>
      <c r="J100" s="27" t="str">
        <f aca="false">IFERROR(INDEX('Output Utente'!$G$2:$G$492,MATCH(97,'Output Utente'!$R$2:$R$492,0)),"")</f>
        <v/>
      </c>
      <c r="K100" s="27" t="str">
        <f aca="false">IFERROR(INDEX('Output Utente'!$H$2:$H$492,MATCH(97,'Output Utente'!$R$2:$R$492,0)),"")</f>
        <v/>
      </c>
      <c r="L100" s="26" t="str">
        <f aca="false">IFERROR(INDEX('Output Utente'!$E$2:$E$492,MATCH(97,'Output Utente'!$R$2:$R$492,0)),"")</f>
        <v/>
      </c>
    </row>
    <row r="101" customFormat="false" ht="15" hidden="false" customHeight="true" outlineLevel="0" collapsed="false">
      <c r="A101" s="29" t="n">
        <v>98</v>
      </c>
      <c r="B101" s="26" t="str">
        <f aca="false">IFERROR(INDEX('Output Utente'!$A$2:$A$492,MATCH(98,'Output Utente'!$R$2:$R$492,0)),"")</f>
        <v/>
      </c>
      <c r="C101" s="26" t="str">
        <f aca="false">IFERROR(INDEX('Output Utente'!$B$2:$B$492,MATCH(98,'Output Utente'!$R$2:$R$492,0)),"")</f>
        <v/>
      </c>
      <c r="D101" s="26" t="str">
        <f aca="false">IFERROR(INDEX('Output Utente'!$C$2:$C$492,MATCH(98,'Output Utente'!$R$2:$R$492,0)),"")</f>
        <v/>
      </c>
      <c r="E101" s="26" t="str">
        <f aca="false">IFERROR(INDEX('Input Giocatori 2026_27'!$D$3:$D$493,MATCH($B101,'Input Giocatori 2026_27'!$A$3:$A$493,0)),"")</f>
        <v/>
      </c>
      <c r="F101" s="27" t="str">
        <f aca="false">IFERROR(INDEX('Output Utente'!$N$2:$N$492,MATCH(98,'Output Utente'!$R$2:$R$492,0)),"")</f>
        <v/>
      </c>
      <c r="G101" s="26" t="str">
        <f aca="false">IFERROR(INDEX('Output Utente'!$O$2:$O$492,MATCH(98,'Output Utente'!$R$2:$R$492,0)),"")</f>
        <v/>
      </c>
      <c r="H101" s="26" t="str">
        <f aca="false">IFERROR(INDEX('Output Utente'!$P$2:$P$492,MATCH(98,'Output Utente'!$R$2:$R$492,0)),"")</f>
        <v/>
      </c>
      <c r="I101" s="27" t="str">
        <f aca="false">IFERROR(INDEX('Output Utente'!$F$2:$F$492,MATCH(98,'Output Utente'!$R$2:$R$492,0)),"")</f>
        <v/>
      </c>
      <c r="J101" s="27" t="str">
        <f aca="false">IFERROR(INDEX('Output Utente'!$G$2:$G$492,MATCH(98,'Output Utente'!$R$2:$R$492,0)),"")</f>
        <v/>
      </c>
      <c r="K101" s="27" t="str">
        <f aca="false">IFERROR(INDEX('Output Utente'!$H$2:$H$492,MATCH(98,'Output Utente'!$R$2:$R$492,0)),"")</f>
        <v/>
      </c>
      <c r="L101" s="26" t="str">
        <f aca="false">IFERROR(INDEX('Output Utente'!$E$2:$E$492,MATCH(98,'Output Utente'!$R$2:$R$492,0)),"")</f>
        <v/>
      </c>
    </row>
    <row r="102" customFormat="false" ht="15" hidden="false" customHeight="true" outlineLevel="0" collapsed="false">
      <c r="A102" s="29" t="n">
        <v>99</v>
      </c>
      <c r="B102" s="26" t="str">
        <f aca="false">IFERROR(INDEX('Output Utente'!$A$2:$A$492,MATCH(99,'Output Utente'!$R$2:$R$492,0)),"")</f>
        <v/>
      </c>
      <c r="C102" s="26" t="str">
        <f aca="false">IFERROR(INDEX('Output Utente'!$B$2:$B$492,MATCH(99,'Output Utente'!$R$2:$R$492,0)),"")</f>
        <v/>
      </c>
      <c r="D102" s="26" t="str">
        <f aca="false">IFERROR(INDEX('Output Utente'!$C$2:$C$492,MATCH(99,'Output Utente'!$R$2:$R$492,0)),"")</f>
        <v/>
      </c>
      <c r="E102" s="26" t="str">
        <f aca="false">IFERROR(INDEX('Input Giocatori 2026_27'!$D$3:$D$493,MATCH($B102,'Input Giocatori 2026_27'!$A$3:$A$493,0)),"")</f>
        <v/>
      </c>
      <c r="F102" s="27" t="str">
        <f aca="false">IFERROR(INDEX('Output Utente'!$N$2:$N$492,MATCH(99,'Output Utente'!$R$2:$R$492,0)),"")</f>
        <v/>
      </c>
      <c r="G102" s="26" t="str">
        <f aca="false">IFERROR(INDEX('Output Utente'!$O$2:$O$492,MATCH(99,'Output Utente'!$R$2:$R$492,0)),"")</f>
        <v/>
      </c>
      <c r="H102" s="26" t="str">
        <f aca="false">IFERROR(INDEX('Output Utente'!$P$2:$P$492,MATCH(99,'Output Utente'!$R$2:$R$492,0)),"")</f>
        <v/>
      </c>
      <c r="I102" s="27" t="str">
        <f aca="false">IFERROR(INDEX('Output Utente'!$F$2:$F$492,MATCH(99,'Output Utente'!$R$2:$R$492,0)),"")</f>
        <v/>
      </c>
      <c r="J102" s="27" t="str">
        <f aca="false">IFERROR(INDEX('Output Utente'!$G$2:$G$492,MATCH(99,'Output Utente'!$R$2:$R$492,0)),"")</f>
        <v/>
      </c>
      <c r="K102" s="27" t="str">
        <f aca="false">IFERROR(INDEX('Output Utente'!$H$2:$H$492,MATCH(99,'Output Utente'!$R$2:$R$492,0)),"")</f>
        <v/>
      </c>
      <c r="L102" s="26" t="str">
        <f aca="false">IFERROR(INDEX('Output Utente'!$E$2:$E$492,MATCH(99,'Output Utente'!$R$2:$R$492,0)),"")</f>
        <v/>
      </c>
    </row>
    <row r="103" customFormat="false" ht="15" hidden="false" customHeight="true" outlineLevel="0" collapsed="false">
      <c r="A103" s="29" t="n">
        <v>100</v>
      </c>
      <c r="B103" s="26" t="str">
        <f aca="false">IFERROR(INDEX('Output Utente'!$A$2:$A$492,MATCH(100,'Output Utente'!$R$2:$R$492,0)),"")</f>
        <v/>
      </c>
      <c r="C103" s="26" t="str">
        <f aca="false">IFERROR(INDEX('Output Utente'!$B$2:$B$492,MATCH(100,'Output Utente'!$R$2:$R$492,0)),"")</f>
        <v/>
      </c>
      <c r="D103" s="26" t="str">
        <f aca="false">IFERROR(INDEX('Output Utente'!$C$2:$C$492,MATCH(100,'Output Utente'!$R$2:$R$492,0)),"")</f>
        <v/>
      </c>
      <c r="E103" s="26" t="str">
        <f aca="false">IFERROR(INDEX('Input Giocatori 2026_27'!$D$3:$D$493,MATCH($B103,'Input Giocatori 2026_27'!$A$3:$A$493,0)),"")</f>
        <v/>
      </c>
      <c r="F103" s="27" t="str">
        <f aca="false">IFERROR(INDEX('Output Utente'!$N$2:$N$492,MATCH(100,'Output Utente'!$R$2:$R$492,0)),"")</f>
        <v/>
      </c>
      <c r="G103" s="26" t="str">
        <f aca="false">IFERROR(INDEX('Output Utente'!$O$2:$O$492,MATCH(100,'Output Utente'!$R$2:$R$492,0)),"")</f>
        <v/>
      </c>
      <c r="H103" s="26" t="str">
        <f aca="false">IFERROR(INDEX('Output Utente'!$P$2:$P$492,MATCH(100,'Output Utente'!$R$2:$R$492,0)),"")</f>
        <v/>
      </c>
      <c r="I103" s="27" t="str">
        <f aca="false">IFERROR(INDEX('Output Utente'!$F$2:$F$492,MATCH(100,'Output Utente'!$R$2:$R$492,0)),"")</f>
        <v/>
      </c>
      <c r="J103" s="27" t="str">
        <f aca="false">IFERROR(INDEX('Output Utente'!$G$2:$G$492,MATCH(100,'Output Utente'!$R$2:$R$492,0)),"")</f>
        <v/>
      </c>
      <c r="K103" s="27" t="str">
        <f aca="false">IFERROR(INDEX('Output Utente'!$H$2:$H$492,MATCH(100,'Output Utente'!$R$2:$R$492,0)),"")</f>
        <v/>
      </c>
      <c r="L103" s="26" t="str">
        <f aca="false">IFERROR(INDEX('Output Utente'!$E$2:$E$492,MATCH(100,'Output Utente'!$R$2:$R$492,0)),"")</f>
        <v/>
      </c>
    </row>
    <row r="104" customFormat="false" ht="15" hidden="false" customHeight="true" outlineLevel="0" collapsed="false">
      <c r="A104" s="29" t="n">
        <v>101</v>
      </c>
      <c r="B104" s="26" t="str">
        <f aca="false">IFERROR(INDEX('Output Utente'!$A$2:$A$492,MATCH(101,'Output Utente'!$R$2:$R$492,0)),"")</f>
        <v/>
      </c>
      <c r="C104" s="26" t="str">
        <f aca="false">IFERROR(INDEX('Output Utente'!$B$2:$B$492,MATCH(101,'Output Utente'!$R$2:$R$492,0)),"")</f>
        <v/>
      </c>
      <c r="D104" s="26" t="str">
        <f aca="false">IFERROR(INDEX('Output Utente'!$C$2:$C$492,MATCH(101,'Output Utente'!$R$2:$R$492,0)),"")</f>
        <v/>
      </c>
      <c r="E104" s="26" t="str">
        <f aca="false">IFERROR(INDEX('Input Giocatori 2026_27'!$D$3:$D$493,MATCH($B104,'Input Giocatori 2026_27'!$A$3:$A$493,0)),"")</f>
        <v/>
      </c>
      <c r="F104" s="27" t="str">
        <f aca="false">IFERROR(INDEX('Output Utente'!$N$2:$N$492,MATCH(101,'Output Utente'!$R$2:$R$492,0)),"")</f>
        <v/>
      </c>
      <c r="G104" s="26" t="str">
        <f aca="false">IFERROR(INDEX('Output Utente'!$O$2:$O$492,MATCH(101,'Output Utente'!$R$2:$R$492,0)),"")</f>
        <v/>
      </c>
      <c r="H104" s="26" t="str">
        <f aca="false">IFERROR(INDEX('Output Utente'!$P$2:$P$492,MATCH(101,'Output Utente'!$R$2:$R$492,0)),"")</f>
        <v/>
      </c>
      <c r="I104" s="27" t="str">
        <f aca="false">IFERROR(INDEX('Output Utente'!$F$2:$F$492,MATCH(101,'Output Utente'!$R$2:$R$492,0)),"")</f>
        <v/>
      </c>
      <c r="J104" s="27" t="str">
        <f aca="false">IFERROR(INDEX('Output Utente'!$G$2:$G$492,MATCH(101,'Output Utente'!$R$2:$R$492,0)),"")</f>
        <v/>
      </c>
      <c r="K104" s="27" t="str">
        <f aca="false">IFERROR(INDEX('Output Utente'!$H$2:$H$492,MATCH(101,'Output Utente'!$R$2:$R$492,0)),"")</f>
        <v/>
      </c>
      <c r="L104" s="26" t="str">
        <f aca="false">IFERROR(INDEX('Output Utente'!$E$2:$E$492,MATCH(101,'Output Utente'!$R$2:$R$492,0)),"")</f>
        <v/>
      </c>
    </row>
    <row r="105" customFormat="false" ht="15" hidden="false" customHeight="true" outlineLevel="0" collapsed="false">
      <c r="A105" s="29" t="n">
        <v>102</v>
      </c>
      <c r="B105" s="26" t="str">
        <f aca="false">IFERROR(INDEX('Output Utente'!$A$2:$A$492,MATCH(102,'Output Utente'!$R$2:$R$492,0)),"")</f>
        <v/>
      </c>
      <c r="C105" s="26" t="str">
        <f aca="false">IFERROR(INDEX('Output Utente'!$B$2:$B$492,MATCH(102,'Output Utente'!$R$2:$R$492,0)),"")</f>
        <v/>
      </c>
      <c r="D105" s="26" t="str">
        <f aca="false">IFERROR(INDEX('Output Utente'!$C$2:$C$492,MATCH(102,'Output Utente'!$R$2:$R$492,0)),"")</f>
        <v/>
      </c>
      <c r="E105" s="26" t="str">
        <f aca="false">IFERROR(INDEX('Input Giocatori 2026_27'!$D$3:$D$493,MATCH($B105,'Input Giocatori 2026_27'!$A$3:$A$493,0)),"")</f>
        <v/>
      </c>
      <c r="F105" s="27" t="str">
        <f aca="false">IFERROR(INDEX('Output Utente'!$N$2:$N$492,MATCH(102,'Output Utente'!$R$2:$R$492,0)),"")</f>
        <v/>
      </c>
      <c r="G105" s="26" t="str">
        <f aca="false">IFERROR(INDEX('Output Utente'!$O$2:$O$492,MATCH(102,'Output Utente'!$R$2:$R$492,0)),"")</f>
        <v/>
      </c>
      <c r="H105" s="26" t="str">
        <f aca="false">IFERROR(INDEX('Output Utente'!$P$2:$P$492,MATCH(102,'Output Utente'!$R$2:$R$492,0)),"")</f>
        <v/>
      </c>
      <c r="I105" s="27" t="str">
        <f aca="false">IFERROR(INDEX('Output Utente'!$F$2:$F$492,MATCH(102,'Output Utente'!$R$2:$R$492,0)),"")</f>
        <v/>
      </c>
      <c r="J105" s="27" t="str">
        <f aca="false">IFERROR(INDEX('Output Utente'!$G$2:$G$492,MATCH(102,'Output Utente'!$R$2:$R$492,0)),"")</f>
        <v/>
      </c>
      <c r="K105" s="27" t="str">
        <f aca="false">IFERROR(INDEX('Output Utente'!$H$2:$H$492,MATCH(102,'Output Utente'!$R$2:$R$492,0)),"")</f>
        <v/>
      </c>
      <c r="L105" s="26" t="str">
        <f aca="false">IFERROR(INDEX('Output Utente'!$E$2:$E$492,MATCH(102,'Output Utente'!$R$2:$R$492,0)),"")</f>
        <v/>
      </c>
    </row>
    <row r="106" customFormat="false" ht="15" hidden="false" customHeight="true" outlineLevel="0" collapsed="false">
      <c r="A106" s="29" t="n">
        <v>103</v>
      </c>
      <c r="B106" s="26" t="str">
        <f aca="false">IFERROR(INDEX('Output Utente'!$A$2:$A$492,MATCH(103,'Output Utente'!$R$2:$R$492,0)),"")</f>
        <v/>
      </c>
      <c r="C106" s="26" t="str">
        <f aca="false">IFERROR(INDEX('Output Utente'!$B$2:$B$492,MATCH(103,'Output Utente'!$R$2:$R$492,0)),"")</f>
        <v/>
      </c>
      <c r="D106" s="26" t="str">
        <f aca="false">IFERROR(INDEX('Output Utente'!$C$2:$C$492,MATCH(103,'Output Utente'!$R$2:$R$492,0)),"")</f>
        <v/>
      </c>
      <c r="E106" s="26" t="str">
        <f aca="false">IFERROR(INDEX('Input Giocatori 2026_27'!$D$3:$D$493,MATCH($B106,'Input Giocatori 2026_27'!$A$3:$A$493,0)),"")</f>
        <v/>
      </c>
      <c r="F106" s="27" t="str">
        <f aca="false">IFERROR(INDEX('Output Utente'!$N$2:$N$492,MATCH(103,'Output Utente'!$R$2:$R$492,0)),"")</f>
        <v/>
      </c>
      <c r="G106" s="26" t="str">
        <f aca="false">IFERROR(INDEX('Output Utente'!$O$2:$O$492,MATCH(103,'Output Utente'!$R$2:$R$492,0)),"")</f>
        <v/>
      </c>
      <c r="H106" s="26" t="str">
        <f aca="false">IFERROR(INDEX('Output Utente'!$P$2:$P$492,MATCH(103,'Output Utente'!$R$2:$R$492,0)),"")</f>
        <v/>
      </c>
      <c r="I106" s="27" t="str">
        <f aca="false">IFERROR(INDEX('Output Utente'!$F$2:$F$492,MATCH(103,'Output Utente'!$R$2:$R$492,0)),"")</f>
        <v/>
      </c>
      <c r="J106" s="27" t="str">
        <f aca="false">IFERROR(INDEX('Output Utente'!$G$2:$G$492,MATCH(103,'Output Utente'!$R$2:$R$492,0)),"")</f>
        <v/>
      </c>
      <c r="K106" s="27" t="str">
        <f aca="false">IFERROR(INDEX('Output Utente'!$H$2:$H$492,MATCH(103,'Output Utente'!$R$2:$R$492,0)),"")</f>
        <v/>
      </c>
      <c r="L106" s="26" t="str">
        <f aca="false">IFERROR(INDEX('Output Utente'!$E$2:$E$492,MATCH(103,'Output Utente'!$R$2:$R$492,0)),"")</f>
        <v/>
      </c>
    </row>
    <row r="107" customFormat="false" ht="15" hidden="false" customHeight="true" outlineLevel="0" collapsed="false">
      <c r="A107" s="29" t="n">
        <v>104</v>
      </c>
      <c r="B107" s="26" t="str">
        <f aca="false">IFERROR(INDEX('Output Utente'!$A$2:$A$492,MATCH(104,'Output Utente'!$R$2:$R$492,0)),"")</f>
        <v/>
      </c>
      <c r="C107" s="26" t="str">
        <f aca="false">IFERROR(INDEX('Output Utente'!$B$2:$B$492,MATCH(104,'Output Utente'!$R$2:$R$492,0)),"")</f>
        <v/>
      </c>
      <c r="D107" s="26" t="str">
        <f aca="false">IFERROR(INDEX('Output Utente'!$C$2:$C$492,MATCH(104,'Output Utente'!$R$2:$R$492,0)),"")</f>
        <v/>
      </c>
      <c r="E107" s="26" t="str">
        <f aca="false">IFERROR(INDEX('Input Giocatori 2026_27'!$D$3:$D$493,MATCH($B107,'Input Giocatori 2026_27'!$A$3:$A$493,0)),"")</f>
        <v/>
      </c>
      <c r="F107" s="27" t="str">
        <f aca="false">IFERROR(INDEX('Output Utente'!$N$2:$N$492,MATCH(104,'Output Utente'!$R$2:$R$492,0)),"")</f>
        <v/>
      </c>
      <c r="G107" s="26" t="str">
        <f aca="false">IFERROR(INDEX('Output Utente'!$O$2:$O$492,MATCH(104,'Output Utente'!$R$2:$R$492,0)),"")</f>
        <v/>
      </c>
      <c r="H107" s="26" t="str">
        <f aca="false">IFERROR(INDEX('Output Utente'!$P$2:$P$492,MATCH(104,'Output Utente'!$R$2:$R$492,0)),"")</f>
        <v/>
      </c>
      <c r="I107" s="27" t="str">
        <f aca="false">IFERROR(INDEX('Output Utente'!$F$2:$F$492,MATCH(104,'Output Utente'!$R$2:$R$492,0)),"")</f>
        <v/>
      </c>
      <c r="J107" s="27" t="str">
        <f aca="false">IFERROR(INDEX('Output Utente'!$G$2:$G$492,MATCH(104,'Output Utente'!$R$2:$R$492,0)),"")</f>
        <v/>
      </c>
      <c r="K107" s="27" t="str">
        <f aca="false">IFERROR(INDEX('Output Utente'!$H$2:$H$492,MATCH(104,'Output Utente'!$R$2:$R$492,0)),"")</f>
        <v/>
      </c>
      <c r="L107" s="26" t="str">
        <f aca="false">IFERROR(INDEX('Output Utente'!$E$2:$E$492,MATCH(104,'Output Utente'!$R$2:$R$492,0)),"")</f>
        <v/>
      </c>
    </row>
    <row r="108" customFormat="false" ht="15" hidden="false" customHeight="true" outlineLevel="0" collapsed="false">
      <c r="A108" s="29" t="n">
        <v>105</v>
      </c>
      <c r="B108" s="26" t="str">
        <f aca="false">IFERROR(INDEX('Output Utente'!$A$2:$A$492,MATCH(105,'Output Utente'!$R$2:$R$492,0)),"")</f>
        <v/>
      </c>
      <c r="C108" s="26" t="str">
        <f aca="false">IFERROR(INDEX('Output Utente'!$B$2:$B$492,MATCH(105,'Output Utente'!$R$2:$R$492,0)),"")</f>
        <v/>
      </c>
      <c r="D108" s="26" t="str">
        <f aca="false">IFERROR(INDEX('Output Utente'!$C$2:$C$492,MATCH(105,'Output Utente'!$R$2:$R$492,0)),"")</f>
        <v/>
      </c>
      <c r="E108" s="26" t="str">
        <f aca="false">IFERROR(INDEX('Input Giocatori 2026_27'!$D$3:$D$493,MATCH($B108,'Input Giocatori 2026_27'!$A$3:$A$493,0)),"")</f>
        <v/>
      </c>
      <c r="F108" s="27" t="str">
        <f aca="false">IFERROR(INDEX('Output Utente'!$N$2:$N$492,MATCH(105,'Output Utente'!$R$2:$R$492,0)),"")</f>
        <v/>
      </c>
      <c r="G108" s="26" t="str">
        <f aca="false">IFERROR(INDEX('Output Utente'!$O$2:$O$492,MATCH(105,'Output Utente'!$R$2:$R$492,0)),"")</f>
        <v/>
      </c>
      <c r="H108" s="26" t="str">
        <f aca="false">IFERROR(INDEX('Output Utente'!$P$2:$P$492,MATCH(105,'Output Utente'!$R$2:$R$492,0)),"")</f>
        <v/>
      </c>
      <c r="I108" s="27" t="str">
        <f aca="false">IFERROR(INDEX('Output Utente'!$F$2:$F$492,MATCH(105,'Output Utente'!$R$2:$R$492,0)),"")</f>
        <v/>
      </c>
      <c r="J108" s="27" t="str">
        <f aca="false">IFERROR(INDEX('Output Utente'!$G$2:$G$492,MATCH(105,'Output Utente'!$R$2:$R$492,0)),"")</f>
        <v/>
      </c>
      <c r="K108" s="27" t="str">
        <f aca="false">IFERROR(INDEX('Output Utente'!$H$2:$H$492,MATCH(105,'Output Utente'!$R$2:$R$492,0)),"")</f>
        <v/>
      </c>
      <c r="L108" s="26" t="str">
        <f aca="false">IFERROR(INDEX('Output Utente'!$E$2:$E$492,MATCH(105,'Output Utente'!$R$2:$R$492,0)),"")</f>
        <v/>
      </c>
    </row>
    <row r="109" customFormat="false" ht="15" hidden="false" customHeight="true" outlineLevel="0" collapsed="false">
      <c r="A109" s="29" t="n">
        <v>106</v>
      </c>
      <c r="B109" s="26" t="str">
        <f aca="false">IFERROR(INDEX('Output Utente'!$A$2:$A$492,MATCH(106,'Output Utente'!$R$2:$R$492,0)),"")</f>
        <v/>
      </c>
      <c r="C109" s="26" t="str">
        <f aca="false">IFERROR(INDEX('Output Utente'!$B$2:$B$492,MATCH(106,'Output Utente'!$R$2:$R$492,0)),"")</f>
        <v/>
      </c>
      <c r="D109" s="26" t="str">
        <f aca="false">IFERROR(INDEX('Output Utente'!$C$2:$C$492,MATCH(106,'Output Utente'!$R$2:$R$492,0)),"")</f>
        <v/>
      </c>
      <c r="E109" s="26" t="str">
        <f aca="false">IFERROR(INDEX('Input Giocatori 2026_27'!$D$3:$D$493,MATCH($B109,'Input Giocatori 2026_27'!$A$3:$A$493,0)),"")</f>
        <v/>
      </c>
      <c r="F109" s="27" t="str">
        <f aca="false">IFERROR(INDEX('Output Utente'!$N$2:$N$492,MATCH(106,'Output Utente'!$R$2:$R$492,0)),"")</f>
        <v/>
      </c>
      <c r="G109" s="26" t="str">
        <f aca="false">IFERROR(INDEX('Output Utente'!$O$2:$O$492,MATCH(106,'Output Utente'!$R$2:$R$492,0)),"")</f>
        <v/>
      </c>
      <c r="H109" s="26" t="str">
        <f aca="false">IFERROR(INDEX('Output Utente'!$P$2:$P$492,MATCH(106,'Output Utente'!$R$2:$R$492,0)),"")</f>
        <v/>
      </c>
      <c r="I109" s="27" t="str">
        <f aca="false">IFERROR(INDEX('Output Utente'!$F$2:$F$492,MATCH(106,'Output Utente'!$R$2:$R$492,0)),"")</f>
        <v/>
      </c>
      <c r="J109" s="27" t="str">
        <f aca="false">IFERROR(INDEX('Output Utente'!$G$2:$G$492,MATCH(106,'Output Utente'!$R$2:$R$492,0)),"")</f>
        <v/>
      </c>
      <c r="K109" s="27" t="str">
        <f aca="false">IFERROR(INDEX('Output Utente'!$H$2:$H$492,MATCH(106,'Output Utente'!$R$2:$R$492,0)),"")</f>
        <v/>
      </c>
      <c r="L109" s="26" t="str">
        <f aca="false">IFERROR(INDEX('Output Utente'!$E$2:$E$492,MATCH(106,'Output Utente'!$R$2:$R$492,0)),"")</f>
        <v/>
      </c>
    </row>
    <row r="110" customFormat="false" ht="15" hidden="false" customHeight="true" outlineLevel="0" collapsed="false">
      <c r="A110" s="29" t="n">
        <v>107</v>
      </c>
      <c r="B110" s="26" t="str">
        <f aca="false">IFERROR(INDEX('Output Utente'!$A$2:$A$492,MATCH(107,'Output Utente'!$R$2:$R$492,0)),"")</f>
        <v/>
      </c>
      <c r="C110" s="26" t="str">
        <f aca="false">IFERROR(INDEX('Output Utente'!$B$2:$B$492,MATCH(107,'Output Utente'!$R$2:$R$492,0)),"")</f>
        <v/>
      </c>
      <c r="D110" s="26" t="str">
        <f aca="false">IFERROR(INDEX('Output Utente'!$C$2:$C$492,MATCH(107,'Output Utente'!$R$2:$R$492,0)),"")</f>
        <v/>
      </c>
      <c r="E110" s="26" t="str">
        <f aca="false">IFERROR(INDEX('Input Giocatori 2026_27'!$D$3:$D$493,MATCH($B110,'Input Giocatori 2026_27'!$A$3:$A$493,0)),"")</f>
        <v/>
      </c>
      <c r="F110" s="27" t="str">
        <f aca="false">IFERROR(INDEX('Output Utente'!$N$2:$N$492,MATCH(107,'Output Utente'!$R$2:$R$492,0)),"")</f>
        <v/>
      </c>
      <c r="G110" s="26" t="str">
        <f aca="false">IFERROR(INDEX('Output Utente'!$O$2:$O$492,MATCH(107,'Output Utente'!$R$2:$R$492,0)),"")</f>
        <v/>
      </c>
      <c r="H110" s="26" t="str">
        <f aca="false">IFERROR(INDEX('Output Utente'!$P$2:$P$492,MATCH(107,'Output Utente'!$R$2:$R$492,0)),"")</f>
        <v/>
      </c>
      <c r="I110" s="27" t="str">
        <f aca="false">IFERROR(INDEX('Output Utente'!$F$2:$F$492,MATCH(107,'Output Utente'!$R$2:$R$492,0)),"")</f>
        <v/>
      </c>
      <c r="J110" s="27" t="str">
        <f aca="false">IFERROR(INDEX('Output Utente'!$G$2:$G$492,MATCH(107,'Output Utente'!$R$2:$R$492,0)),"")</f>
        <v/>
      </c>
      <c r="K110" s="27" t="str">
        <f aca="false">IFERROR(INDEX('Output Utente'!$H$2:$H$492,MATCH(107,'Output Utente'!$R$2:$R$492,0)),"")</f>
        <v/>
      </c>
      <c r="L110" s="26" t="str">
        <f aca="false">IFERROR(INDEX('Output Utente'!$E$2:$E$492,MATCH(107,'Output Utente'!$R$2:$R$492,0)),"")</f>
        <v/>
      </c>
    </row>
    <row r="111" customFormat="false" ht="15" hidden="false" customHeight="true" outlineLevel="0" collapsed="false">
      <c r="A111" s="29" t="n">
        <v>108</v>
      </c>
      <c r="B111" s="26" t="str">
        <f aca="false">IFERROR(INDEX('Output Utente'!$A$2:$A$492,MATCH(108,'Output Utente'!$R$2:$R$492,0)),"")</f>
        <v/>
      </c>
      <c r="C111" s="26" t="str">
        <f aca="false">IFERROR(INDEX('Output Utente'!$B$2:$B$492,MATCH(108,'Output Utente'!$R$2:$R$492,0)),"")</f>
        <v/>
      </c>
      <c r="D111" s="26" t="str">
        <f aca="false">IFERROR(INDEX('Output Utente'!$C$2:$C$492,MATCH(108,'Output Utente'!$R$2:$R$492,0)),"")</f>
        <v/>
      </c>
      <c r="E111" s="26" t="str">
        <f aca="false">IFERROR(INDEX('Input Giocatori 2026_27'!$D$3:$D$493,MATCH($B111,'Input Giocatori 2026_27'!$A$3:$A$493,0)),"")</f>
        <v/>
      </c>
      <c r="F111" s="27" t="str">
        <f aca="false">IFERROR(INDEX('Output Utente'!$N$2:$N$492,MATCH(108,'Output Utente'!$R$2:$R$492,0)),"")</f>
        <v/>
      </c>
      <c r="G111" s="26" t="str">
        <f aca="false">IFERROR(INDEX('Output Utente'!$O$2:$O$492,MATCH(108,'Output Utente'!$R$2:$R$492,0)),"")</f>
        <v/>
      </c>
      <c r="H111" s="26" t="str">
        <f aca="false">IFERROR(INDEX('Output Utente'!$P$2:$P$492,MATCH(108,'Output Utente'!$R$2:$R$492,0)),"")</f>
        <v/>
      </c>
      <c r="I111" s="27" t="str">
        <f aca="false">IFERROR(INDEX('Output Utente'!$F$2:$F$492,MATCH(108,'Output Utente'!$R$2:$R$492,0)),"")</f>
        <v/>
      </c>
      <c r="J111" s="27" t="str">
        <f aca="false">IFERROR(INDEX('Output Utente'!$G$2:$G$492,MATCH(108,'Output Utente'!$R$2:$R$492,0)),"")</f>
        <v/>
      </c>
      <c r="K111" s="27" t="str">
        <f aca="false">IFERROR(INDEX('Output Utente'!$H$2:$H$492,MATCH(108,'Output Utente'!$R$2:$R$492,0)),"")</f>
        <v/>
      </c>
      <c r="L111" s="26" t="str">
        <f aca="false">IFERROR(INDEX('Output Utente'!$E$2:$E$492,MATCH(108,'Output Utente'!$R$2:$R$492,0)),"")</f>
        <v/>
      </c>
    </row>
    <row r="112" customFormat="false" ht="15" hidden="false" customHeight="true" outlineLevel="0" collapsed="false">
      <c r="A112" s="29" t="n">
        <v>109</v>
      </c>
      <c r="B112" s="26" t="str">
        <f aca="false">IFERROR(INDEX('Output Utente'!$A$2:$A$492,MATCH(109,'Output Utente'!$R$2:$R$492,0)),"")</f>
        <v/>
      </c>
      <c r="C112" s="26" t="str">
        <f aca="false">IFERROR(INDEX('Output Utente'!$B$2:$B$492,MATCH(109,'Output Utente'!$R$2:$R$492,0)),"")</f>
        <v/>
      </c>
      <c r="D112" s="26" t="str">
        <f aca="false">IFERROR(INDEX('Output Utente'!$C$2:$C$492,MATCH(109,'Output Utente'!$R$2:$R$492,0)),"")</f>
        <v/>
      </c>
      <c r="E112" s="26" t="str">
        <f aca="false">IFERROR(INDEX('Input Giocatori 2026_27'!$D$3:$D$493,MATCH($B112,'Input Giocatori 2026_27'!$A$3:$A$493,0)),"")</f>
        <v/>
      </c>
      <c r="F112" s="27" t="str">
        <f aca="false">IFERROR(INDEX('Output Utente'!$N$2:$N$492,MATCH(109,'Output Utente'!$R$2:$R$492,0)),"")</f>
        <v/>
      </c>
      <c r="G112" s="26" t="str">
        <f aca="false">IFERROR(INDEX('Output Utente'!$O$2:$O$492,MATCH(109,'Output Utente'!$R$2:$R$492,0)),"")</f>
        <v/>
      </c>
      <c r="H112" s="26" t="str">
        <f aca="false">IFERROR(INDEX('Output Utente'!$P$2:$P$492,MATCH(109,'Output Utente'!$R$2:$R$492,0)),"")</f>
        <v/>
      </c>
      <c r="I112" s="27" t="str">
        <f aca="false">IFERROR(INDEX('Output Utente'!$F$2:$F$492,MATCH(109,'Output Utente'!$R$2:$R$492,0)),"")</f>
        <v/>
      </c>
      <c r="J112" s="27" t="str">
        <f aca="false">IFERROR(INDEX('Output Utente'!$G$2:$G$492,MATCH(109,'Output Utente'!$R$2:$R$492,0)),"")</f>
        <v/>
      </c>
      <c r="K112" s="27" t="str">
        <f aca="false">IFERROR(INDEX('Output Utente'!$H$2:$H$492,MATCH(109,'Output Utente'!$R$2:$R$492,0)),"")</f>
        <v/>
      </c>
      <c r="L112" s="26" t="str">
        <f aca="false">IFERROR(INDEX('Output Utente'!$E$2:$E$492,MATCH(109,'Output Utente'!$R$2:$R$492,0)),"")</f>
        <v/>
      </c>
    </row>
    <row r="113" customFormat="false" ht="15" hidden="false" customHeight="true" outlineLevel="0" collapsed="false">
      <c r="A113" s="29" t="n">
        <v>110</v>
      </c>
      <c r="B113" s="26" t="str">
        <f aca="false">IFERROR(INDEX('Output Utente'!$A$2:$A$492,MATCH(110,'Output Utente'!$R$2:$R$492,0)),"")</f>
        <v/>
      </c>
      <c r="C113" s="26" t="str">
        <f aca="false">IFERROR(INDEX('Output Utente'!$B$2:$B$492,MATCH(110,'Output Utente'!$R$2:$R$492,0)),"")</f>
        <v/>
      </c>
      <c r="D113" s="26" t="str">
        <f aca="false">IFERROR(INDEX('Output Utente'!$C$2:$C$492,MATCH(110,'Output Utente'!$R$2:$R$492,0)),"")</f>
        <v/>
      </c>
      <c r="E113" s="26" t="str">
        <f aca="false">IFERROR(INDEX('Input Giocatori 2026_27'!$D$3:$D$493,MATCH($B113,'Input Giocatori 2026_27'!$A$3:$A$493,0)),"")</f>
        <v/>
      </c>
      <c r="F113" s="27" t="str">
        <f aca="false">IFERROR(INDEX('Output Utente'!$N$2:$N$492,MATCH(110,'Output Utente'!$R$2:$R$492,0)),"")</f>
        <v/>
      </c>
      <c r="G113" s="26" t="str">
        <f aca="false">IFERROR(INDEX('Output Utente'!$O$2:$O$492,MATCH(110,'Output Utente'!$R$2:$R$492,0)),"")</f>
        <v/>
      </c>
      <c r="H113" s="26" t="str">
        <f aca="false">IFERROR(INDEX('Output Utente'!$P$2:$P$492,MATCH(110,'Output Utente'!$R$2:$R$492,0)),"")</f>
        <v/>
      </c>
      <c r="I113" s="27" t="str">
        <f aca="false">IFERROR(INDEX('Output Utente'!$F$2:$F$492,MATCH(110,'Output Utente'!$R$2:$R$492,0)),"")</f>
        <v/>
      </c>
      <c r="J113" s="27" t="str">
        <f aca="false">IFERROR(INDEX('Output Utente'!$G$2:$G$492,MATCH(110,'Output Utente'!$R$2:$R$492,0)),"")</f>
        <v/>
      </c>
      <c r="K113" s="27" t="str">
        <f aca="false">IFERROR(INDEX('Output Utente'!$H$2:$H$492,MATCH(110,'Output Utente'!$R$2:$R$492,0)),"")</f>
        <v/>
      </c>
      <c r="L113" s="26" t="str">
        <f aca="false">IFERROR(INDEX('Output Utente'!$E$2:$E$492,MATCH(110,'Output Utente'!$R$2:$R$492,0)),"")</f>
        <v/>
      </c>
    </row>
    <row r="114" customFormat="false" ht="15" hidden="false" customHeight="true" outlineLevel="0" collapsed="false">
      <c r="A114" s="29" t="n">
        <v>111</v>
      </c>
      <c r="B114" s="26" t="str">
        <f aca="false">IFERROR(INDEX('Output Utente'!$A$2:$A$492,MATCH(111,'Output Utente'!$R$2:$R$492,0)),"")</f>
        <v/>
      </c>
      <c r="C114" s="26" t="str">
        <f aca="false">IFERROR(INDEX('Output Utente'!$B$2:$B$492,MATCH(111,'Output Utente'!$R$2:$R$492,0)),"")</f>
        <v/>
      </c>
      <c r="D114" s="26" t="str">
        <f aca="false">IFERROR(INDEX('Output Utente'!$C$2:$C$492,MATCH(111,'Output Utente'!$R$2:$R$492,0)),"")</f>
        <v/>
      </c>
      <c r="E114" s="26" t="str">
        <f aca="false">IFERROR(INDEX('Input Giocatori 2026_27'!$D$3:$D$493,MATCH($B114,'Input Giocatori 2026_27'!$A$3:$A$493,0)),"")</f>
        <v/>
      </c>
      <c r="F114" s="27" t="str">
        <f aca="false">IFERROR(INDEX('Output Utente'!$N$2:$N$492,MATCH(111,'Output Utente'!$R$2:$R$492,0)),"")</f>
        <v/>
      </c>
      <c r="G114" s="26" t="str">
        <f aca="false">IFERROR(INDEX('Output Utente'!$O$2:$O$492,MATCH(111,'Output Utente'!$R$2:$R$492,0)),"")</f>
        <v/>
      </c>
      <c r="H114" s="26" t="str">
        <f aca="false">IFERROR(INDEX('Output Utente'!$P$2:$P$492,MATCH(111,'Output Utente'!$R$2:$R$492,0)),"")</f>
        <v/>
      </c>
      <c r="I114" s="27" t="str">
        <f aca="false">IFERROR(INDEX('Output Utente'!$F$2:$F$492,MATCH(111,'Output Utente'!$R$2:$R$492,0)),"")</f>
        <v/>
      </c>
      <c r="J114" s="27" t="str">
        <f aca="false">IFERROR(INDEX('Output Utente'!$G$2:$G$492,MATCH(111,'Output Utente'!$R$2:$R$492,0)),"")</f>
        <v/>
      </c>
      <c r="K114" s="27" t="str">
        <f aca="false">IFERROR(INDEX('Output Utente'!$H$2:$H$492,MATCH(111,'Output Utente'!$R$2:$R$492,0)),"")</f>
        <v/>
      </c>
      <c r="L114" s="26" t="str">
        <f aca="false">IFERROR(INDEX('Output Utente'!$E$2:$E$492,MATCH(111,'Output Utente'!$R$2:$R$492,0)),"")</f>
        <v/>
      </c>
    </row>
    <row r="115" customFormat="false" ht="15" hidden="false" customHeight="true" outlineLevel="0" collapsed="false">
      <c r="A115" s="29" t="n">
        <v>112</v>
      </c>
      <c r="B115" s="26" t="str">
        <f aca="false">IFERROR(INDEX('Output Utente'!$A$2:$A$492,MATCH(112,'Output Utente'!$R$2:$R$492,0)),"")</f>
        <v/>
      </c>
      <c r="C115" s="26" t="str">
        <f aca="false">IFERROR(INDEX('Output Utente'!$B$2:$B$492,MATCH(112,'Output Utente'!$R$2:$R$492,0)),"")</f>
        <v/>
      </c>
      <c r="D115" s="26" t="str">
        <f aca="false">IFERROR(INDEX('Output Utente'!$C$2:$C$492,MATCH(112,'Output Utente'!$R$2:$R$492,0)),"")</f>
        <v/>
      </c>
      <c r="E115" s="26" t="str">
        <f aca="false">IFERROR(INDEX('Input Giocatori 2026_27'!$D$3:$D$493,MATCH($B115,'Input Giocatori 2026_27'!$A$3:$A$493,0)),"")</f>
        <v/>
      </c>
      <c r="F115" s="27" t="str">
        <f aca="false">IFERROR(INDEX('Output Utente'!$N$2:$N$492,MATCH(112,'Output Utente'!$R$2:$R$492,0)),"")</f>
        <v/>
      </c>
      <c r="G115" s="26" t="str">
        <f aca="false">IFERROR(INDEX('Output Utente'!$O$2:$O$492,MATCH(112,'Output Utente'!$R$2:$R$492,0)),"")</f>
        <v/>
      </c>
      <c r="H115" s="26" t="str">
        <f aca="false">IFERROR(INDEX('Output Utente'!$P$2:$P$492,MATCH(112,'Output Utente'!$R$2:$R$492,0)),"")</f>
        <v/>
      </c>
      <c r="I115" s="27" t="str">
        <f aca="false">IFERROR(INDEX('Output Utente'!$F$2:$F$492,MATCH(112,'Output Utente'!$R$2:$R$492,0)),"")</f>
        <v/>
      </c>
      <c r="J115" s="27" t="str">
        <f aca="false">IFERROR(INDEX('Output Utente'!$G$2:$G$492,MATCH(112,'Output Utente'!$R$2:$R$492,0)),"")</f>
        <v/>
      </c>
      <c r="K115" s="27" t="str">
        <f aca="false">IFERROR(INDEX('Output Utente'!$H$2:$H$492,MATCH(112,'Output Utente'!$R$2:$R$492,0)),"")</f>
        <v/>
      </c>
      <c r="L115" s="26" t="str">
        <f aca="false">IFERROR(INDEX('Output Utente'!$E$2:$E$492,MATCH(112,'Output Utente'!$R$2:$R$492,0)),"")</f>
        <v/>
      </c>
    </row>
    <row r="116" customFormat="false" ht="15" hidden="false" customHeight="true" outlineLevel="0" collapsed="false">
      <c r="A116" s="29" t="n">
        <v>113</v>
      </c>
      <c r="B116" s="26" t="str">
        <f aca="false">IFERROR(INDEX('Output Utente'!$A$2:$A$492,MATCH(113,'Output Utente'!$R$2:$R$492,0)),"")</f>
        <v/>
      </c>
      <c r="C116" s="26" t="str">
        <f aca="false">IFERROR(INDEX('Output Utente'!$B$2:$B$492,MATCH(113,'Output Utente'!$R$2:$R$492,0)),"")</f>
        <v/>
      </c>
      <c r="D116" s="26" t="str">
        <f aca="false">IFERROR(INDEX('Output Utente'!$C$2:$C$492,MATCH(113,'Output Utente'!$R$2:$R$492,0)),"")</f>
        <v/>
      </c>
      <c r="E116" s="26" t="str">
        <f aca="false">IFERROR(INDEX('Input Giocatori 2026_27'!$D$3:$D$493,MATCH($B116,'Input Giocatori 2026_27'!$A$3:$A$493,0)),"")</f>
        <v/>
      </c>
      <c r="F116" s="27" t="str">
        <f aca="false">IFERROR(INDEX('Output Utente'!$N$2:$N$492,MATCH(113,'Output Utente'!$R$2:$R$492,0)),"")</f>
        <v/>
      </c>
      <c r="G116" s="26" t="str">
        <f aca="false">IFERROR(INDEX('Output Utente'!$O$2:$O$492,MATCH(113,'Output Utente'!$R$2:$R$492,0)),"")</f>
        <v/>
      </c>
      <c r="H116" s="26" t="str">
        <f aca="false">IFERROR(INDEX('Output Utente'!$P$2:$P$492,MATCH(113,'Output Utente'!$R$2:$R$492,0)),"")</f>
        <v/>
      </c>
      <c r="I116" s="27" t="str">
        <f aca="false">IFERROR(INDEX('Output Utente'!$F$2:$F$492,MATCH(113,'Output Utente'!$R$2:$R$492,0)),"")</f>
        <v/>
      </c>
      <c r="J116" s="27" t="str">
        <f aca="false">IFERROR(INDEX('Output Utente'!$G$2:$G$492,MATCH(113,'Output Utente'!$R$2:$R$492,0)),"")</f>
        <v/>
      </c>
      <c r="K116" s="27" t="str">
        <f aca="false">IFERROR(INDEX('Output Utente'!$H$2:$H$492,MATCH(113,'Output Utente'!$R$2:$R$492,0)),"")</f>
        <v/>
      </c>
      <c r="L116" s="26" t="str">
        <f aca="false">IFERROR(INDEX('Output Utente'!$E$2:$E$492,MATCH(113,'Output Utente'!$R$2:$R$492,0)),"")</f>
        <v/>
      </c>
    </row>
    <row r="117" customFormat="false" ht="15" hidden="false" customHeight="true" outlineLevel="0" collapsed="false">
      <c r="A117" s="29" t="n">
        <v>114</v>
      </c>
      <c r="B117" s="26" t="str">
        <f aca="false">IFERROR(INDEX('Output Utente'!$A$2:$A$492,MATCH(114,'Output Utente'!$R$2:$R$492,0)),"")</f>
        <v/>
      </c>
      <c r="C117" s="26" t="str">
        <f aca="false">IFERROR(INDEX('Output Utente'!$B$2:$B$492,MATCH(114,'Output Utente'!$R$2:$R$492,0)),"")</f>
        <v/>
      </c>
      <c r="D117" s="26" t="str">
        <f aca="false">IFERROR(INDEX('Output Utente'!$C$2:$C$492,MATCH(114,'Output Utente'!$R$2:$R$492,0)),"")</f>
        <v/>
      </c>
      <c r="E117" s="26" t="str">
        <f aca="false">IFERROR(INDEX('Input Giocatori 2026_27'!$D$3:$D$493,MATCH($B117,'Input Giocatori 2026_27'!$A$3:$A$493,0)),"")</f>
        <v/>
      </c>
      <c r="F117" s="27" t="str">
        <f aca="false">IFERROR(INDEX('Output Utente'!$N$2:$N$492,MATCH(114,'Output Utente'!$R$2:$R$492,0)),"")</f>
        <v/>
      </c>
      <c r="G117" s="26" t="str">
        <f aca="false">IFERROR(INDEX('Output Utente'!$O$2:$O$492,MATCH(114,'Output Utente'!$R$2:$R$492,0)),"")</f>
        <v/>
      </c>
      <c r="H117" s="26" t="str">
        <f aca="false">IFERROR(INDEX('Output Utente'!$P$2:$P$492,MATCH(114,'Output Utente'!$R$2:$R$492,0)),"")</f>
        <v/>
      </c>
      <c r="I117" s="27" t="str">
        <f aca="false">IFERROR(INDEX('Output Utente'!$F$2:$F$492,MATCH(114,'Output Utente'!$R$2:$R$492,0)),"")</f>
        <v/>
      </c>
      <c r="J117" s="27" t="str">
        <f aca="false">IFERROR(INDEX('Output Utente'!$G$2:$G$492,MATCH(114,'Output Utente'!$R$2:$R$492,0)),"")</f>
        <v/>
      </c>
      <c r="K117" s="27" t="str">
        <f aca="false">IFERROR(INDEX('Output Utente'!$H$2:$H$492,MATCH(114,'Output Utente'!$R$2:$R$492,0)),"")</f>
        <v/>
      </c>
      <c r="L117" s="26" t="str">
        <f aca="false">IFERROR(INDEX('Output Utente'!$E$2:$E$492,MATCH(114,'Output Utente'!$R$2:$R$492,0)),"")</f>
        <v/>
      </c>
    </row>
    <row r="118" customFormat="false" ht="15" hidden="false" customHeight="true" outlineLevel="0" collapsed="false">
      <c r="A118" s="29" t="n">
        <v>115</v>
      </c>
      <c r="B118" s="26" t="str">
        <f aca="false">IFERROR(INDEX('Output Utente'!$A$2:$A$492,MATCH(115,'Output Utente'!$R$2:$R$492,0)),"")</f>
        <v/>
      </c>
      <c r="C118" s="26" t="str">
        <f aca="false">IFERROR(INDEX('Output Utente'!$B$2:$B$492,MATCH(115,'Output Utente'!$R$2:$R$492,0)),"")</f>
        <v/>
      </c>
      <c r="D118" s="26" t="str">
        <f aca="false">IFERROR(INDEX('Output Utente'!$C$2:$C$492,MATCH(115,'Output Utente'!$R$2:$R$492,0)),"")</f>
        <v/>
      </c>
      <c r="E118" s="26" t="str">
        <f aca="false">IFERROR(INDEX('Input Giocatori 2026_27'!$D$3:$D$493,MATCH($B118,'Input Giocatori 2026_27'!$A$3:$A$493,0)),"")</f>
        <v/>
      </c>
      <c r="F118" s="27" t="str">
        <f aca="false">IFERROR(INDEX('Output Utente'!$N$2:$N$492,MATCH(115,'Output Utente'!$R$2:$R$492,0)),"")</f>
        <v/>
      </c>
      <c r="G118" s="26" t="str">
        <f aca="false">IFERROR(INDEX('Output Utente'!$O$2:$O$492,MATCH(115,'Output Utente'!$R$2:$R$492,0)),"")</f>
        <v/>
      </c>
      <c r="H118" s="26" t="str">
        <f aca="false">IFERROR(INDEX('Output Utente'!$P$2:$P$492,MATCH(115,'Output Utente'!$R$2:$R$492,0)),"")</f>
        <v/>
      </c>
      <c r="I118" s="27" t="str">
        <f aca="false">IFERROR(INDEX('Output Utente'!$F$2:$F$492,MATCH(115,'Output Utente'!$R$2:$R$492,0)),"")</f>
        <v/>
      </c>
      <c r="J118" s="27" t="str">
        <f aca="false">IFERROR(INDEX('Output Utente'!$G$2:$G$492,MATCH(115,'Output Utente'!$R$2:$R$492,0)),"")</f>
        <v/>
      </c>
      <c r="K118" s="27" t="str">
        <f aca="false">IFERROR(INDEX('Output Utente'!$H$2:$H$492,MATCH(115,'Output Utente'!$R$2:$R$492,0)),"")</f>
        <v/>
      </c>
      <c r="L118" s="26" t="str">
        <f aca="false">IFERROR(INDEX('Output Utente'!$E$2:$E$492,MATCH(115,'Output Utente'!$R$2:$R$492,0)),"")</f>
        <v/>
      </c>
    </row>
    <row r="119" customFormat="false" ht="15" hidden="false" customHeight="true" outlineLevel="0" collapsed="false">
      <c r="A119" s="29" t="n">
        <v>116</v>
      </c>
      <c r="B119" s="26" t="str">
        <f aca="false">IFERROR(INDEX('Output Utente'!$A$2:$A$492,MATCH(116,'Output Utente'!$R$2:$R$492,0)),"")</f>
        <v/>
      </c>
      <c r="C119" s="26" t="str">
        <f aca="false">IFERROR(INDEX('Output Utente'!$B$2:$B$492,MATCH(116,'Output Utente'!$R$2:$R$492,0)),"")</f>
        <v/>
      </c>
      <c r="D119" s="26" t="str">
        <f aca="false">IFERROR(INDEX('Output Utente'!$C$2:$C$492,MATCH(116,'Output Utente'!$R$2:$R$492,0)),"")</f>
        <v/>
      </c>
      <c r="E119" s="26" t="str">
        <f aca="false">IFERROR(INDEX('Input Giocatori 2026_27'!$D$3:$D$493,MATCH($B119,'Input Giocatori 2026_27'!$A$3:$A$493,0)),"")</f>
        <v/>
      </c>
      <c r="F119" s="27" t="str">
        <f aca="false">IFERROR(INDEX('Output Utente'!$N$2:$N$492,MATCH(116,'Output Utente'!$R$2:$R$492,0)),"")</f>
        <v/>
      </c>
      <c r="G119" s="26" t="str">
        <f aca="false">IFERROR(INDEX('Output Utente'!$O$2:$O$492,MATCH(116,'Output Utente'!$R$2:$R$492,0)),"")</f>
        <v/>
      </c>
      <c r="H119" s="26" t="str">
        <f aca="false">IFERROR(INDEX('Output Utente'!$P$2:$P$492,MATCH(116,'Output Utente'!$R$2:$R$492,0)),"")</f>
        <v/>
      </c>
      <c r="I119" s="27" t="str">
        <f aca="false">IFERROR(INDEX('Output Utente'!$F$2:$F$492,MATCH(116,'Output Utente'!$R$2:$R$492,0)),"")</f>
        <v/>
      </c>
      <c r="J119" s="27" t="str">
        <f aca="false">IFERROR(INDEX('Output Utente'!$G$2:$G$492,MATCH(116,'Output Utente'!$R$2:$R$492,0)),"")</f>
        <v/>
      </c>
      <c r="K119" s="27" t="str">
        <f aca="false">IFERROR(INDEX('Output Utente'!$H$2:$H$492,MATCH(116,'Output Utente'!$R$2:$R$492,0)),"")</f>
        <v/>
      </c>
      <c r="L119" s="26" t="str">
        <f aca="false">IFERROR(INDEX('Output Utente'!$E$2:$E$492,MATCH(116,'Output Utente'!$R$2:$R$492,0)),"")</f>
        <v/>
      </c>
    </row>
    <row r="120" customFormat="false" ht="15" hidden="false" customHeight="true" outlineLevel="0" collapsed="false">
      <c r="A120" s="29" t="n">
        <v>117</v>
      </c>
      <c r="B120" s="26" t="str">
        <f aca="false">IFERROR(INDEX('Output Utente'!$A$2:$A$492,MATCH(117,'Output Utente'!$R$2:$R$492,0)),"")</f>
        <v/>
      </c>
      <c r="C120" s="26" t="str">
        <f aca="false">IFERROR(INDEX('Output Utente'!$B$2:$B$492,MATCH(117,'Output Utente'!$R$2:$R$492,0)),"")</f>
        <v/>
      </c>
      <c r="D120" s="26" t="str">
        <f aca="false">IFERROR(INDEX('Output Utente'!$C$2:$C$492,MATCH(117,'Output Utente'!$R$2:$R$492,0)),"")</f>
        <v/>
      </c>
      <c r="E120" s="26" t="str">
        <f aca="false">IFERROR(INDEX('Input Giocatori 2026_27'!$D$3:$D$493,MATCH($B120,'Input Giocatori 2026_27'!$A$3:$A$493,0)),"")</f>
        <v/>
      </c>
      <c r="F120" s="27" t="str">
        <f aca="false">IFERROR(INDEX('Output Utente'!$N$2:$N$492,MATCH(117,'Output Utente'!$R$2:$R$492,0)),"")</f>
        <v/>
      </c>
      <c r="G120" s="26" t="str">
        <f aca="false">IFERROR(INDEX('Output Utente'!$O$2:$O$492,MATCH(117,'Output Utente'!$R$2:$R$492,0)),"")</f>
        <v/>
      </c>
      <c r="H120" s="26" t="str">
        <f aca="false">IFERROR(INDEX('Output Utente'!$P$2:$P$492,MATCH(117,'Output Utente'!$R$2:$R$492,0)),"")</f>
        <v/>
      </c>
      <c r="I120" s="27" t="str">
        <f aca="false">IFERROR(INDEX('Output Utente'!$F$2:$F$492,MATCH(117,'Output Utente'!$R$2:$R$492,0)),"")</f>
        <v/>
      </c>
      <c r="J120" s="27" t="str">
        <f aca="false">IFERROR(INDEX('Output Utente'!$G$2:$G$492,MATCH(117,'Output Utente'!$R$2:$R$492,0)),"")</f>
        <v/>
      </c>
      <c r="K120" s="27" t="str">
        <f aca="false">IFERROR(INDEX('Output Utente'!$H$2:$H$492,MATCH(117,'Output Utente'!$R$2:$R$492,0)),"")</f>
        <v/>
      </c>
      <c r="L120" s="26" t="str">
        <f aca="false">IFERROR(INDEX('Output Utente'!$E$2:$E$492,MATCH(117,'Output Utente'!$R$2:$R$492,0)),"")</f>
        <v/>
      </c>
    </row>
    <row r="121" customFormat="false" ht="15" hidden="false" customHeight="true" outlineLevel="0" collapsed="false">
      <c r="A121" s="29" t="n">
        <v>118</v>
      </c>
      <c r="B121" s="26" t="str">
        <f aca="false">IFERROR(INDEX('Output Utente'!$A$2:$A$492,MATCH(118,'Output Utente'!$R$2:$R$492,0)),"")</f>
        <v/>
      </c>
      <c r="C121" s="26" t="str">
        <f aca="false">IFERROR(INDEX('Output Utente'!$B$2:$B$492,MATCH(118,'Output Utente'!$R$2:$R$492,0)),"")</f>
        <v/>
      </c>
      <c r="D121" s="26" t="str">
        <f aca="false">IFERROR(INDEX('Output Utente'!$C$2:$C$492,MATCH(118,'Output Utente'!$R$2:$R$492,0)),"")</f>
        <v/>
      </c>
      <c r="E121" s="26" t="str">
        <f aca="false">IFERROR(INDEX('Input Giocatori 2026_27'!$D$3:$D$493,MATCH($B121,'Input Giocatori 2026_27'!$A$3:$A$493,0)),"")</f>
        <v/>
      </c>
      <c r="F121" s="27" t="str">
        <f aca="false">IFERROR(INDEX('Output Utente'!$N$2:$N$492,MATCH(118,'Output Utente'!$R$2:$R$492,0)),"")</f>
        <v/>
      </c>
      <c r="G121" s="26" t="str">
        <f aca="false">IFERROR(INDEX('Output Utente'!$O$2:$O$492,MATCH(118,'Output Utente'!$R$2:$R$492,0)),"")</f>
        <v/>
      </c>
      <c r="H121" s="26" t="str">
        <f aca="false">IFERROR(INDEX('Output Utente'!$P$2:$P$492,MATCH(118,'Output Utente'!$R$2:$R$492,0)),"")</f>
        <v/>
      </c>
      <c r="I121" s="27" t="str">
        <f aca="false">IFERROR(INDEX('Output Utente'!$F$2:$F$492,MATCH(118,'Output Utente'!$R$2:$R$492,0)),"")</f>
        <v/>
      </c>
      <c r="J121" s="27" t="str">
        <f aca="false">IFERROR(INDEX('Output Utente'!$G$2:$G$492,MATCH(118,'Output Utente'!$R$2:$R$492,0)),"")</f>
        <v/>
      </c>
      <c r="K121" s="27" t="str">
        <f aca="false">IFERROR(INDEX('Output Utente'!$H$2:$H$492,MATCH(118,'Output Utente'!$R$2:$R$492,0)),"")</f>
        <v/>
      </c>
      <c r="L121" s="26" t="str">
        <f aca="false">IFERROR(INDEX('Output Utente'!$E$2:$E$492,MATCH(118,'Output Utente'!$R$2:$R$492,0)),"")</f>
        <v/>
      </c>
    </row>
    <row r="122" customFormat="false" ht="15" hidden="false" customHeight="true" outlineLevel="0" collapsed="false">
      <c r="A122" s="29" t="n">
        <v>119</v>
      </c>
      <c r="B122" s="26" t="str">
        <f aca="false">IFERROR(INDEX('Output Utente'!$A$2:$A$492,MATCH(119,'Output Utente'!$R$2:$R$492,0)),"")</f>
        <v/>
      </c>
      <c r="C122" s="26" t="str">
        <f aca="false">IFERROR(INDEX('Output Utente'!$B$2:$B$492,MATCH(119,'Output Utente'!$R$2:$R$492,0)),"")</f>
        <v/>
      </c>
      <c r="D122" s="26" t="str">
        <f aca="false">IFERROR(INDEX('Output Utente'!$C$2:$C$492,MATCH(119,'Output Utente'!$R$2:$R$492,0)),"")</f>
        <v/>
      </c>
      <c r="E122" s="26" t="str">
        <f aca="false">IFERROR(INDEX('Input Giocatori 2026_27'!$D$3:$D$493,MATCH($B122,'Input Giocatori 2026_27'!$A$3:$A$493,0)),"")</f>
        <v/>
      </c>
      <c r="F122" s="27" t="str">
        <f aca="false">IFERROR(INDEX('Output Utente'!$N$2:$N$492,MATCH(119,'Output Utente'!$R$2:$R$492,0)),"")</f>
        <v/>
      </c>
      <c r="G122" s="26" t="str">
        <f aca="false">IFERROR(INDEX('Output Utente'!$O$2:$O$492,MATCH(119,'Output Utente'!$R$2:$R$492,0)),"")</f>
        <v/>
      </c>
      <c r="H122" s="26" t="str">
        <f aca="false">IFERROR(INDEX('Output Utente'!$P$2:$P$492,MATCH(119,'Output Utente'!$R$2:$R$492,0)),"")</f>
        <v/>
      </c>
      <c r="I122" s="27" t="str">
        <f aca="false">IFERROR(INDEX('Output Utente'!$F$2:$F$492,MATCH(119,'Output Utente'!$R$2:$R$492,0)),"")</f>
        <v/>
      </c>
      <c r="J122" s="27" t="str">
        <f aca="false">IFERROR(INDEX('Output Utente'!$G$2:$G$492,MATCH(119,'Output Utente'!$R$2:$R$492,0)),"")</f>
        <v/>
      </c>
      <c r="K122" s="27" t="str">
        <f aca="false">IFERROR(INDEX('Output Utente'!$H$2:$H$492,MATCH(119,'Output Utente'!$R$2:$R$492,0)),"")</f>
        <v/>
      </c>
      <c r="L122" s="26" t="str">
        <f aca="false">IFERROR(INDEX('Output Utente'!$E$2:$E$492,MATCH(119,'Output Utente'!$R$2:$R$492,0)),"")</f>
        <v/>
      </c>
    </row>
    <row r="123" customFormat="false" ht="15" hidden="false" customHeight="true" outlineLevel="0" collapsed="false">
      <c r="A123" s="29" t="n">
        <v>120</v>
      </c>
      <c r="B123" s="26" t="str">
        <f aca="false">IFERROR(INDEX('Output Utente'!$A$2:$A$492,MATCH(120,'Output Utente'!$R$2:$R$492,0)),"")</f>
        <v/>
      </c>
      <c r="C123" s="26" t="str">
        <f aca="false">IFERROR(INDEX('Output Utente'!$B$2:$B$492,MATCH(120,'Output Utente'!$R$2:$R$492,0)),"")</f>
        <v/>
      </c>
      <c r="D123" s="26" t="str">
        <f aca="false">IFERROR(INDEX('Output Utente'!$C$2:$C$492,MATCH(120,'Output Utente'!$R$2:$R$492,0)),"")</f>
        <v/>
      </c>
      <c r="E123" s="26" t="str">
        <f aca="false">IFERROR(INDEX('Input Giocatori 2026_27'!$D$3:$D$493,MATCH($B123,'Input Giocatori 2026_27'!$A$3:$A$493,0)),"")</f>
        <v/>
      </c>
      <c r="F123" s="27" t="str">
        <f aca="false">IFERROR(INDEX('Output Utente'!$N$2:$N$492,MATCH(120,'Output Utente'!$R$2:$R$492,0)),"")</f>
        <v/>
      </c>
      <c r="G123" s="26" t="str">
        <f aca="false">IFERROR(INDEX('Output Utente'!$O$2:$O$492,MATCH(120,'Output Utente'!$R$2:$R$492,0)),"")</f>
        <v/>
      </c>
      <c r="H123" s="26" t="str">
        <f aca="false">IFERROR(INDEX('Output Utente'!$P$2:$P$492,MATCH(120,'Output Utente'!$R$2:$R$492,0)),"")</f>
        <v/>
      </c>
      <c r="I123" s="27" t="str">
        <f aca="false">IFERROR(INDEX('Output Utente'!$F$2:$F$492,MATCH(120,'Output Utente'!$R$2:$R$492,0)),"")</f>
        <v/>
      </c>
      <c r="J123" s="27" t="str">
        <f aca="false">IFERROR(INDEX('Output Utente'!$G$2:$G$492,MATCH(120,'Output Utente'!$R$2:$R$492,0)),"")</f>
        <v/>
      </c>
      <c r="K123" s="27" t="str">
        <f aca="false">IFERROR(INDEX('Output Utente'!$H$2:$H$492,MATCH(120,'Output Utente'!$R$2:$R$492,0)),"")</f>
        <v/>
      </c>
      <c r="L123" s="26" t="str">
        <f aca="false">IFERROR(INDEX('Output Utente'!$E$2:$E$492,MATCH(120,'Output Utente'!$R$2:$R$492,0)),"")</f>
        <v/>
      </c>
    </row>
    <row r="124" customFormat="false" ht="15" hidden="false" customHeight="true" outlineLevel="0" collapsed="false">
      <c r="A124" s="29" t="n">
        <v>121</v>
      </c>
      <c r="B124" s="26" t="str">
        <f aca="false">IFERROR(INDEX('Output Utente'!$A$2:$A$492,MATCH(121,'Output Utente'!$R$2:$R$492,0)),"")</f>
        <v/>
      </c>
      <c r="C124" s="26" t="str">
        <f aca="false">IFERROR(INDEX('Output Utente'!$B$2:$B$492,MATCH(121,'Output Utente'!$R$2:$R$492,0)),"")</f>
        <v/>
      </c>
      <c r="D124" s="26" t="str">
        <f aca="false">IFERROR(INDEX('Output Utente'!$C$2:$C$492,MATCH(121,'Output Utente'!$R$2:$R$492,0)),"")</f>
        <v/>
      </c>
      <c r="E124" s="26" t="str">
        <f aca="false">IFERROR(INDEX('Input Giocatori 2026_27'!$D$3:$D$493,MATCH($B124,'Input Giocatori 2026_27'!$A$3:$A$493,0)),"")</f>
        <v/>
      </c>
      <c r="F124" s="27" t="str">
        <f aca="false">IFERROR(INDEX('Output Utente'!$N$2:$N$492,MATCH(121,'Output Utente'!$R$2:$R$492,0)),"")</f>
        <v/>
      </c>
      <c r="G124" s="26" t="str">
        <f aca="false">IFERROR(INDEX('Output Utente'!$O$2:$O$492,MATCH(121,'Output Utente'!$R$2:$R$492,0)),"")</f>
        <v/>
      </c>
      <c r="H124" s="26" t="str">
        <f aca="false">IFERROR(INDEX('Output Utente'!$P$2:$P$492,MATCH(121,'Output Utente'!$R$2:$R$492,0)),"")</f>
        <v/>
      </c>
      <c r="I124" s="27" t="str">
        <f aca="false">IFERROR(INDEX('Output Utente'!$F$2:$F$492,MATCH(121,'Output Utente'!$R$2:$R$492,0)),"")</f>
        <v/>
      </c>
      <c r="J124" s="27" t="str">
        <f aca="false">IFERROR(INDEX('Output Utente'!$G$2:$G$492,MATCH(121,'Output Utente'!$R$2:$R$492,0)),"")</f>
        <v/>
      </c>
      <c r="K124" s="27" t="str">
        <f aca="false">IFERROR(INDEX('Output Utente'!$H$2:$H$492,MATCH(121,'Output Utente'!$R$2:$R$492,0)),"")</f>
        <v/>
      </c>
      <c r="L124" s="26" t="str">
        <f aca="false">IFERROR(INDEX('Output Utente'!$E$2:$E$492,MATCH(121,'Output Utente'!$R$2:$R$492,0)),"")</f>
        <v/>
      </c>
    </row>
    <row r="125" customFormat="false" ht="15" hidden="false" customHeight="true" outlineLevel="0" collapsed="false">
      <c r="A125" s="29" t="n">
        <v>122</v>
      </c>
      <c r="B125" s="26" t="str">
        <f aca="false">IFERROR(INDEX('Output Utente'!$A$2:$A$492,MATCH(122,'Output Utente'!$R$2:$R$492,0)),"")</f>
        <v/>
      </c>
      <c r="C125" s="26" t="str">
        <f aca="false">IFERROR(INDEX('Output Utente'!$B$2:$B$492,MATCH(122,'Output Utente'!$R$2:$R$492,0)),"")</f>
        <v/>
      </c>
      <c r="D125" s="26" t="str">
        <f aca="false">IFERROR(INDEX('Output Utente'!$C$2:$C$492,MATCH(122,'Output Utente'!$R$2:$R$492,0)),"")</f>
        <v/>
      </c>
      <c r="E125" s="26" t="str">
        <f aca="false">IFERROR(INDEX('Input Giocatori 2026_27'!$D$3:$D$493,MATCH($B125,'Input Giocatori 2026_27'!$A$3:$A$493,0)),"")</f>
        <v/>
      </c>
      <c r="F125" s="27" t="str">
        <f aca="false">IFERROR(INDEX('Output Utente'!$N$2:$N$492,MATCH(122,'Output Utente'!$R$2:$R$492,0)),"")</f>
        <v/>
      </c>
      <c r="G125" s="26" t="str">
        <f aca="false">IFERROR(INDEX('Output Utente'!$O$2:$O$492,MATCH(122,'Output Utente'!$R$2:$R$492,0)),"")</f>
        <v/>
      </c>
      <c r="H125" s="26" t="str">
        <f aca="false">IFERROR(INDEX('Output Utente'!$P$2:$P$492,MATCH(122,'Output Utente'!$R$2:$R$492,0)),"")</f>
        <v/>
      </c>
      <c r="I125" s="27" t="str">
        <f aca="false">IFERROR(INDEX('Output Utente'!$F$2:$F$492,MATCH(122,'Output Utente'!$R$2:$R$492,0)),"")</f>
        <v/>
      </c>
      <c r="J125" s="27" t="str">
        <f aca="false">IFERROR(INDEX('Output Utente'!$G$2:$G$492,MATCH(122,'Output Utente'!$R$2:$R$492,0)),"")</f>
        <v/>
      </c>
      <c r="K125" s="27" t="str">
        <f aca="false">IFERROR(INDEX('Output Utente'!$H$2:$H$492,MATCH(122,'Output Utente'!$R$2:$R$492,0)),"")</f>
        <v/>
      </c>
      <c r="L125" s="26" t="str">
        <f aca="false">IFERROR(INDEX('Output Utente'!$E$2:$E$492,MATCH(122,'Output Utente'!$R$2:$R$492,0)),"")</f>
        <v/>
      </c>
    </row>
    <row r="126" customFormat="false" ht="15" hidden="false" customHeight="true" outlineLevel="0" collapsed="false">
      <c r="A126" s="29" t="n">
        <v>123</v>
      </c>
      <c r="B126" s="26" t="str">
        <f aca="false">IFERROR(INDEX('Output Utente'!$A$2:$A$492,MATCH(123,'Output Utente'!$R$2:$R$492,0)),"")</f>
        <v/>
      </c>
      <c r="C126" s="26" t="str">
        <f aca="false">IFERROR(INDEX('Output Utente'!$B$2:$B$492,MATCH(123,'Output Utente'!$R$2:$R$492,0)),"")</f>
        <v/>
      </c>
      <c r="D126" s="26" t="str">
        <f aca="false">IFERROR(INDEX('Output Utente'!$C$2:$C$492,MATCH(123,'Output Utente'!$R$2:$R$492,0)),"")</f>
        <v/>
      </c>
      <c r="E126" s="26" t="str">
        <f aca="false">IFERROR(INDEX('Input Giocatori 2026_27'!$D$3:$D$493,MATCH($B126,'Input Giocatori 2026_27'!$A$3:$A$493,0)),"")</f>
        <v/>
      </c>
      <c r="F126" s="27" t="str">
        <f aca="false">IFERROR(INDEX('Output Utente'!$N$2:$N$492,MATCH(123,'Output Utente'!$R$2:$R$492,0)),"")</f>
        <v/>
      </c>
      <c r="G126" s="26" t="str">
        <f aca="false">IFERROR(INDEX('Output Utente'!$O$2:$O$492,MATCH(123,'Output Utente'!$R$2:$R$492,0)),"")</f>
        <v/>
      </c>
      <c r="H126" s="26" t="str">
        <f aca="false">IFERROR(INDEX('Output Utente'!$P$2:$P$492,MATCH(123,'Output Utente'!$R$2:$R$492,0)),"")</f>
        <v/>
      </c>
      <c r="I126" s="27" t="str">
        <f aca="false">IFERROR(INDEX('Output Utente'!$F$2:$F$492,MATCH(123,'Output Utente'!$R$2:$R$492,0)),"")</f>
        <v/>
      </c>
      <c r="J126" s="27" t="str">
        <f aca="false">IFERROR(INDEX('Output Utente'!$G$2:$G$492,MATCH(123,'Output Utente'!$R$2:$R$492,0)),"")</f>
        <v/>
      </c>
      <c r="K126" s="27" t="str">
        <f aca="false">IFERROR(INDEX('Output Utente'!$H$2:$H$492,MATCH(123,'Output Utente'!$R$2:$R$492,0)),"")</f>
        <v/>
      </c>
      <c r="L126" s="26" t="str">
        <f aca="false">IFERROR(INDEX('Output Utente'!$E$2:$E$492,MATCH(123,'Output Utente'!$R$2:$R$492,0)),"")</f>
        <v/>
      </c>
    </row>
    <row r="127" customFormat="false" ht="15" hidden="false" customHeight="true" outlineLevel="0" collapsed="false">
      <c r="A127" s="29" t="n">
        <v>124</v>
      </c>
      <c r="B127" s="26" t="str">
        <f aca="false">IFERROR(INDEX('Output Utente'!$A$2:$A$492,MATCH(124,'Output Utente'!$R$2:$R$492,0)),"")</f>
        <v/>
      </c>
      <c r="C127" s="26" t="str">
        <f aca="false">IFERROR(INDEX('Output Utente'!$B$2:$B$492,MATCH(124,'Output Utente'!$R$2:$R$492,0)),"")</f>
        <v/>
      </c>
      <c r="D127" s="26" t="str">
        <f aca="false">IFERROR(INDEX('Output Utente'!$C$2:$C$492,MATCH(124,'Output Utente'!$R$2:$R$492,0)),"")</f>
        <v/>
      </c>
      <c r="E127" s="26" t="str">
        <f aca="false">IFERROR(INDEX('Input Giocatori 2026_27'!$D$3:$D$493,MATCH($B127,'Input Giocatori 2026_27'!$A$3:$A$493,0)),"")</f>
        <v/>
      </c>
      <c r="F127" s="27" t="str">
        <f aca="false">IFERROR(INDEX('Output Utente'!$N$2:$N$492,MATCH(124,'Output Utente'!$R$2:$R$492,0)),"")</f>
        <v/>
      </c>
      <c r="G127" s="26" t="str">
        <f aca="false">IFERROR(INDEX('Output Utente'!$O$2:$O$492,MATCH(124,'Output Utente'!$R$2:$R$492,0)),"")</f>
        <v/>
      </c>
      <c r="H127" s="26" t="str">
        <f aca="false">IFERROR(INDEX('Output Utente'!$P$2:$P$492,MATCH(124,'Output Utente'!$R$2:$R$492,0)),"")</f>
        <v/>
      </c>
      <c r="I127" s="27" t="str">
        <f aca="false">IFERROR(INDEX('Output Utente'!$F$2:$F$492,MATCH(124,'Output Utente'!$R$2:$R$492,0)),"")</f>
        <v/>
      </c>
      <c r="J127" s="27" t="str">
        <f aca="false">IFERROR(INDEX('Output Utente'!$G$2:$G$492,MATCH(124,'Output Utente'!$R$2:$R$492,0)),"")</f>
        <v/>
      </c>
      <c r="K127" s="27" t="str">
        <f aca="false">IFERROR(INDEX('Output Utente'!$H$2:$H$492,MATCH(124,'Output Utente'!$R$2:$R$492,0)),"")</f>
        <v/>
      </c>
      <c r="L127" s="26" t="str">
        <f aca="false">IFERROR(INDEX('Output Utente'!$E$2:$E$492,MATCH(124,'Output Utente'!$R$2:$R$492,0)),"")</f>
        <v/>
      </c>
    </row>
    <row r="128" customFormat="false" ht="15" hidden="false" customHeight="true" outlineLevel="0" collapsed="false">
      <c r="A128" s="29" t="n">
        <v>125</v>
      </c>
      <c r="B128" s="26" t="str">
        <f aca="false">IFERROR(INDEX('Output Utente'!$A$2:$A$492,MATCH(125,'Output Utente'!$R$2:$R$492,0)),"")</f>
        <v/>
      </c>
      <c r="C128" s="26" t="str">
        <f aca="false">IFERROR(INDEX('Output Utente'!$B$2:$B$492,MATCH(125,'Output Utente'!$R$2:$R$492,0)),"")</f>
        <v/>
      </c>
      <c r="D128" s="26" t="str">
        <f aca="false">IFERROR(INDEX('Output Utente'!$C$2:$C$492,MATCH(125,'Output Utente'!$R$2:$R$492,0)),"")</f>
        <v/>
      </c>
      <c r="E128" s="26" t="str">
        <f aca="false">IFERROR(INDEX('Input Giocatori 2026_27'!$D$3:$D$493,MATCH($B128,'Input Giocatori 2026_27'!$A$3:$A$493,0)),"")</f>
        <v/>
      </c>
      <c r="F128" s="27" t="str">
        <f aca="false">IFERROR(INDEX('Output Utente'!$N$2:$N$492,MATCH(125,'Output Utente'!$R$2:$R$492,0)),"")</f>
        <v/>
      </c>
      <c r="G128" s="26" t="str">
        <f aca="false">IFERROR(INDEX('Output Utente'!$O$2:$O$492,MATCH(125,'Output Utente'!$R$2:$R$492,0)),"")</f>
        <v/>
      </c>
      <c r="H128" s="26" t="str">
        <f aca="false">IFERROR(INDEX('Output Utente'!$P$2:$P$492,MATCH(125,'Output Utente'!$R$2:$R$492,0)),"")</f>
        <v/>
      </c>
      <c r="I128" s="27" t="str">
        <f aca="false">IFERROR(INDEX('Output Utente'!$F$2:$F$492,MATCH(125,'Output Utente'!$R$2:$R$492,0)),"")</f>
        <v/>
      </c>
      <c r="J128" s="27" t="str">
        <f aca="false">IFERROR(INDEX('Output Utente'!$G$2:$G$492,MATCH(125,'Output Utente'!$R$2:$R$492,0)),"")</f>
        <v/>
      </c>
      <c r="K128" s="27" t="str">
        <f aca="false">IFERROR(INDEX('Output Utente'!$H$2:$H$492,MATCH(125,'Output Utente'!$R$2:$R$492,0)),"")</f>
        <v/>
      </c>
      <c r="L128" s="26" t="str">
        <f aca="false">IFERROR(INDEX('Output Utente'!$E$2:$E$492,MATCH(125,'Output Utente'!$R$2:$R$492,0)),"")</f>
        <v/>
      </c>
    </row>
    <row r="129" customFormat="false" ht="15" hidden="false" customHeight="true" outlineLevel="0" collapsed="false">
      <c r="A129" s="29" t="n">
        <v>126</v>
      </c>
      <c r="B129" s="26" t="str">
        <f aca="false">IFERROR(INDEX('Output Utente'!$A$2:$A$492,MATCH(126,'Output Utente'!$R$2:$R$492,0)),"")</f>
        <v/>
      </c>
      <c r="C129" s="26" t="str">
        <f aca="false">IFERROR(INDEX('Output Utente'!$B$2:$B$492,MATCH(126,'Output Utente'!$R$2:$R$492,0)),"")</f>
        <v/>
      </c>
      <c r="D129" s="26" t="str">
        <f aca="false">IFERROR(INDEX('Output Utente'!$C$2:$C$492,MATCH(126,'Output Utente'!$R$2:$R$492,0)),"")</f>
        <v/>
      </c>
      <c r="E129" s="26" t="str">
        <f aca="false">IFERROR(INDEX('Input Giocatori 2026_27'!$D$3:$D$493,MATCH($B129,'Input Giocatori 2026_27'!$A$3:$A$493,0)),"")</f>
        <v/>
      </c>
      <c r="F129" s="27" t="str">
        <f aca="false">IFERROR(INDEX('Output Utente'!$N$2:$N$492,MATCH(126,'Output Utente'!$R$2:$R$492,0)),"")</f>
        <v/>
      </c>
      <c r="G129" s="26" t="str">
        <f aca="false">IFERROR(INDEX('Output Utente'!$O$2:$O$492,MATCH(126,'Output Utente'!$R$2:$R$492,0)),"")</f>
        <v/>
      </c>
      <c r="H129" s="26" t="str">
        <f aca="false">IFERROR(INDEX('Output Utente'!$P$2:$P$492,MATCH(126,'Output Utente'!$R$2:$R$492,0)),"")</f>
        <v/>
      </c>
      <c r="I129" s="27" t="str">
        <f aca="false">IFERROR(INDEX('Output Utente'!$F$2:$F$492,MATCH(126,'Output Utente'!$R$2:$R$492,0)),"")</f>
        <v/>
      </c>
      <c r="J129" s="27" t="str">
        <f aca="false">IFERROR(INDEX('Output Utente'!$G$2:$G$492,MATCH(126,'Output Utente'!$R$2:$R$492,0)),"")</f>
        <v/>
      </c>
      <c r="K129" s="27" t="str">
        <f aca="false">IFERROR(INDEX('Output Utente'!$H$2:$H$492,MATCH(126,'Output Utente'!$R$2:$R$492,0)),"")</f>
        <v/>
      </c>
      <c r="L129" s="26" t="str">
        <f aca="false">IFERROR(INDEX('Output Utente'!$E$2:$E$492,MATCH(126,'Output Utente'!$R$2:$R$492,0)),"")</f>
        <v/>
      </c>
    </row>
    <row r="130" customFormat="false" ht="15" hidden="false" customHeight="true" outlineLevel="0" collapsed="false">
      <c r="A130" s="29" t="n">
        <v>127</v>
      </c>
      <c r="B130" s="26" t="str">
        <f aca="false">IFERROR(INDEX('Output Utente'!$A$2:$A$492,MATCH(127,'Output Utente'!$R$2:$R$492,0)),"")</f>
        <v/>
      </c>
      <c r="C130" s="26" t="str">
        <f aca="false">IFERROR(INDEX('Output Utente'!$B$2:$B$492,MATCH(127,'Output Utente'!$R$2:$R$492,0)),"")</f>
        <v/>
      </c>
      <c r="D130" s="26" t="str">
        <f aca="false">IFERROR(INDEX('Output Utente'!$C$2:$C$492,MATCH(127,'Output Utente'!$R$2:$R$492,0)),"")</f>
        <v/>
      </c>
      <c r="E130" s="26" t="str">
        <f aca="false">IFERROR(INDEX('Input Giocatori 2026_27'!$D$3:$D$493,MATCH($B130,'Input Giocatori 2026_27'!$A$3:$A$493,0)),"")</f>
        <v/>
      </c>
      <c r="F130" s="27" t="str">
        <f aca="false">IFERROR(INDEX('Output Utente'!$N$2:$N$492,MATCH(127,'Output Utente'!$R$2:$R$492,0)),"")</f>
        <v/>
      </c>
      <c r="G130" s="26" t="str">
        <f aca="false">IFERROR(INDEX('Output Utente'!$O$2:$O$492,MATCH(127,'Output Utente'!$R$2:$R$492,0)),"")</f>
        <v/>
      </c>
      <c r="H130" s="26" t="str">
        <f aca="false">IFERROR(INDEX('Output Utente'!$P$2:$P$492,MATCH(127,'Output Utente'!$R$2:$R$492,0)),"")</f>
        <v/>
      </c>
      <c r="I130" s="27" t="str">
        <f aca="false">IFERROR(INDEX('Output Utente'!$F$2:$F$492,MATCH(127,'Output Utente'!$R$2:$R$492,0)),"")</f>
        <v/>
      </c>
      <c r="J130" s="27" t="str">
        <f aca="false">IFERROR(INDEX('Output Utente'!$G$2:$G$492,MATCH(127,'Output Utente'!$R$2:$R$492,0)),"")</f>
        <v/>
      </c>
      <c r="K130" s="27" t="str">
        <f aca="false">IFERROR(INDEX('Output Utente'!$H$2:$H$492,MATCH(127,'Output Utente'!$R$2:$R$492,0)),"")</f>
        <v/>
      </c>
      <c r="L130" s="26" t="str">
        <f aca="false">IFERROR(INDEX('Output Utente'!$E$2:$E$492,MATCH(127,'Output Utente'!$R$2:$R$492,0)),"")</f>
        <v/>
      </c>
    </row>
    <row r="131" customFormat="false" ht="15" hidden="false" customHeight="true" outlineLevel="0" collapsed="false">
      <c r="A131" s="29" t="n">
        <v>128</v>
      </c>
      <c r="B131" s="26" t="str">
        <f aca="false">IFERROR(INDEX('Output Utente'!$A$2:$A$492,MATCH(128,'Output Utente'!$R$2:$R$492,0)),"")</f>
        <v/>
      </c>
      <c r="C131" s="26" t="str">
        <f aca="false">IFERROR(INDEX('Output Utente'!$B$2:$B$492,MATCH(128,'Output Utente'!$R$2:$R$492,0)),"")</f>
        <v/>
      </c>
      <c r="D131" s="26" t="str">
        <f aca="false">IFERROR(INDEX('Output Utente'!$C$2:$C$492,MATCH(128,'Output Utente'!$R$2:$R$492,0)),"")</f>
        <v/>
      </c>
      <c r="E131" s="26" t="str">
        <f aca="false">IFERROR(INDEX('Input Giocatori 2026_27'!$D$3:$D$493,MATCH($B131,'Input Giocatori 2026_27'!$A$3:$A$493,0)),"")</f>
        <v/>
      </c>
      <c r="F131" s="27" t="str">
        <f aca="false">IFERROR(INDEX('Output Utente'!$N$2:$N$492,MATCH(128,'Output Utente'!$R$2:$R$492,0)),"")</f>
        <v/>
      </c>
      <c r="G131" s="26" t="str">
        <f aca="false">IFERROR(INDEX('Output Utente'!$O$2:$O$492,MATCH(128,'Output Utente'!$R$2:$R$492,0)),"")</f>
        <v/>
      </c>
      <c r="H131" s="26" t="str">
        <f aca="false">IFERROR(INDEX('Output Utente'!$P$2:$P$492,MATCH(128,'Output Utente'!$R$2:$R$492,0)),"")</f>
        <v/>
      </c>
      <c r="I131" s="27" t="str">
        <f aca="false">IFERROR(INDEX('Output Utente'!$F$2:$F$492,MATCH(128,'Output Utente'!$R$2:$R$492,0)),"")</f>
        <v/>
      </c>
      <c r="J131" s="27" t="str">
        <f aca="false">IFERROR(INDEX('Output Utente'!$G$2:$G$492,MATCH(128,'Output Utente'!$R$2:$R$492,0)),"")</f>
        <v/>
      </c>
      <c r="K131" s="27" t="str">
        <f aca="false">IFERROR(INDEX('Output Utente'!$H$2:$H$492,MATCH(128,'Output Utente'!$R$2:$R$492,0)),"")</f>
        <v/>
      </c>
      <c r="L131" s="26" t="str">
        <f aca="false">IFERROR(INDEX('Output Utente'!$E$2:$E$492,MATCH(128,'Output Utente'!$R$2:$R$492,0)),"")</f>
        <v/>
      </c>
    </row>
    <row r="132" customFormat="false" ht="15" hidden="false" customHeight="true" outlineLevel="0" collapsed="false">
      <c r="A132" s="29" t="n">
        <v>129</v>
      </c>
      <c r="B132" s="26" t="str">
        <f aca="false">IFERROR(INDEX('Output Utente'!$A$2:$A$492,MATCH(129,'Output Utente'!$R$2:$R$492,0)),"")</f>
        <v/>
      </c>
      <c r="C132" s="26" t="str">
        <f aca="false">IFERROR(INDEX('Output Utente'!$B$2:$B$492,MATCH(129,'Output Utente'!$R$2:$R$492,0)),"")</f>
        <v/>
      </c>
      <c r="D132" s="26" t="str">
        <f aca="false">IFERROR(INDEX('Output Utente'!$C$2:$C$492,MATCH(129,'Output Utente'!$R$2:$R$492,0)),"")</f>
        <v/>
      </c>
      <c r="E132" s="26" t="str">
        <f aca="false">IFERROR(INDEX('Input Giocatori 2026_27'!$D$3:$D$493,MATCH($B132,'Input Giocatori 2026_27'!$A$3:$A$493,0)),"")</f>
        <v/>
      </c>
      <c r="F132" s="27" t="str">
        <f aca="false">IFERROR(INDEX('Output Utente'!$N$2:$N$492,MATCH(129,'Output Utente'!$R$2:$R$492,0)),"")</f>
        <v/>
      </c>
      <c r="G132" s="26" t="str">
        <f aca="false">IFERROR(INDEX('Output Utente'!$O$2:$O$492,MATCH(129,'Output Utente'!$R$2:$R$492,0)),"")</f>
        <v/>
      </c>
      <c r="H132" s="26" t="str">
        <f aca="false">IFERROR(INDEX('Output Utente'!$P$2:$P$492,MATCH(129,'Output Utente'!$R$2:$R$492,0)),"")</f>
        <v/>
      </c>
      <c r="I132" s="27" t="str">
        <f aca="false">IFERROR(INDEX('Output Utente'!$F$2:$F$492,MATCH(129,'Output Utente'!$R$2:$R$492,0)),"")</f>
        <v/>
      </c>
      <c r="J132" s="27" t="str">
        <f aca="false">IFERROR(INDEX('Output Utente'!$G$2:$G$492,MATCH(129,'Output Utente'!$R$2:$R$492,0)),"")</f>
        <v/>
      </c>
      <c r="K132" s="27" t="str">
        <f aca="false">IFERROR(INDEX('Output Utente'!$H$2:$H$492,MATCH(129,'Output Utente'!$R$2:$R$492,0)),"")</f>
        <v/>
      </c>
      <c r="L132" s="26" t="str">
        <f aca="false">IFERROR(INDEX('Output Utente'!$E$2:$E$492,MATCH(129,'Output Utente'!$R$2:$R$492,0)),"")</f>
        <v/>
      </c>
    </row>
    <row r="133" customFormat="false" ht="15" hidden="false" customHeight="true" outlineLevel="0" collapsed="false">
      <c r="A133" s="29" t="n">
        <v>130</v>
      </c>
      <c r="B133" s="26" t="str">
        <f aca="false">IFERROR(INDEX('Output Utente'!$A$2:$A$492,MATCH(130,'Output Utente'!$R$2:$R$492,0)),"")</f>
        <v/>
      </c>
      <c r="C133" s="26" t="str">
        <f aca="false">IFERROR(INDEX('Output Utente'!$B$2:$B$492,MATCH(130,'Output Utente'!$R$2:$R$492,0)),"")</f>
        <v/>
      </c>
      <c r="D133" s="26" t="str">
        <f aca="false">IFERROR(INDEX('Output Utente'!$C$2:$C$492,MATCH(130,'Output Utente'!$R$2:$R$492,0)),"")</f>
        <v/>
      </c>
      <c r="E133" s="26" t="str">
        <f aca="false">IFERROR(INDEX('Input Giocatori 2026_27'!$D$3:$D$493,MATCH($B133,'Input Giocatori 2026_27'!$A$3:$A$493,0)),"")</f>
        <v/>
      </c>
      <c r="F133" s="27" t="str">
        <f aca="false">IFERROR(INDEX('Output Utente'!$N$2:$N$492,MATCH(130,'Output Utente'!$R$2:$R$492,0)),"")</f>
        <v/>
      </c>
      <c r="G133" s="26" t="str">
        <f aca="false">IFERROR(INDEX('Output Utente'!$O$2:$O$492,MATCH(130,'Output Utente'!$R$2:$R$492,0)),"")</f>
        <v/>
      </c>
      <c r="H133" s="26" t="str">
        <f aca="false">IFERROR(INDEX('Output Utente'!$P$2:$P$492,MATCH(130,'Output Utente'!$R$2:$R$492,0)),"")</f>
        <v/>
      </c>
      <c r="I133" s="27" t="str">
        <f aca="false">IFERROR(INDEX('Output Utente'!$F$2:$F$492,MATCH(130,'Output Utente'!$R$2:$R$492,0)),"")</f>
        <v/>
      </c>
      <c r="J133" s="27" t="str">
        <f aca="false">IFERROR(INDEX('Output Utente'!$G$2:$G$492,MATCH(130,'Output Utente'!$R$2:$R$492,0)),"")</f>
        <v/>
      </c>
      <c r="K133" s="27" t="str">
        <f aca="false">IFERROR(INDEX('Output Utente'!$H$2:$H$492,MATCH(130,'Output Utente'!$R$2:$R$492,0)),"")</f>
        <v/>
      </c>
      <c r="L133" s="26" t="str">
        <f aca="false">IFERROR(INDEX('Output Utente'!$E$2:$E$492,MATCH(130,'Output Utente'!$R$2:$R$492,0)),"")</f>
        <v/>
      </c>
    </row>
    <row r="134" customFormat="false" ht="15" hidden="false" customHeight="true" outlineLevel="0" collapsed="false">
      <c r="A134" s="29" t="n">
        <v>131</v>
      </c>
      <c r="B134" s="26" t="str">
        <f aca="false">IFERROR(INDEX('Output Utente'!$A$2:$A$492,MATCH(131,'Output Utente'!$R$2:$R$492,0)),"")</f>
        <v/>
      </c>
      <c r="C134" s="26" t="str">
        <f aca="false">IFERROR(INDEX('Output Utente'!$B$2:$B$492,MATCH(131,'Output Utente'!$R$2:$R$492,0)),"")</f>
        <v/>
      </c>
      <c r="D134" s="26" t="str">
        <f aca="false">IFERROR(INDEX('Output Utente'!$C$2:$C$492,MATCH(131,'Output Utente'!$R$2:$R$492,0)),"")</f>
        <v/>
      </c>
      <c r="E134" s="26" t="str">
        <f aca="false">IFERROR(INDEX('Input Giocatori 2026_27'!$D$3:$D$493,MATCH($B134,'Input Giocatori 2026_27'!$A$3:$A$493,0)),"")</f>
        <v/>
      </c>
      <c r="F134" s="27" t="str">
        <f aca="false">IFERROR(INDEX('Output Utente'!$N$2:$N$492,MATCH(131,'Output Utente'!$R$2:$R$492,0)),"")</f>
        <v/>
      </c>
      <c r="G134" s="26" t="str">
        <f aca="false">IFERROR(INDEX('Output Utente'!$O$2:$O$492,MATCH(131,'Output Utente'!$R$2:$R$492,0)),"")</f>
        <v/>
      </c>
      <c r="H134" s="26" t="str">
        <f aca="false">IFERROR(INDEX('Output Utente'!$P$2:$P$492,MATCH(131,'Output Utente'!$R$2:$R$492,0)),"")</f>
        <v/>
      </c>
      <c r="I134" s="27" t="str">
        <f aca="false">IFERROR(INDEX('Output Utente'!$F$2:$F$492,MATCH(131,'Output Utente'!$R$2:$R$492,0)),"")</f>
        <v/>
      </c>
      <c r="J134" s="27" t="str">
        <f aca="false">IFERROR(INDEX('Output Utente'!$G$2:$G$492,MATCH(131,'Output Utente'!$R$2:$R$492,0)),"")</f>
        <v/>
      </c>
      <c r="K134" s="27" t="str">
        <f aca="false">IFERROR(INDEX('Output Utente'!$H$2:$H$492,MATCH(131,'Output Utente'!$R$2:$R$492,0)),"")</f>
        <v/>
      </c>
      <c r="L134" s="26" t="str">
        <f aca="false">IFERROR(INDEX('Output Utente'!$E$2:$E$492,MATCH(131,'Output Utente'!$R$2:$R$492,0)),"")</f>
        <v/>
      </c>
    </row>
    <row r="135" customFormat="false" ht="15" hidden="false" customHeight="true" outlineLevel="0" collapsed="false">
      <c r="A135" s="29" t="n">
        <v>132</v>
      </c>
      <c r="B135" s="26" t="str">
        <f aca="false">IFERROR(INDEX('Output Utente'!$A$2:$A$492,MATCH(132,'Output Utente'!$R$2:$R$492,0)),"")</f>
        <v/>
      </c>
      <c r="C135" s="26" t="str">
        <f aca="false">IFERROR(INDEX('Output Utente'!$B$2:$B$492,MATCH(132,'Output Utente'!$R$2:$R$492,0)),"")</f>
        <v/>
      </c>
      <c r="D135" s="26" t="str">
        <f aca="false">IFERROR(INDEX('Output Utente'!$C$2:$C$492,MATCH(132,'Output Utente'!$R$2:$R$492,0)),"")</f>
        <v/>
      </c>
      <c r="E135" s="26" t="str">
        <f aca="false">IFERROR(INDEX('Input Giocatori 2026_27'!$D$3:$D$493,MATCH($B135,'Input Giocatori 2026_27'!$A$3:$A$493,0)),"")</f>
        <v/>
      </c>
      <c r="F135" s="27" t="str">
        <f aca="false">IFERROR(INDEX('Output Utente'!$N$2:$N$492,MATCH(132,'Output Utente'!$R$2:$R$492,0)),"")</f>
        <v/>
      </c>
      <c r="G135" s="26" t="str">
        <f aca="false">IFERROR(INDEX('Output Utente'!$O$2:$O$492,MATCH(132,'Output Utente'!$R$2:$R$492,0)),"")</f>
        <v/>
      </c>
      <c r="H135" s="26" t="str">
        <f aca="false">IFERROR(INDEX('Output Utente'!$P$2:$P$492,MATCH(132,'Output Utente'!$R$2:$R$492,0)),"")</f>
        <v/>
      </c>
      <c r="I135" s="27" t="str">
        <f aca="false">IFERROR(INDEX('Output Utente'!$F$2:$F$492,MATCH(132,'Output Utente'!$R$2:$R$492,0)),"")</f>
        <v/>
      </c>
      <c r="J135" s="27" t="str">
        <f aca="false">IFERROR(INDEX('Output Utente'!$G$2:$G$492,MATCH(132,'Output Utente'!$R$2:$R$492,0)),"")</f>
        <v/>
      </c>
      <c r="K135" s="27" t="str">
        <f aca="false">IFERROR(INDEX('Output Utente'!$H$2:$H$492,MATCH(132,'Output Utente'!$R$2:$R$492,0)),"")</f>
        <v/>
      </c>
      <c r="L135" s="26" t="str">
        <f aca="false">IFERROR(INDEX('Output Utente'!$E$2:$E$492,MATCH(132,'Output Utente'!$R$2:$R$492,0)),"")</f>
        <v/>
      </c>
    </row>
    <row r="136" customFormat="false" ht="15" hidden="false" customHeight="true" outlineLevel="0" collapsed="false">
      <c r="A136" s="29" t="n">
        <v>133</v>
      </c>
      <c r="B136" s="26" t="str">
        <f aca="false">IFERROR(INDEX('Output Utente'!$A$2:$A$492,MATCH(133,'Output Utente'!$R$2:$R$492,0)),"")</f>
        <v/>
      </c>
      <c r="C136" s="26" t="str">
        <f aca="false">IFERROR(INDEX('Output Utente'!$B$2:$B$492,MATCH(133,'Output Utente'!$R$2:$R$492,0)),"")</f>
        <v/>
      </c>
      <c r="D136" s="26" t="str">
        <f aca="false">IFERROR(INDEX('Output Utente'!$C$2:$C$492,MATCH(133,'Output Utente'!$R$2:$R$492,0)),"")</f>
        <v/>
      </c>
      <c r="E136" s="26" t="str">
        <f aca="false">IFERROR(INDEX('Input Giocatori 2026_27'!$D$3:$D$493,MATCH($B136,'Input Giocatori 2026_27'!$A$3:$A$493,0)),"")</f>
        <v/>
      </c>
      <c r="F136" s="27" t="str">
        <f aca="false">IFERROR(INDEX('Output Utente'!$N$2:$N$492,MATCH(133,'Output Utente'!$R$2:$R$492,0)),"")</f>
        <v/>
      </c>
      <c r="G136" s="26" t="str">
        <f aca="false">IFERROR(INDEX('Output Utente'!$O$2:$O$492,MATCH(133,'Output Utente'!$R$2:$R$492,0)),"")</f>
        <v/>
      </c>
      <c r="H136" s="26" t="str">
        <f aca="false">IFERROR(INDEX('Output Utente'!$P$2:$P$492,MATCH(133,'Output Utente'!$R$2:$R$492,0)),"")</f>
        <v/>
      </c>
      <c r="I136" s="27" t="str">
        <f aca="false">IFERROR(INDEX('Output Utente'!$F$2:$F$492,MATCH(133,'Output Utente'!$R$2:$R$492,0)),"")</f>
        <v/>
      </c>
      <c r="J136" s="27" t="str">
        <f aca="false">IFERROR(INDEX('Output Utente'!$G$2:$G$492,MATCH(133,'Output Utente'!$R$2:$R$492,0)),"")</f>
        <v/>
      </c>
      <c r="K136" s="27" t="str">
        <f aca="false">IFERROR(INDEX('Output Utente'!$H$2:$H$492,MATCH(133,'Output Utente'!$R$2:$R$492,0)),"")</f>
        <v/>
      </c>
      <c r="L136" s="26" t="str">
        <f aca="false">IFERROR(INDEX('Output Utente'!$E$2:$E$492,MATCH(133,'Output Utente'!$R$2:$R$492,0)),"")</f>
        <v/>
      </c>
    </row>
    <row r="137" customFormat="false" ht="15" hidden="false" customHeight="true" outlineLevel="0" collapsed="false">
      <c r="A137" s="29" t="n">
        <v>134</v>
      </c>
      <c r="B137" s="26" t="str">
        <f aca="false">IFERROR(INDEX('Output Utente'!$A$2:$A$492,MATCH(134,'Output Utente'!$R$2:$R$492,0)),"")</f>
        <v/>
      </c>
      <c r="C137" s="26" t="str">
        <f aca="false">IFERROR(INDEX('Output Utente'!$B$2:$B$492,MATCH(134,'Output Utente'!$R$2:$R$492,0)),"")</f>
        <v/>
      </c>
      <c r="D137" s="26" t="str">
        <f aca="false">IFERROR(INDEX('Output Utente'!$C$2:$C$492,MATCH(134,'Output Utente'!$R$2:$R$492,0)),"")</f>
        <v/>
      </c>
      <c r="E137" s="26" t="str">
        <f aca="false">IFERROR(INDEX('Input Giocatori 2026_27'!$D$3:$D$493,MATCH($B137,'Input Giocatori 2026_27'!$A$3:$A$493,0)),"")</f>
        <v/>
      </c>
      <c r="F137" s="27" t="str">
        <f aca="false">IFERROR(INDEX('Output Utente'!$N$2:$N$492,MATCH(134,'Output Utente'!$R$2:$R$492,0)),"")</f>
        <v/>
      </c>
      <c r="G137" s="26" t="str">
        <f aca="false">IFERROR(INDEX('Output Utente'!$O$2:$O$492,MATCH(134,'Output Utente'!$R$2:$R$492,0)),"")</f>
        <v/>
      </c>
      <c r="H137" s="26" t="str">
        <f aca="false">IFERROR(INDEX('Output Utente'!$P$2:$P$492,MATCH(134,'Output Utente'!$R$2:$R$492,0)),"")</f>
        <v/>
      </c>
      <c r="I137" s="27" t="str">
        <f aca="false">IFERROR(INDEX('Output Utente'!$F$2:$F$492,MATCH(134,'Output Utente'!$R$2:$R$492,0)),"")</f>
        <v/>
      </c>
      <c r="J137" s="27" t="str">
        <f aca="false">IFERROR(INDEX('Output Utente'!$G$2:$G$492,MATCH(134,'Output Utente'!$R$2:$R$492,0)),"")</f>
        <v/>
      </c>
      <c r="K137" s="27" t="str">
        <f aca="false">IFERROR(INDEX('Output Utente'!$H$2:$H$492,MATCH(134,'Output Utente'!$R$2:$R$492,0)),"")</f>
        <v/>
      </c>
      <c r="L137" s="26" t="str">
        <f aca="false">IFERROR(INDEX('Output Utente'!$E$2:$E$492,MATCH(134,'Output Utente'!$R$2:$R$492,0)),"")</f>
        <v/>
      </c>
    </row>
    <row r="138" customFormat="false" ht="15" hidden="false" customHeight="true" outlineLevel="0" collapsed="false">
      <c r="A138" s="29" t="n">
        <v>135</v>
      </c>
      <c r="B138" s="26" t="str">
        <f aca="false">IFERROR(INDEX('Output Utente'!$A$2:$A$492,MATCH(135,'Output Utente'!$R$2:$R$492,0)),"")</f>
        <v/>
      </c>
      <c r="C138" s="26" t="str">
        <f aca="false">IFERROR(INDEX('Output Utente'!$B$2:$B$492,MATCH(135,'Output Utente'!$R$2:$R$492,0)),"")</f>
        <v/>
      </c>
      <c r="D138" s="26" t="str">
        <f aca="false">IFERROR(INDEX('Output Utente'!$C$2:$C$492,MATCH(135,'Output Utente'!$R$2:$R$492,0)),"")</f>
        <v/>
      </c>
      <c r="E138" s="26" t="str">
        <f aca="false">IFERROR(INDEX('Input Giocatori 2026_27'!$D$3:$D$493,MATCH($B138,'Input Giocatori 2026_27'!$A$3:$A$493,0)),"")</f>
        <v/>
      </c>
      <c r="F138" s="27" t="str">
        <f aca="false">IFERROR(INDEX('Output Utente'!$N$2:$N$492,MATCH(135,'Output Utente'!$R$2:$R$492,0)),"")</f>
        <v/>
      </c>
      <c r="G138" s="26" t="str">
        <f aca="false">IFERROR(INDEX('Output Utente'!$O$2:$O$492,MATCH(135,'Output Utente'!$R$2:$R$492,0)),"")</f>
        <v/>
      </c>
      <c r="H138" s="26" t="str">
        <f aca="false">IFERROR(INDEX('Output Utente'!$P$2:$P$492,MATCH(135,'Output Utente'!$R$2:$R$492,0)),"")</f>
        <v/>
      </c>
      <c r="I138" s="27" t="str">
        <f aca="false">IFERROR(INDEX('Output Utente'!$F$2:$F$492,MATCH(135,'Output Utente'!$R$2:$R$492,0)),"")</f>
        <v/>
      </c>
      <c r="J138" s="27" t="str">
        <f aca="false">IFERROR(INDEX('Output Utente'!$G$2:$G$492,MATCH(135,'Output Utente'!$R$2:$R$492,0)),"")</f>
        <v/>
      </c>
      <c r="K138" s="27" t="str">
        <f aca="false">IFERROR(INDEX('Output Utente'!$H$2:$H$492,MATCH(135,'Output Utente'!$R$2:$R$492,0)),"")</f>
        <v/>
      </c>
      <c r="L138" s="26" t="str">
        <f aca="false">IFERROR(INDEX('Output Utente'!$E$2:$E$492,MATCH(135,'Output Utente'!$R$2:$R$492,0)),"")</f>
        <v/>
      </c>
    </row>
    <row r="139" customFormat="false" ht="15" hidden="false" customHeight="true" outlineLevel="0" collapsed="false">
      <c r="A139" s="29" t="n">
        <v>136</v>
      </c>
      <c r="B139" s="26" t="str">
        <f aca="false">IFERROR(INDEX('Output Utente'!$A$2:$A$492,MATCH(136,'Output Utente'!$R$2:$R$492,0)),"")</f>
        <v/>
      </c>
      <c r="C139" s="26" t="str">
        <f aca="false">IFERROR(INDEX('Output Utente'!$B$2:$B$492,MATCH(136,'Output Utente'!$R$2:$R$492,0)),"")</f>
        <v/>
      </c>
      <c r="D139" s="26" t="str">
        <f aca="false">IFERROR(INDEX('Output Utente'!$C$2:$C$492,MATCH(136,'Output Utente'!$R$2:$R$492,0)),"")</f>
        <v/>
      </c>
      <c r="E139" s="26" t="str">
        <f aca="false">IFERROR(INDEX('Input Giocatori 2026_27'!$D$3:$D$493,MATCH($B139,'Input Giocatori 2026_27'!$A$3:$A$493,0)),"")</f>
        <v/>
      </c>
      <c r="F139" s="27" t="str">
        <f aca="false">IFERROR(INDEX('Output Utente'!$N$2:$N$492,MATCH(136,'Output Utente'!$R$2:$R$492,0)),"")</f>
        <v/>
      </c>
      <c r="G139" s="26" t="str">
        <f aca="false">IFERROR(INDEX('Output Utente'!$O$2:$O$492,MATCH(136,'Output Utente'!$R$2:$R$492,0)),"")</f>
        <v/>
      </c>
      <c r="H139" s="26" t="str">
        <f aca="false">IFERROR(INDEX('Output Utente'!$P$2:$P$492,MATCH(136,'Output Utente'!$R$2:$R$492,0)),"")</f>
        <v/>
      </c>
      <c r="I139" s="27" t="str">
        <f aca="false">IFERROR(INDEX('Output Utente'!$F$2:$F$492,MATCH(136,'Output Utente'!$R$2:$R$492,0)),"")</f>
        <v/>
      </c>
      <c r="J139" s="27" t="str">
        <f aca="false">IFERROR(INDEX('Output Utente'!$G$2:$G$492,MATCH(136,'Output Utente'!$R$2:$R$492,0)),"")</f>
        <v/>
      </c>
      <c r="K139" s="27" t="str">
        <f aca="false">IFERROR(INDEX('Output Utente'!$H$2:$H$492,MATCH(136,'Output Utente'!$R$2:$R$492,0)),"")</f>
        <v/>
      </c>
      <c r="L139" s="26" t="str">
        <f aca="false">IFERROR(INDEX('Output Utente'!$E$2:$E$492,MATCH(136,'Output Utente'!$R$2:$R$492,0)),"")</f>
        <v/>
      </c>
    </row>
    <row r="140" customFormat="false" ht="15" hidden="false" customHeight="true" outlineLevel="0" collapsed="false">
      <c r="A140" s="29" t="n">
        <v>137</v>
      </c>
      <c r="B140" s="26" t="str">
        <f aca="false">IFERROR(INDEX('Output Utente'!$A$2:$A$492,MATCH(137,'Output Utente'!$R$2:$R$492,0)),"")</f>
        <v/>
      </c>
      <c r="C140" s="26" t="str">
        <f aca="false">IFERROR(INDEX('Output Utente'!$B$2:$B$492,MATCH(137,'Output Utente'!$R$2:$R$492,0)),"")</f>
        <v/>
      </c>
      <c r="D140" s="26" t="str">
        <f aca="false">IFERROR(INDEX('Output Utente'!$C$2:$C$492,MATCH(137,'Output Utente'!$R$2:$R$492,0)),"")</f>
        <v/>
      </c>
      <c r="E140" s="26" t="str">
        <f aca="false">IFERROR(INDEX('Input Giocatori 2026_27'!$D$3:$D$493,MATCH($B140,'Input Giocatori 2026_27'!$A$3:$A$493,0)),"")</f>
        <v/>
      </c>
      <c r="F140" s="27" t="str">
        <f aca="false">IFERROR(INDEX('Output Utente'!$N$2:$N$492,MATCH(137,'Output Utente'!$R$2:$R$492,0)),"")</f>
        <v/>
      </c>
      <c r="G140" s="26" t="str">
        <f aca="false">IFERROR(INDEX('Output Utente'!$O$2:$O$492,MATCH(137,'Output Utente'!$R$2:$R$492,0)),"")</f>
        <v/>
      </c>
      <c r="H140" s="26" t="str">
        <f aca="false">IFERROR(INDEX('Output Utente'!$P$2:$P$492,MATCH(137,'Output Utente'!$R$2:$R$492,0)),"")</f>
        <v/>
      </c>
      <c r="I140" s="27" t="str">
        <f aca="false">IFERROR(INDEX('Output Utente'!$F$2:$F$492,MATCH(137,'Output Utente'!$R$2:$R$492,0)),"")</f>
        <v/>
      </c>
      <c r="J140" s="27" t="str">
        <f aca="false">IFERROR(INDEX('Output Utente'!$G$2:$G$492,MATCH(137,'Output Utente'!$R$2:$R$492,0)),"")</f>
        <v/>
      </c>
      <c r="K140" s="27" t="str">
        <f aca="false">IFERROR(INDEX('Output Utente'!$H$2:$H$492,MATCH(137,'Output Utente'!$R$2:$R$492,0)),"")</f>
        <v/>
      </c>
      <c r="L140" s="26" t="str">
        <f aca="false">IFERROR(INDEX('Output Utente'!$E$2:$E$492,MATCH(137,'Output Utente'!$R$2:$R$492,0)),"")</f>
        <v/>
      </c>
    </row>
    <row r="141" customFormat="false" ht="15" hidden="false" customHeight="true" outlineLevel="0" collapsed="false">
      <c r="A141" s="29" t="n">
        <v>138</v>
      </c>
      <c r="B141" s="26" t="str">
        <f aca="false">IFERROR(INDEX('Output Utente'!$A$2:$A$492,MATCH(138,'Output Utente'!$R$2:$R$492,0)),"")</f>
        <v/>
      </c>
      <c r="C141" s="26" t="str">
        <f aca="false">IFERROR(INDEX('Output Utente'!$B$2:$B$492,MATCH(138,'Output Utente'!$R$2:$R$492,0)),"")</f>
        <v/>
      </c>
      <c r="D141" s="26" t="str">
        <f aca="false">IFERROR(INDEX('Output Utente'!$C$2:$C$492,MATCH(138,'Output Utente'!$R$2:$R$492,0)),"")</f>
        <v/>
      </c>
      <c r="E141" s="26" t="str">
        <f aca="false">IFERROR(INDEX('Input Giocatori 2026_27'!$D$3:$D$493,MATCH($B141,'Input Giocatori 2026_27'!$A$3:$A$493,0)),"")</f>
        <v/>
      </c>
      <c r="F141" s="27" t="str">
        <f aca="false">IFERROR(INDEX('Output Utente'!$N$2:$N$492,MATCH(138,'Output Utente'!$R$2:$R$492,0)),"")</f>
        <v/>
      </c>
      <c r="G141" s="26" t="str">
        <f aca="false">IFERROR(INDEX('Output Utente'!$O$2:$O$492,MATCH(138,'Output Utente'!$R$2:$R$492,0)),"")</f>
        <v/>
      </c>
      <c r="H141" s="26" t="str">
        <f aca="false">IFERROR(INDEX('Output Utente'!$P$2:$P$492,MATCH(138,'Output Utente'!$R$2:$R$492,0)),"")</f>
        <v/>
      </c>
      <c r="I141" s="27" t="str">
        <f aca="false">IFERROR(INDEX('Output Utente'!$F$2:$F$492,MATCH(138,'Output Utente'!$R$2:$R$492,0)),"")</f>
        <v/>
      </c>
      <c r="J141" s="27" t="str">
        <f aca="false">IFERROR(INDEX('Output Utente'!$G$2:$G$492,MATCH(138,'Output Utente'!$R$2:$R$492,0)),"")</f>
        <v/>
      </c>
      <c r="K141" s="27" t="str">
        <f aca="false">IFERROR(INDEX('Output Utente'!$H$2:$H$492,MATCH(138,'Output Utente'!$R$2:$R$492,0)),"")</f>
        <v/>
      </c>
      <c r="L141" s="26" t="str">
        <f aca="false">IFERROR(INDEX('Output Utente'!$E$2:$E$492,MATCH(138,'Output Utente'!$R$2:$R$492,0)),"")</f>
        <v/>
      </c>
    </row>
    <row r="142" customFormat="false" ht="15" hidden="false" customHeight="true" outlineLevel="0" collapsed="false">
      <c r="A142" s="29" t="n">
        <v>139</v>
      </c>
      <c r="B142" s="26" t="str">
        <f aca="false">IFERROR(INDEX('Output Utente'!$A$2:$A$492,MATCH(139,'Output Utente'!$R$2:$R$492,0)),"")</f>
        <v/>
      </c>
      <c r="C142" s="26" t="str">
        <f aca="false">IFERROR(INDEX('Output Utente'!$B$2:$B$492,MATCH(139,'Output Utente'!$R$2:$R$492,0)),"")</f>
        <v/>
      </c>
      <c r="D142" s="26" t="str">
        <f aca="false">IFERROR(INDEX('Output Utente'!$C$2:$C$492,MATCH(139,'Output Utente'!$R$2:$R$492,0)),"")</f>
        <v/>
      </c>
      <c r="E142" s="26" t="str">
        <f aca="false">IFERROR(INDEX('Input Giocatori 2026_27'!$D$3:$D$493,MATCH($B142,'Input Giocatori 2026_27'!$A$3:$A$493,0)),"")</f>
        <v/>
      </c>
      <c r="F142" s="27" t="str">
        <f aca="false">IFERROR(INDEX('Output Utente'!$N$2:$N$492,MATCH(139,'Output Utente'!$R$2:$R$492,0)),"")</f>
        <v/>
      </c>
      <c r="G142" s="26" t="str">
        <f aca="false">IFERROR(INDEX('Output Utente'!$O$2:$O$492,MATCH(139,'Output Utente'!$R$2:$R$492,0)),"")</f>
        <v/>
      </c>
      <c r="H142" s="26" t="str">
        <f aca="false">IFERROR(INDEX('Output Utente'!$P$2:$P$492,MATCH(139,'Output Utente'!$R$2:$R$492,0)),"")</f>
        <v/>
      </c>
      <c r="I142" s="27" t="str">
        <f aca="false">IFERROR(INDEX('Output Utente'!$F$2:$F$492,MATCH(139,'Output Utente'!$R$2:$R$492,0)),"")</f>
        <v/>
      </c>
      <c r="J142" s="27" t="str">
        <f aca="false">IFERROR(INDEX('Output Utente'!$G$2:$G$492,MATCH(139,'Output Utente'!$R$2:$R$492,0)),"")</f>
        <v/>
      </c>
      <c r="K142" s="27" t="str">
        <f aca="false">IFERROR(INDEX('Output Utente'!$H$2:$H$492,MATCH(139,'Output Utente'!$R$2:$R$492,0)),"")</f>
        <v/>
      </c>
      <c r="L142" s="26" t="str">
        <f aca="false">IFERROR(INDEX('Output Utente'!$E$2:$E$492,MATCH(139,'Output Utente'!$R$2:$R$492,0)),"")</f>
        <v/>
      </c>
    </row>
    <row r="143" customFormat="false" ht="15" hidden="false" customHeight="true" outlineLevel="0" collapsed="false">
      <c r="A143" s="29" t="n">
        <v>140</v>
      </c>
      <c r="B143" s="26" t="str">
        <f aca="false">IFERROR(INDEX('Output Utente'!$A$2:$A$492,MATCH(140,'Output Utente'!$R$2:$R$492,0)),"")</f>
        <v/>
      </c>
      <c r="C143" s="26" t="str">
        <f aca="false">IFERROR(INDEX('Output Utente'!$B$2:$B$492,MATCH(140,'Output Utente'!$R$2:$R$492,0)),"")</f>
        <v/>
      </c>
      <c r="D143" s="26" t="str">
        <f aca="false">IFERROR(INDEX('Output Utente'!$C$2:$C$492,MATCH(140,'Output Utente'!$R$2:$R$492,0)),"")</f>
        <v/>
      </c>
      <c r="E143" s="26" t="str">
        <f aca="false">IFERROR(INDEX('Input Giocatori 2026_27'!$D$3:$D$493,MATCH($B143,'Input Giocatori 2026_27'!$A$3:$A$493,0)),"")</f>
        <v/>
      </c>
      <c r="F143" s="27" t="str">
        <f aca="false">IFERROR(INDEX('Output Utente'!$N$2:$N$492,MATCH(140,'Output Utente'!$R$2:$R$492,0)),"")</f>
        <v/>
      </c>
      <c r="G143" s="26" t="str">
        <f aca="false">IFERROR(INDEX('Output Utente'!$O$2:$O$492,MATCH(140,'Output Utente'!$R$2:$R$492,0)),"")</f>
        <v/>
      </c>
      <c r="H143" s="26" t="str">
        <f aca="false">IFERROR(INDEX('Output Utente'!$P$2:$P$492,MATCH(140,'Output Utente'!$R$2:$R$492,0)),"")</f>
        <v/>
      </c>
      <c r="I143" s="27" t="str">
        <f aca="false">IFERROR(INDEX('Output Utente'!$F$2:$F$492,MATCH(140,'Output Utente'!$R$2:$R$492,0)),"")</f>
        <v/>
      </c>
      <c r="J143" s="27" t="str">
        <f aca="false">IFERROR(INDEX('Output Utente'!$G$2:$G$492,MATCH(140,'Output Utente'!$R$2:$R$492,0)),"")</f>
        <v/>
      </c>
      <c r="K143" s="27" t="str">
        <f aca="false">IFERROR(INDEX('Output Utente'!$H$2:$H$492,MATCH(140,'Output Utente'!$R$2:$R$492,0)),"")</f>
        <v/>
      </c>
      <c r="L143" s="26" t="str">
        <f aca="false">IFERROR(INDEX('Output Utente'!$E$2:$E$492,MATCH(140,'Output Utente'!$R$2:$R$492,0)),"")</f>
        <v/>
      </c>
    </row>
    <row r="144" customFormat="false" ht="15" hidden="false" customHeight="true" outlineLevel="0" collapsed="false">
      <c r="A144" s="29" t="n">
        <v>141</v>
      </c>
      <c r="B144" s="26" t="str">
        <f aca="false">IFERROR(INDEX('Output Utente'!$A$2:$A$492,MATCH(141,'Output Utente'!$R$2:$R$492,0)),"")</f>
        <v/>
      </c>
      <c r="C144" s="26" t="str">
        <f aca="false">IFERROR(INDEX('Output Utente'!$B$2:$B$492,MATCH(141,'Output Utente'!$R$2:$R$492,0)),"")</f>
        <v/>
      </c>
      <c r="D144" s="26" t="str">
        <f aca="false">IFERROR(INDEX('Output Utente'!$C$2:$C$492,MATCH(141,'Output Utente'!$R$2:$R$492,0)),"")</f>
        <v/>
      </c>
      <c r="E144" s="26" t="str">
        <f aca="false">IFERROR(INDEX('Input Giocatori 2026_27'!$D$3:$D$493,MATCH($B144,'Input Giocatori 2026_27'!$A$3:$A$493,0)),"")</f>
        <v/>
      </c>
      <c r="F144" s="27" t="str">
        <f aca="false">IFERROR(INDEX('Output Utente'!$N$2:$N$492,MATCH(141,'Output Utente'!$R$2:$R$492,0)),"")</f>
        <v/>
      </c>
      <c r="G144" s="26" t="str">
        <f aca="false">IFERROR(INDEX('Output Utente'!$O$2:$O$492,MATCH(141,'Output Utente'!$R$2:$R$492,0)),"")</f>
        <v/>
      </c>
      <c r="H144" s="26" t="str">
        <f aca="false">IFERROR(INDEX('Output Utente'!$P$2:$P$492,MATCH(141,'Output Utente'!$R$2:$R$492,0)),"")</f>
        <v/>
      </c>
      <c r="I144" s="27" t="str">
        <f aca="false">IFERROR(INDEX('Output Utente'!$F$2:$F$492,MATCH(141,'Output Utente'!$R$2:$R$492,0)),"")</f>
        <v/>
      </c>
      <c r="J144" s="27" t="str">
        <f aca="false">IFERROR(INDEX('Output Utente'!$G$2:$G$492,MATCH(141,'Output Utente'!$R$2:$R$492,0)),"")</f>
        <v/>
      </c>
      <c r="K144" s="27" t="str">
        <f aca="false">IFERROR(INDEX('Output Utente'!$H$2:$H$492,MATCH(141,'Output Utente'!$R$2:$R$492,0)),"")</f>
        <v/>
      </c>
      <c r="L144" s="26" t="str">
        <f aca="false">IFERROR(INDEX('Output Utente'!$E$2:$E$492,MATCH(141,'Output Utente'!$R$2:$R$492,0)),"")</f>
        <v/>
      </c>
    </row>
    <row r="145" customFormat="false" ht="15" hidden="false" customHeight="true" outlineLevel="0" collapsed="false">
      <c r="A145" s="29" t="n">
        <v>142</v>
      </c>
      <c r="B145" s="26" t="str">
        <f aca="false">IFERROR(INDEX('Output Utente'!$A$2:$A$492,MATCH(142,'Output Utente'!$R$2:$R$492,0)),"")</f>
        <v/>
      </c>
      <c r="C145" s="26" t="str">
        <f aca="false">IFERROR(INDEX('Output Utente'!$B$2:$B$492,MATCH(142,'Output Utente'!$R$2:$R$492,0)),"")</f>
        <v/>
      </c>
      <c r="D145" s="26" t="str">
        <f aca="false">IFERROR(INDEX('Output Utente'!$C$2:$C$492,MATCH(142,'Output Utente'!$R$2:$R$492,0)),"")</f>
        <v/>
      </c>
      <c r="E145" s="26" t="str">
        <f aca="false">IFERROR(INDEX('Input Giocatori 2026_27'!$D$3:$D$493,MATCH($B145,'Input Giocatori 2026_27'!$A$3:$A$493,0)),"")</f>
        <v/>
      </c>
      <c r="F145" s="27" t="str">
        <f aca="false">IFERROR(INDEX('Output Utente'!$N$2:$N$492,MATCH(142,'Output Utente'!$R$2:$R$492,0)),"")</f>
        <v/>
      </c>
      <c r="G145" s="26" t="str">
        <f aca="false">IFERROR(INDEX('Output Utente'!$O$2:$O$492,MATCH(142,'Output Utente'!$R$2:$R$492,0)),"")</f>
        <v/>
      </c>
      <c r="H145" s="26" t="str">
        <f aca="false">IFERROR(INDEX('Output Utente'!$P$2:$P$492,MATCH(142,'Output Utente'!$R$2:$R$492,0)),"")</f>
        <v/>
      </c>
      <c r="I145" s="27" t="str">
        <f aca="false">IFERROR(INDEX('Output Utente'!$F$2:$F$492,MATCH(142,'Output Utente'!$R$2:$R$492,0)),"")</f>
        <v/>
      </c>
      <c r="J145" s="27" t="str">
        <f aca="false">IFERROR(INDEX('Output Utente'!$G$2:$G$492,MATCH(142,'Output Utente'!$R$2:$R$492,0)),"")</f>
        <v/>
      </c>
      <c r="K145" s="27" t="str">
        <f aca="false">IFERROR(INDEX('Output Utente'!$H$2:$H$492,MATCH(142,'Output Utente'!$R$2:$R$492,0)),"")</f>
        <v/>
      </c>
      <c r="L145" s="26" t="str">
        <f aca="false">IFERROR(INDEX('Output Utente'!$E$2:$E$492,MATCH(142,'Output Utente'!$R$2:$R$492,0)),"")</f>
        <v/>
      </c>
    </row>
    <row r="146" customFormat="false" ht="15" hidden="false" customHeight="true" outlineLevel="0" collapsed="false">
      <c r="A146" s="29" t="n">
        <v>143</v>
      </c>
      <c r="B146" s="26" t="str">
        <f aca="false">IFERROR(INDEX('Output Utente'!$A$2:$A$492,MATCH(143,'Output Utente'!$R$2:$R$492,0)),"")</f>
        <v/>
      </c>
      <c r="C146" s="26" t="str">
        <f aca="false">IFERROR(INDEX('Output Utente'!$B$2:$B$492,MATCH(143,'Output Utente'!$R$2:$R$492,0)),"")</f>
        <v/>
      </c>
      <c r="D146" s="26" t="str">
        <f aca="false">IFERROR(INDEX('Output Utente'!$C$2:$C$492,MATCH(143,'Output Utente'!$R$2:$R$492,0)),"")</f>
        <v/>
      </c>
      <c r="E146" s="26" t="str">
        <f aca="false">IFERROR(INDEX('Input Giocatori 2026_27'!$D$3:$D$493,MATCH($B146,'Input Giocatori 2026_27'!$A$3:$A$493,0)),"")</f>
        <v/>
      </c>
      <c r="F146" s="27" t="str">
        <f aca="false">IFERROR(INDEX('Output Utente'!$N$2:$N$492,MATCH(143,'Output Utente'!$R$2:$R$492,0)),"")</f>
        <v/>
      </c>
      <c r="G146" s="26" t="str">
        <f aca="false">IFERROR(INDEX('Output Utente'!$O$2:$O$492,MATCH(143,'Output Utente'!$R$2:$R$492,0)),"")</f>
        <v/>
      </c>
      <c r="H146" s="26" t="str">
        <f aca="false">IFERROR(INDEX('Output Utente'!$P$2:$P$492,MATCH(143,'Output Utente'!$R$2:$R$492,0)),"")</f>
        <v/>
      </c>
      <c r="I146" s="27" t="str">
        <f aca="false">IFERROR(INDEX('Output Utente'!$F$2:$F$492,MATCH(143,'Output Utente'!$R$2:$R$492,0)),"")</f>
        <v/>
      </c>
      <c r="J146" s="27" t="str">
        <f aca="false">IFERROR(INDEX('Output Utente'!$G$2:$G$492,MATCH(143,'Output Utente'!$R$2:$R$492,0)),"")</f>
        <v/>
      </c>
      <c r="K146" s="27" t="str">
        <f aca="false">IFERROR(INDEX('Output Utente'!$H$2:$H$492,MATCH(143,'Output Utente'!$R$2:$R$492,0)),"")</f>
        <v/>
      </c>
      <c r="L146" s="26" t="str">
        <f aca="false">IFERROR(INDEX('Output Utente'!$E$2:$E$492,MATCH(143,'Output Utente'!$R$2:$R$492,0)),"")</f>
        <v/>
      </c>
    </row>
    <row r="147" customFormat="false" ht="15" hidden="false" customHeight="true" outlineLevel="0" collapsed="false">
      <c r="A147" s="29" t="n">
        <v>144</v>
      </c>
      <c r="B147" s="26" t="str">
        <f aca="false">IFERROR(INDEX('Output Utente'!$A$2:$A$492,MATCH(144,'Output Utente'!$R$2:$R$492,0)),"")</f>
        <v/>
      </c>
      <c r="C147" s="26" t="str">
        <f aca="false">IFERROR(INDEX('Output Utente'!$B$2:$B$492,MATCH(144,'Output Utente'!$R$2:$R$492,0)),"")</f>
        <v/>
      </c>
      <c r="D147" s="26" t="str">
        <f aca="false">IFERROR(INDEX('Output Utente'!$C$2:$C$492,MATCH(144,'Output Utente'!$R$2:$R$492,0)),"")</f>
        <v/>
      </c>
      <c r="E147" s="26" t="str">
        <f aca="false">IFERROR(INDEX('Input Giocatori 2026_27'!$D$3:$D$493,MATCH($B147,'Input Giocatori 2026_27'!$A$3:$A$493,0)),"")</f>
        <v/>
      </c>
      <c r="F147" s="27" t="str">
        <f aca="false">IFERROR(INDEX('Output Utente'!$N$2:$N$492,MATCH(144,'Output Utente'!$R$2:$R$492,0)),"")</f>
        <v/>
      </c>
      <c r="G147" s="26" t="str">
        <f aca="false">IFERROR(INDEX('Output Utente'!$O$2:$O$492,MATCH(144,'Output Utente'!$R$2:$R$492,0)),"")</f>
        <v/>
      </c>
      <c r="H147" s="26" t="str">
        <f aca="false">IFERROR(INDEX('Output Utente'!$P$2:$P$492,MATCH(144,'Output Utente'!$R$2:$R$492,0)),"")</f>
        <v/>
      </c>
      <c r="I147" s="27" t="str">
        <f aca="false">IFERROR(INDEX('Output Utente'!$F$2:$F$492,MATCH(144,'Output Utente'!$R$2:$R$492,0)),"")</f>
        <v/>
      </c>
      <c r="J147" s="27" t="str">
        <f aca="false">IFERROR(INDEX('Output Utente'!$G$2:$G$492,MATCH(144,'Output Utente'!$R$2:$R$492,0)),"")</f>
        <v/>
      </c>
      <c r="K147" s="27" t="str">
        <f aca="false">IFERROR(INDEX('Output Utente'!$H$2:$H$492,MATCH(144,'Output Utente'!$R$2:$R$492,0)),"")</f>
        <v/>
      </c>
      <c r="L147" s="26" t="str">
        <f aca="false">IFERROR(INDEX('Output Utente'!$E$2:$E$492,MATCH(144,'Output Utente'!$R$2:$R$492,0)),"")</f>
        <v/>
      </c>
    </row>
    <row r="148" customFormat="false" ht="15" hidden="false" customHeight="true" outlineLevel="0" collapsed="false">
      <c r="A148" s="29" t="n">
        <v>145</v>
      </c>
      <c r="B148" s="26" t="str">
        <f aca="false">IFERROR(INDEX('Output Utente'!$A$2:$A$492,MATCH(145,'Output Utente'!$R$2:$R$492,0)),"")</f>
        <v/>
      </c>
      <c r="C148" s="26" t="str">
        <f aca="false">IFERROR(INDEX('Output Utente'!$B$2:$B$492,MATCH(145,'Output Utente'!$R$2:$R$492,0)),"")</f>
        <v/>
      </c>
      <c r="D148" s="26" t="str">
        <f aca="false">IFERROR(INDEX('Output Utente'!$C$2:$C$492,MATCH(145,'Output Utente'!$R$2:$R$492,0)),"")</f>
        <v/>
      </c>
      <c r="E148" s="26" t="str">
        <f aca="false">IFERROR(INDEX('Input Giocatori 2026_27'!$D$3:$D$493,MATCH($B148,'Input Giocatori 2026_27'!$A$3:$A$493,0)),"")</f>
        <v/>
      </c>
      <c r="F148" s="27" t="str">
        <f aca="false">IFERROR(INDEX('Output Utente'!$N$2:$N$492,MATCH(145,'Output Utente'!$R$2:$R$492,0)),"")</f>
        <v/>
      </c>
      <c r="G148" s="26" t="str">
        <f aca="false">IFERROR(INDEX('Output Utente'!$O$2:$O$492,MATCH(145,'Output Utente'!$R$2:$R$492,0)),"")</f>
        <v/>
      </c>
      <c r="H148" s="26" t="str">
        <f aca="false">IFERROR(INDEX('Output Utente'!$P$2:$P$492,MATCH(145,'Output Utente'!$R$2:$R$492,0)),"")</f>
        <v/>
      </c>
      <c r="I148" s="27" t="str">
        <f aca="false">IFERROR(INDEX('Output Utente'!$F$2:$F$492,MATCH(145,'Output Utente'!$R$2:$R$492,0)),"")</f>
        <v/>
      </c>
      <c r="J148" s="27" t="str">
        <f aca="false">IFERROR(INDEX('Output Utente'!$G$2:$G$492,MATCH(145,'Output Utente'!$R$2:$R$492,0)),"")</f>
        <v/>
      </c>
      <c r="K148" s="27" t="str">
        <f aca="false">IFERROR(INDEX('Output Utente'!$H$2:$H$492,MATCH(145,'Output Utente'!$R$2:$R$492,0)),"")</f>
        <v/>
      </c>
      <c r="L148" s="26" t="str">
        <f aca="false">IFERROR(INDEX('Output Utente'!$E$2:$E$492,MATCH(145,'Output Utente'!$R$2:$R$492,0)),"")</f>
        <v/>
      </c>
    </row>
    <row r="149" customFormat="false" ht="15" hidden="false" customHeight="true" outlineLevel="0" collapsed="false">
      <c r="A149" s="29" t="n">
        <v>146</v>
      </c>
      <c r="B149" s="26" t="str">
        <f aca="false">IFERROR(INDEX('Output Utente'!$A$2:$A$492,MATCH(146,'Output Utente'!$R$2:$R$492,0)),"")</f>
        <v/>
      </c>
      <c r="C149" s="26" t="str">
        <f aca="false">IFERROR(INDEX('Output Utente'!$B$2:$B$492,MATCH(146,'Output Utente'!$R$2:$R$492,0)),"")</f>
        <v/>
      </c>
      <c r="D149" s="26" t="str">
        <f aca="false">IFERROR(INDEX('Output Utente'!$C$2:$C$492,MATCH(146,'Output Utente'!$R$2:$R$492,0)),"")</f>
        <v/>
      </c>
      <c r="E149" s="26" t="str">
        <f aca="false">IFERROR(INDEX('Input Giocatori 2026_27'!$D$3:$D$493,MATCH($B149,'Input Giocatori 2026_27'!$A$3:$A$493,0)),"")</f>
        <v/>
      </c>
      <c r="F149" s="27" t="str">
        <f aca="false">IFERROR(INDEX('Output Utente'!$N$2:$N$492,MATCH(146,'Output Utente'!$R$2:$R$492,0)),"")</f>
        <v/>
      </c>
      <c r="G149" s="26" t="str">
        <f aca="false">IFERROR(INDEX('Output Utente'!$O$2:$O$492,MATCH(146,'Output Utente'!$R$2:$R$492,0)),"")</f>
        <v/>
      </c>
      <c r="H149" s="26" t="str">
        <f aca="false">IFERROR(INDEX('Output Utente'!$P$2:$P$492,MATCH(146,'Output Utente'!$R$2:$R$492,0)),"")</f>
        <v/>
      </c>
      <c r="I149" s="27" t="str">
        <f aca="false">IFERROR(INDEX('Output Utente'!$F$2:$F$492,MATCH(146,'Output Utente'!$R$2:$R$492,0)),"")</f>
        <v/>
      </c>
      <c r="J149" s="27" t="str">
        <f aca="false">IFERROR(INDEX('Output Utente'!$G$2:$G$492,MATCH(146,'Output Utente'!$R$2:$R$492,0)),"")</f>
        <v/>
      </c>
      <c r="K149" s="27" t="str">
        <f aca="false">IFERROR(INDEX('Output Utente'!$H$2:$H$492,MATCH(146,'Output Utente'!$R$2:$R$492,0)),"")</f>
        <v/>
      </c>
      <c r="L149" s="26" t="str">
        <f aca="false">IFERROR(INDEX('Output Utente'!$E$2:$E$492,MATCH(146,'Output Utente'!$R$2:$R$492,0)),"")</f>
        <v/>
      </c>
    </row>
    <row r="150" customFormat="false" ht="15" hidden="false" customHeight="true" outlineLevel="0" collapsed="false">
      <c r="A150" s="29" t="n">
        <v>147</v>
      </c>
      <c r="B150" s="26" t="str">
        <f aca="false">IFERROR(INDEX('Output Utente'!$A$2:$A$492,MATCH(147,'Output Utente'!$R$2:$R$492,0)),"")</f>
        <v/>
      </c>
      <c r="C150" s="26" t="str">
        <f aca="false">IFERROR(INDEX('Output Utente'!$B$2:$B$492,MATCH(147,'Output Utente'!$R$2:$R$492,0)),"")</f>
        <v/>
      </c>
      <c r="D150" s="26" t="str">
        <f aca="false">IFERROR(INDEX('Output Utente'!$C$2:$C$492,MATCH(147,'Output Utente'!$R$2:$R$492,0)),"")</f>
        <v/>
      </c>
      <c r="E150" s="26" t="str">
        <f aca="false">IFERROR(INDEX('Input Giocatori 2026_27'!$D$3:$D$493,MATCH($B150,'Input Giocatori 2026_27'!$A$3:$A$493,0)),"")</f>
        <v/>
      </c>
      <c r="F150" s="27" t="str">
        <f aca="false">IFERROR(INDEX('Output Utente'!$N$2:$N$492,MATCH(147,'Output Utente'!$R$2:$R$492,0)),"")</f>
        <v/>
      </c>
      <c r="G150" s="26" t="str">
        <f aca="false">IFERROR(INDEX('Output Utente'!$O$2:$O$492,MATCH(147,'Output Utente'!$R$2:$R$492,0)),"")</f>
        <v/>
      </c>
      <c r="H150" s="26" t="str">
        <f aca="false">IFERROR(INDEX('Output Utente'!$P$2:$P$492,MATCH(147,'Output Utente'!$R$2:$R$492,0)),"")</f>
        <v/>
      </c>
      <c r="I150" s="27" t="str">
        <f aca="false">IFERROR(INDEX('Output Utente'!$F$2:$F$492,MATCH(147,'Output Utente'!$R$2:$R$492,0)),"")</f>
        <v/>
      </c>
      <c r="J150" s="27" t="str">
        <f aca="false">IFERROR(INDEX('Output Utente'!$G$2:$G$492,MATCH(147,'Output Utente'!$R$2:$R$492,0)),"")</f>
        <v/>
      </c>
      <c r="K150" s="27" t="str">
        <f aca="false">IFERROR(INDEX('Output Utente'!$H$2:$H$492,MATCH(147,'Output Utente'!$R$2:$R$492,0)),"")</f>
        <v/>
      </c>
      <c r="L150" s="26" t="str">
        <f aca="false">IFERROR(INDEX('Output Utente'!$E$2:$E$492,MATCH(147,'Output Utente'!$R$2:$R$492,0)),"")</f>
        <v/>
      </c>
    </row>
    <row r="151" customFormat="false" ht="15" hidden="false" customHeight="true" outlineLevel="0" collapsed="false">
      <c r="A151" s="29" t="n">
        <v>148</v>
      </c>
      <c r="B151" s="26" t="str">
        <f aca="false">IFERROR(INDEX('Output Utente'!$A$2:$A$492,MATCH(148,'Output Utente'!$R$2:$R$492,0)),"")</f>
        <v/>
      </c>
      <c r="C151" s="26" t="str">
        <f aca="false">IFERROR(INDEX('Output Utente'!$B$2:$B$492,MATCH(148,'Output Utente'!$R$2:$R$492,0)),"")</f>
        <v/>
      </c>
      <c r="D151" s="26" t="str">
        <f aca="false">IFERROR(INDEX('Output Utente'!$C$2:$C$492,MATCH(148,'Output Utente'!$R$2:$R$492,0)),"")</f>
        <v/>
      </c>
      <c r="E151" s="26" t="str">
        <f aca="false">IFERROR(INDEX('Input Giocatori 2026_27'!$D$3:$D$493,MATCH($B151,'Input Giocatori 2026_27'!$A$3:$A$493,0)),"")</f>
        <v/>
      </c>
      <c r="F151" s="27" t="str">
        <f aca="false">IFERROR(INDEX('Output Utente'!$N$2:$N$492,MATCH(148,'Output Utente'!$R$2:$R$492,0)),"")</f>
        <v/>
      </c>
      <c r="G151" s="26" t="str">
        <f aca="false">IFERROR(INDEX('Output Utente'!$O$2:$O$492,MATCH(148,'Output Utente'!$R$2:$R$492,0)),"")</f>
        <v/>
      </c>
      <c r="H151" s="26" t="str">
        <f aca="false">IFERROR(INDEX('Output Utente'!$P$2:$P$492,MATCH(148,'Output Utente'!$R$2:$R$492,0)),"")</f>
        <v/>
      </c>
      <c r="I151" s="27" t="str">
        <f aca="false">IFERROR(INDEX('Output Utente'!$F$2:$F$492,MATCH(148,'Output Utente'!$R$2:$R$492,0)),"")</f>
        <v/>
      </c>
      <c r="J151" s="27" t="str">
        <f aca="false">IFERROR(INDEX('Output Utente'!$G$2:$G$492,MATCH(148,'Output Utente'!$R$2:$R$492,0)),"")</f>
        <v/>
      </c>
      <c r="K151" s="27" t="str">
        <f aca="false">IFERROR(INDEX('Output Utente'!$H$2:$H$492,MATCH(148,'Output Utente'!$R$2:$R$492,0)),"")</f>
        <v/>
      </c>
      <c r="L151" s="26" t="str">
        <f aca="false">IFERROR(INDEX('Output Utente'!$E$2:$E$492,MATCH(148,'Output Utente'!$R$2:$R$492,0)),"")</f>
        <v/>
      </c>
    </row>
    <row r="152" customFormat="false" ht="15" hidden="false" customHeight="true" outlineLevel="0" collapsed="false">
      <c r="A152" s="29" t="n">
        <v>149</v>
      </c>
      <c r="B152" s="26" t="str">
        <f aca="false">IFERROR(INDEX('Output Utente'!$A$2:$A$492,MATCH(149,'Output Utente'!$R$2:$R$492,0)),"")</f>
        <v/>
      </c>
      <c r="C152" s="26" t="str">
        <f aca="false">IFERROR(INDEX('Output Utente'!$B$2:$B$492,MATCH(149,'Output Utente'!$R$2:$R$492,0)),"")</f>
        <v/>
      </c>
      <c r="D152" s="26" t="str">
        <f aca="false">IFERROR(INDEX('Output Utente'!$C$2:$C$492,MATCH(149,'Output Utente'!$R$2:$R$492,0)),"")</f>
        <v/>
      </c>
      <c r="E152" s="26" t="str">
        <f aca="false">IFERROR(INDEX('Input Giocatori 2026_27'!$D$3:$D$493,MATCH($B152,'Input Giocatori 2026_27'!$A$3:$A$493,0)),"")</f>
        <v/>
      </c>
      <c r="F152" s="27" t="str">
        <f aca="false">IFERROR(INDEX('Output Utente'!$N$2:$N$492,MATCH(149,'Output Utente'!$R$2:$R$492,0)),"")</f>
        <v/>
      </c>
      <c r="G152" s="26" t="str">
        <f aca="false">IFERROR(INDEX('Output Utente'!$O$2:$O$492,MATCH(149,'Output Utente'!$R$2:$R$492,0)),"")</f>
        <v/>
      </c>
      <c r="H152" s="26" t="str">
        <f aca="false">IFERROR(INDEX('Output Utente'!$P$2:$P$492,MATCH(149,'Output Utente'!$R$2:$R$492,0)),"")</f>
        <v/>
      </c>
      <c r="I152" s="27" t="str">
        <f aca="false">IFERROR(INDEX('Output Utente'!$F$2:$F$492,MATCH(149,'Output Utente'!$R$2:$R$492,0)),"")</f>
        <v/>
      </c>
      <c r="J152" s="27" t="str">
        <f aca="false">IFERROR(INDEX('Output Utente'!$G$2:$G$492,MATCH(149,'Output Utente'!$R$2:$R$492,0)),"")</f>
        <v/>
      </c>
      <c r="K152" s="27" t="str">
        <f aca="false">IFERROR(INDEX('Output Utente'!$H$2:$H$492,MATCH(149,'Output Utente'!$R$2:$R$492,0)),"")</f>
        <v/>
      </c>
      <c r="L152" s="26" t="str">
        <f aca="false">IFERROR(INDEX('Output Utente'!$E$2:$E$492,MATCH(149,'Output Utente'!$R$2:$R$492,0)),"")</f>
        <v/>
      </c>
    </row>
    <row r="153" customFormat="false" ht="15" hidden="false" customHeight="true" outlineLevel="0" collapsed="false">
      <c r="A153" s="29" t="n">
        <v>150</v>
      </c>
      <c r="B153" s="26" t="str">
        <f aca="false">IFERROR(INDEX('Output Utente'!$A$2:$A$492,MATCH(150,'Output Utente'!$R$2:$R$492,0)),"")</f>
        <v/>
      </c>
      <c r="C153" s="26" t="str">
        <f aca="false">IFERROR(INDEX('Output Utente'!$B$2:$B$492,MATCH(150,'Output Utente'!$R$2:$R$492,0)),"")</f>
        <v/>
      </c>
      <c r="D153" s="26" t="str">
        <f aca="false">IFERROR(INDEX('Output Utente'!$C$2:$C$492,MATCH(150,'Output Utente'!$R$2:$R$492,0)),"")</f>
        <v/>
      </c>
      <c r="E153" s="26" t="str">
        <f aca="false">IFERROR(INDEX('Input Giocatori 2026_27'!$D$3:$D$493,MATCH($B153,'Input Giocatori 2026_27'!$A$3:$A$493,0)),"")</f>
        <v/>
      </c>
      <c r="F153" s="27" t="str">
        <f aca="false">IFERROR(INDEX('Output Utente'!$N$2:$N$492,MATCH(150,'Output Utente'!$R$2:$R$492,0)),"")</f>
        <v/>
      </c>
      <c r="G153" s="26" t="str">
        <f aca="false">IFERROR(INDEX('Output Utente'!$O$2:$O$492,MATCH(150,'Output Utente'!$R$2:$R$492,0)),"")</f>
        <v/>
      </c>
      <c r="H153" s="26" t="str">
        <f aca="false">IFERROR(INDEX('Output Utente'!$P$2:$P$492,MATCH(150,'Output Utente'!$R$2:$R$492,0)),"")</f>
        <v/>
      </c>
      <c r="I153" s="27" t="str">
        <f aca="false">IFERROR(INDEX('Output Utente'!$F$2:$F$492,MATCH(150,'Output Utente'!$R$2:$R$492,0)),"")</f>
        <v/>
      </c>
      <c r="J153" s="27" t="str">
        <f aca="false">IFERROR(INDEX('Output Utente'!$G$2:$G$492,MATCH(150,'Output Utente'!$R$2:$R$492,0)),"")</f>
        <v/>
      </c>
      <c r="K153" s="27" t="str">
        <f aca="false">IFERROR(INDEX('Output Utente'!$H$2:$H$492,MATCH(150,'Output Utente'!$R$2:$R$492,0)),"")</f>
        <v/>
      </c>
      <c r="L153" s="26" t="str">
        <f aca="false">IFERROR(INDEX('Output Utente'!$E$2:$E$492,MATCH(150,'Output Utente'!$R$2:$R$492,0)),"")</f>
        <v/>
      </c>
    </row>
    <row r="154" customFormat="false" ht="15" hidden="false" customHeight="true" outlineLevel="0" collapsed="false">
      <c r="A154" s="29" t="n">
        <v>151</v>
      </c>
      <c r="B154" s="26" t="str">
        <f aca="false">IFERROR(INDEX('Output Utente'!$A$2:$A$492,MATCH(151,'Output Utente'!$R$2:$R$492,0)),"")</f>
        <v/>
      </c>
      <c r="C154" s="26" t="str">
        <f aca="false">IFERROR(INDEX('Output Utente'!$B$2:$B$492,MATCH(151,'Output Utente'!$R$2:$R$492,0)),"")</f>
        <v/>
      </c>
      <c r="D154" s="26" t="str">
        <f aca="false">IFERROR(INDEX('Output Utente'!$C$2:$C$492,MATCH(151,'Output Utente'!$R$2:$R$492,0)),"")</f>
        <v/>
      </c>
      <c r="E154" s="26" t="str">
        <f aca="false">IFERROR(INDEX('Input Giocatori 2026_27'!$D$3:$D$493,MATCH($B154,'Input Giocatori 2026_27'!$A$3:$A$493,0)),"")</f>
        <v/>
      </c>
      <c r="F154" s="27" t="str">
        <f aca="false">IFERROR(INDEX('Output Utente'!$N$2:$N$492,MATCH(151,'Output Utente'!$R$2:$R$492,0)),"")</f>
        <v/>
      </c>
      <c r="G154" s="26" t="str">
        <f aca="false">IFERROR(INDEX('Output Utente'!$O$2:$O$492,MATCH(151,'Output Utente'!$R$2:$R$492,0)),"")</f>
        <v/>
      </c>
      <c r="H154" s="26" t="str">
        <f aca="false">IFERROR(INDEX('Output Utente'!$P$2:$P$492,MATCH(151,'Output Utente'!$R$2:$R$492,0)),"")</f>
        <v/>
      </c>
      <c r="I154" s="27" t="str">
        <f aca="false">IFERROR(INDEX('Output Utente'!$F$2:$F$492,MATCH(151,'Output Utente'!$R$2:$R$492,0)),"")</f>
        <v/>
      </c>
      <c r="J154" s="27" t="str">
        <f aca="false">IFERROR(INDEX('Output Utente'!$G$2:$G$492,MATCH(151,'Output Utente'!$R$2:$R$492,0)),"")</f>
        <v/>
      </c>
      <c r="K154" s="27" t="str">
        <f aca="false">IFERROR(INDEX('Output Utente'!$H$2:$H$492,MATCH(151,'Output Utente'!$R$2:$R$492,0)),"")</f>
        <v/>
      </c>
      <c r="L154" s="26" t="str">
        <f aca="false">IFERROR(INDEX('Output Utente'!$E$2:$E$492,MATCH(151,'Output Utente'!$R$2:$R$492,0)),"")</f>
        <v/>
      </c>
    </row>
    <row r="155" customFormat="false" ht="15" hidden="false" customHeight="true" outlineLevel="0" collapsed="false">
      <c r="A155" s="29" t="n">
        <v>152</v>
      </c>
      <c r="B155" s="26" t="str">
        <f aca="false">IFERROR(INDEX('Output Utente'!$A$2:$A$492,MATCH(152,'Output Utente'!$R$2:$R$492,0)),"")</f>
        <v/>
      </c>
      <c r="C155" s="26" t="str">
        <f aca="false">IFERROR(INDEX('Output Utente'!$B$2:$B$492,MATCH(152,'Output Utente'!$R$2:$R$492,0)),"")</f>
        <v/>
      </c>
      <c r="D155" s="26" t="str">
        <f aca="false">IFERROR(INDEX('Output Utente'!$C$2:$C$492,MATCH(152,'Output Utente'!$R$2:$R$492,0)),"")</f>
        <v/>
      </c>
      <c r="E155" s="26" t="str">
        <f aca="false">IFERROR(INDEX('Input Giocatori 2026_27'!$D$3:$D$493,MATCH($B155,'Input Giocatori 2026_27'!$A$3:$A$493,0)),"")</f>
        <v/>
      </c>
      <c r="F155" s="27" t="str">
        <f aca="false">IFERROR(INDEX('Output Utente'!$N$2:$N$492,MATCH(152,'Output Utente'!$R$2:$R$492,0)),"")</f>
        <v/>
      </c>
      <c r="G155" s="26" t="str">
        <f aca="false">IFERROR(INDEX('Output Utente'!$O$2:$O$492,MATCH(152,'Output Utente'!$R$2:$R$492,0)),"")</f>
        <v/>
      </c>
      <c r="H155" s="26" t="str">
        <f aca="false">IFERROR(INDEX('Output Utente'!$P$2:$P$492,MATCH(152,'Output Utente'!$R$2:$R$492,0)),"")</f>
        <v/>
      </c>
      <c r="I155" s="27" t="str">
        <f aca="false">IFERROR(INDEX('Output Utente'!$F$2:$F$492,MATCH(152,'Output Utente'!$R$2:$R$492,0)),"")</f>
        <v/>
      </c>
      <c r="J155" s="27" t="str">
        <f aca="false">IFERROR(INDEX('Output Utente'!$G$2:$G$492,MATCH(152,'Output Utente'!$R$2:$R$492,0)),"")</f>
        <v/>
      </c>
      <c r="K155" s="27" t="str">
        <f aca="false">IFERROR(INDEX('Output Utente'!$H$2:$H$492,MATCH(152,'Output Utente'!$R$2:$R$492,0)),"")</f>
        <v/>
      </c>
      <c r="L155" s="26" t="str">
        <f aca="false">IFERROR(INDEX('Output Utente'!$E$2:$E$492,MATCH(152,'Output Utente'!$R$2:$R$492,0)),"")</f>
        <v/>
      </c>
    </row>
    <row r="156" customFormat="false" ht="15" hidden="false" customHeight="true" outlineLevel="0" collapsed="false">
      <c r="A156" s="29" t="n">
        <v>153</v>
      </c>
      <c r="B156" s="26" t="str">
        <f aca="false">IFERROR(INDEX('Output Utente'!$A$2:$A$492,MATCH(153,'Output Utente'!$R$2:$R$492,0)),"")</f>
        <v/>
      </c>
      <c r="C156" s="26" t="str">
        <f aca="false">IFERROR(INDEX('Output Utente'!$B$2:$B$492,MATCH(153,'Output Utente'!$R$2:$R$492,0)),"")</f>
        <v/>
      </c>
      <c r="D156" s="26" t="str">
        <f aca="false">IFERROR(INDEX('Output Utente'!$C$2:$C$492,MATCH(153,'Output Utente'!$R$2:$R$492,0)),"")</f>
        <v/>
      </c>
      <c r="E156" s="26" t="str">
        <f aca="false">IFERROR(INDEX('Input Giocatori 2026_27'!$D$3:$D$493,MATCH($B156,'Input Giocatori 2026_27'!$A$3:$A$493,0)),"")</f>
        <v/>
      </c>
      <c r="F156" s="27" t="str">
        <f aca="false">IFERROR(INDEX('Output Utente'!$N$2:$N$492,MATCH(153,'Output Utente'!$R$2:$R$492,0)),"")</f>
        <v/>
      </c>
      <c r="G156" s="26" t="str">
        <f aca="false">IFERROR(INDEX('Output Utente'!$O$2:$O$492,MATCH(153,'Output Utente'!$R$2:$R$492,0)),"")</f>
        <v/>
      </c>
      <c r="H156" s="26" t="str">
        <f aca="false">IFERROR(INDEX('Output Utente'!$P$2:$P$492,MATCH(153,'Output Utente'!$R$2:$R$492,0)),"")</f>
        <v/>
      </c>
      <c r="I156" s="27" t="str">
        <f aca="false">IFERROR(INDEX('Output Utente'!$F$2:$F$492,MATCH(153,'Output Utente'!$R$2:$R$492,0)),"")</f>
        <v/>
      </c>
      <c r="J156" s="27" t="str">
        <f aca="false">IFERROR(INDEX('Output Utente'!$G$2:$G$492,MATCH(153,'Output Utente'!$R$2:$R$492,0)),"")</f>
        <v/>
      </c>
      <c r="K156" s="27" t="str">
        <f aca="false">IFERROR(INDEX('Output Utente'!$H$2:$H$492,MATCH(153,'Output Utente'!$R$2:$R$492,0)),"")</f>
        <v/>
      </c>
      <c r="L156" s="26" t="str">
        <f aca="false">IFERROR(INDEX('Output Utente'!$E$2:$E$492,MATCH(153,'Output Utente'!$R$2:$R$492,0)),"")</f>
        <v/>
      </c>
    </row>
    <row r="157" customFormat="false" ht="15" hidden="false" customHeight="true" outlineLevel="0" collapsed="false">
      <c r="A157" s="29" t="n">
        <v>154</v>
      </c>
      <c r="B157" s="26" t="str">
        <f aca="false">IFERROR(INDEX('Output Utente'!$A$2:$A$492,MATCH(154,'Output Utente'!$R$2:$R$492,0)),"")</f>
        <v/>
      </c>
      <c r="C157" s="26" t="str">
        <f aca="false">IFERROR(INDEX('Output Utente'!$B$2:$B$492,MATCH(154,'Output Utente'!$R$2:$R$492,0)),"")</f>
        <v/>
      </c>
      <c r="D157" s="26" t="str">
        <f aca="false">IFERROR(INDEX('Output Utente'!$C$2:$C$492,MATCH(154,'Output Utente'!$R$2:$R$492,0)),"")</f>
        <v/>
      </c>
      <c r="E157" s="26" t="str">
        <f aca="false">IFERROR(INDEX('Input Giocatori 2026_27'!$D$3:$D$493,MATCH($B157,'Input Giocatori 2026_27'!$A$3:$A$493,0)),"")</f>
        <v/>
      </c>
      <c r="F157" s="27" t="str">
        <f aca="false">IFERROR(INDEX('Output Utente'!$N$2:$N$492,MATCH(154,'Output Utente'!$R$2:$R$492,0)),"")</f>
        <v/>
      </c>
      <c r="G157" s="26" t="str">
        <f aca="false">IFERROR(INDEX('Output Utente'!$O$2:$O$492,MATCH(154,'Output Utente'!$R$2:$R$492,0)),"")</f>
        <v/>
      </c>
      <c r="H157" s="26" t="str">
        <f aca="false">IFERROR(INDEX('Output Utente'!$P$2:$P$492,MATCH(154,'Output Utente'!$R$2:$R$492,0)),"")</f>
        <v/>
      </c>
      <c r="I157" s="27" t="str">
        <f aca="false">IFERROR(INDEX('Output Utente'!$F$2:$F$492,MATCH(154,'Output Utente'!$R$2:$R$492,0)),"")</f>
        <v/>
      </c>
      <c r="J157" s="27" t="str">
        <f aca="false">IFERROR(INDEX('Output Utente'!$G$2:$G$492,MATCH(154,'Output Utente'!$R$2:$R$492,0)),"")</f>
        <v/>
      </c>
      <c r="K157" s="27" t="str">
        <f aca="false">IFERROR(INDEX('Output Utente'!$H$2:$H$492,MATCH(154,'Output Utente'!$R$2:$R$492,0)),"")</f>
        <v/>
      </c>
      <c r="L157" s="26" t="str">
        <f aca="false">IFERROR(INDEX('Output Utente'!$E$2:$E$492,MATCH(154,'Output Utente'!$R$2:$R$492,0)),"")</f>
        <v/>
      </c>
    </row>
    <row r="158" customFormat="false" ht="15" hidden="false" customHeight="true" outlineLevel="0" collapsed="false">
      <c r="A158" s="29" t="n">
        <v>155</v>
      </c>
      <c r="B158" s="26" t="str">
        <f aca="false">IFERROR(INDEX('Output Utente'!$A$2:$A$492,MATCH(155,'Output Utente'!$R$2:$R$492,0)),"")</f>
        <v/>
      </c>
      <c r="C158" s="26" t="str">
        <f aca="false">IFERROR(INDEX('Output Utente'!$B$2:$B$492,MATCH(155,'Output Utente'!$R$2:$R$492,0)),"")</f>
        <v/>
      </c>
      <c r="D158" s="26" t="str">
        <f aca="false">IFERROR(INDEX('Output Utente'!$C$2:$C$492,MATCH(155,'Output Utente'!$R$2:$R$492,0)),"")</f>
        <v/>
      </c>
      <c r="E158" s="26" t="str">
        <f aca="false">IFERROR(INDEX('Input Giocatori 2026_27'!$D$3:$D$493,MATCH($B158,'Input Giocatori 2026_27'!$A$3:$A$493,0)),"")</f>
        <v/>
      </c>
      <c r="F158" s="27" t="str">
        <f aca="false">IFERROR(INDEX('Output Utente'!$N$2:$N$492,MATCH(155,'Output Utente'!$R$2:$R$492,0)),"")</f>
        <v/>
      </c>
      <c r="G158" s="26" t="str">
        <f aca="false">IFERROR(INDEX('Output Utente'!$O$2:$O$492,MATCH(155,'Output Utente'!$R$2:$R$492,0)),"")</f>
        <v/>
      </c>
      <c r="H158" s="26" t="str">
        <f aca="false">IFERROR(INDEX('Output Utente'!$P$2:$P$492,MATCH(155,'Output Utente'!$R$2:$R$492,0)),"")</f>
        <v/>
      </c>
      <c r="I158" s="27" t="str">
        <f aca="false">IFERROR(INDEX('Output Utente'!$F$2:$F$492,MATCH(155,'Output Utente'!$R$2:$R$492,0)),"")</f>
        <v/>
      </c>
      <c r="J158" s="27" t="str">
        <f aca="false">IFERROR(INDEX('Output Utente'!$G$2:$G$492,MATCH(155,'Output Utente'!$R$2:$R$492,0)),"")</f>
        <v/>
      </c>
      <c r="K158" s="27" t="str">
        <f aca="false">IFERROR(INDEX('Output Utente'!$H$2:$H$492,MATCH(155,'Output Utente'!$R$2:$R$492,0)),"")</f>
        <v/>
      </c>
      <c r="L158" s="26" t="str">
        <f aca="false">IFERROR(INDEX('Output Utente'!$E$2:$E$492,MATCH(155,'Output Utente'!$R$2:$R$492,0)),"")</f>
        <v/>
      </c>
    </row>
    <row r="159" customFormat="false" ht="15" hidden="false" customHeight="true" outlineLevel="0" collapsed="false">
      <c r="A159" s="29" t="n">
        <v>156</v>
      </c>
      <c r="B159" s="26" t="str">
        <f aca="false">IFERROR(INDEX('Output Utente'!$A$2:$A$492,MATCH(156,'Output Utente'!$R$2:$R$492,0)),"")</f>
        <v/>
      </c>
      <c r="C159" s="26" t="str">
        <f aca="false">IFERROR(INDEX('Output Utente'!$B$2:$B$492,MATCH(156,'Output Utente'!$R$2:$R$492,0)),"")</f>
        <v/>
      </c>
      <c r="D159" s="26" t="str">
        <f aca="false">IFERROR(INDEX('Output Utente'!$C$2:$C$492,MATCH(156,'Output Utente'!$R$2:$R$492,0)),"")</f>
        <v/>
      </c>
      <c r="E159" s="26" t="str">
        <f aca="false">IFERROR(INDEX('Input Giocatori 2026_27'!$D$3:$D$493,MATCH($B159,'Input Giocatori 2026_27'!$A$3:$A$493,0)),"")</f>
        <v/>
      </c>
      <c r="F159" s="27" t="str">
        <f aca="false">IFERROR(INDEX('Output Utente'!$N$2:$N$492,MATCH(156,'Output Utente'!$R$2:$R$492,0)),"")</f>
        <v/>
      </c>
      <c r="G159" s="26" t="str">
        <f aca="false">IFERROR(INDEX('Output Utente'!$O$2:$O$492,MATCH(156,'Output Utente'!$R$2:$R$492,0)),"")</f>
        <v/>
      </c>
      <c r="H159" s="26" t="str">
        <f aca="false">IFERROR(INDEX('Output Utente'!$P$2:$P$492,MATCH(156,'Output Utente'!$R$2:$R$492,0)),"")</f>
        <v/>
      </c>
      <c r="I159" s="27" t="str">
        <f aca="false">IFERROR(INDEX('Output Utente'!$F$2:$F$492,MATCH(156,'Output Utente'!$R$2:$R$492,0)),"")</f>
        <v/>
      </c>
      <c r="J159" s="27" t="str">
        <f aca="false">IFERROR(INDEX('Output Utente'!$G$2:$G$492,MATCH(156,'Output Utente'!$R$2:$R$492,0)),"")</f>
        <v/>
      </c>
      <c r="K159" s="27" t="str">
        <f aca="false">IFERROR(INDEX('Output Utente'!$H$2:$H$492,MATCH(156,'Output Utente'!$R$2:$R$492,0)),"")</f>
        <v/>
      </c>
      <c r="L159" s="26" t="str">
        <f aca="false">IFERROR(INDEX('Output Utente'!$E$2:$E$492,MATCH(156,'Output Utente'!$R$2:$R$492,0)),"")</f>
        <v/>
      </c>
    </row>
    <row r="160" customFormat="false" ht="15" hidden="false" customHeight="true" outlineLevel="0" collapsed="false">
      <c r="A160" s="29" t="n">
        <v>157</v>
      </c>
      <c r="B160" s="26" t="str">
        <f aca="false">IFERROR(INDEX('Output Utente'!$A$2:$A$492,MATCH(157,'Output Utente'!$R$2:$R$492,0)),"")</f>
        <v/>
      </c>
      <c r="C160" s="26" t="str">
        <f aca="false">IFERROR(INDEX('Output Utente'!$B$2:$B$492,MATCH(157,'Output Utente'!$R$2:$R$492,0)),"")</f>
        <v/>
      </c>
      <c r="D160" s="26" t="str">
        <f aca="false">IFERROR(INDEX('Output Utente'!$C$2:$C$492,MATCH(157,'Output Utente'!$R$2:$R$492,0)),"")</f>
        <v/>
      </c>
      <c r="E160" s="26" t="str">
        <f aca="false">IFERROR(INDEX('Input Giocatori 2026_27'!$D$3:$D$493,MATCH($B160,'Input Giocatori 2026_27'!$A$3:$A$493,0)),"")</f>
        <v/>
      </c>
      <c r="F160" s="27" t="str">
        <f aca="false">IFERROR(INDEX('Output Utente'!$N$2:$N$492,MATCH(157,'Output Utente'!$R$2:$R$492,0)),"")</f>
        <v/>
      </c>
      <c r="G160" s="26" t="str">
        <f aca="false">IFERROR(INDEX('Output Utente'!$O$2:$O$492,MATCH(157,'Output Utente'!$R$2:$R$492,0)),"")</f>
        <v/>
      </c>
      <c r="H160" s="26" t="str">
        <f aca="false">IFERROR(INDEX('Output Utente'!$P$2:$P$492,MATCH(157,'Output Utente'!$R$2:$R$492,0)),"")</f>
        <v/>
      </c>
      <c r="I160" s="27" t="str">
        <f aca="false">IFERROR(INDEX('Output Utente'!$F$2:$F$492,MATCH(157,'Output Utente'!$R$2:$R$492,0)),"")</f>
        <v/>
      </c>
      <c r="J160" s="27" t="str">
        <f aca="false">IFERROR(INDEX('Output Utente'!$G$2:$G$492,MATCH(157,'Output Utente'!$R$2:$R$492,0)),"")</f>
        <v/>
      </c>
      <c r="K160" s="27" t="str">
        <f aca="false">IFERROR(INDEX('Output Utente'!$H$2:$H$492,MATCH(157,'Output Utente'!$R$2:$R$492,0)),"")</f>
        <v/>
      </c>
      <c r="L160" s="26" t="str">
        <f aca="false">IFERROR(INDEX('Output Utente'!$E$2:$E$492,MATCH(157,'Output Utente'!$R$2:$R$492,0)),"")</f>
        <v/>
      </c>
    </row>
    <row r="161" customFormat="false" ht="15" hidden="false" customHeight="true" outlineLevel="0" collapsed="false">
      <c r="A161" s="29" t="n">
        <v>158</v>
      </c>
      <c r="B161" s="26" t="str">
        <f aca="false">IFERROR(INDEX('Output Utente'!$A$2:$A$492,MATCH(158,'Output Utente'!$R$2:$R$492,0)),"")</f>
        <v/>
      </c>
      <c r="C161" s="26" t="str">
        <f aca="false">IFERROR(INDEX('Output Utente'!$B$2:$B$492,MATCH(158,'Output Utente'!$R$2:$R$492,0)),"")</f>
        <v/>
      </c>
      <c r="D161" s="26" t="str">
        <f aca="false">IFERROR(INDEX('Output Utente'!$C$2:$C$492,MATCH(158,'Output Utente'!$R$2:$R$492,0)),"")</f>
        <v/>
      </c>
      <c r="E161" s="26" t="str">
        <f aca="false">IFERROR(INDEX('Input Giocatori 2026_27'!$D$3:$D$493,MATCH($B161,'Input Giocatori 2026_27'!$A$3:$A$493,0)),"")</f>
        <v/>
      </c>
      <c r="F161" s="27" t="str">
        <f aca="false">IFERROR(INDEX('Output Utente'!$N$2:$N$492,MATCH(158,'Output Utente'!$R$2:$R$492,0)),"")</f>
        <v/>
      </c>
      <c r="G161" s="26" t="str">
        <f aca="false">IFERROR(INDEX('Output Utente'!$O$2:$O$492,MATCH(158,'Output Utente'!$R$2:$R$492,0)),"")</f>
        <v/>
      </c>
      <c r="H161" s="26" t="str">
        <f aca="false">IFERROR(INDEX('Output Utente'!$P$2:$P$492,MATCH(158,'Output Utente'!$R$2:$R$492,0)),"")</f>
        <v/>
      </c>
      <c r="I161" s="27" t="str">
        <f aca="false">IFERROR(INDEX('Output Utente'!$F$2:$F$492,MATCH(158,'Output Utente'!$R$2:$R$492,0)),"")</f>
        <v/>
      </c>
      <c r="J161" s="27" t="str">
        <f aca="false">IFERROR(INDEX('Output Utente'!$G$2:$G$492,MATCH(158,'Output Utente'!$R$2:$R$492,0)),"")</f>
        <v/>
      </c>
      <c r="K161" s="27" t="str">
        <f aca="false">IFERROR(INDEX('Output Utente'!$H$2:$H$492,MATCH(158,'Output Utente'!$R$2:$R$492,0)),"")</f>
        <v/>
      </c>
      <c r="L161" s="26" t="str">
        <f aca="false">IFERROR(INDEX('Output Utente'!$E$2:$E$492,MATCH(158,'Output Utente'!$R$2:$R$492,0)),"")</f>
        <v/>
      </c>
    </row>
    <row r="162" customFormat="false" ht="15" hidden="false" customHeight="true" outlineLevel="0" collapsed="false">
      <c r="A162" s="29" t="n">
        <v>159</v>
      </c>
      <c r="B162" s="26" t="str">
        <f aca="false">IFERROR(INDEX('Output Utente'!$A$2:$A$492,MATCH(159,'Output Utente'!$R$2:$R$492,0)),"")</f>
        <v/>
      </c>
      <c r="C162" s="26" t="str">
        <f aca="false">IFERROR(INDEX('Output Utente'!$B$2:$B$492,MATCH(159,'Output Utente'!$R$2:$R$492,0)),"")</f>
        <v/>
      </c>
      <c r="D162" s="26" t="str">
        <f aca="false">IFERROR(INDEX('Output Utente'!$C$2:$C$492,MATCH(159,'Output Utente'!$R$2:$R$492,0)),"")</f>
        <v/>
      </c>
      <c r="E162" s="26" t="str">
        <f aca="false">IFERROR(INDEX('Input Giocatori 2026_27'!$D$3:$D$493,MATCH($B162,'Input Giocatori 2026_27'!$A$3:$A$493,0)),"")</f>
        <v/>
      </c>
      <c r="F162" s="27" t="str">
        <f aca="false">IFERROR(INDEX('Output Utente'!$N$2:$N$492,MATCH(159,'Output Utente'!$R$2:$R$492,0)),"")</f>
        <v/>
      </c>
      <c r="G162" s="26" t="str">
        <f aca="false">IFERROR(INDEX('Output Utente'!$O$2:$O$492,MATCH(159,'Output Utente'!$R$2:$R$492,0)),"")</f>
        <v/>
      </c>
      <c r="H162" s="26" t="str">
        <f aca="false">IFERROR(INDEX('Output Utente'!$P$2:$P$492,MATCH(159,'Output Utente'!$R$2:$R$492,0)),"")</f>
        <v/>
      </c>
      <c r="I162" s="27" t="str">
        <f aca="false">IFERROR(INDEX('Output Utente'!$F$2:$F$492,MATCH(159,'Output Utente'!$R$2:$R$492,0)),"")</f>
        <v/>
      </c>
      <c r="J162" s="27" t="str">
        <f aca="false">IFERROR(INDEX('Output Utente'!$G$2:$G$492,MATCH(159,'Output Utente'!$R$2:$R$492,0)),"")</f>
        <v/>
      </c>
      <c r="K162" s="27" t="str">
        <f aca="false">IFERROR(INDEX('Output Utente'!$H$2:$H$492,MATCH(159,'Output Utente'!$R$2:$R$492,0)),"")</f>
        <v/>
      </c>
      <c r="L162" s="26" t="str">
        <f aca="false">IFERROR(INDEX('Output Utente'!$E$2:$E$492,MATCH(159,'Output Utente'!$R$2:$R$492,0)),"")</f>
        <v/>
      </c>
    </row>
    <row r="163" customFormat="false" ht="15" hidden="false" customHeight="true" outlineLevel="0" collapsed="false">
      <c r="A163" s="29" t="n">
        <v>160</v>
      </c>
      <c r="B163" s="26" t="str">
        <f aca="false">IFERROR(INDEX('Output Utente'!$A$2:$A$492,MATCH(160,'Output Utente'!$R$2:$R$492,0)),"")</f>
        <v/>
      </c>
      <c r="C163" s="26" t="str">
        <f aca="false">IFERROR(INDEX('Output Utente'!$B$2:$B$492,MATCH(160,'Output Utente'!$R$2:$R$492,0)),"")</f>
        <v/>
      </c>
      <c r="D163" s="26" t="str">
        <f aca="false">IFERROR(INDEX('Output Utente'!$C$2:$C$492,MATCH(160,'Output Utente'!$R$2:$R$492,0)),"")</f>
        <v/>
      </c>
      <c r="E163" s="26" t="str">
        <f aca="false">IFERROR(INDEX('Input Giocatori 2026_27'!$D$3:$D$493,MATCH($B163,'Input Giocatori 2026_27'!$A$3:$A$493,0)),"")</f>
        <v/>
      </c>
      <c r="F163" s="27" t="str">
        <f aca="false">IFERROR(INDEX('Output Utente'!$N$2:$N$492,MATCH(160,'Output Utente'!$R$2:$R$492,0)),"")</f>
        <v/>
      </c>
      <c r="G163" s="26" t="str">
        <f aca="false">IFERROR(INDEX('Output Utente'!$O$2:$O$492,MATCH(160,'Output Utente'!$R$2:$R$492,0)),"")</f>
        <v/>
      </c>
      <c r="H163" s="26" t="str">
        <f aca="false">IFERROR(INDEX('Output Utente'!$P$2:$P$492,MATCH(160,'Output Utente'!$R$2:$R$492,0)),"")</f>
        <v/>
      </c>
      <c r="I163" s="27" t="str">
        <f aca="false">IFERROR(INDEX('Output Utente'!$F$2:$F$492,MATCH(160,'Output Utente'!$R$2:$R$492,0)),"")</f>
        <v/>
      </c>
      <c r="J163" s="27" t="str">
        <f aca="false">IFERROR(INDEX('Output Utente'!$G$2:$G$492,MATCH(160,'Output Utente'!$R$2:$R$492,0)),"")</f>
        <v/>
      </c>
      <c r="K163" s="27" t="str">
        <f aca="false">IFERROR(INDEX('Output Utente'!$H$2:$H$492,MATCH(160,'Output Utente'!$R$2:$R$492,0)),"")</f>
        <v/>
      </c>
      <c r="L163" s="26" t="str">
        <f aca="false">IFERROR(INDEX('Output Utente'!$E$2:$E$492,MATCH(160,'Output Utente'!$R$2:$R$492,0)),"")</f>
        <v/>
      </c>
    </row>
    <row r="164" customFormat="false" ht="15" hidden="false" customHeight="true" outlineLevel="0" collapsed="false">
      <c r="A164" s="29" t="n">
        <v>161</v>
      </c>
      <c r="B164" s="26" t="str">
        <f aca="false">IFERROR(INDEX('Output Utente'!$A$2:$A$492,MATCH(161,'Output Utente'!$R$2:$R$492,0)),"")</f>
        <v/>
      </c>
      <c r="C164" s="26" t="str">
        <f aca="false">IFERROR(INDEX('Output Utente'!$B$2:$B$492,MATCH(161,'Output Utente'!$R$2:$R$492,0)),"")</f>
        <v/>
      </c>
      <c r="D164" s="26" t="str">
        <f aca="false">IFERROR(INDEX('Output Utente'!$C$2:$C$492,MATCH(161,'Output Utente'!$R$2:$R$492,0)),"")</f>
        <v/>
      </c>
      <c r="E164" s="26" t="str">
        <f aca="false">IFERROR(INDEX('Input Giocatori 2026_27'!$D$3:$D$493,MATCH($B164,'Input Giocatori 2026_27'!$A$3:$A$493,0)),"")</f>
        <v/>
      </c>
      <c r="F164" s="27" t="str">
        <f aca="false">IFERROR(INDEX('Output Utente'!$N$2:$N$492,MATCH(161,'Output Utente'!$R$2:$R$492,0)),"")</f>
        <v/>
      </c>
      <c r="G164" s="26" t="str">
        <f aca="false">IFERROR(INDEX('Output Utente'!$O$2:$O$492,MATCH(161,'Output Utente'!$R$2:$R$492,0)),"")</f>
        <v/>
      </c>
      <c r="H164" s="26" t="str">
        <f aca="false">IFERROR(INDEX('Output Utente'!$P$2:$P$492,MATCH(161,'Output Utente'!$R$2:$R$492,0)),"")</f>
        <v/>
      </c>
      <c r="I164" s="27" t="str">
        <f aca="false">IFERROR(INDEX('Output Utente'!$F$2:$F$492,MATCH(161,'Output Utente'!$R$2:$R$492,0)),"")</f>
        <v/>
      </c>
      <c r="J164" s="27" t="str">
        <f aca="false">IFERROR(INDEX('Output Utente'!$G$2:$G$492,MATCH(161,'Output Utente'!$R$2:$R$492,0)),"")</f>
        <v/>
      </c>
      <c r="K164" s="27" t="str">
        <f aca="false">IFERROR(INDEX('Output Utente'!$H$2:$H$492,MATCH(161,'Output Utente'!$R$2:$R$492,0)),"")</f>
        <v/>
      </c>
      <c r="L164" s="26" t="str">
        <f aca="false">IFERROR(INDEX('Output Utente'!$E$2:$E$492,MATCH(161,'Output Utente'!$R$2:$R$492,0)),"")</f>
        <v/>
      </c>
    </row>
    <row r="165" customFormat="false" ht="15" hidden="false" customHeight="true" outlineLevel="0" collapsed="false">
      <c r="A165" s="29" t="n">
        <v>162</v>
      </c>
      <c r="B165" s="26" t="str">
        <f aca="false">IFERROR(INDEX('Output Utente'!$A$2:$A$492,MATCH(162,'Output Utente'!$R$2:$R$492,0)),"")</f>
        <v/>
      </c>
      <c r="C165" s="26" t="str">
        <f aca="false">IFERROR(INDEX('Output Utente'!$B$2:$B$492,MATCH(162,'Output Utente'!$R$2:$R$492,0)),"")</f>
        <v/>
      </c>
      <c r="D165" s="26" t="str">
        <f aca="false">IFERROR(INDEX('Output Utente'!$C$2:$C$492,MATCH(162,'Output Utente'!$R$2:$R$492,0)),"")</f>
        <v/>
      </c>
      <c r="E165" s="26" t="str">
        <f aca="false">IFERROR(INDEX('Input Giocatori 2026_27'!$D$3:$D$493,MATCH($B165,'Input Giocatori 2026_27'!$A$3:$A$493,0)),"")</f>
        <v/>
      </c>
      <c r="F165" s="27" t="str">
        <f aca="false">IFERROR(INDEX('Output Utente'!$N$2:$N$492,MATCH(162,'Output Utente'!$R$2:$R$492,0)),"")</f>
        <v/>
      </c>
      <c r="G165" s="26" t="str">
        <f aca="false">IFERROR(INDEX('Output Utente'!$O$2:$O$492,MATCH(162,'Output Utente'!$R$2:$R$492,0)),"")</f>
        <v/>
      </c>
      <c r="H165" s="26" t="str">
        <f aca="false">IFERROR(INDEX('Output Utente'!$P$2:$P$492,MATCH(162,'Output Utente'!$R$2:$R$492,0)),"")</f>
        <v/>
      </c>
      <c r="I165" s="27" t="str">
        <f aca="false">IFERROR(INDEX('Output Utente'!$F$2:$F$492,MATCH(162,'Output Utente'!$R$2:$R$492,0)),"")</f>
        <v/>
      </c>
      <c r="J165" s="27" t="str">
        <f aca="false">IFERROR(INDEX('Output Utente'!$G$2:$G$492,MATCH(162,'Output Utente'!$R$2:$R$492,0)),"")</f>
        <v/>
      </c>
      <c r="K165" s="27" t="str">
        <f aca="false">IFERROR(INDEX('Output Utente'!$H$2:$H$492,MATCH(162,'Output Utente'!$R$2:$R$492,0)),"")</f>
        <v/>
      </c>
      <c r="L165" s="26" t="str">
        <f aca="false">IFERROR(INDEX('Output Utente'!$E$2:$E$492,MATCH(162,'Output Utente'!$R$2:$R$492,0)),"")</f>
        <v/>
      </c>
    </row>
    <row r="166" customFormat="false" ht="15" hidden="false" customHeight="true" outlineLevel="0" collapsed="false">
      <c r="A166" s="29" t="n">
        <v>163</v>
      </c>
      <c r="B166" s="26" t="str">
        <f aca="false">IFERROR(INDEX('Output Utente'!$A$2:$A$492,MATCH(163,'Output Utente'!$R$2:$R$492,0)),"")</f>
        <v/>
      </c>
      <c r="C166" s="26" t="str">
        <f aca="false">IFERROR(INDEX('Output Utente'!$B$2:$B$492,MATCH(163,'Output Utente'!$R$2:$R$492,0)),"")</f>
        <v/>
      </c>
      <c r="D166" s="26" t="str">
        <f aca="false">IFERROR(INDEX('Output Utente'!$C$2:$C$492,MATCH(163,'Output Utente'!$R$2:$R$492,0)),"")</f>
        <v/>
      </c>
      <c r="E166" s="26" t="str">
        <f aca="false">IFERROR(INDEX('Input Giocatori 2026_27'!$D$3:$D$493,MATCH($B166,'Input Giocatori 2026_27'!$A$3:$A$493,0)),"")</f>
        <v/>
      </c>
      <c r="F166" s="27" t="str">
        <f aca="false">IFERROR(INDEX('Output Utente'!$N$2:$N$492,MATCH(163,'Output Utente'!$R$2:$R$492,0)),"")</f>
        <v/>
      </c>
      <c r="G166" s="26" t="str">
        <f aca="false">IFERROR(INDEX('Output Utente'!$O$2:$O$492,MATCH(163,'Output Utente'!$R$2:$R$492,0)),"")</f>
        <v/>
      </c>
      <c r="H166" s="26" t="str">
        <f aca="false">IFERROR(INDEX('Output Utente'!$P$2:$P$492,MATCH(163,'Output Utente'!$R$2:$R$492,0)),"")</f>
        <v/>
      </c>
      <c r="I166" s="27" t="str">
        <f aca="false">IFERROR(INDEX('Output Utente'!$F$2:$F$492,MATCH(163,'Output Utente'!$R$2:$R$492,0)),"")</f>
        <v/>
      </c>
      <c r="J166" s="27" t="str">
        <f aca="false">IFERROR(INDEX('Output Utente'!$G$2:$G$492,MATCH(163,'Output Utente'!$R$2:$R$492,0)),"")</f>
        <v/>
      </c>
      <c r="K166" s="27" t="str">
        <f aca="false">IFERROR(INDEX('Output Utente'!$H$2:$H$492,MATCH(163,'Output Utente'!$R$2:$R$492,0)),"")</f>
        <v/>
      </c>
      <c r="L166" s="26" t="str">
        <f aca="false">IFERROR(INDEX('Output Utente'!$E$2:$E$492,MATCH(163,'Output Utente'!$R$2:$R$492,0)),"")</f>
        <v/>
      </c>
    </row>
    <row r="167" customFormat="false" ht="15" hidden="false" customHeight="true" outlineLevel="0" collapsed="false">
      <c r="A167" s="29" t="n">
        <v>164</v>
      </c>
      <c r="B167" s="26" t="str">
        <f aca="false">IFERROR(INDEX('Output Utente'!$A$2:$A$492,MATCH(164,'Output Utente'!$R$2:$R$492,0)),"")</f>
        <v/>
      </c>
      <c r="C167" s="26" t="str">
        <f aca="false">IFERROR(INDEX('Output Utente'!$B$2:$B$492,MATCH(164,'Output Utente'!$R$2:$R$492,0)),"")</f>
        <v/>
      </c>
      <c r="D167" s="26" t="str">
        <f aca="false">IFERROR(INDEX('Output Utente'!$C$2:$C$492,MATCH(164,'Output Utente'!$R$2:$R$492,0)),"")</f>
        <v/>
      </c>
      <c r="E167" s="26" t="str">
        <f aca="false">IFERROR(INDEX('Input Giocatori 2026_27'!$D$3:$D$493,MATCH($B167,'Input Giocatori 2026_27'!$A$3:$A$493,0)),"")</f>
        <v/>
      </c>
      <c r="F167" s="27" t="str">
        <f aca="false">IFERROR(INDEX('Output Utente'!$N$2:$N$492,MATCH(164,'Output Utente'!$R$2:$R$492,0)),"")</f>
        <v/>
      </c>
      <c r="G167" s="26" t="str">
        <f aca="false">IFERROR(INDEX('Output Utente'!$O$2:$O$492,MATCH(164,'Output Utente'!$R$2:$R$492,0)),"")</f>
        <v/>
      </c>
      <c r="H167" s="26" t="str">
        <f aca="false">IFERROR(INDEX('Output Utente'!$P$2:$P$492,MATCH(164,'Output Utente'!$R$2:$R$492,0)),"")</f>
        <v/>
      </c>
      <c r="I167" s="27" t="str">
        <f aca="false">IFERROR(INDEX('Output Utente'!$F$2:$F$492,MATCH(164,'Output Utente'!$R$2:$R$492,0)),"")</f>
        <v/>
      </c>
      <c r="J167" s="27" t="str">
        <f aca="false">IFERROR(INDEX('Output Utente'!$G$2:$G$492,MATCH(164,'Output Utente'!$R$2:$R$492,0)),"")</f>
        <v/>
      </c>
      <c r="K167" s="27" t="str">
        <f aca="false">IFERROR(INDEX('Output Utente'!$H$2:$H$492,MATCH(164,'Output Utente'!$R$2:$R$492,0)),"")</f>
        <v/>
      </c>
      <c r="L167" s="26" t="str">
        <f aca="false">IFERROR(INDEX('Output Utente'!$E$2:$E$492,MATCH(164,'Output Utente'!$R$2:$R$492,0)),"")</f>
        <v/>
      </c>
    </row>
    <row r="168" customFormat="false" ht="15" hidden="false" customHeight="true" outlineLevel="0" collapsed="false">
      <c r="A168" s="29" t="n">
        <v>165</v>
      </c>
      <c r="B168" s="26" t="str">
        <f aca="false">IFERROR(INDEX('Output Utente'!$A$2:$A$492,MATCH(165,'Output Utente'!$R$2:$R$492,0)),"")</f>
        <v/>
      </c>
      <c r="C168" s="26" t="str">
        <f aca="false">IFERROR(INDEX('Output Utente'!$B$2:$B$492,MATCH(165,'Output Utente'!$R$2:$R$492,0)),"")</f>
        <v/>
      </c>
      <c r="D168" s="26" t="str">
        <f aca="false">IFERROR(INDEX('Output Utente'!$C$2:$C$492,MATCH(165,'Output Utente'!$R$2:$R$492,0)),"")</f>
        <v/>
      </c>
      <c r="E168" s="26" t="str">
        <f aca="false">IFERROR(INDEX('Input Giocatori 2026_27'!$D$3:$D$493,MATCH($B168,'Input Giocatori 2026_27'!$A$3:$A$493,0)),"")</f>
        <v/>
      </c>
      <c r="F168" s="27" t="str">
        <f aca="false">IFERROR(INDEX('Output Utente'!$N$2:$N$492,MATCH(165,'Output Utente'!$R$2:$R$492,0)),"")</f>
        <v/>
      </c>
      <c r="G168" s="26" t="str">
        <f aca="false">IFERROR(INDEX('Output Utente'!$O$2:$O$492,MATCH(165,'Output Utente'!$R$2:$R$492,0)),"")</f>
        <v/>
      </c>
      <c r="H168" s="26" t="str">
        <f aca="false">IFERROR(INDEX('Output Utente'!$P$2:$P$492,MATCH(165,'Output Utente'!$R$2:$R$492,0)),"")</f>
        <v/>
      </c>
      <c r="I168" s="27" t="str">
        <f aca="false">IFERROR(INDEX('Output Utente'!$F$2:$F$492,MATCH(165,'Output Utente'!$R$2:$R$492,0)),"")</f>
        <v/>
      </c>
      <c r="J168" s="27" t="str">
        <f aca="false">IFERROR(INDEX('Output Utente'!$G$2:$G$492,MATCH(165,'Output Utente'!$R$2:$R$492,0)),"")</f>
        <v/>
      </c>
      <c r="K168" s="27" t="str">
        <f aca="false">IFERROR(INDEX('Output Utente'!$H$2:$H$492,MATCH(165,'Output Utente'!$R$2:$R$492,0)),"")</f>
        <v/>
      </c>
      <c r="L168" s="26" t="str">
        <f aca="false">IFERROR(INDEX('Output Utente'!$E$2:$E$492,MATCH(165,'Output Utente'!$R$2:$R$492,0)),"")</f>
        <v/>
      </c>
    </row>
    <row r="169" customFormat="false" ht="15" hidden="false" customHeight="true" outlineLevel="0" collapsed="false">
      <c r="A169" s="29" t="n">
        <v>166</v>
      </c>
      <c r="B169" s="26" t="str">
        <f aca="false">IFERROR(INDEX('Output Utente'!$A$2:$A$492,MATCH(166,'Output Utente'!$R$2:$R$492,0)),"")</f>
        <v/>
      </c>
      <c r="C169" s="26" t="str">
        <f aca="false">IFERROR(INDEX('Output Utente'!$B$2:$B$492,MATCH(166,'Output Utente'!$R$2:$R$492,0)),"")</f>
        <v/>
      </c>
      <c r="D169" s="26" t="str">
        <f aca="false">IFERROR(INDEX('Output Utente'!$C$2:$C$492,MATCH(166,'Output Utente'!$R$2:$R$492,0)),"")</f>
        <v/>
      </c>
      <c r="E169" s="26" t="str">
        <f aca="false">IFERROR(INDEX('Input Giocatori 2026_27'!$D$3:$D$493,MATCH($B169,'Input Giocatori 2026_27'!$A$3:$A$493,0)),"")</f>
        <v/>
      </c>
      <c r="F169" s="27" t="str">
        <f aca="false">IFERROR(INDEX('Output Utente'!$N$2:$N$492,MATCH(166,'Output Utente'!$R$2:$R$492,0)),"")</f>
        <v/>
      </c>
      <c r="G169" s="26" t="str">
        <f aca="false">IFERROR(INDEX('Output Utente'!$O$2:$O$492,MATCH(166,'Output Utente'!$R$2:$R$492,0)),"")</f>
        <v/>
      </c>
      <c r="H169" s="26" t="str">
        <f aca="false">IFERROR(INDEX('Output Utente'!$P$2:$P$492,MATCH(166,'Output Utente'!$R$2:$R$492,0)),"")</f>
        <v/>
      </c>
      <c r="I169" s="27" t="str">
        <f aca="false">IFERROR(INDEX('Output Utente'!$F$2:$F$492,MATCH(166,'Output Utente'!$R$2:$R$492,0)),"")</f>
        <v/>
      </c>
      <c r="J169" s="27" t="str">
        <f aca="false">IFERROR(INDEX('Output Utente'!$G$2:$G$492,MATCH(166,'Output Utente'!$R$2:$R$492,0)),"")</f>
        <v/>
      </c>
      <c r="K169" s="27" t="str">
        <f aca="false">IFERROR(INDEX('Output Utente'!$H$2:$H$492,MATCH(166,'Output Utente'!$R$2:$R$492,0)),"")</f>
        <v/>
      </c>
      <c r="L169" s="26" t="str">
        <f aca="false">IFERROR(INDEX('Output Utente'!$E$2:$E$492,MATCH(166,'Output Utente'!$R$2:$R$492,0)),"")</f>
        <v/>
      </c>
    </row>
    <row r="170" customFormat="false" ht="15" hidden="false" customHeight="true" outlineLevel="0" collapsed="false">
      <c r="A170" s="29" t="n">
        <v>167</v>
      </c>
      <c r="B170" s="26" t="str">
        <f aca="false">IFERROR(INDEX('Output Utente'!$A$2:$A$492,MATCH(167,'Output Utente'!$R$2:$R$492,0)),"")</f>
        <v/>
      </c>
      <c r="C170" s="26" t="str">
        <f aca="false">IFERROR(INDEX('Output Utente'!$B$2:$B$492,MATCH(167,'Output Utente'!$R$2:$R$492,0)),"")</f>
        <v/>
      </c>
      <c r="D170" s="26" t="str">
        <f aca="false">IFERROR(INDEX('Output Utente'!$C$2:$C$492,MATCH(167,'Output Utente'!$R$2:$R$492,0)),"")</f>
        <v/>
      </c>
      <c r="E170" s="26" t="str">
        <f aca="false">IFERROR(INDEX('Input Giocatori 2026_27'!$D$3:$D$493,MATCH($B170,'Input Giocatori 2026_27'!$A$3:$A$493,0)),"")</f>
        <v/>
      </c>
      <c r="F170" s="27" t="str">
        <f aca="false">IFERROR(INDEX('Output Utente'!$N$2:$N$492,MATCH(167,'Output Utente'!$R$2:$R$492,0)),"")</f>
        <v/>
      </c>
      <c r="G170" s="26" t="str">
        <f aca="false">IFERROR(INDEX('Output Utente'!$O$2:$O$492,MATCH(167,'Output Utente'!$R$2:$R$492,0)),"")</f>
        <v/>
      </c>
      <c r="H170" s="26" t="str">
        <f aca="false">IFERROR(INDEX('Output Utente'!$P$2:$P$492,MATCH(167,'Output Utente'!$R$2:$R$492,0)),"")</f>
        <v/>
      </c>
      <c r="I170" s="27" t="str">
        <f aca="false">IFERROR(INDEX('Output Utente'!$F$2:$F$492,MATCH(167,'Output Utente'!$R$2:$R$492,0)),"")</f>
        <v/>
      </c>
      <c r="J170" s="27" t="str">
        <f aca="false">IFERROR(INDEX('Output Utente'!$G$2:$G$492,MATCH(167,'Output Utente'!$R$2:$R$492,0)),"")</f>
        <v/>
      </c>
      <c r="K170" s="27" t="str">
        <f aca="false">IFERROR(INDEX('Output Utente'!$H$2:$H$492,MATCH(167,'Output Utente'!$R$2:$R$492,0)),"")</f>
        <v/>
      </c>
      <c r="L170" s="26" t="str">
        <f aca="false">IFERROR(INDEX('Output Utente'!$E$2:$E$492,MATCH(167,'Output Utente'!$R$2:$R$492,0)),"")</f>
        <v/>
      </c>
    </row>
    <row r="171" customFormat="false" ht="15" hidden="false" customHeight="true" outlineLevel="0" collapsed="false">
      <c r="A171" s="29" t="n">
        <v>168</v>
      </c>
      <c r="B171" s="26" t="str">
        <f aca="false">IFERROR(INDEX('Output Utente'!$A$2:$A$492,MATCH(168,'Output Utente'!$R$2:$R$492,0)),"")</f>
        <v/>
      </c>
      <c r="C171" s="26" t="str">
        <f aca="false">IFERROR(INDEX('Output Utente'!$B$2:$B$492,MATCH(168,'Output Utente'!$R$2:$R$492,0)),"")</f>
        <v/>
      </c>
      <c r="D171" s="26" t="str">
        <f aca="false">IFERROR(INDEX('Output Utente'!$C$2:$C$492,MATCH(168,'Output Utente'!$R$2:$R$492,0)),"")</f>
        <v/>
      </c>
      <c r="E171" s="26" t="str">
        <f aca="false">IFERROR(INDEX('Input Giocatori 2026_27'!$D$3:$D$493,MATCH($B171,'Input Giocatori 2026_27'!$A$3:$A$493,0)),"")</f>
        <v/>
      </c>
      <c r="F171" s="27" t="str">
        <f aca="false">IFERROR(INDEX('Output Utente'!$N$2:$N$492,MATCH(168,'Output Utente'!$R$2:$R$492,0)),"")</f>
        <v/>
      </c>
      <c r="G171" s="26" t="str">
        <f aca="false">IFERROR(INDEX('Output Utente'!$O$2:$O$492,MATCH(168,'Output Utente'!$R$2:$R$492,0)),"")</f>
        <v/>
      </c>
      <c r="H171" s="26" t="str">
        <f aca="false">IFERROR(INDEX('Output Utente'!$P$2:$P$492,MATCH(168,'Output Utente'!$R$2:$R$492,0)),"")</f>
        <v/>
      </c>
      <c r="I171" s="27" t="str">
        <f aca="false">IFERROR(INDEX('Output Utente'!$F$2:$F$492,MATCH(168,'Output Utente'!$R$2:$R$492,0)),"")</f>
        <v/>
      </c>
      <c r="J171" s="27" t="str">
        <f aca="false">IFERROR(INDEX('Output Utente'!$G$2:$G$492,MATCH(168,'Output Utente'!$R$2:$R$492,0)),"")</f>
        <v/>
      </c>
      <c r="K171" s="27" t="str">
        <f aca="false">IFERROR(INDEX('Output Utente'!$H$2:$H$492,MATCH(168,'Output Utente'!$R$2:$R$492,0)),"")</f>
        <v/>
      </c>
      <c r="L171" s="26" t="str">
        <f aca="false">IFERROR(INDEX('Output Utente'!$E$2:$E$492,MATCH(168,'Output Utente'!$R$2:$R$492,0)),"")</f>
        <v/>
      </c>
    </row>
    <row r="172" customFormat="false" ht="15" hidden="false" customHeight="true" outlineLevel="0" collapsed="false">
      <c r="A172" s="29" t="n">
        <v>169</v>
      </c>
      <c r="B172" s="26" t="str">
        <f aca="false">IFERROR(INDEX('Output Utente'!$A$2:$A$492,MATCH(169,'Output Utente'!$R$2:$R$492,0)),"")</f>
        <v/>
      </c>
      <c r="C172" s="26" t="str">
        <f aca="false">IFERROR(INDEX('Output Utente'!$B$2:$B$492,MATCH(169,'Output Utente'!$R$2:$R$492,0)),"")</f>
        <v/>
      </c>
      <c r="D172" s="26" t="str">
        <f aca="false">IFERROR(INDEX('Output Utente'!$C$2:$C$492,MATCH(169,'Output Utente'!$R$2:$R$492,0)),"")</f>
        <v/>
      </c>
      <c r="E172" s="26" t="str">
        <f aca="false">IFERROR(INDEX('Input Giocatori 2026_27'!$D$3:$D$493,MATCH($B172,'Input Giocatori 2026_27'!$A$3:$A$493,0)),"")</f>
        <v/>
      </c>
      <c r="F172" s="27" t="str">
        <f aca="false">IFERROR(INDEX('Output Utente'!$N$2:$N$492,MATCH(169,'Output Utente'!$R$2:$R$492,0)),"")</f>
        <v/>
      </c>
      <c r="G172" s="26" t="str">
        <f aca="false">IFERROR(INDEX('Output Utente'!$O$2:$O$492,MATCH(169,'Output Utente'!$R$2:$R$492,0)),"")</f>
        <v/>
      </c>
      <c r="H172" s="26" t="str">
        <f aca="false">IFERROR(INDEX('Output Utente'!$P$2:$P$492,MATCH(169,'Output Utente'!$R$2:$R$492,0)),"")</f>
        <v/>
      </c>
      <c r="I172" s="27" t="str">
        <f aca="false">IFERROR(INDEX('Output Utente'!$F$2:$F$492,MATCH(169,'Output Utente'!$R$2:$R$492,0)),"")</f>
        <v/>
      </c>
      <c r="J172" s="27" t="str">
        <f aca="false">IFERROR(INDEX('Output Utente'!$G$2:$G$492,MATCH(169,'Output Utente'!$R$2:$R$492,0)),"")</f>
        <v/>
      </c>
      <c r="K172" s="27" t="str">
        <f aca="false">IFERROR(INDEX('Output Utente'!$H$2:$H$492,MATCH(169,'Output Utente'!$R$2:$R$492,0)),"")</f>
        <v/>
      </c>
      <c r="L172" s="26" t="str">
        <f aca="false">IFERROR(INDEX('Output Utente'!$E$2:$E$492,MATCH(169,'Output Utente'!$R$2:$R$492,0)),"")</f>
        <v/>
      </c>
    </row>
    <row r="173" customFormat="false" ht="15" hidden="false" customHeight="true" outlineLevel="0" collapsed="false">
      <c r="A173" s="29" t="n">
        <v>170</v>
      </c>
      <c r="B173" s="26" t="str">
        <f aca="false">IFERROR(INDEX('Output Utente'!$A$2:$A$492,MATCH(170,'Output Utente'!$R$2:$R$492,0)),"")</f>
        <v/>
      </c>
      <c r="C173" s="26" t="str">
        <f aca="false">IFERROR(INDEX('Output Utente'!$B$2:$B$492,MATCH(170,'Output Utente'!$R$2:$R$492,0)),"")</f>
        <v/>
      </c>
      <c r="D173" s="26" t="str">
        <f aca="false">IFERROR(INDEX('Output Utente'!$C$2:$C$492,MATCH(170,'Output Utente'!$R$2:$R$492,0)),"")</f>
        <v/>
      </c>
      <c r="E173" s="26" t="str">
        <f aca="false">IFERROR(INDEX('Input Giocatori 2026_27'!$D$3:$D$493,MATCH($B173,'Input Giocatori 2026_27'!$A$3:$A$493,0)),"")</f>
        <v/>
      </c>
      <c r="F173" s="27" t="str">
        <f aca="false">IFERROR(INDEX('Output Utente'!$N$2:$N$492,MATCH(170,'Output Utente'!$R$2:$R$492,0)),"")</f>
        <v/>
      </c>
      <c r="G173" s="26" t="str">
        <f aca="false">IFERROR(INDEX('Output Utente'!$O$2:$O$492,MATCH(170,'Output Utente'!$R$2:$R$492,0)),"")</f>
        <v/>
      </c>
      <c r="H173" s="26" t="str">
        <f aca="false">IFERROR(INDEX('Output Utente'!$P$2:$P$492,MATCH(170,'Output Utente'!$R$2:$R$492,0)),"")</f>
        <v/>
      </c>
      <c r="I173" s="27" t="str">
        <f aca="false">IFERROR(INDEX('Output Utente'!$F$2:$F$492,MATCH(170,'Output Utente'!$R$2:$R$492,0)),"")</f>
        <v/>
      </c>
      <c r="J173" s="27" t="str">
        <f aca="false">IFERROR(INDEX('Output Utente'!$G$2:$G$492,MATCH(170,'Output Utente'!$R$2:$R$492,0)),"")</f>
        <v/>
      </c>
      <c r="K173" s="27" t="str">
        <f aca="false">IFERROR(INDEX('Output Utente'!$H$2:$H$492,MATCH(170,'Output Utente'!$R$2:$R$492,0)),"")</f>
        <v/>
      </c>
      <c r="L173" s="26" t="str">
        <f aca="false">IFERROR(INDEX('Output Utente'!$E$2:$E$492,MATCH(170,'Output Utente'!$R$2:$R$492,0)),"")</f>
        <v/>
      </c>
    </row>
    <row r="174" customFormat="false" ht="15" hidden="false" customHeight="true" outlineLevel="0" collapsed="false">
      <c r="A174" s="29" t="n">
        <v>171</v>
      </c>
      <c r="B174" s="26" t="str">
        <f aca="false">IFERROR(INDEX('Output Utente'!$A$2:$A$492,MATCH(171,'Output Utente'!$R$2:$R$492,0)),"")</f>
        <v/>
      </c>
      <c r="C174" s="26" t="str">
        <f aca="false">IFERROR(INDEX('Output Utente'!$B$2:$B$492,MATCH(171,'Output Utente'!$R$2:$R$492,0)),"")</f>
        <v/>
      </c>
      <c r="D174" s="26" t="str">
        <f aca="false">IFERROR(INDEX('Output Utente'!$C$2:$C$492,MATCH(171,'Output Utente'!$R$2:$R$492,0)),"")</f>
        <v/>
      </c>
      <c r="E174" s="26" t="str">
        <f aca="false">IFERROR(INDEX('Input Giocatori 2026_27'!$D$3:$D$493,MATCH($B174,'Input Giocatori 2026_27'!$A$3:$A$493,0)),"")</f>
        <v/>
      </c>
      <c r="F174" s="27" t="str">
        <f aca="false">IFERROR(INDEX('Output Utente'!$N$2:$N$492,MATCH(171,'Output Utente'!$R$2:$R$492,0)),"")</f>
        <v/>
      </c>
      <c r="G174" s="26" t="str">
        <f aca="false">IFERROR(INDEX('Output Utente'!$O$2:$O$492,MATCH(171,'Output Utente'!$R$2:$R$492,0)),"")</f>
        <v/>
      </c>
      <c r="H174" s="26" t="str">
        <f aca="false">IFERROR(INDEX('Output Utente'!$P$2:$P$492,MATCH(171,'Output Utente'!$R$2:$R$492,0)),"")</f>
        <v/>
      </c>
      <c r="I174" s="27" t="str">
        <f aca="false">IFERROR(INDEX('Output Utente'!$F$2:$F$492,MATCH(171,'Output Utente'!$R$2:$R$492,0)),"")</f>
        <v/>
      </c>
      <c r="J174" s="27" t="str">
        <f aca="false">IFERROR(INDEX('Output Utente'!$G$2:$G$492,MATCH(171,'Output Utente'!$R$2:$R$492,0)),"")</f>
        <v/>
      </c>
      <c r="K174" s="27" t="str">
        <f aca="false">IFERROR(INDEX('Output Utente'!$H$2:$H$492,MATCH(171,'Output Utente'!$R$2:$R$492,0)),"")</f>
        <v/>
      </c>
      <c r="L174" s="26" t="str">
        <f aca="false">IFERROR(INDEX('Output Utente'!$E$2:$E$492,MATCH(171,'Output Utente'!$R$2:$R$492,0)),"")</f>
        <v/>
      </c>
    </row>
    <row r="175" customFormat="false" ht="15" hidden="false" customHeight="true" outlineLevel="0" collapsed="false">
      <c r="A175" s="29" t="n">
        <v>172</v>
      </c>
      <c r="B175" s="26" t="str">
        <f aca="false">IFERROR(INDEX('Output Utente'!$A$2:$A$492,MATCH(172,'Output Utente'!$R$2:$R$492,0)),"")</f>
        <v/>
      </c>
      <c r="C175" s="26" t="str">
        <f aca="false">IFERROR(INDEX('Output Utente'!$B$2:$B$492,MATCH(172,'Output Utente'!$R$2:$R$492,0)),"")</f>
        <v/>
      </c>
      <c r="D175" s="26" t="str">
        <f aca="false">IFERROR(INDEX('Output Utente'!$C$2:$C$492,MATCH(172,'Output Utente'!$R$2:$R$492,0)),"")</f>
        <v/>
      </c>
      <c r="E175" s="26" t="str">
        <f aca="false">IFERROR(INDEX('Input Giocatori 2026_27'!$D$3:$D$493,MATCH($B175,'Input Giocatori 2026_27'!$A$3:$A$493,0)),"")</f>
        <v/>
      </c>
      <c r="F175" s="27" t="str">
        <f aca="false">IFERROR(INDEX('Output Utente'!$N$2:$N$492,MATCH(172,'Output Utente'!$R$2:$R$492,0)),"")</f>
        <v/>
      </c>
      <c r="G175" s="26" t="str">
        <f aca="false">IFERROR(INDEX('Output Utente'!$O$2:$O$492,MATCH(172,'Output Utente'!$R$2:$R$492,0)),"")</f>
        <v/>
      </c>
      <c r="H175" s="26" t="str">
        <f aca="false">IFERROR(INDEX('Output Utente'!$P$2:$P$492,MATCH(172,'Output Utente'!$R$2:$R$492,0)),"")</f>
        <v/>
      </c>
      <c r="I175" s="27" t="str">
        <f aca="false">IFERROR(INDEX('Output Utente'!$F$2:$F$492,MATCH(172,'Output Utente'!$R$2:$R$492,0)),"")</f>
        <v/>
      </c>
      <c r="J175" s="27" t="str">
        <f aca="false">IFERROR(INDEX('Output Utente'!$G$2:$G$492,MATCH(172,'Output Utente'!$R$2:$R$492,0)),"")</f>
        <v/>
      </c>
      <c r="K175" s="27" t="str">
        <f aca="false">IFERROR(INDEX('Output Utente'!$H$2:$H$492,MATCH(172,'Output Utente'!$R$2:$R$492,0)),"")</f>
        <v/>
      </c>
      <c r="L175" s="26" t="str">
        <f aca="false">IFERROR(INDEX('Output Utente'!$E$2:$E$492,MATCH(172,'Output Utente'!$R$2:$R$492,0)),"")</f>
        <v/>
      </c>
    </row>
    <row r="176" customFormat="false" ht="15" hidden="false" customHeight="true" outlineLevel="0" collapsed="false">
      <c r="A176" s="29" t="n">
        <v>173</v>
      </c>
      <c r="B176" s="26" t="str">
        <f aca="false">IFERROR(INDEX('Output Utente'!$A$2:$A$492,MATCH(173,'Output Utente'!$R$2:$R$492,0)),"")</f>
        <v/>
      </c>
      <c r="C176" s="26" t="str">
        <f aca="false">IFERROR(INDEX('Output Utente'!$B$2:$B$492,MATCH(173,'Output Utente'!$R$2:$R$492,0)),"")</f>
        <v/>
      </c>
      <c r="D176" s="26" t="str">
        <f aca="false">IFERROR(INDEX('Output Utente'!$C$2:$C$492,MATCH(173,'Output Utente'!$R$2:$R$492,0)),"")</f>
        <v/>
      </c>
      <c r="E176" s="26" t="str">
        <f aca="false">IFERROR(INDEX('Input Giocatori 2026_27'!$D$3:$D$493,MATCH($B176,'Input Giocatori 2026_27'!$A$3:$A$493,0)),"")</f>
        <v/>
      </c>
      <c r="F176" s="27" t="str">
        <f aca="false">IFERROR(INDEX('Output Utente'!$N$2:$N$492,MATCH(173,'Output Utente'!$R$2:$R$492,0)),"")</f>
        <v/>
      </c>
      <c r="G176" s="26" t="str">
        <f aca="false">IFERROR(INDEX('Output Utente'!$O$2:$O$492,MATCH(173,'Output Utente'!$R$2:$R$492,0)),"")</f>
        <v/>
      </c>
      <c r="H176" s="26" t="str">
        <f aca="false">IFERROR(INDEX('Output Utente'!$P$2:$P$492,MATCH(173,'Output Utente'!$R$2:$R$492,0)),"")</f>
        <v/>
      </c>
      <c r="I176" s="27" t="str">
        <f aca="false">IFERROR(INDEX('Output Utente'!$F$2:$F$492,MATCH(173,'Output Utente'!$R$2:$R$492,0)),"")</f>
        <v/>
      </c>
      <c r="J176" s="27" t="str">
        <f aca="false">IFERROR(INDEX('Output Utente'!$G$2:$G$492,MATCH(173,'Output Utente'!$R$2:$R$492,0)),"")</f>
        <v/>
      </c>
      <c r="K176" s="27" t="str">
        <f aca="false">IFERROR(INDEX('Output Utente'!$H$2:$H$492,MATCH(173,'Output Utente'!$R$2:$R$492,0)),"")</f>
        <v/>
      </c>
      <c r="L176" s="26" t="str">
        <f aca="false">IFERROR(INDEX('Output Utente'!$E$2:$E$492,MATCH(173,'Output Utente'!$R$2:$R$492,0)),"")</f>
        <v/>
      </c>
    </row>
    <row r="177" customFormat="false" ht="15" hidden="false" customHeight="true" outlineLevel="0" collapsed="false">
      <c r="A177" s="29" t="n">
        <v>174</v>
      </c>
      <c r="B177" s="26" t="str">
        <f aca="false">IFERROR(INDEX('Output Utente'!$A$2:$A$492,MATCH(174,'Output Utente'!$R$2:$R$492,0)),"")</f>
        <v/>
      </c>
      <c r="C177" s="26" t="str">
        <f aca="false">IFERROR(INDEX('Output Utente'!$B$2:$B$492,MATCH(174,'Output Utente'!$R$2:$R$492,0)),"")</f>
        <v/>
      </c>
      <c r="D177" s="26" t="str">
        <f aca="false">IFERROR(INDEX('Output Utente'!$C$2:$C$492,MATCH(174,'Output Utente'!$R$2:$R$492,0)),"")</f>
        <v/>
      </c>
      <c r="E177" s="26" t="str">
        <f aca="false">IFERROR(INDEX('Input Giocatori 2026_27'!$D$3:$D$493,MATCH($B177,'Input Giocatori 2026_27'!$A$3:$A$493,0)),"")</f>
        <v/>
      </c>
      <c r="F177" s="27" t="str">
        <f aca="false">IFERROR(INDEX('Output Utente'!$N$2:$N$492,MATCH(174,'Output Utente'!$R$2:$R$492,0)),"")</f>
        <v/>
      </c>
      <c r="G177" s="26" t="str">
        <f aca="false">IFERROR(INDEX('Output Utente'!$O$2:$O$492,MATCH(174,'Output Utente'!$R$2:$R$492,0)),"")</f>
        <v/>
      </c>
      <c r="H177" s="26" t="str">
        <f aca="false">IFERROR(INDEX('Output Utente'!$P$2:$P$492,MATCH(174,'Output Utente'!$R$2:$R$492,0)),"")</f>
        <v/>
      </c>
      <c r="I177" s="27" t="str">
        <f aca="false">IFERROR(INDEX('Output Utente'!$F$2:$F$492,MATCH(174,'Output Utente'!$R$2:$R$492,0)),"")</f>
        <v/>
      </c>
      <c r="J177" s="27" t="str">
        <f aca="false">IFERROR(INDEX('Output Utente'!$G$2:$G$492,MATCH(174,'Output Utente'!$R$2:$R$492,0)),"")</f>
        <v/>
      </c>
      <c r="K177" s="27" t="str">
        <f aca="false">IFERROR(INDEX('Output Utente'!$H$2:$H$492,MATCH(174,'Output Utente'!$R$2:$R$492,0)),"")</f>
        <v/>
      </c>
      <c r="L177" s="26" t="str">
        <f aca="false">IFERROR(INDEX('Output Utente'!$E$2:$E$492,MATCH(174,'Output Utente'!$R$2:$R$492,0)),"")</f>
        <v/>
      </c>
    </row>
    <row r="178" customFormat="false" ht="15" hidden="false" customHeight="true" outlineLevel="0" collapsed="false">
      <c r="A178" s="29" t="n">
        <v>175</v>
      </c>
      <c r="B178" s="26" t="str">
        <f aca="false">IFERROR(INDEX('Output Utente'!$A$2:$A$492,MATCH(175,'Output Utente'!$R$2:$R$492,0)),"")</f>
        <v/>
      </c>
      <c r="C178" s="26" t="str">
        <f aca="false">IFERROR(INDEX('Output Utente'!$B$2:$B$492,MATCH(175,'Output Utente'!$R$2:$R$492,0)),"")</f>
        <v/>
      </c>
      <c r="D178" s="26" t="str">
        <f aca="false">IFERROR(INDEX('Output Utente'!$C$2:$C$492,MATCH(175,'Output Utente'!$R$2:$R$492,0)),"")</f>
        <v/>
      </c>
      <c r="E178" s="26" t="str">
        <f aca="false">IFERROR(INDEX('Input Giocatori 2026_27'!$D$3:$D$493,MATCH($B178,'Input Giocatori 2026_27'!$A$3:$A$493,0)),"")</f>
        <v/>
      </c>
      <c r="F178" s="27" t="str">
        <f aca="false">IFERROR(INDEX('Output Utente'!$N$2:$N$492,MATCH(175,'Output Utente'!$R$2:$R$492,0)),"")</f>
        <v/>
      </c>
      <c r="G178" s="26" t="str">
        <f aca="false">IFERROR(INDEX('Output Utente'!$O$2:$O$492,MATCH(175,'Output Utente'!$R$2:$R$492,0)),"")</f>
        <v/>
      </c>
      <c r="H178" s="26" t="str">
        <f aca="false">IFERROR(INDEX('Output Utente'!$P$2:$P$492,MATCH(175,'Output Utente'!$R$2:$R$492,0)),"")</f>
        <v/>
      </c>
      <c r="I178" s="27" t="str">
        <f aca="false">IFERROR(INDEX('Output Utente'!$F$2:$F$492,MATCH(175,'Output Utente'!$R$2:$R$492,0)),"")</f>
        <v/>
      </c>
      <c r="J178" s="27" t="str">
        <f aca="false">IFERROR(INDEX('Output Utente'!$G$2:$G$492,MATCH(175,'Output Utente'!$R$2:$R$492,0)),"")</f>
        <v/>
      </c>
      <c r="K178" s="27" t="str">
        <f aca="false">IFERROR(INDEX('Output Utente'!$H$2:$H$492,MATCH(175,'Output Utente'!$R$2:$R$492,0)),"")</f>
        <v/>
      </c>
      <c r="L178" s="26" t="str">
        <f aca="false">IFERROR(INDEX('Output Utente'!$E$2:$E$492,MATCH(175,'Output Utente'!$R$2:$R$492,0)),"")</f>
        <v/>
      </c>
    </row>
    <row r="179" customFormat="false" ht="15" hidden="false" customHeight="true" outlineLevel="0" collapsed="false">
      <c r="A179" s="29" t="n">
        <v>176</v>
      </c>
      <c r="B179" s="26" t="str">
        <f aca="false">IFERROR(INDEX('Output Utente'!$A$2:$A$492,MATCH(176,'Output Utente'!$R$2:$R$492,0)),"")</f>
        <v/>
      </c>
      <c r="C179" s="26" t="str">
        <f aca="false">IFERROR(INDEX('Output Utente'!$B$2:$B$492,MATCH(176,'Output Utente'!$R$2:$R$492,0)),"")</f>
        <v/>
      </c>
      <c r="D179" s="26" t="str">
        <f aca="false">IFERROR(INDEX('Output Utente'!$C$2:$C$492,MATCH(176,'Output Utente'!$R$2:$R$492,0)),"")</f>
        <v/>
      </c>
      <c r="E179" s="26" t="str">
        <f aca="false">IFERROR(INDEX('Input Giocatori 2026_27'!$D$3:$D$493,MATCH($B179,'Input Giocatori 2026_27'!$A$3:$A$493,0)),"")</f>
        <v/>
      </c>
      <c r="F179" s="27" t="str">
        <f aca="false">IFERROR(INDEX('Output Utente'!$N$2:$N$492,MATCH(176,'Output Utente'!$R$2:$R$492,0)),"")</f>
        <v/>
      </c>
      <c r="G179" s="26" t="str">
        <f aca="false">IFERROR(INDEX('Output Utente'!$O$2:$O$492,MATCH(176,'Output Utente'!$R$2:$R$492,0)),"")</f>
        <v/>
      </c>
      <c r="H179" s="26" t="str">
        <f aca="false">IFERROR(INDEX('Output Utente'!$P$2:$P$492,MATCH(176,'Output Utente'!$R$2:$R$492,0)),"")</f>
        <v/>
      </c>
      <c r="I179" s="27" t="str">
        <f aca="false">IFERROR(INDEX('Output Utente'!$F$2:$F$492,MATCH(176,'Output Utente'!$R$2:$R$492,0)),"")</f>
        <v/>
      </c>
      <c r="J179" s="27" t="str">
        <f aca="false">IFERROR(INDEX('Output Utente'!$G$2:$G$492,MATCH(176,'Output Utente'!$R$2:$R$492,0)),"")</f>
        <v/>
      </c>
      <c r="K179" s="27" t="str">
        <f aca="false">IFERROR(INDEX('Output Utente'!$H$2:$H$492,MATCH(176,'Output Utente'!$R$2:$R$492,0)),"")</f>
        <v/>
      </c>
      <c r="L179" s="26" t="str">
        <f aca="false">IFERROR(INDEX('Output Utente'!$E$2:$E$492,MATCH(176,'Output Utente'!$R$2:$R$492,0)),"")</f>
        <v/>
      </c>
    </row>
    <row r="180" customFormat="false" ht="15" hidden="false" customHeight="true" outlineLevel="0" collapsed="false">
      <c r="A180" s="29" t="n">
        <v>177</v>
      </c>
      <c r="B180" s="26" t="str">
        <f aca="false">IFERROR(INDEX('Output Utente'!$A$2:$A$492,MATCH(177,'Output Utente'!$R$2:$R$492,0)),"")</f>
        <v/>
      </c>
      <c r="C180" s="26" t="str">
        <f aca="false">IFERROR(INDEX('Output Utente'!$B$2:$B$492,MATCH(177,'Output Utente'!$R$2:$R$492,0)),"")</f>
        <v/>
      </c>
      <c r="D180" s="26" t="str">
        <f aca="false">IFERROR(INDEX('Output Utente'!$C$2:$C$492,MATCH(177,'Output Utente'!$R$2:$R$492,0)),"")</f>
        <v/>
      </c>
      <c r="E180" s="26" t="str">
        <f aca="false">IFERROR(INDEX('Input Giocatori 2026_27'!$D$3:$D$493,MATCH($B180,'Input Giocatori 2026_27'!$A$3:$A$493,0)),"")</f>
        <v/>
      </c>
      <c r="F180" s="27" t="str">
        <f aca="false">IFERROR(INDEX('Output Utente'!$N$2:$N$492,MATCH(177,'Output Utente'!$R$2:$R$492,0)),"")</f>
        <v/>
      </c>
      <c r="G180" s="26" t="str">
        <f aca="false">IFERROR(INDEX('Output Utente'!$O$2:$O$492,MATCH(177,'Output Utente'!$R$2:$R$492,0)),"")</f>
        <v/>
      </c>
      <c r="H180" s="26" t="str">
        <f aca="false">IFERROR(INDEX('Output Utente'!$P$2:$P$492,MATCH(177,'Output Utente'!$R$2:$R$492,0)),"")</f>
        <v/>
      </c>
      <c r="I180" s="27" t="str">
        <f aca="false">IFERROR(INDEX('Output Utente'!$F$2:$F$492,MATCH(177,'Output Utente'!$R$2:$R$492,0)),"")</f>
        <v/>
      </c>
      <c r="J180" s="27" t="str">
        <f aca="false">IFERROR(INDEX('Output Utente'!$G$2:$G$492,MATCH(177,'Output Utente'!$R$2:$R$492,0)),"")</f>
        <v/>
      </c>
      <c r="K180" s="27" t="str">
        <f aca="false">IFERROR(INDEX('Output Utente'!$H$2:$H$492,MATCH(177,'Output Utente'!$R$2:$R$492,0)),"")</f>
        <v/>
      </c>
      <c r="L180" s="26" t="str">
        <f aca="false">IFERROR(INDEX('Output Utente'!$E$2:$E$492,MATCH(177,'Output Utente'!$R$2:$R$492,0)),"")</f>
        <v/>
      </c>
    </row>
    <row r="181" customFormat="false" ht="15" hidden="false" customHeight="true" outlineLevel="0" collapsed="false">
      <c r="A181" s="29" t="n">
        <v>178</v>
      </c>
      <c r="B181" s="26" t="str">
        <f aca="false">IFERROR(INDEX('Output Utente'!$A$2:$A$492,MATCH(178,'Output Utente'!$R$2:$R$492,0)),"")</f>
        <v/>
      </c>
      <c r="C181" s="26" t="str">
        <f aca="false">IFERROR(INDEX('Output Utente'!$B$2:$B$492,MATCH(178,'Output Utente'!$R$2:$R$492,0)),"")</f>
        <v/>
      </c>
      <c r="D181" s="26" t="str">
        <f aca="false">IFERROR(INDEX('Output Utente'!$C$2:$C$492,MATCH(178,'Output Utente'!$R$2:$R$492,0)),"")</f>
        <v/>
      </c>
      <c r="E181" s="26" t="str">
        <f aca="false">IFERROR(INDEX('Input Giocatori 2026_27'!$D$3:$D$493,MATCH($B181,'Input Giocatori 2026_27'!$A$3:$A$493,0)),"")</f>
        <v/>
      </c>
      <c r="F181" s="27" t="str">
        <f aca="false">IFERROR(INDEX('Output Utente'!$N$2:$N$492,MATCH(178,'Output Utente'!$R$2:$R$492,0)),"")</f>
        <v/>
      </c>
      <c r="G181" s="26" t="str">
        <f aca="false">IFERROR(INDEX('Output Utente'!$O$2:$O$492,MATCH(178,'Output Utente'!$R$2:$R$492,0)),"")</f>
        <v/>
      </c>
      <c r="H181" s="26" t="str">
        <f aca="false">IFERROR(INDEX('Output Utente'!$P$2:$P$492,MATCH(178,'Output Utente'!$R$2:$R$492,0)),"")</f>
        <v/>
      </c>
      <c r="I181" s="27" t="str">
        <f aca="false">IFERROR(INDEX('Output Utente'!$F$2:$F$492,MATCH(178,'Output Utente'!$R$2:$R$492,0)),"")</f>
        <v/>
      </c>
      <c r="J181" s="27" t="str">
        <f aca="false">IFERROR(INDEX('Output Utente'!$G$2:$G$492,MATCH(178,'Output Utente'!$R$2:$R$492,0)),"")</f>
        <v/>
      </c>
      <c r="K181" s="27" t="str">
        <f aca="false">IFERROR(INDEX('Output Utente'!$H$2:$H$492,MATCH(178,'Output Utente'!$R$2:$R$492,0)),"")</f>
        <v/>
      </c>
      <c r="L181" s="26" t="str">
        <f aca="false">IFERROR(INDEX('Output Utente'!$E$2:$E$492,MATCH(178,'Output Utente'!$R$2:$R$492,0)),"")</f>
        <v/>
      </c>
    </row>
    <row r="182" customFormat="false" ht="15" hidden="false" customHeight="true" outlineLevel="0" collapsed="false">
      <c r="A182" s="29" t="n">
        <v>179</v>
      </c>
      <c r="B182" s="26" t="str">
        <f aca="false">IFERROR(INDEX('Output Utente'!$A$2:$A$492,MATCH(179,'Output Utente'!$R$2:$R$492,0)),"")</f>
        <v/>
      </c>
      <c r="C182" s="26" t="str">
        <f aca="false">IFERROR(INDEX('Output Utente'!$B$2:$B$492,MATCH(179,'Output Utente'!$R$2:$R$492,0)),"")</f>
        <v/>
      </c>
      <c r="D182" s="26" t="str">
        <f aca="false">IFERROR(INDEX('Output Utente'!$C$2:$C$492,MATCH(179,'Output Utente'!$R$2:$R$492,0)),"")</f>
        <v/>
      </c>
      <c r="E182" s="26" t="str">
        <f aca="false">IFERROR(INDEX('Input Giocatori 2026_27'!$D$3:$D$493,MATCH($B182,'Input Giocatori 2026_27'!$A$3:$A$493,0)),"")</f>
        <v/>
      </c>
      <c r="F182" s="27" t="str">
        <f aca="false">IFERROR(INDEX('Output Utente'!$N$2:$N$492,MATCH(179,'Output Utente'!$R$2:$R$492,0)),"")</f>
        <v/>
      </c>
      <c r="G182" s="26" t="str">
        <f aca="false">IFERROR(INDEX('Output Utente'!$O$2:$O$492,MATCH(179,'Output Utente'!$R$2:$R$492,0)),"")</f>
        <v/>
      </c>
      <c r="H182" s="26" t="str">
        <f aca="false">IFERROR(INDEX('Output Utente'!$P$2:$P$492,MATCH(179,'Output Utente'!$R$2:$R$492,0)),"")</f>
        <v/>
      </c>
      <c r="I182" s="27" t="str">
        <f aca="false">IFERROR(INDEX('Output Utente'!$F$2:$F$492,MATCH(179,'Output Utente'!$R$2:$R$492,0)),"")</f>
        <v/>
      </c>
      <c r="J182" s="27" t="str">
        <f aca="false">IFERROR(INDEX('Output Utente'!$G$2:$G$492,MATCH(179,'Output Utente'!$R$2:$R$492,0)),"")</f>
        <v/>
      </c>
      <c r="K182" s="27" t="str">
        <f aca="false">IFERROR(INDEX('Output Utente'!$H$2:$H$492,MATCH(179,'Output Utente'!$R$2:$R$492,0)),"")</f>
        <v/>
      </c>
      <c r="L182" s="26" t="str">
        <f aca="false">IFERROR(INDEX('Output Utente'!$E$2:$E$492,MATCH(179,'Output Utente'!$R$2:$R$492,0)),"")</f>
        <v/>
      </c>
    </row>
    <row r="183" customFormat="false" ht="15" hidden="false" customHeight="true" outlineLevel="0" collapsed="false">
      <c r="A183" s="29" t="n">
        <v>180</v>
      </c>
      <c r="B183" s="26" t="str">
        <f aca="false">IFERROR(INDEX('Output Utente'!$A$2:$A$492,MATCH(180,'Output Utente'!$R$2:$R$492,0)),"")</f>
        <v/>
      </c>
      <c r="C183" s="26" t="str">
        <f aca="false">IFERROR(INDEX('Output Utente'!$B$2:$B$492,MATCH(180,'Output Utente'!$R$2:$R$492,0)),"")</f>
        <v/>
      </c>
      <c r="D183" s="26" t="str">
        <f aca="false">IFERROR(INDEX('Output Utente'!$C$2:$C$492,MATCH(180,'Output Utente'!$R$2:$R$492,0)),"")</f>
        <v/>
      </c>
      <c r="E183" s="26" t="str">
        <f aca="false">IFERROR(INDEX('Input Giocatori 2026_27'!$D$3:$D$493,MATCH($B183,'Input Giocatori 2026_27'!$A$3:$A$493,0)),"")</f>
        <v/>
      </c>
      <c r="F183" s="27" t="str">
        <f aca="false">IFERROR(INDEX('Output Utente'!$N$2:$N$492,MATCH(180,'Output Utente'!$R$2:$R$492,0)),"")</f>
        <v/>
      </c>
      <c r="G183" s="26" t="str">
        <f aca="false">IFERROR(INDEX('Output Utente'!$O$2:$O$492,MATCH(180,'Output Utente'!$R$2:$R$492,0)),"")</f>
        <v/>
      </c>
      <c r="H183" s="26" t="str">
        <f aca="false">IFERROR(INDEX('Output Utente'!$P$2:$P$492,MATCH(180,'Output Utente'!$R$2:$R$492,0)),"")</f>
        <v/>
      </c>
      <c r="I183" s="27" t="str">
        <f aca="false">IFERROR(INDEX('Output Utente'!$F$2:$F$492,MATCH(180,'Output Utente'!$R$2:$R$492,0)),"")</f>
        <v/>
      </c>
      <c r="J183" s="27" t="str">
        <f aca="false">IFERROR(INDEX('Output Utente'!$G$2:$G$492,MATCH(180,'Output Utente'!$R$2:$R$492,0)),"")</f>
        <v/>
      </c>
      <c r="K183" s="27" t="str">
        <f aca="false">IFERROR(INDEX('Output Utente'!$H$2:$H$492,MATCH(180,'Output Utente'!$R$2:$R$492,0)),"")</f>
        <v/>
      </c>
      <c r="L183" s="26" t="str">
        <f aca="false">IFERROR(INDEX('Output Utente'!$E$2:$E$492,MATCH(180,'Output Utente'!$R$2:$R$492,0)),"")</f>
        <v/>
      </c>
    </row>
    <row r="184" customFormat="false" ht="15" hidden="false" customHeight="true" outlineLevel="0" collapsed="false">
      <c r="A184" s="29" t="n">
        <v>181</v>
      </c>
      <c r="B184" s="26" t="str">
        <f aca="false">IFERROR(INDEX('Output Utente'!$A$2:$A$492,MATCH(181,'Output Utente'!$R$2:$R$492,0)),"")</f>
        <v/>
      </c>
      <c r="C184" s="26" t="str">
        <f aca="false">IFERROR(INDEX('Output Utente'!$B$2:$B$492,MATCH(181,'Output Utente'!$R$2:$R$492,0)),"")</f>
        <v/>
      </c>
      <c r="D184" s="26" t="str">
        <f aca="false">IFERROR(INDEX('Output Utente'!$C$2:$C$492,MATCH(181,'Output Utente'!$R$2:$R$492,0)),"")</f>
        <v/>
      </c>
      <c r="E184" s="26" t="str">
        <f aca="false">IFERROR(INDEX('Input Giocatori 2026_27'!$D$3:$D$493,MATCH($B184,'Input Giocatori 2026_27'!$A$3:$A$493,0)),"")</f>
        <v/>
      </c>
      <c r="F184" s="27" t="str">
        <f aca="false">IFERROR(INDEX('Output Utente'!$N$2:$N$492,MATCH(181,'Output Utente'!$R$2:$R$492,0)),"")</f>
        <v/>
      </c>
      <c r="G184" s="26" t="str">
        <f aca="false">IFERROR(INDEX('Output Utente'!$O$2:$O$492,MATCH(181,'Output Utente'!$R$2:$R$492,0)),"")</f>
        <v/>
      </c>
      <c r="H184" s="26" t="str">
        <f aca="false">IFERROR(INDEX('Output Utente'!$P$2:$P$492,MATCH(181,'Output Utente'!$R$2:$R$492,0)),"")</f>
        <v/>
      </c>
      <c r="I184" s="27" t="str">
        <f aca="false">IFERROR(INDEX('Output Utente'!$F$2:$F$492,MATCH(181,'Output Utente'!$R$2:$R$492,0)),"")</f>
        <v/>
      </c>
      <c r="J184" s="27" t="str">
        <f aca="false">IFERROR(INDEX('Output Utente'!$G$2:$G$492,MATCH(181,'Output Utente'!$R$2:$R$492,0)),"")</f>
        <v/>
      </c>
      <c r="K184" s="27" t="str">
        <f aca="false">IFERROR(INDEX('Output Utente'!$H$2:$H$492,MATCH(181,'Output Utente'!$R$2:$R$492,0)),"")</f>
        <v/>
      </c>
      <c r="L184" s="26" t="str">
        <f aca="false">IFERROR(INDEX('Output Utente'!$E$2:$E$492,MATCH(181,'Output Utente'!$R$2:$R$492,0)),"")</f>
        <v/>
      </c>
    </row>
    <row r="185" customFormat="false" ht="15" hidden="false" customHeight="true" outlineLevel="0" collapsed="false">
      <c r="A185" s="29" t="n">
        <v>182</v>
      </c>
      <c r="B185" s="26" t="str">
        <f aca="false">IFERROR(INDEX('Output Utente'!$A$2:$A$492,MATCH(182,'Output Utente'!$R$2:$R$492,0)),"")</f>
        <v/>
      </c>
      <c r="C185" s="26" t="str">
        <f aca="false">IFERROR(INDEX('Output Utente'!$B$2:$B$492,MATCH(182,'Output Utente'!$R$2:$R$492,0)),"")</f>
        <v/>
      </c>
      <c r="D185" s="26" t="str">
        <f aca="false">IFERROR(INDEX('Output Utente'!$C$2:$C$492,MATCH(182,'Output Utente'!$R$2:$R$492,0)),"")</f>
        <v/>
      </c>
      <c r="E185" s="26" t="str">
        <f aca="false">IFERROR(INDEX('Input Giocatori 2026_27'!$D$3:$D$493,MATCH($B185,'Input Giocatori 2026_27'!$A$3:$A$493,0)),"")</f>
        <v/>
      </c>
      <c r="F185" s="27" t="str">
        <f aca="false">IFERROR(INDEX('Output Utente'!$N$2:$N$492,MATCH(182,'Output Utente'!$R$2:$R$492,0)),"")</f>
        <v/>
      </c>
      <c r="G185" s="26" t="str">
        <f aca="false">IFERROR(INDEX('Output Utente'!$O$2:$O$492,MATCH(182,'Output Utente'!$R$2:$R$492,0)),"")</f>
        <v/>
      </c>
      <c r="H185" s="26" t="str">
        <f aca="false">IFERROR(INDEX('Output Utente'!$P$2:$P$492,MATCH(182,'Output Utente'!$R$2:$R$492,0)),"")</f>
        <v/>
      </c>
      <c r="I185" s="27" t="str">
        <f aca="false">IFERROR(INDEX('Output Utente'!$F$2:$F$492,MATCH(182,'Output Utente'!$R$2:$R$492,0)),"")</f>
        <v/>
      </c>
      <c r="J185" s="27" t="str">
        <f aca="false">IFERROR(INDEX('Output Utente'!$G$2:$G$492,MATCH(182,'Output Utente'!$R$2:$R$492,0)),"")</f>
        <v/>
      </c>
      <c r="K185" s="27" t="str">
        <f aca="false">IFERROR(INDEX('Output Utente'!$H$2:$H$492,MATCH(182,'Output Utente'!$R$2:$R$492,0)),"")</f>
        <v/>
      </c>
      <c r="L185" s="26" t="str">
        <f aca="false">IFERROR(INDEX('Output Utente'!$E$2:$E$492,MATCH(182,'Output Utente'!$R$2:$R$492,0)),"")</f>
        <v/>
      </c>
    </row>
    <row r="186" customFormat="false" ht="15" hidden="false" customHeight="true" outlineLevel="0" collapsed="false">
      <c r="A186" s="29" t="n">
        <v>183</v>
      </c>
      <c r="B186" s="26" t="str">
        <f aca="false">IFERROR(INDEX('Output Utente'!$A$2:$A$492,MATCH(183,'Output Utente'!$R$2:$R$492,0)),"")</f>
        <v/>
      </c>
      <c r="C186" s="26" t="str">
        <f aca="false">IFERROR(INDEX('Output Utente'!$B$2:$B$492,MATCH(183,'Output Utente'!$R$2:$R$492,0)),"")</f>
        <v/>
      </c>
      <c r="D186" s="26" t="str">
        <f aca="false">IFERROR(INDEX('Output Utente'!$C$2:$C$492,MATCH(183,'Output Utente'!$R$2:$R$492,0)),"")</f>
        <v/>
      </c>
      <c r="E186" s="26" t="str">
        <f aca="false">IFERROR(INDEX('Input Giocatori 2026_27'!$D$3:$D$493,MATCH($B186,'Input Giocatori 2026_27'!$A$3:$A$493,0)),"")</f>
        <v/>
      </c>
      <c r="F186" s="27" t="str">
        <f aca="false">IFERROR(INDEX('Output Utente'!$N$2:$N$492,MATCH(183,'Output Utente'!$R$2:$R$492,0)),"")</f>
        <v/>
      </c>
      <c r="G186" s="26" t="str">
        <f aca="false">IFERROR(INDEX('Output Utente'!$O$2:$O$492,MATCH(183,'Output Utente'!$R$2:$R$492,0)),"")</f>
        <v/>
      </c>
      <c r="H186" s="26" t="str">
        <f aca="false">IFERROR(INDEX('Output Utente'!$P$2:$P$492,MATCH(183,'Output Utente'!$R$2:$R$492,0)),"")</f>
        <v/>
      </c>
      <c r="I186" s="27" t="str">
        <f aca="false">IFERROR(INDEX('Output Utente'!$F$2:$F$492,MATCH(183,'Output Utente'!$R$2:$R$492,0)),"")</f>
        <v/>
      </c>
      <c r="J186" s="27" t="str">
        <f aca="false">IFERROR(INDEX('Output Utente'!$G$2:$G$492,MATCH(183,'Output Utente'!$R$2:$R$492,0)),"")</f>
        <v/>
      </c>
      <c r="K186" s="27" t="str">
        <f aca="false">IFERROR(INDEX('Output Utente'!$H$2:$H$492,MATCH(183,'Output Utente'!$R$2:$R$492,0)),"")</f>
        <v/>
      </c>
      <c r="L186" s="26" t="str">
        <f aca="false">IFERROR(INDEX('Output Utente'!$E$2:$E$492,MATCH(183,'Output Utente'!$R$2:$R$492,0)),"")</f>
        <v/>
      </c>
    </row>
    <row r="187" customFormat="false" ht="15" hidden="false" customHeight="true" outlineLevel="0" collapsed="false">
      <c r="A187" s="29" t="n">
        <v>184</v>
      </c>
      <c r="B187" s="26" t="str">
        <f aca="false">IFERROR(INDEX('Output Utente'!$A$2:$A$492,MATCH(184,'Output Utente'!$R$2:$R$492,0)),"")</f>
        <v/>
      </c>
      <c r="C187" s="26" t="str">
        <f aca="false">IFERROR(INDEX('Output Utente'!$B$2:$B$492,MATCH(184,'Output Utente'!$R$2:$R$492,0)),"")</f>
        <v/>
      </c>
      <c r="D187" s="26" t="str">
        <f aca="false">IFERROR(INDEX('Output Utente'!$C$2:$C$492,MATCH(184,'Output Utente'!$R$2:$R$492,0)),"")</f>
        <v/>
      </c>
      <c r="E187" s="26" t="str">
        <f aca="false">IFERROR(INDEX('Input Giocatori 2026_27'!$D$3:$D$493,MATCH($B187,'Input Giocatori 2026_27'!$A$3:$A$493,0)),"")</f>
        <v/>
      </c>
      <c r="F187" s="27" t="str">
        <f aca="false">IFERROR(INDEX('Output Utente'!$N$2:$N$492,MATCH(184,'Output Utente'!$R$2:$R$492,0)),"")</f>
        <v/>
      </c>
      <c r="G187" s="26" t="str">
        <f aca="false">IFERROR(INDEX('Output Utente'!$O$2:$O$492,MATCH(184,'Output Utente'!$R$2:$R$492,0)),"")</f>
        <v/>
      </c>
      <c r="H187" s="26" t="str">
        <f aca="false">IFERROR(INDEX('Output Utente'!$P$2:$P$492,MATCH(184,'Output Utente'!$R$2:$R$492,0)),"")</f>
        <v/>
      </c>
      <c r="I187" s="27" t="str">
        <f aca="false">IFERROR(INDEX('Output Utente'!$F$2:$F$492,MATCH(184,'Output Utente'!$R$2:$R$492,0)),"")</f>
        <v/>
      </c>
      <c r="J187" s="27" t="str">
        <f aca="false">IFERROR(INDEX('Output Utente'!$G$2:$G$492,MATCH(184,'Output Utente'!$R$2:$R$492,0)),"")</f>
        <v/>
      </c>
      <c r="K187" s="27" t="str">
        <f aca="false">IFERROR(INDEX('Output Utente'!$H$2:$H$492,MATCH(184,'Output Utente'!$R$2:$R$492,0)),"")</f>
        <v/>
      </c>
      <c r="L187" s="26" t="str">
        <f aca="false">IFERROR(INDEX('Output Utente'!$E$2:$E$492,MATCH(184,'Output Utente'!$R$2:$R$492,0)),"")</f>
        <v/>
      </c>
    </row>
    <row r="188" customFormat="false" ht="15" hidden="false" customHeight="true" outlineLevel="0" collapsed="false">
      <c r="A188" s="29" t="n">
        <v>185</v>
      </c>
      <c r="B188" s="26" t="str">
        <f aca="false">IFERROR(INDEX('Output Utente'!$A$2:$A$492,MATCH(185,'Output Utente'!$R$2:$R$492,0)),"")</f>
        <v/>
      </c>
      <c r="C188" s="26" t="str">
        <f aca="false">IFERROR(INDEX('Output Utente'!$B$2:$B$492,MATCH(185,'Output Utente'!$R$2:$R$492,0)),"")</f>
        <v/>
      </c>
      <c r="D188" s="26" t="str">
        <f aca="false">IFERROR(INDEX('Output Utente'!$C$2:$C$492,MATCH(185,'Output Utente'!$R$2:$R$492,0)),"")</f>
        <v/>
      </c>
      <c r="E188" s="26" t="str">
        <f aca="false">IFERROR(INDEX('Input Giocatori 2026_27'!$D$3:$D$493,MATCH($B188,'Input Giocatori 2026_27'!$A$3:$A$493,0)),"")</f>
        <v/>
      </c>
      <c r="F188" s="27" t="str">
        <f aca="false">IFERROR(INDEX('Output Utente'!$N$2:$N$492,MATCH(185,'Output Utente'!$R$2:$R$492,0)),"")</f>
        <v/>
      </c>
      <c r="G188" s="26" t="str">
        <f aca="false">IFERROR(INDEX('Output Utente'!$O$2:$O$492,MATCH(185,'Output Utente'!$R$2:$R$492,0)),"")</f>
        <v/>
      </c>
      <c r="H188" s="26" t="str">
        <f aca="false">IFERROR(INDEX('Output Utente'!$P$2:$P$492,MATCH(185,'Output Utente'!$R$2:$R$492,0)),"")</f>
        <v/>
      </c>
      <c r="I188" s="27" t="str">
        <f aca="false">IFERROR(INDEX('Output Utente'!$F$2:$F$492,MATCH(185,'Output Utente'!$R$2:$R$492,0)),"")</f>
        <v/>
      </c>
      <c r="J188" s="27" t="str">
        <f aca="false">IFERROR(INDEX('Output Utente'!$G$2:$G$492,MATCH(185,'Output Utente'!$R$2:$R$492,0)),"")</f>
        <v/>
      </c>
      <c r="K188" s="27" t="str">
        <f aca="false">IFERROR(INDEX('Output Utente'!$H$2:$H$492,MATCH(185,'Output Utente'!$R$2:$R$492,0)),"")</f>
        <v/>
      </c>
      <c r="L188" s="26" t="str">
        <f aca="false">IFERROR(INDEX('Output Utente'!$E$2:$E$492,MATCH(185,'Output Utente'!$R$2:$R$492,0)),"")</f>
        <v/>
      </c>
    </row>
    <row r="189" customFormat="false" ht="15" hidden="false" customHeight="true" outlineLevel="0" collapsed="false">
      <c r="A189" s="29" t="n">
        <v>186</v>
      </c>
      <c r="B189" s="26" t="str">
        <f aca="false">IFERROR(INDEX('Output Utente'!$A$2:$A$492,MATCH(186,'Output Utente'!$R$2:$R$492,0)),"")</f>
        <v/>
      </c>
      <c r="C189" s="26" t="str">
        <f aca="false">IFERROR(INDEX('Output Utente'!$B$2:$B$492,MATCH(186,'Output Utente'!$R$2:$R$492,0)),"")</f>
        <v/>
      </c>
      <c r="D189" s="26" t="str">
        <f aca="false">IFERROR(INDEX('Output Utente'!$C$2:$C$492,MATCH(186,'Output Utente'!$R$2:$R$492,0)),"")</f>
        <v/>
      </c>
      <c r="E189" s="26" t="str">
        <f aca="false">IFERROR(INDEX('Input Giocatori 2026_27'!$D$3:$D$493,MATCH($B189,'Input Giocatori 2026_27'!$A$3:$A$493,0)),"")</f>
        <v/>
      </c>
      <c r="F189" s="27" t="str">
        <f aca="false">IFERROR(INDEX('Output Utente'!$N$2:$N$492,MATCH(186,'Output Utente'!$R$2:$R$492,0)),"")</f>
        <v/>
      </c>
      <c r="G189" s="26" t="str">
        <f aca="false">IFERROR(INDEX('Output Utente'!$O$2:$O$492,MATCH(186,'Output Utente'!$R$2:$R$492,0)),"")</f>
        <v/>
      </c>
      <c r="H189" s="26" t="str">
        <f aca="false">IFERROR(INDEX('Output Utente'!$P$2:$P$492,MATCH(186,'Output Utente'!$R$2:$R$492,0)),"")</f>
        <v/>
      </c>
      <c r="I189" s="27" t="str">
        <f aca="false">IFERROR(INDEX('Output Utente'!$F$2:$F$492,MATCH(186,'Output Utente'!$R$2:$R$492,0)),"")</f>
        <v/>
      </c>
      <c r="J189" s="27" t="str">
        <f aca="false">IFERROR(INDEX('Output Utente'!$G$2:$G$492,MATCH(186,'Output Utente'!$R$2:$R$492,0)),"")</f>
        <v/>
      </c>
      <c r="K189" s="27" t="str">
        <f aca="false">IFERROR(INDEX('Output Utente'!$H$2:$H$492,MATCH(186,'Output Utente'!$R$2:$R$492,0)),"")</f>
        <v/>
      </c>
      <c r="L189" s="26" t="str">
        <f aca="false">IFERROR(INDEX('Output Utente'!$E$2:$E$492,MATCH(186,'Output Utente'!$R$2:$R$492,0)),"")</f>
        <v/>
      </c>
    </row>
    <row r="190" customFormat="false" ht="15" hidden="false" customHeight="true" outlineLevel="0" collapsed="false">
      <c r="A190" s="29" t="n">
        <v>187</v>
      </c>
      <c r="B190" s="26" t="str">
        <f aca="false">IFERROR(INDEX('Output Utente'!$A$2:$A$492,MATCH(187,'Output Utente'!$R$2:$R$492,0)),"")</f>
        <v/>
      </c>
      <c r="C190" s="26" t="str">
        <f aca="false">IFERROR(INDEX('Output Utente'!$B$2:$B$492,MATCH(187,'Output Utente'!$R$2:$R$492,0)),"")</f>
        <v/>
      </c>
      <c r="D190" s="26" t="str">
        <f aca="false">IFERROR(INDEX('Output Utente'!$C$2:$C$492,MATCH(187,'Output Utente'!$R$2:$R$492,0)),"")</f>
        <v/>
      </c>
      <c r="E190" s="26" t="str">
        <f aca="false">IFERROR(INDEX('Input Giocatori 2026_27'!$D$3:$D$493,MATCH($B190,'Input Giocatori 2026_27'!$A$3:$A$493,0)),"")</f>
        <v/>
      </c>
      <c r="F190" s="27" t="str">
        <f aca="false">IFERROR(INDEX('Output Utente'!$N$2:$N$492,MATCH(187,'Output Utente'!$R$2:$R$492,0)),"")</f>
        <v/>
      </c>
      <c r="G190" s="26" t="str">
        <f aca="false">IFERROR(INDEX('Output Utente'!$O$2:$O$492,MATCH(187,'Output Utente'!$R$2:$R$492,0)),"")</f>
        <v/>
      </c>
      <c r="H190" s="26" t="str">
        <f aca="false">IFERROR(INDEX('Output Utente'!$P$2:$P$492,MATCH(187,'Output Utente'!$R$2:$R$492,0)),"")</f>
        <v/>
      </c>
      <c r="I190" s="27" t="str">
        <f aca="false">IFERROR(INDEX('Output Utente'!$F$2:$F$492,MATCH(187,'Output Utente'!$R$2:$R$492,0)),"")</f>
        <v/>
      </c>
      <c r="J190" s="27" t="str">
        <f aca="false">IFERROR(INDEX('Output Utente'!$G$2:$G$492,MATCH(187,'Output Utente'!$R$2:$R$492,0)),"")</f>
        <v/>
      </c>
      <c r="K190" s="27" t="str">
        <f aca="false">IFERROR(INDEX('Output Utente'!$H$2:$H$492,MATCH(187,'Output Utente'!$R$2:$R$492,0)),"")</f>
        <v/>
      </c>
      <c r="L190" s="26" t="str">
        <f aca="false">IFERROR(INDEX('Output Utente'!$E$2:$E$492,MATCH(187,'Output Utente'!$R$2:$R$492,0)),"")</f>
        <v/>
      </c>
    </row>
    <row r="191" customFormat="false" ht="15" hidden="false" customHeight="true" outlineLevel="0" collapsed="false">
      <c r="A191" s="29" t="n">
        <v>188</v>
      </c>
      <c r="B191" s="26" t="str">
        <f aca="false">IFERROR(INDEX('Output Utente'!$A$2:$A$492,MATCH(188,'Output Utente'!$R$2:$R$492,0)),"")</f>
        <v/>
      </c>
      <c r="C191" s="26" t="str">
        <f aca="false">IFERROR(INDEX('Output Utente'!$B$2:$B$492,MATCH(188,'Output Utente'!$R$2:$R$492,0)),"")</f>
        <v/>
      </c>
      <c r="D191" s="26" t="str">
        <f aca="false">IFERROR(INDEX('Output Utente'!$C$2:$C$492,MATCH(188,'Output Utente'!$R$2:$R$492,0)),"")</f>
        <v/>
      </c>
      <c r="E191" s="26" t="str">
        <f aca="false">IFERROR(INDEX('Input Giocatori 2026_27'!$D$3:$D$493,MATCH($B191,'Input Giocatori 2026_27'!$A$3:$A$493,0)),"")</f>
        <v/>
      </c>
      <c r="F191" s="27" t="str">
        <f aca="false">IFERROR(INDEX('Output Utente'!$N$2:$N$492,MATCH(188,'Output Utente'!$R$2:$R$492,0)),"")</f>
        <v/>
      </c>
      <c r="G191" s="26" t="str">
        <f aca="false">IFERROR(INDEX('Output Utente'!$O$2:$O$492,MATCH(188,'Output Utente'!$R$2:$R$492,0)),"")</f>
        <v/>
      </c>
      <c r="H191" s="26" t="str">
        <f aca="false">IFERROR(INDEX('Output Utente'!$P$2:$P$492,MATCH(188,'Output Utente'!$R$2:$R$492,0)),"")</f>
        <v/>
      </c>
      <c r="I191" s="27" t="str">
        <f aca="false">IFERROR(INDEX('Output Utente'!$F$2:$F$492,MATCH(188,'Output Utente'!$R$2:$R$492,0)),"")</f>
        <v/>
      </c>
      <c r="J191" s="27" t="str">
        <f aca="false">IFERROR(INDEX('Output Utente'!$G$2:$G$492,MATCH(188,'Output Utente'!$R$2:$R$492,0)),"")</f>
        <v/>
      </c>
      <c r="K191" s="27" t="str">
        <f aca="false">IFERROR(INDEX('Output Utente'!$H$2:$H$492,MATCH(188,'Output Utente'!$R$2:$R$492,0)),"")</f>
        <v/>
      </c>
      <c r="L191" s="26" t="str">
        <f aca="false">IFERROR(INDEX('Output Utente'!$E$2:$E$492,MATCH(188,'Output Utente'!$R$2:$R$492,0)),"")</f>
        <v/>
      </c>
    </row>
    <row r="192" customFormat="false" ht="15" hidden="false" customHeight="true" outlineLevel="0" collapsed="false">
      <c r="A192" s="29" t="n">
        <v>189</v>
      </c>
      <c r="B192" s="26" t="str">
        <f aca="false">IFERROR(INDEX('Output Utente'!$A$2:$A$492,MATCH(189,'Output Utente'!$R$2:$R$492,0)),"")</f>
        <v/>
      </c>
      <c r="C192" s="26" t="str">
        <f aca="false">IFERROR(INDEX('Output Utente'!$B$2:$B$492,MATCH(189,'Output Utente'!$R$2:$R$492,0)),"")</f>
        <v/>
      </c>
      <c r="D192" s="26" t="str">
        <f aca="false">IFERROR(INDEX('Output Utente'!$C$2:$C$492,MATCH(189,'Output Utente'!$R$2:$R$492,0)),"")</f>
        <v/>
      </c>
      <c r="E192" s="26" t="str">
        <f aca="false">IFERROR(INDEX('Input Giocatori 2026_27'!$D$3:$D$493,MATCH($B192,'Input Giocatori 2026_27'!$A$3:$A$493,0)),"")</f>
        <v/>
      </c>
      <c r="F192" s="27" t="str">
        <f aca="false">IFERROR(INDEX('Output Utente'!$N$2:$N$492,MATCH(189,'Output Utente'!$R$2:$R$492,0)),"")</f>
        <v/>
      </c>
      <c r="G192" s="26" t="str">
        <f aca="false">IFERROR(INDEX('Output Utente'!$O$2:$O$492,MATCH(189,'Output Utente'!$R$2:$R$492,0)),"")</f>
        <v/>
      </c>
      <c r="H192" s="26" t="str">
        <f aca="false">IFERROR(INDEX('Output Utente'!$P$2:$P$492,MATCH(189,'Output Utente'!$R$2:$R$492,0)),"")</f>
        <v/>
      </c>
      <c r="I192" s="27" t="str">
        <f aca="false">IFERROR(INDEX('Output Utente'!$F$2:$F$492,MATCH(189,'Output Utente'!$R$2:$R$492,0)),"")</f>
        <v/>
      </c>
      <c r="J192" s="27" t="str">
        <f aca="false">IFERROR(INDEX('Output Utente'!$G$2:$G$492,MATCH(189,'Output Utente'!$R$2:$R$492,0)),"")</f>
        <v/>
      </c>
      <c r="K192" s="27" t="str">
        <f aca="false">IFERROR(INDEX('Output Utente'!$H$2:$H$492,MATCH(189,'Output Utente'!$R$2:$R$492,0)),"")</f>
        <v/>
      </c>
      <c r="L192" s="26" t="str">
        <f aca="false">IFERROR(INDEX('Output Utente'!$E$2:$E$492,MATCH(189,'Output Utente'!$R$2:$R$492,0)),"")</f>
        <v/>
      </c>
    </row>
    <row r="193" customFormat="false" ht="15" hidden="false" customHeight="true" outlineLevel="0" collapsed="false">
      <c r="A193" s="29" t="n">
        <v>190</v>
      </c>
      <c r="B193" s="26" t="str">
        <f aca="false">IFERROR(INDEX('Output Utente'!$A$2:$A$492,MATCH(190,'Output Utente'!$R$2:$R$492,0)),"")</f>
        <v/>
      </c>
      <c r="C193" s="26" t="str">
        <f aca="false">IFERROR(INDEX('Output Utente'!$B$2:$B$492,MATCH(190,'Output Utente'!$R$2:$R$492,0)),"")</f>
        <v/>
      </c>
      <c r="D193" s="26" t="str">
        <f aca="false">IFERROR(INDEX('Output Utente'!$C$2:$C$492,MATCH(190,'Output Utente'!$R$2:$R$492,0)),"")</f>
        <v/>
      </c>
      <c r="E193" s="26" t="str">
        <f aca="false">IFERROR(INDEX('Input Giocatori 2026_27'!$D$3:$D$493,MATCH($B193,'Input Giocatori 2026_27'!$A$3:$A$493,0)),"")</f>
        <v/>
      </c>
      <c r="F193" s="27" t="str">
        <f aca="false">IFERROR(INDEX('Output Utente'!$N$2:$N$492,MATCH(190,'Output Utente'!$R$2:$R$492,0)),"")</f>
        <v/>
      </c>
      <c r="G193" s="26" t="str">
        <f aca="false">IFERROR(INDEX('Output Utente'!$O$2:$O$492,MATCH(190,'Output Utente'!$R$2:$R$492,0)),"")</f>
        <v/>
      </c>
      <c r="H193" s="26" t="str">
        <f aca="false">IFERROR(INDEX('Output Utente'!$P$2:$P$492,MATCH(190,'Output Utente'!$R$2:$R$492,0)),"")</f>
        <v/>
      </c>
      <c r="I193" s="27" t="str">
        <f aca="false">IFERROR(INDEX('Output Utente'!$F$2:$F$492,MATCH(190,'Output Utente'!$R$2:$R$492,0)),"")</f>
        <v/>
      </c>
      <c r="J193" s="27" t="str">
        <f aca="false">IFERROR(INDEX('Output Utente'!$G$2:$G$492,MATCH(190,'Output Utente'!$R$2:$R$492,0)),"")</f>
        <v/>
      </c>
      <c r="K193" s="27" t="str">
        <f aca="false">IFERROR(INDEX('Output Utente'!$H$2:$H$492,MATCH(190,'Output Utente'!$R$2:$R$492,0)),"")</f>
        <v/>
      </c>
      <c r="L193" s="26" t="str">
        <f aca="false">IFERROR(INDEX('Output Utente'!$E$2:$E$492,MATCH(190,'Output Utente'!$R$2:$R$492,0)),"")</f>
        <v/>
      </c>
    </row>
    <row r="194" customFormat="false" ht="15" hidden="false" customHeight="true" outlineLevel="0" collapsed="false">
      <c r="A194" s="29" t="n">
        <v>191</v>
      </c>
      <c r="B194" s="26" t="str">
        <f aca="false">IFERROR(INDEX('Output Utente'!$A$2:$A$492,MATCH(191,'Output Utente'!$R$2:$R$492,0)),"")</f>
        <v/>
      </c>
      <c r="C194" s="26" t="str">
        <f aca="false">IFERROR(INDEX('Output Utente'!$B$2:$B$492,MATCH(191,'Output Utente'!$R$2:$R$492,0)),"")</f>
        <v/>
      </c>
      <c r="D194" s="26" t="str">
        <f aca="false">IFERROR(INDEX('Output Utente'!$C$2:$C$492,MATCH(191,'Output Utente'!$R$2:$R$492,0)),"")</f>
        <v/>
      </c>
      <c r="E194" s="26" t="str">
        <f aca="false">IFERROR(INDEX('Input Giocatori 2026_27'!$D$3:$D$493,MATCH($B194,'Input Giocatori 2026_27'!$A$3:$A$493,0)),"")</f>
        <v/>
      </c>
      <c r="F194" s="27" t="str">
        <f aca="false">IFERROR(INDEX('Output Utente'!$N$2:$N$492,MATCH(191,'Output Utente'!$R$2:$R$492,0)),"")</f>
        <v/>
      </c>
      <c r="G194" s="26" t="str">
        <f aca="false">IFERROR(INDEX('Output Utente'!$O$2:$O$492,MATCH(191,'Output Utente'!$R$2:$R$492,0)),"")</f>
        <v/>
      </c>
      <c r="H194" s="26" t="str">
        <f aca="false">IFERROR(INDEX('Output Utente'!$P$2:$P$492,MATCH(191,'Output Utente'!$R$2:$R$492,0)),"")</f>
        <v/>
      </c>
      <c r="I194" s="27" t="str">
        <f aca="false">IFERROR(INDEX('Output Utente'!$F$2:$F$492,MATCH(191,'Output Utente'!$R$2:$R$492,0)),"")</f>
        <v/>
      </c>
      <c r="J194" s="27" t="str">
        <f aca="false">IFERROR(INDEX('Output Utente'!$G$2:$G$492,MATCH(191,'Output Utente'!$R$2:$R$492,0)),"")</f>
        <v/>
      </c>
      <c r="K194" s="27" t="str">
        <f aca="false">IFERROR(INDEX('Output Utente'!$H$2:$H$492,MATCH(191,'Output Utente'!$R$2:$R$492,0)),"")</f>
        <v/>
      </c>
      <c r="L194" s="26" t="str">
        <f aca="false">IFERROR(INDEX('Output Utente'!$E$2:$E$492,MATCH(191,'Output Utente'!$R$2:$R$492,0)),"")</f>
        <v/>
      </c>
    </row>
    <row r="195" customFormat="false" ht="15" hidden="false" customHeight="true" outlineLevel="0" collapsed="false">
      <c r="A195" s="29" t="n">
        <v>192</v>
      </c>
      <c r="B195" s="26" t="str">
        <f aca="false">IFERROR(INDEX('Output Utente'!$A$2:$A$492,MATCH(192,'Output Utente'!$R$2:$R$492,0)),"")</f>
        <v/>
      </c>
      <c r="C195" s="26" t="str">
        <f aca="false">IFERROR(INDEX('Output Utente'!$B$2:$B$492,MATCH(192,'Output Utente'!$R$2:$R$492,0)),"")</f>
        <v/>
      </c>
      <c r="D195" s="26" t="str">
        <f aca="false">IFERROR(INDEX('Output Utente'!$C$2:$C$492,MATCH(192,'Output Utente'!$R$2:$R$492,0)),"")</f>
        <v/>
      </c>
      <c r="E195" s="26" t="str">
        <f aca="false">IFERROR(INDEX('Input Giocatori 2026_27'!$D$3:$D$493,MATCH($B195,'Input Giocatori 2026_27'!$A$3:$A$493,0)),"")</f>
        <v/>
      </c>
      <c r="F195" s="27" t="str">
        <f aca="false">IFERROR(INDEX('Output Utente'!$N$2:$N$492,MATCH(192,'Output Utente'!$R$2:$R$492,0)),"")</f>
        <v/>
      </c>
      <c r="G195" s="26" t="str">
        <f aca="false">IFERROR(INDEX('Output Utente'!$O$2:$O$492,MATCH(192,'Output Utente'!$R$2:$R$492,0)),"")</f>
        <v/>
      </c>
      <c r="H195" s="26" t="str">
        <f aca="false">IFERROR(INDEX('Output Utente'!$P$2:$P$492,MATCH(192,'Output Utente'!$R$2:$R$492,0)),"")</f>
        <v/>
      </c>
      <c r="I195" s="27" t="str">
        <f aca="false">IFERROR(INDEX('Output Utente'!$F$2:$F$492,MATCH(192,'Output Utente'!$R$2:$R$492,0)),"")</f>
        <v/>
      </c>
      <c r="J195" s="27" t="str">
        <f aca="false">IFERROR(INDEX('Output Utente'!$G$2:$G$492,MATCH(192,'Output Utente'!$R$2:$R$492,0)),"")</f>
        <v/>
      </c>
      <c r="K195" s="27" t="str">
        <f aca="false">IFERROR(INDEX('Output Utente'!$H$2:$H$492,MATCH(192,'Output Utente'!$R$2:$R$492,0)),"")</f>
        <v/>
      </c>
      <c r="L195" s="26" t="str">
        <f aca="false">IFERROR(INDEX('Output Utente'!$E$2:$E$492,MATCH(192,'Output Utente'!$R$2:$R$492,0)),"")</f>
        <v/>
      </c>
    </row>
    <row r="196" customFormat="false" ht="15" hidden="false" customHeight="true" outlineLevel="0" collapsed="false">
      <c r="A196" s="29" t="n">
        <v>193</v>
      </c>
      <c r="B196" s="26" t="str">
        <f aca="false">IFERROR(INDEX('Output Utente'!$A$2:$A$492,MATCH(193,'Output Utente'!$R$2:$R$492,0)),"")</f>
        <v/>
      </c>
      <c r="C196" s="26" t="str">
        <f aca="false">IFERROR(INDEX('Output Utente'!$B$2:$B$492,MATCH(193,'Output Utente'!$R$2:$R$492,0)),"")</f>
        <v/>
      </c>
      <c r="D196" s="26" t="str">
        <f aca="false">IFERROR(INDEX('Output Utente'!$C$2:$C$492,MATCH(193,'Output Utente'!$R$2:$R$492,0)),"")</f>
        <v/>
      </c>
      <c r="E196" s="26" t="str">
        <f aca="false">IFERROR(INDEX('Input Giocatori 2026_27'!$D$3:$D$493,MATCH($B196,'Input Giocatori 2026_27'!$A$3:$A$493,0)),"")</f>
        <v/>
      </c>
      <c r="F196" s="27" t="str">
        <f aca="false">IFERROR(INDEX('Output Utente'!$N$2:$N$492,MATCH(193,'Output Utente'!$R$2:$R$492,0)),"")</f>
        <v/>
      </c>
      <c r="G196" s="26" t="str">
        <f aca="false">IFERROR(INDEX('Output Utente'!$O$2:$O$492,MATCH(193,'Output Utente'!$R$2:$R$492,0)),"")</f>
        <v/>
      </c>
      <c r="H196" s="26" t="str">
        <f aca="false">IFERROR(INDEX('Output Utente'!$P$2:$P$492,MATCH(193,'Output Utente'!$R$2:$R$492,0)),"")</f>
        <v/>
      </c>
      <c r="I196" s="27" t="str">
        <f aca="false">IFERROR(INDEX('Output Utente'!$F$2:$F$492,MATCH(193,'Output Utente'!$R$2:$R$492,0)),"")</f>
        <v/>
      </c>
      <c r="J196" s="27" t="str">
        <f aca="false">IFERROR(INDEX('Output Utente'!$G$2:$G$492,MATCH(193,'Output Utente'!$R$2:$R$492,0)),"")</f>
        <v/>
      </c>
      <c r="K196" s="27" t="str">
        <f aca="false">IFERROR(INDEX('Output Utente'!$H$2:$H$492,MATCH(193,'Output Utente'!$R$2:$R$492,0)),"")</f>
        <v/>
      </c>
      <c r="L196" s="26" t="str">
        <f aca="false">IFERROR(INDEX('Output Utente'!$E$2:$E$492,MATCH(193,'Output Utente'!$R$2:$R$492,0)),"")</f>
        <v/>
      </c>
    </row>
    <row r="197" customFormat="false" ht="15" hidden="false" customHeight="true" outlineLevel="0" collapsed="false">
      <c r="A197" s="29" t="n">
        <v>194</v>
      </c>
      <c r="B197" s="26" t="str">
        <f aca="false">IFERROR(INDEX('Output Utente'!$A$2:$A$492,MATCH(194,'Output Utente'!$R$2:$R$492,0)),"")</f>
        <v/>
      </c>
      <c r="C197" s="26" t="str">
        <f aca="false">IFERROR(INDEX('Output Utente'!$B$2:$B$492,MATCH(194,'Output Utente'!$R$2:$R$492,0)),"")</f>
        <v/>
      </c>
      <c r="D197" s="26" t="str">
        <f aca="false">IFERROR(INDEX('Output Utente'!$C$2:$C$492,MATCH(194,'Output Utente'!$R$2:$R$492,0)),"")</f>
        <v/>
      </c>
      <c r="E197" s="26" t="str">
        <f aca="false">IFERROR(INDEX('Input Giocatori 2026_27'!$D$3:$D$493,MATCH($B197,'Input Giocatori 2026_27'!$A$3:$A$493,0)),"")</f>
        <v/>
      </c>
      <c r="F197" s="27" t="str">
        <f aca="false">IFERROR(INDEX('Output Utente'!$N$2:$N$492,MATCH(194,'Output Utente'!$R$2:$R$492,0)),"")</f>
        <v/>
      </c>
      <c r="G197" s="26" t="str">
        <f aca="false">IFERROR(INDEX('Output Utente'!$O$2:$O$492,MATCH(194,'Output Utente'!$R$2:$R$492,0)),"")</f>
        <v/>
      </c>
      <c r="H197" s="26" t="str">
        <f aca="false">IFERROR(INDEX('Output Utente'!$P$2:$P$492,MATCH(194,'Output Utente'!$R$2:$R$492,0)),"")</f>
        <v/>
      </c>
      <c r="I197" s="27" t="str">
        <f aca="false">IFERROR(INDEX('Output Utente'!$F$2:$F$492,MATCH(194,'Output Utente'!$R$2:$R$492,0)),"")</f>
        <v/>
      </c>
      <c r="J197" s="27" t="str">
        <f aca="false">IFERROR(INDEX('Output Utente'!$G$2:$G$492,MATCH(194,'Output Utente'!$R$2:$R$492,0)),"")</f>
        <v/>
      </c>
      <c r="K197" s="27" t="str">
        <f aca="false">IFERROR(INDEX('Output Utente'!$H$2:$H$492,MATCH(194,'Output Utente'!$R$2:$R$492,0)),"")</f>
        <v/>
      </c>
      <c r="L197" s="26" t="str">
        <f aca="false">IFERROR(INDEX('Output Utente'!$E$2:$E$492,MATCH(194,'Output Utente'!$R$2:$R$492,0)),"")</f>
        <v/>
      </c>
    </row>
    <row r="198" customFormat="false" ht="15" hidden="false" customHeight="true" outlineLevel="0" collapsed="false">
      <c r="A198" s="29" t="n">
        <v>195</v>
      </c>
      <c r="B198" s="26" t="str">
        <f aca="false">IFERROR(INDEX('Output Utente'!$A$2:$A$492,MATCH(195,'Output Utente'!$R$2:$R$492,0)),"")</f>
        <v/>
      </c>
      <c r="C198" s="26" t="str">
        <f aca="false">IFERROR(INDEX('Output Utente'!$B$2:$B$492,MATCH(195,'Output Utente'!$R$2:$R$492,0)),"")</f>
        <v/>
      </c>
      <c r="D198" s="26" t="str">
        <f aca="false">IFERROR(INDEX('Output Utente'!$C$2:$C$492,MATCH(195,'Output Utente'!$R$2:$R$492,0)),"")</f>
        <v/>
      </c>
      <c r="E198" s="26" t="str">
        <f aca="false">IFERROR(INDEX('Input Giocatori 2026_27'!$D$3:$D$493,MATCH($B198,'Input Giocatori 2026_27'!$A$3:$A$493,0)),"")</f>
        <v/>
      </c>
      <c r="F198" s="27" t="str">
        <f aca="false">IFERROR(INDEX('Output Utente'!$N$2:$N$492,MATCH(195,'Output Utente'!$R$2:$R$492,0)),"")</f>
        <v/>
      </c>
      <c r="G198" s="26" t="str">
        <f aca="false">IFERROR(INDEX('Output Utente'!$O$2:$O$492,MATCH(195,'Output Utente'!$R$2:$R$492,0)),"")</f>
        <v/>
      </c>
      <c r="H198" s="26" t="str">
        <f aca="false">IFERROR(INDEX('Output Utente'!$P$2:$P$492,MATCH(195,'Output Utente'!$R$2:$R$492,0)),"")</f>
        <v/>
      </c>
      <c r="I198" s="27" t="str">
        <f aca="false">IFERROR(INDEX('Output Utente'!$F$2:$F$492,MATCH(195,'Output Utente'!$R$2:$R$492,0)),"")</f>
        <v/>
      </c>
      <c r="J198" s="27" t="str">
        <f aca="false">IFERROR(INDEX('Output Utente'!$G$2:$G$492,MATCH(195,'Output Utente'!$R$2:$R$492,0)),"")</f>
        <v/>
      </c>
      <c r="K198" s="27" t="str">
        <f aca="false">IFERROR(INDEX('Output Utente'!$H$2:$H$492,MATCH(195,'Output Utente'!$R$2:$R$492,0)),"")</f>
        <v/>
      </c>
      <c r="L198" s="26" t="str">
        <f aca="false">IFERROR(INDEX('Output Utente'!$E$2:$E$492,MATCH(195,'Output Utente'!$R$2:$R$492,0)),"")</f>
        <v/>
      </c>
    </row>
    <row r="199" customFormat="false" ht="15" hidden="false" customHeight="true" outlineLevel="0" collapsed="false">
      <c r="A199" s="29" t="n">
        <v>196</v>
      </c>
      <c r="B199" s="26" t="str">
        <f aca="false">IFERROR(INDEX('Output Utente'!$A$2:$A$492,MATCH(196,'Output Utente'!$R$2:$R$492,0)),"")</f>
        <v/>
      </c>
      <c r="C199" s="26" t="str">
        <f aca="false">IFERROR(INDEX('Output Utente'!$B$2:$B$492,MATCH(196,'Output Utente'!$R$2:$R$492,0)),"")</f>
        <v/>
      </c>
      <c r="D199" s="26" t="str">
        <f aca="false">IFERROR(INDEX('Output Utente'!$C$2:$C$492,MATCH(196,'Output Utente'!$R$2:$R$492,0)),"")</f>
        <v/>
      </c>
      <c r="E199" s="26" t="str">
        <f aca="false">IFERROR(INDEX('Input Giocatori 2026_27'!$D$3:$D$493,MATCH($B199,'Input Giocatori 2026_27'!$A$3:$A$493,0)),"")</f>
        <v/>
      </c>
      <c r="F199" s="27" t="str">
        <f aca="false">IFERROR(INDEX('Output Utente'!$N$2:$N$492,MATCH(196,'Output Utente'!$R$2:$R$492,0)),"")</f>
        <v/>
      </c>
      <c r="G199" s="26" t="str">
        <f aca="false">IFERROR(INDEX('Output Utente'!$O$2:$O$492,MATCH(196,'Output Utente'!$R$2:$R$492,0)),"")</f>
        <v/>
      </c>
      <c r="H199" s="26" t="str">
        <f aca="false">IFERROR(INDEX('Output Utente'!$P$2:$P$492,MATCH(196,'Output Utente'!$R$2:$R$492,0)),"")</f>
        <v/>
      </c>
      <c r="I199" s="27" t="str">
        <f aca="false">IFERROR(INDEX('Output Utente'!$F$2:$F$492,MATCH(196,'Output Utente'!$R$2:$R$492,0)),"")</f>
        <v/>
      </c>
      <c r="J199" s="27" t="str">
        <f aca="false">IFERROR(INDEX('Output Utente'!$G$2:$G$492,MATCH(196,'Output Utente'!$R$2:$R$492,0)),"")</f>
        <v/>
      </c>
      <c r="K199" s="27" t="str">
        <f aca="false">IFERROR(INDEX('Output Utente'!$H$2:$H$492,MATCH(196,'Output Utente'!$R$2:$R$492,0)),"")</f>
        <v/>
      </c>
      <c r="L199" s="26" t="str">
        <f aca="false">IFERROR(INDEX('Output Utente'!$E$2:$E$492,MATCH(196,'Output Utente'!$R$2:$R$492,0)),"")</f>
        <v/>
      </c>
    </row>
    <row r="200" customFormat="false" ht="15" hidden="false" customHeight="true" outlineLevel="0" collapsed="false">
      <c r="A200" s="29" t="n">
        <v>197</v>
      </c>
      <c r="B200" s="26" t="str">
        <f aca="false">IFERROR(INDEX('Output Utente'!$A$2:$A$492,MATCH(197,'Output Utente'!$R$2:$R$492,0)),"")</f>
        <v/>
      </c>
      <c r="C200" s="26" t="str">
        <f aca="false">IFERROR(INDEX('Output Utente'!$B$2:$B$492,MATCH(197,'Output Utente'!$R$2:$R$492,0)),"")</f>
        <v/>
      </c>
      <c r="D200" s="26" t="str">
        <f aca="false">IFERROR(INDEX('Output Utente'!$C$2:$C$492,MATCH(197,'Output Utente'!$R$2:$R$492,0)),"")</f>
        <v/>
      </c>
      <c r="E200" s="26" t="str">
        <f aca="false">IFERROR(INDEX('Input Giocatori 2026_27'!$D$3:$D$493,MATCH($B200,'Input Giocatori 2026_27'!$A$3:$A$493,0)),"")</f>
        <v/>
      </c>
      <c r="F200" s="27" t="str">
        <f aca="false">IFERROR(INDEX('Output Utente'!$N$2:$N$492,MATCH(197,'Output Utente'!$R$2:$R$492,0)),"")</f>
        <v/>
      </c>
      <c r="G200" s="26" t="str">
        <f aca="false">IFERROR(INDEX('Output Utente'!$O$2:$O$492,MATCH(197,'Output Utente'!$R$2:$R$492,0)),"")</f>
        <v/>
      </c>
      <c r="H200" s="26" t="str">
        <f aca="false">IFERROR(INDEX('Output Utente'!$P$2:$P$492,MATCH(197,'Output Utente'!$R$2:$R$492,0)),"")</f>
        <v/>
      </c>
      <c r="I200" s="27" t="str">
        <f aca="false">IFERROR(INDEX('Output Utente'!$F$2:$F$492,MATCH(197,'Output Utente'!$R$2:$R$492,0)),"")</f>
        <v/>
      </c>
      <c r="J200" s="27" t="str">
        <f aca="false">IFERROR(INDEX('Output Utente'!$G$2:$G$492,MATCH(197,'Output Utente'!$R$2:$R$492,0)),"")</f>
        <v/>
      </c>
      <c r="K200" s="27" t="str">
        <f aca="false">IFERROR(INDEX('Output Utente'!$H$2:$H$492,MATCH(197,'Output Utente'!$R$2:$R$492,0)),"")</f>
        <v/>
      </c>
      <c r="L200" s="26" t="str">
        <f aca="false">IFERROR(INDEX('Output Utente'!$E$2:$E$492,MATCH(197,'Output Utente'!$R$2:$R$492,0)),"")</f>
        <v/>
      </c>
    </row>
    <row r="201" customFormat="false" ht="15" hidden="false" customHeight="true" outlineLevel="0" collapsed="false">
      <c r="A201" s="29" t="n">
        <v>198</v>
      </c>
      <c r="B201" s="26" t="str">
        <f aca="false">IFERROR(INDEX('Output Utente'!$A$2:$A$492,MATCH(198,'Output Utente'!$R$2:$R$492,0)),"")</f>
        <v/>
      </c>
      <c r="C201" s="26" t="str">
        <f aca="false">IFERROR(INDEX('Output Utente'!$B$2:$B$492,MATCH(198,'Output Utente'!$R$2:$R$492,0)),"")</f>
        <v/>
      </c>
      <c r="D201" s="26" t="str">
        <f aca="false">IFERROR(INDEX('Output Utente'!$C$2:$C$492,MATCH(198,'Output Utente'!$R$2:$R$492,0)),"")</f>
        <v/>
      </c>
      <c r="E201" s="26" t="str">
        <f aca="false">IFERROR(INDEX('Input Giocatori 2026_27'!$D$3:$D$493,MATCH($B201,'Input Giocatori 2026_27'!$A$3:$A$493,0)),"")</f>
        <v/>
      </c>
      <c r="F201" s="27" t="str">
        <f aca="false">IFERROR(INDEX('Output Utente'!$N$2:$N$492,MATCH(198,'Output Utente'!$R$2:$R$492,0)),"")</f>
        <v/>
      </c>
      <c r="G201" s="26" t="str">
        <f aca="false">IFERROR(INDEX('Output Utente'!$O$2:$O$492,MATCH(198,'Output Utente'!$R$2:$R$492,0)),"")</f>
        <v/>
      </c>
      <c r="H201" s="26" t="str">
        <f aca="false">IFERROR(INDEX('Output Utente'!$P$2:$P$492,MATCH(198,'Output Utente'!$R$2:$R$492,0)),"")</f>
        <v/>
      </c>
      <c r="I201" s="27" t="str">
        <f aca="false">IFERROR(INDEX('Output Utente'!$F$2:$F$492,MATCH(198,'Output Utente'!$R$2:$R$492,0)),"")</f>
        <v/>
      </c>
      <c r="J201" s="27" t="str">
        <f aca="false">IFERROR(INDEX('Output Utente'!$G$2:$G$492,MATCH(198,'Output Utente'!$R$2:$R$492,0)),"")</f>
        <v/>
      </c>
      <c r="K201" s="27" t="str">
        <f aca="false">IFERROR(INDEX('Output Utente'!$H$2:$H$492,MATCH(198,'Output Utente'!$R$2:$R$492,0)),"")</f>
        <v/>
      </c>
      <c r="L201" s="26" t="str">
        <f aca="false">IFERROR(INDEX('Output Utente'!$E$2:$E$492,MATCH(198,'Output Utente'!$R$2:$R$492,0)),"")</f>
        <v/>
      </c>
    </row>
    <row r="202" customFormat="false" ht="15" hidden="false" customHeight="true" outlineLevel="0" collapsed="false">
      <c r="A202" s="29" t="n">
        <v>199</v>
      </c>
      <c r="B202" s="26" t="str">
        <f aca="false">IFERROR(INDEX('Output Utente'!$A$2:$A$492,MATCH(199,'Output Utente'!$R$2:$R$492,0)),"")</f>
        <v/>
      </c>
      <c r="C202" s="26" t="str">
        <f aca="false">IFERROR(INDEX('Output Utente'!$B$2:$B$492,MATCH(199,'Output Utente'!$R$2:$R$492,0)),"")</f>
        <v/>
      </c>
      <c r="D202" s="26" t="str">
        <f aca="false">IFERROR(INDEX('Output Utente'!$C$2:$C$492,MATCH(199,'Output Utente'!$R$2:$R$492,0)),"")</f>
        <v/>
      </c>
      <c r="E202" s="26" t="str">
        <f aca="false">IFERROR(INDEX('Input Giocatori 2026_27'!$D$3:$D$493,MATCH($B202,'Input Giocatori 2026_27'!$A$3:$A$493,0)),"")</f>
        <v/>
      </c>
      <c r="F202" s="27" t="str">
        <f aca="false">IFERROR(INDEX('Output Utente'!$N$2:$N$492,MATCH(199,'Output Utente'!$R$2:$R$492,0)),"")</f>
        <v/>
      </c>
      <c r="G202" s="26" t="str">
        <f aca="false">IFERROR(INDEX('Output Utente'!$O$2:$O$492,MATCH(199,'Output Utente'!$R$2:$R$492,0)),"")</f>
        <v/>
      </c>
      <c r="H202" s="26" t="str">
        <f aca="false">IFERROR(INDEX('Output Utente'!$P$2:$P$492,MATCH(199,'Output Utente'!$R$2:$R$492,0)),"")</f>
        <v/>
      </c>
      <c r="I202" s="27" t="str">
        <f aca="false">IFERROR(INDEX('Output Utente'!$F$2:$F$492,MATCH(199,'Output Utente'!$R$2:$R$492,0)),"")</f>
        <v/>
      </c>
      <c r="J202" s="27" t="str">
        <f aca="false">IFERROR(INDEX('Output Utente'!$G$2:$G$492,MATCH(199,'Output Utente'!$R$2:$R$492,0)),"")</f>
        <v/>
      </c>
      <c r="K202" s="27" t="str">
        <f aca="false">IFERROR(INDEX('Output Utente'!$H$2:$H$492,MATCH(199,'Output Utente'!$R$2:$R$492,0)),"")</f>
        <v/>
      </c>
      <c r="L202" s="26" t="str">
        <f aca="false">IFERROR(INDEX('Output Utente'!$E$2:$E$492,MATCH(199,'Output Utente'!$R$2:$R$492,0)),"")</f>
        <v/>
      </c>
    </row>
    <row r="203" customFormat="false" ht="15" hidden="false" customHeight="true" outlineLevel="0" collapsed="false">
      <c r="A203" s="29" t="n">
        <v>200</v>
      </c>
      <c r="B203" s="26" t="str">
        <f aca="false">IFERROR(INDEX('Output Utente'!$A$2:$A$492,MATCH(200,'Output Utente'!$R$2:$R$492,0)),"")</f>
        <v/>
      </c>
      <c r="C203" s="26" t="str">
        <f aca="false">IFERROR(INDEX('Output Utente'!$B$2:$B$492,MATCH(200,'Output Utente'!$R$2:$R$492,0)),"")</f>
        <v/>
      </c>
      <c r="D203" s="26" t="str">
        <f aca="false">IFERROR(INDEX('Output Utente'!$C$2:$C$492,MATCH(200,'Output Utente'!$R$2:$R$492,0)),"")</f>
        <v/>
      </c>
      <c r="E203" s="26" t="str">
        <f aca="false">IFERROR(INDEX('Input Giocatori 2026_27'!$D$3:$D$493,MATCH($B203,'Input Giocatori 2026_27'!$A$3:$A$493,0)),"")</f>
        <v/>
      </c>
      <c r="F203" s="27" t="str">
        <f aca="false">IFERROR(INDEX('Output Utente'!$N$2:$N$492,MATCH(200,'Output Utente'!$R$2:$R$492,0)),"")</f>
        <v/>
      </c>
      <c r="G203" s="26" t="str">
        <f aca="false">IFERROR(INDEX('Output Utente'!$O$2:$O$492,MATCH(200,'Output Utente'!$R$2:$R$492,0)),"")</f>
        <v/>
      </c>
      <c r="H203" s="26" t="str">
        <f aca="false">IFERROR(INDEX('Output Utente'!$P$2:$P$492,MATCH(200,'Output Utente'!$R$2:$R$492,0)),"")</f>
        <v/>
      </c>
      <c r="I203" s="27" t="str">
        <f aca="false">IFERROR(INDEX('Output Utente'!$F$2:$F$492,MATCH(200,'Output Utente'!$R$2:$R$492,0)),"")</f>
        <v/>
      </c>
      <c r="J203" s="27" t="str">
        <f aca="false">IFERROR(INDEX('Output Utente'!$G$2:$G$492,MATCH(200,'Output Utente'!$R$2:$R$492,0)),"")</f>
        <v/>
      </c>
      <c r="K203" s="27" t="str">
        <f aca="false">IFERROR(INDEX('Output Utente'!$H$2:$H$492,MATCH(200,'Output Utente'!$R$2:$R$492,0)),"")</f>
        <v/>
      </c>
      <c r="L203" s="26" t="str">
        <f aca="false">IFERROR(INDEX('Output Utente'!$E$2:$E$492,MATCH(200,'Output Utente'!$R$2:$R$492,0)),"")</f>
        <v/>
      </c>
    </row>
    <row r="204" customFormat="false" ht="15" hidden="false" customHeight="true" outlineLevel="0" collapsed="false">
      <c r="A204" s="29" t="n">
        <v>201</v>
      </c>
      <c r="B204" s="26" t="str">
        <f aca="false">IFERROR(INDEX('Output Utente'!$A$2:$A$492,MATCH(201,'Output Utente'!$R$2:$R$492,0)),"")</f>
        <v/>
      </c>
      <c r="C204" s="26" t="str">
        <f aca="false">IFERROR(INDEX('Output Utente'!$B$2:$B$492,MATCH(201,'Output Utente'!$R$2:$R$492,0)),"")</f>
        <v/>
      </c>
      <c r="D204" s="26" t="str">
        <f aca="false">IFERROR(INDEX('Output Utente'!$C$2:$C$492,MATCH(201,'Output Utente'!$R$2:$R$492,0)),"")</f>
        <v/>
      </c>
      <c r="E204" s="26" t="str">
        <f aca="false">IFERROR(INDEX('Input Giocatori 2026_27'!$D$3:$D$493,MATCH($B204,'Input Giocatori 2026_27'!$A$3:$A$493,0)),"")</f>
        <v/>
      </c>
      <c r="F204" s="27" t="str">
        <f aca="false">IFERROR(INDEX('Output Utente'!$N$2:$N$492,MATCH(201,'Output Utente'!$R$2:$R$492,0)),"")</f>
        <v/>
      </c>
      <c r="G204" s="26" t="str">
        <f aca="false">IFERROR(INDEX('Output Utente'!$O$2:$O$492,MATCH(201,'Output Utente'!$R$2:$R$492,0)),"")</f>
        <v/>
      </c>
      <c r="H204" s="26" t="str">
        <f aca="false">IFERROR(INDEX('Output Utente'!$P$2:$P$492,MATCH(201,'Output Utente'!$R$2:$R$492,0)),"")</f>
        <v/>
      </c>
      <c r="I204" s="27" t="str">
        <f aca="false">IFERROR(INDEX('Output Utente'!$F$2:$F$492,MATCH(201,'Output Utente'!$R$2:$R$492,0)),"")</f>
        <v/>
      </c>
      <c r="J204" s="27" t="str">
        <f aca="false">IFERROR(INDEX('Output Utente'!$G$2:$G$492,MATCH(201,'Output Utente'!$R$2:$R$492,0)),"")</f>
        <v/>
      </c>
      <c r="K204" s="27" t="str">
        <f aca="false">IFERROR(INDEX('Output Utente'!$H$2:$H$492,MATCH(201,'Output Utente'!$R$2:$R$492,0)),"")</f>
        <v/>
      </c>
      <c r="L204" s="26" t="str">
        <f aca="false">IFERROR(INDEX('Output Utente'!$E$2:$E$492,MATCH(201,'Output Utente'!$R$2:$R$492,0)),"")</f>
        <v/>
      </c>
    </row>
    <row r="205" customFormat="false" ht="15" hidden="false" customHeight="true" outlineLevel="0" collapsed="false">
      <c r="A205" s="29" t="n">
        <v>202</v>
      </c>
      <c r="B205" s="26" t="str">
        <f aca="false">IFERROR(INDEX('Output Utente'!$A$2:$A$492,MATCH(202,'Output Utente'!$R$2:$R$492,0)),"")</f>
        <v/>
      </c>
      <c r="C205" s="26" t="str">
        <f aca="false">IFERROR(INDEX('Output Utente'!$B$2:$B$492,MATCH(202,'Output Utente'!$R$2:$R$492,0)),"")</f>
        <v/>
      </c>
      <c r="D205" s="26" t="str">
        <f aca="false">IFERROR(INDEX('Output Utente'!$C$2:$C$492,MATCH(202,'Output Utente'!$R$2:$R$492,0)),"")</f>
        <v/>
      </c>
      <c r="E205" s="26" t="str">
        <f aca="false">IFERROR(INDEX('Input Giocatori 2026_27'!$D$3:$D$493,MATCH($B205,'Input Giocatori 2026_27'!$A$3:$A$493,0)),"")</f>
        <v/>
      </c>
      <c r="F205" s="27" t="str">
        <f aca="false">IFERROR(INDEX('Output Utente'!$N$2:$N$492,MATCH(202,'Output Utente'!$R$2:$R$492,0)),"")</f>
        <v/>
      </c>
      <c r="G205" s="26" t="str">
        <f aca="false">IFERROR(INDEX('Output Utente'!$O$2:$O$492,MATCH(202,'Output Utente'!$R$2:$R$492,0)),"")</f>
        <v/>
      </c>
      <c r="H205" s="26" t="str">
        <f aca="false">IFERROR(INDEX('Output Utente'!$P$2:$P$492,MATCH(202,'Output Utente'!$R$2:$R$492,0)),"")</f>
        <v/>
      </c>
      <c r="I205" s="27" t="str">
        <f aca="false">IFERROR(INDEX('Output Utente'!$F$2:$F$492,MATCH(202,'Output Utente'!$R$2:$R$492,0)),"")</f>
        <v/>
      </c>
      <c r="J205" s="27" t="str">
        <f aca="false">IFERROR(INDEX('Output Utente'!$G$2:$G$492,MATCH(202,'Output Utente'!$R$2:$R$492,0)),"")</f>
        <v/>
      </c>
      <c r="K205" s="27" t="str">
        <f aca="false">IFERROR(INDEX('Output Utente'!$H$2:$H$492,MATCH(202,'Output Utente'!$R$2:$R$492,0)),"")</f>
        <v/>
      </c>
      <c r="L205" s="26" t="str">
        <f aca="false">IFERROR(INDEX('Output Utente'!$E$2:$E$492,MATCH(202,'Output Utente'!$R$2:$R$492,0)),"")</f>
        <v/>
      </c>
    </row>
    <row r="206" customFormat="false" ht="15" hidden="false" customHeight="true" outlineLevel="0" collapsed="false">
      <c r="A206" s="29" t="n">
        <v>203</v>
      </c>
      <c r="B206" s="26" t="str">
        <f aca="false">IFERROR(INDEX('Output Utente'!$A$2:$A$492,MATCH(203,'Output Utente'!$R$2:$R$492,0)),"")</f>
        <v/>
      </c>
      <c r="C206" s="26" t="str">
        <f aca="false">IFERROR(INDEX('Output Utente'!$B$2:$B$492,MATCH(203,'Output Utente'!$R$2:$R$492,0)),"")</f>
        <v/>
      </c>
      <c r="D206" s="26" t="str">
        <f aca="false">IFERROR(INDEX('Output Utente'!$C$2:$C$492,MATCH(203,'Output Utente'!$R$2:$R$492,0)),"")</f>
        <v/>
      </c>
      <c r="E206" s="26" t="str">
        <f aca="false">IFERROR(INDEX('Input Giocatori 2026_27'!$D$3:$D$493,MATCH($B206,'Input Giocatori 2026_27'!$A$3:$A$493,0)),"")</f>
        <v/>
      </c>
      <c r="F206" s="27" t="str">
        <f aca="false">IFERROR(INDEX('Output Utente'!$N$2:$N$492,MATCH(203,'Output Utente'!$R$2:$R$492,0)),"")</f>
        <v/>
      </c>
      <c r="G206" s="26" t="str">
        <f aca="false">IFERROR(INDEX('Output Utente'!$O$2:$O$492,MATCH(203,'Output Utente'!$R$2:$R$492,0)),"")</f>
        <v/>
      </c>
      <c r="H206" s="26" t="str">
        <f aca="false">IFERROR(INDEX('Output Utente'!$P$2:$P$492,MATCH(203,'Output Utente'!$R$2:$R$492,0)),"")</f>
        <v/>
      </c>
      <c r="I206" s="27" t="str">
        <f aca="false">IFERROR(INDEX('Output Utente'!$F$2:$F$492,MATCH(203,'Output Utente'!$R$2:$R$492,0)),"")</f>
        <v/>
      </c>
      <c r="J206" s="27" t="str">
        <f aca="false">IFERROR(INDEX('Output Utente'!$G$2:$G$492,MATCH(203,'Output Utente'!$R$2:$R$492,0)),"")</f>
        <v/>
      </c>
      <c r="K206" s="27" t="str">
        <f aca="false">IFERROR(INDEX('Output Utente'!$H$2:$H$492,MATCH(203,'Output Utente'!$R$2:$R$492,0)),"")</f>
        <v/>
      </c>
      <c r="L206" s="26" t="str">
        <f aca="false">IFERROR(INDEX('Output Utente'!$E$2:$E$492,MATCH(203,'Output Utente'!$R$2:$R$492,0)),"")</f>
        <v/>
      </c>
    </row>
    <row r="207" customFormat="false" ht="15" hidden="false" customHeight="true" outlineLevel="0" collapsed="false">
      <c r="A207" s="29" t="n">
        <v>204</v>
      </c>
      <c r="B207" s="26" t="str">
        <f aca="false">IFERROR(INDEX('Output Utente'!$A$2:$A$492,MATCH(204,'Output Utente'!$R$2:$R$492,0)),"")</f>
        <v/>
      </c>
      <c r="C207" s="26" t="str">
        <f aca="false">IFERROR(INDEX('Output Utente'!$B$2:$B$492,MATCH(204,'Output Utente'!$R$2:$R$492,0)),"")</f>
        <v/>
      </c>
      <c r="D207" s="26" t="str">
        <f aca="false">IFERROR(INDEX('Output Utente'!$C$2:$C$492,MATCH(204,'Output Utente'!$R$2:$R$492,0)),"")</f>
        <v/>
      </c>
      <c r="E207" s="26" t="str">
        <f aca="false">IFERROR(INDEX('Input Giocatori 2026_27'!$D$3:$D$493,MATCH($B207,'Input Giocatori 2026_27'!$A$3:$A$493,0)),"")</f>
        <v/>
      </c>
      <c r="F207" s="27" t="str">
        <f aca="false">IFERROR(INDEX('Output Utente'!$N$2:$N$492,MATCH(204,'Output Utente'!$R$2:$R$492,0)),"")</f>
        <v/>
      </c>
      <c r="G207" s="26" t="str">
        <f aca="false">IFERROR(INDEX('Output Utente'!$O$2:$O$492,MATCH(204,'Output Utente'!$R$2:$R$492,0)),"")</f>
        <v/>
      </c>
      <c r="H207" s="26" t="str">
        <f aca="false">IFERROR(INDEX('Output Utente'!$P$2:$P$492,MATCH(204,'Output Utente'!$R$2:$R$492,0)),"")</f>
        <v/>
      </c>
      <c r="I207" s="27" t="str">
        <f aca="false">IFERROR(INDEX('Output Utente'!$F$2:$F$492,MATCH(204,'Output Utente'!$R$2:$R$492,0)),"")</f>
        <v/>
      </c>
      <c r="J207" s="27" t="str">
        <f aca="false">IFERROR(INDEX('Output Utente'!$G$2:$G$492,MATCH(204,'Output Utente'!$R$2:$R$492,0)),"")</f>
        <v/>
      </c>
      <c r="K207" s="27" t="str">
        <f aca="false">IFERROR(INDEX('Output Utente'!$H$2:$H$492,MATCH(204,'Output Utente'!$R$2:$R$492,0)),"")</f>
        <v/>
      </c>
      <c r="L207" s="26" t="str">
        <f aca="false">IFERROR(INDEX('Output Utente'!$E$2:$E$492,MATCH(204,'Output Utente'!$R$2:$R$492,0)),"")</f>
        <v/>
      </c>
    </row>
    <row r="208" customFormat="false" ht="15" hidden="false" customHeight="true" outlineLevel="0" collapsed="false">
      <c r="A208" s="29" t="n">
        <v>205</v>
      </c>
      <c r="B208" s="26" t="str">
        <f aca="false">IFERROR(INDEX('Output Utente'!$A$2:$A$492,MATCH(205,'Output Utente'!$R$2:$R$492,0)),"")</f>
        <v/>
      </c>
      <c r="C208" s="26" t="str">
        <f aca="false">IFERROR(INDEX('Output Utente'!$B$2:$B$492,MATCH(205,'Output Utente'!$R$2:$R$492,0)),"")</f>
        <v/>
      </c>
      <c r="D208" s="26" t="str">
        <f aca="false">IFERROR(INDEX('Output Utente'!$C$2:$C$492,MATCH(205,'Output Utente'!$R$2:$R$492,0)),"")</f>
        <v/>
      </c>
      <c r="E208" s="26" t="str">
        <f aca="false">IFERROR(INDEX('Input Giocatori 2026_27'!$D$3:$D$493,MATCH($B208,'Input Giocatori 2026_27'!$A$3:$A$493,0)),"")</f>
        <v/>
      </c>
      <c r="F208" s="27" t="str">
        <f aca="false">IFERROR(INDEX('Output Utente'!$N$2:$N$492,MATCH(205,'Output Utente'!$R$2:$R$492,0)),"")</f>
        <v/>
      </c>
      <c r="G208" s="26" t="str">
        <f aca="false">IFERROR(INDEX('Output Utente'!$O$2:$O$492,MATCH(205,'Output Utente'!$R$2:$R$492,0)),"")</f>
        <v/>
      </c>
      <c r="H208" s="26" t="str">
        <f aca="false">IFERROR(INDEX('Output Utente'!$P$2:$P$492,MATCH(205,'Output Utente'!$R$2:$R$492,0)),"")</f>
        <v/>
      </c>
      <c r="I208" s="27" t="str">
        <f aca="false">IFERROR(INDEX('Output Utente'!$F$2:$F$492,MATCH(205,'Output Utente'!$R$2:$R$492,0)),"")</f>
        <v/>
      </c>
      <c r="J208" s="27" t="str">
        <f aca="false">IFERROR(INDEX('Output Utente'!$G$2:$G$492,MATCH(205,'Output Utente'!$R$2:$R$492,0)),"")</f>
        <v/>
      </c>
      <c r="K208" s="27" t="str">
        <f aca="false">IFERROR(INDEX('Output Utente'!$H$2:$H$492,MATCH(205,'Output Utente'!$R$2:$R$492,0)),"")</f>
        <v/>
      </c>
      <c r="L208" s="26" t="str">
        <f aca="false">IFERROR(INDEX('Output Utente'!$E$2:$E$492,MATCH(205,'Output Utente'!$R$2:$R$492,0)),"")</f>
        <v/>
      </c>
    </row>
    <row r="209" customFormat="false" ht="15" hidden="false" customHeight="true" outlineLevel="0" collapsed="false">
      <c r="A209" s="29" t="n">
        <v>206</v>
      </c>
      <c r="B209" s="26" t="str">
        <f aca="false">IFERROR(INDEX('Output Utente'!$A$2:$A$492,MATCH(206,'Output Utente'!$R$2:$R$492,0)),"")</f>
        <v/>
      </c>
      <c r="C209" s="26" t="str">
        <f aca="false">IFERROR(INDEX('Output Utente'!$B$2:$B$492,MATCH(206,'Output Utente'!$R$2:$R$492,0)),"")</f>
        <v/>
      </c>
      <c r="D209" s="26" t="str">
        <f aca="false">IFERROR(INDEX('Output Utente'!$C$2:$C$492,MATCH(206,'Output Utente'!$R$2:$R$492,0)),"")</f>
        <v/>
      </c>
      <c r="E209" s="26" t="str">
        <f aca="false">IFERROR(INDEX('Input Giocatori 2026_27'!$D$3:$D$493,MATCH($B209,'Input Giocatori 2026_27'!$A$3:$A$493,0)),"")</f>
        <v/>
      </c>
      <c r="F209" s="27" t="str">
        <f aca="false">IFERROR(INDEX('Output Utente'!$N$2:$N$492,MATCH(206,'Output Utente'!$R$2:$R$492,0)),"")</f>
        <v/>
      </c>
      <c r="G209" s="26" t="str">
        <f aca="false">IFERROR(INDEX('Output Utente'!$O$2:$O$492,MATCH(206,'Output Utente'!$R$2:$R$492,0)),"")</f>
        <v/>
      </c>
      <c r="H209" s="26" t="str">
        <f aca="false">IFERROR(INDEX('Output Utente'!$P$2:$P$492,MATCH(206,'Output Utente'!$R$2:$R$492,0)),"")</f>
        <v/>
      </c>
      <c r="I209" s="27" t="str">
        <f aca="false">IFERROR(INDEX('Output Utente'!$F$2:$F$492,MATCH(206,'Output Utente'!$R$2:$R$492,0)),"")</f>
        <v/>
      </c>
      <c r="J209" s="27" t="str">
        <f aca="false">IFERROR(INDEX('Output Utente'!$G$2:$G$492,MATCH(206,'Output Utente'!$R$2:$R$492,0)),"")</f>
        <v/>
      </c>
      <c r="K209" s="27" t="str">
        <f aca="false">IFERROR(INDEX('Output Utente'!$H$2:$H$492,MATCH(206,'Output Utente'!$R$2:$R$492,0)),"")</f>
        <v/>
      </c>
      <c r="L209" s="26" t="str">
        <f aca="false">IFERROR(INDEX('Output Utente'!$E$2:$E$492,MATCH(206,'Output Utente'!$R$2:$R$492,0)),"")</f>
        <v/>
      </c>
    </row>
    <row r="210" customFormat="false" ht="15" hidden="false" customHeight="true" outlineLevel="0" collapsed="false">
      <c r="A210" s="29" t="n">
        <v>207</v>
      </c>
      <c r="B210" s="26" t="str">
        <f aca="false">IFERROR(INDEX('Output Utente'!$A$2:$A$492,MATCH(207,'Output Utente'!$R$2:$R$492,0)),"")</f>
        <v/>
      </c>
      <c r="C210" s="26" t="str">
        <f aca="false">IFERROR(INDEX('Output Utente'!$B$2:$B$492,MATCH(207,'Output Utente'!$R$2:$R$492,0)),"")</f>
        <v/>
      </c>
      <c r="D210" s="26" t="str">
        <f aca="false">IFERROR(INDEX('Output Utente'!$C$2:$C$492,MATCH(207,'Output Utente'!$R$2:$R$492,0)),"")</f>
        <v/>
      </c>
      <c r="E210" s="26" t="str">
        <f aca="false">IFERROR(INDEX('Input Giocatori 2026_27'!$D$3:$D$493,MATCH($B210,'Input Giocatori 2026_27'!$A$3:$A$493,0)),"")</f>
        <v/>
      </c>
      <c r="F210" s="27" t="str">
        <f aca="false">IFERROR(INDEX('Output Utente'!$N$2:$N$492,MATCH(207,'Output Utente'!$R$2:$R$492,0)),"")</f>
        <v/>
      </c>
      <c r="G210" s="26" t="str">
        <f aca="false">IFERROR(INDEX('Output Utente'!$O$2:$O$492,MATCH(207,'Output Utente'!$R$2:$R$492,0)),"")</f>
        <v/>
      </c>
      <c r="H210" s="26" t="str">
        <f aca="false">IFERROR(INDEX('Output Utente'!$P$2:$P$492,MATCH(207,'Output Utente'!$R$2:$R$492,0)),"")</f>
        <v/>
      </c>
      <c r="I210" s="27" t="str">
        <f aca="false">IFERROR(INDEX('Output Utente'!$F$2:$F$492,MATCH(207,'Output Utente'!$R$2:$R$492,0)),"")</f>
        <v/>
      </c>
      <c r="J210" s="27" t="str">
        <f aca="false">IFERROR(INDEX('Output Utente'!$G$2:$G$492,MATCH(207,'Output Utente'!$R$2:$R$492,0)),"")</f>
        <v/>
      </c>
      <c r="K210" s="27" t="str">
        <f aca="false">IFERROR(INDEX('Output Utente'!$H$2:$H$492,MATCH(207,'Output Utente'!$R$2:$R$492,0)),"")</f>
        <v/>
      </c>
      <c r="L210" s="26" t="str">
        <f aca="false">IFERROR(INDEX('Output Utente'!$E$2:$E$492,MATCH(207,'Output Utente'!$R$2:$R$492,0)),"")</f>
        <v/>
      </c>
    </row>
    <row r="211" customFormat="false" ht="15" hidden="false" customHeight="true" outlineLevel="0" collapsed="false">
      <c r="A211" s="29" t="n">
        <v>208</v>
      </c>
      <c r="B211" s="26" t="str">
        <f aca="false">IFERROR(INDEX('Output Utente'!$A$2:$A$492,MATCH(208,'Output Utente'!$R$2:$R$492,0)),"")</f>
        <v/>
      </c>
      <c r="C211" s="26" t="str">
        <f aca="false">IFERROR(INDEX('Output Utente'!$B$2:$B$492,MATCH(208,'Output Utente'!$R$2:$R$492,0)),"")</f>
        <v/>
      </c>
      <c r="D211" s="26" t="str">
        <f aca="false">IFERROR(INDEX('Output Utente'!$C$2:$C$492,MATCH(208,'Output Utente'!$R$2:$R$492,0)),"")</f>
        <v/>
      </c>
      <c r="E211" s="26" t="str">
        <f aca="false">IFERROR(INDEX('Input Giocatori 2026_27'!$D$3:$D$493,MATCH($B211,'Input Giocatori 2026_27'!$A$3:$A$493,0)),"")</f>
        <v/>
      </c>
      <c r="F211" s="27" t="str">
        <f aca="false">IFERROR(INDEX('Output Utente'!$N$2:$N$492,MATCH(208,'Output Utente'!$R$2:$R$492,0)),"")</f>
        <v/>
      </c>
      <c r="G211" s="26" t="str">
        <f aca="false">IFERROR(INDEX('Output Utente'!$O$2:$O$492,MATCH(208,'Output Utente'!$R$2:$R$492,0)),"")</f>
        <v/>
      </c>
      <c r="H211" s="26" t="str">
        <f aca="false">IFERROR(INDEX('Output Utente'!$P$2:$P$492,MATCH(208,'Output Utente'!$R$2:$R$492,0)),"")</f>
        <v/>
      </c>
      <c r="I211" s="27" t="str">
        <f aca="false">IFERROR(INDEX('Output Utente'!$F$2:$F$492,MATCH(208,'Output Utente'!$R$2:$R$492,0)),"")</f>
        <v/>
      </c>
      <c r="J211" s="27" t="str">
        <f aca="false">IFERROR(INDEX('Output Utente'!$G$2:$G$492,MATCH(208,'Output Utente'!$R$2:$R$492,0)),"")</f>
        <v/>
      </c>
      <c r="K211" s="27" t="str">
        <f aca="false">IFERROR(INDEX('Output Utente'!$H$2:$H$492,MATCH(208,'Output Utente'!$R$2:$R$492,0)),"")</f>
        <v/>
      </c>
      <c r="L211" s="26" t="str">
        <f aca="false">IFERROR(INDEX('Output Utente'!$E$2:$E$492,MATCH(208,'Output Utente'!$R$2:$R$492,0)),"")</f>
        <v/>
      </c>
    </row>
    <row r="212" customFormat="false" ht="15" hidden="false" customHeight="true" outlineLevel="0" collapsed="false">
      <c r="A212" s="29" t="n">
        <v>209</v>
      </c>
      <c r="B212" s="26" t="str">
        <f aca="false">IFERROR(INDEX('Output Utente'!$A$2:$A$492,MATCH(209,'Output Utente'!$R$2:$R$492,0)),"")</f>
        <v/>
      </c>
      <c r="C212" s="26" t="str">
        <f aca="false">IFERROR(INDEX('Output Utente'!$B$2:$B$492,MATCH(209,'Output Utente'!$R$2:$R$492,0)),"")</f>
        <v/>
      </c>
      <c r="D212" s="26" t="str">
        <f aca="false">IFERROR(INDEX('Output Utente'!$C$2:$C$492,MATCH(209,'Output Utente'!$R$2:$R$492,0)),"")</f>
        <v/>
      </c>
      <c r="E212" s="26" t="str">
        <f aca="false">IFERROR(INDEX('Input Giocatori 2026_27'!$D$3:$D$493,MATCH($B212,'Input Giocatori 2026_27'!$A$3:$A$493,0)),"")</f>
        <v/>
      </c>
      <c r="F212" s="27" t="str">
        <f aca="false">IFERROR(INDEX('Output Utente'!$N$2:$N$492,MATCH(209,'Output Utente'!$R$2:$R$492,0)),"")</f>
        <v/>
      </c>
      <c r="G212" s="26" t="str">
        <f aca="false">IFERROR(INDEX('Output Utente'!$O$2:$O$492,MATCH(209,'Output Utente'!$R$2:$R$492,0)),"")</f>
        <v/>
      </c>
      <c r="H212" s="26" t="str">
        <f aca="false">IFERROR(INDEX('Output Utente'!$P$2:$P$492,MATCH(209,'Output Utente'!$R$2:$R$492,0)),"")</f>
        <v/>
      </c>
      <c r="I212" s="27" t="str">
        <f aca="false">IFERROR(INDEX('Output Utente'!$F$2:$F$492,MATCH(209,'Output Utente'!$R$2:$R$492,0)),"")</f>
        <v/>
      </c>
      <c r="J212" s="27" t="str">
        <f aca="false">IFERROR(INDEX('Output Utente'!$G$2:$G$492,MATCH(209,'Output Utente'!$R$2:$R$492,0)),"")</f>
        <v/>
      </c>
      <c r="K212" s="27" t="str">
        <f aca="false">IFERROR(INDEX('Output Utente'!$H$2:$H$492,MATCH(209,'Output Utente'!$R$2:$R$492,0)),"")</f>
        <v/>
      </c>
      <c r="L212" s="26" t="str">
        <f aca="false">IFERROR(INDEX('Output Utente'!$E$2:$E$492,MATCH(209,'Output Utente'!$R$2:$R$492,0)),"")</f>
        <v/>
      </c>
    </row>
    <row r="213" customFormat="false" ht="15" hidden="false" customHeight="true" outlineLevel="0" collapsed="false">
      <c r="A213" s="29" t="n">
        <v>210</v>
      </c>
      <c r="B213" s="26" t="str">
        <f aca="false">IFERROR(INDEX('Output Utente'!$A$2:$A$492,MATCH(210,'Output Utente'!$R$2:$R$492,0)),"")</f>
        <v/>
      </c>
      <c r="C213" s="26" t="str">
        <f aca="false">IFERROR(INDEX('Output Utente'!$B$2:$B$492,MATCH(210,'Output Utente'!$R$2:$R$492,0)),"")</f>
        <v/>
      </c>
      <c r="D213" s="26" t="str">
        <f aca="false">IFERROR(INDEX('Output Utente'!$C$2:$C$492,MATCH(210,'Output Utente'!$R$2:$R$492,0)),"")</f>
        <v/>
      </c>
      <c r="E213" s="26" t="str">
        <f aca="false">IFERROR(INDEX('Input Giocatori 2026_27'!$D$3:$D$493,MATCH($B213,'Input Giocatori 2026_27'!$A$3:$A$493,0)),"")</f>
        <v/>
      </c>
      <c r="F213" s="27" t="str">
        <f aca="false">IFERROR(INDEX('Output Utente'!$N$2:$N$492,MATCH(210,'Output Utente'!$R$2:$R$492,0)),"")</f>
        <v/>
      </c>
      <c r="G213" s="26" t="str">
        <f aca="false">IFERROR(INDEX('Output Utente'!$O$2:$O$492,MATCH(210,'Output Utente'!$R$2:$R$492,0)),"")</f>
        <v/>
      </c>
      <c r="H213" s="26" t="str">
        <f aca="false">IFERROR(INDEX('Output Utente'!$P$2:$P$492,MATCH(210,'Output Utente'!$R$2:$R$492,0)),"")</f>
        <v/>
      </c>
      <c r="I213" s="27" t="str">
        <f aca="false">IFERROR(INDEX('Output Utente'!$F$2:$F$492,MATCH(210,'Output Utente'!$R$2:$R$492,0)),"")</f>
        <v/>
      </c>
      <c r="J213" s="27" t="str">
        <f aca="false">IFERROR(INDEX('Output Utente'!$G$2:$G$492,MATCH(210,'Output Utente'!$R$2:$R$492,0)),"")</f>
        <v/>
      </c>
      <c r="K213" s="27" t="str">
        <f aca="false">IFERROR(INDEX('Output Utente'!$H$2:$H$492,MATCH(210,'Output Utente'!$R$2:$R$492,0)),"")</f>
        <v/>
      </c>
      <c r="L213" s="26" t="str">
        <f aca="false">IFERROR(INDEX('Output Utente'!$E$2:$E$492,MATCH(210,'Output Utente'!$R$2:$R$492,0)),"")</f>
        <v/>
      </c>
    </row>
    <row r="214" customFormat="false" ht="15" hidden="false" customHeight="true" outlineLevel="0" collapsed="false">
      <c r="A214" s="29" t="n">
        <v>211</v>
      </c>
      <c r="B214" s="26" t="str">
        <f aca="false">IFERROR(INDEX('Output Utente'!$A$2:$A$492,MATCH(211,'Output Utente'!$R$2:$R$492,0)),"")</f>
        <v/>
      </c>
      <c r="C214" s="26" t="str">
        <f aca="false">IFERROR(INDEX('Output Utente'!$B$2:$B$492,MATCH(211,'Output Utente'!$R$2:$R$492,0)),"")</f>
        <v/>
      </c>
      <c r="D214" s="26" t="str">
        <f aca="false">IFERROR(INDEX('Output Utente'!$C$2:$C$492,MATCH(211,'Output Utente'!$R$2:$R$492,0)),"")</f>
        <v/>
      </c>
      <c r="E214" s="26" t="str">
        <f aca="false">IFERROR(INDEX('Input Giocatori 2026_27'!$D$3:$D$493,MATCH($B214,'Input Giocatori 2026_27'!$A$3:$A$493,0)),"")</f>
        <v/>
      </c>
      <c r="F214" s="27" t="str">
        <f aca="false">IFERROR(INDEX('Output Utente'!$N$2:$N$492,MATCH(211,'Output Utente'!$R$2:$R$492,0)),"")</f>
        <v/>
      </c>
      <c r="G214" s="26" t="str">
        <f aca="false">IFERROR(INDEX('Output Utente'!$O$2:$O$492,MATCH(211,'Output Utente'!$R$2:$R$492,0)),"")</f>
        <v/>
      </c>
      <c r="H214" s="26" t="str">
        <f aca="false">IFERROR(INDEX('Output Utente'!$P$2:$P$492,MATCH(211,'Output Utente'!$R$2:$R$492,0)),"")</f>
        <v/>
      </c>
      <c r="I214" s="27" t="str">
        <f aca="false">IFERROR(INDEX('Output Utente'!$F$2:$F$492,MATCH(211,'Output Utente'!$R$2:$R$492,0)),"")</f>
        <v/>
      </c>
      <c r="J214" s="27" t="str">
        <f aca="false">IFERROR(INDEX('Output Utente'!$G$2:$G$492,MATCH(211,'Output Utente'!$R$2:$R$492,0)),"")</f>
        <v/>
      </c>
      <c r="K214" s="27" t="str">
        <f aca="false">IFERROR(INDEX('Output Utente'!$H$2:$H$492,MATCH(211,'Output Utente'!$R$2:$R$492,0)),"")</f>
        <v/>
      </c>
      <c r="L214" s="26" t="str">
        <f aca="false">IFERROR(INDEX('Output Utente'!$E$2:$E$492,MATCH(211,'Output Utente'!$R$2:$R$492,0)),"")</f>
        <v/>
      </c>
    </row>
    <row r="215" customFormat="false" ht="15" hidden="false" customHeight="true" outlineLevel="0" collapsed="false">
      <c r="A215" s="29" t="n">
        <v>212</v>
      </c>
      <c r="B215" s="26" t="str">
        <f aca="false">IFERROR(INDEX('Output Utente'!$A$2:$A$492,MATCH(212,'Output Utente'!$R$2:$R$492,0)),"")</f>
        <v/>
      </c>
      <c r="C215" s="26" t="str">
        <f aca="false">IFERROR(INDEX('Output Utente'!$B$2:$B$492,MATCH(212,'Output Utente'!$R$2:$R$492,0)),"")</f>
        <v/>
      </c>
      <c r="D215" s="26" t="str">
        <f aca="false">IFERROR(INDEX('Output Utente'!$C$2:$C$492,MATCH(212,'Output Utente'!$R$2:$R$492,0)),"")</f>
        <v/>
      </c>
      <c r="E215" s="26" t="str">
        <f aca="false">IFERROR(INDEX('Input Giocatori 2026_27'!$D$3:$D$493,MATCH($B215,'Input Giocatori 2026_27'!$A$3:$A$493,0)),"")</f>
        <v/>
      </c>
      <c r="F215" s="27" t="str">
        <f aca="false">IFERROR(INDEX('Output Utente'!$N$2:$N$492,MATCH(212,'Output Utente'!$R$2:$R$492,0)),"")</f>
        <v/>
      </c>
      <c r="G215" s="26" t="str">
        <f aca="false">IFERROR(INDEX('Output Utente'!$O$2:$O$492,MATCH(212,'Output Utente'!$R$2:$R$492,0)),"")</f>
        <v/>
      </c>
      <c r="H215" s="26" t="str">
        <f aca="false">IFERROR(INDEX('Output Utente'!$P$2:$P$492,MATCH(212,'Output Utente'!$R$2:$R$492,0)),"")</f>
        <v/>
      </c>
      <c r="I215" s="27" t="str">
        <f aca="false">IFERROR(INDEX('Output Utente'!$F$2:$F$492,MATCH(212,'Output Utente'!$R$2:$R$492,0)),"")</f>
        <v/>
      </c>
      <c r="J215" s="27" t="str">
        <f aca="false">IFERROR(INDEX('Output Utente'!$G$2:$G$492,MATCH(212,'Output Utente'!$R$2:$R$492,0)),"")</f>
        <v/>
      </c>
      <c r="K215" s="27" t="str">
        <f aca="false">IFERROR(INDEX('Output Utente'!$H$2:$H$492,MATCH(212,'Output Utente'!$R$2:$R$492,0)),"")</f>
        <v/>
      </c>
      <c r="L215" s="26" t="str">
        <f aca="false">IFERROR(INDEX('Output Utente'!$E$2:$E$492,MATCH(212,'Output Utente'!$R$2:$R$492,0)),"")</f>
        <v/>
      </c>
    </row>
    <row r="216" customFormat="false" ht="15" hidden="false" customHeight="true" outlineLevel="0" collapsed="false">
      <c r="A216" s="29" t="n">
        <v>213</v>
      </c>
      <c r="B216" s="26" t="str">
        <f aca="false">IFERROR(INDEX('Output Utente'!$A$2:$A$492,MATCH(213,'Output Utente'!$R$2:$R$492,0)),"")</f>
        <v/>
      </c>
      <c r="C216" s="26" t="str">
        <f aca="false">IFERROR(INDEX('Output Utente'!$B$2:$B$492,MATCH(213,'Output Utente'!$R$2:$R$492,0)),"")</f>
        <v/>
      </c>
      <c r="D216" s="26" t="str">
        <f aca="false">IFERROR(INDEX('Output Utente'!$C$2:$C$492,MATCH(213,'Output Utente'!$R$2:$R$492,0)),"")</f>
        <v/>
      </c>
      <c r="E216" s="26" t="str">
        <f aca="false">IFERROR(INDEX('Input Giocatori 2026_27'!$D$3:$D$493,MATCH($B216,'Input Giocatori 2026_27'!$A$3:$A$493,0)),"")</f>
        <v/>
      </c>
      <c r="F216" s="27" t="str">
        <f aca="false">IFERROR(INDEX('Output Utente'!$N$2:$N$492,MATCH(213,'Output Utente'!$R$2:$R$492,0)),"")</f>
        <v/>
      </c>
      <c r="G216" s="26" t="str">
        <f aca="false">IFERROR(INDEX('Output Utente'!$O$2:$O$492,MATCH(213,'Output Utente'!$R$2:$R$492,0)),"")</f>
        <v/>
      </c>
      <c r="H216" s="26" t="str">
        <f aca="false">IFERROR(INDEX('Output Utente'!$P$2:$P$492,MATCH(213,'Output Utente'!$R$2:$R$492,0)),"")</f>
        <v/>
      </c>
      <c r="I216" s="27" t="str">
        <f aca="false">IFERROR(INDEX('Output Utente'!$F$2:$F$492,MATCH(213,'Output Utente'!$R$2:$R$492,0)),"")</f>
        <v/>
      </c>
      <c r="J216" s="27" t="str">
        <f aca="false">IFERROR(INDEX('Output Utente'!$G$2:$G$492,MATCH(213,'Output Utente'!$R$2:$R$492,0)),"")</f>
        <v/>
      </c>
      <c r="K216" s="27" t="str">
        <f aca="false">IFERROR(INDEX('Output Utente'!$H$2:$H$492,MATCH(213,'Output Utente'!$R$2:$R$492,0)),"")</f>
        <v/>
      </c>
      <c r="L216" s="26" t="str">
        <f aca="false">IFERROR(INDEX('Output Utente'!$E$2:$E$492,MATCH(213,'Output Utente'!$R$2:$R$492,0)),"")</f>
        <v/>
      </c>
    </row>
    <row r="217" customFormat="false" ht="15" hidden="false" customHeight="true" outlineLevel="0" collapsed="false">
      <c r="A217" s="29" t="n">
        <v>214</v>
      </c>
      <c r="B217" s="26" t="str">
        <f aca="false">IFERROR(INDEX('Output Utente'!$A$2:$A$492,MATCH(214,'Output Utente'!$R$2:$R$492,0)),"")</f>
        <v/>
      </c>
      <c r="C217" s="26" t="str">
        <f aca="false">IFERROR(INDEX('Output Utente'!$B$2:$B$492,MATCH(214,'Output Utente'!$R$2:$R$492,0)),"")</f>
        <v/>
      </c>
      <c r="D217" s="26" t="str">
        <f aca="false">IFERROR(INDEX('Output Utente'!$C$2:$C$492,MATCH(214,'Output Utente'!$R$2:$R$492,0)),"")</f>
        <v/>
      </c>
      <c r="E217" s="26" t="str">
        <f aca="false">IFERROR(INDEX('Input Giocatori 2026_27'!$D$3:$D$493,MATCH($B217,'Input Giocatori 2026_27'!$A$3:$A$493,0)),"")</f>
        <v/>
      </c>
      <c r="F217" s="27" t="str">
        <f aca="false">IFERROR(INDEX('Output Utente'!$N$2:$N$492,MATCH(214,'Output Utente'!$R$2:$R$492,0)),"")</f>
        <v/>
      </c>
      <c r="G217" s="26" t="str">
        <f aca="false">IFERROR(INDEX('Output Utente'!$O$2:$O$492,MATCH(214,'Output Utente'!$R$2:$R$492,0)),"")</f>
        <v/>
      </c>
      <c r="H217" s="26" t="str">
        <f aca="false">IFERROR(INDEX('Output Utente'!$P$2:$P$492,MATCH(214,'Output Utente'!$R$2:$R$492,0)),"")</f>
        <v/>
      </c>
      <c r="I217" s="27" t="str">
        <f aca="false">IFERROR(INDEX('Output Utente'!$F$2:$F$492,MATCH(214,'Output Utente'!$R$2:$R$492,0)),"")</f>
        <v/>
      </c>
      <c r="J217" s="27" t="str">
        <f aca="false">IFERROR(INDEX('Output Utente'!$G$2:$G$492,MATCH(214,'Output Utente'!$R$2:$R$492,0)),"")</f>
        <v/>
      </c>
      <c r="K217" s="27" t="str">
        <f aca="false">IFERROR(INDEX('Output Utente'!$H$2:$H$492,MATCH(214,'Output Utente'!$R$2:$R$492,0)),"")</f>
        <v/>
      </c>
      <c r="L217" s="26" t="str">
        <f aca="false">IFERROR(INDEX('Output Utente'!$E$2:$E$492,MATCH(214,'Output Utente'!$R$2:$R$492,0)),"")</f>
        <v/>
      </c>
    </row>
    <row r="218" customFormat="false" ht="15" hidden="false" customHeight="true" outlineLevel="0" collapsed="false">
      <c r="A218" s="29" t="n">
        <v>215</v>
      </c>
      <c r="B218" s="26" t="str">
        <f aca="false">IFERROR(INDEX('Output Utente'!$A$2:$A$492,MATCH(215,'Output Utente'!$R$2:$R$492,0)),"")</f>
        <v/>
      </c>
      <c r="C218" s="26" t="str">
        <f aca="false">IFERROR(INDEX('Output Utente'!$B$2:$B$492,MATCH(215,'Output Utente'!$R$2:$R$492,0)),"")</f>
        <v/>
      </c>
      <c r="D218" s="26" t="str">
        <f aca="false">IFERROR(INDEX('Output Utente'!$C$2:$C$492,MATCH(215,'Output Utente'!$R$2:$R$492,0)),"")</f>
        <v/>
      </c>
      <c r="E218" s="26" t="str">
        <f aca="false">IFERROR(INDEX('Input Giocatori 2026_27'!$D$3:$D$493,MATCH($B218,'Input Giocatori 2026_27'!$A$3:$A$493,0)),"")</f>
        <v/>
      </c>
      <c r="F218" s="27" t="str">
        <f aca="false">IFERROR(INDEX('Output Utente'!$N$2:$N$492,MATCH(215,'Output Utente'!$R$2:$R$492,0)),"")</f>
        <v/>
      </c>
      <c r="G218" s="26" t="str">
        <f aca="false">IFERROR(INDEX('Output Utente'!$O$2:$O$492,MATCH(215,'Output Utente'!$R$2:$R$492,0)),"")</f>
        <v/>
      </c>
      <c r="H218" s="26" t="str">
        <f aca="false">IFERROR(INDEX('Output Utente'!$P$2:$P$492,MATCH(215,'Output Utente'!$R$2:$R$492,0)),"")</f>
        <v/>
      </c>
      <c r="I218" s="27" t="str">
        <f aca="false">IFERROR(INDEX('Output Utente'!$F$2:$F$492,MATCH(215,'Output Utente'!$R$2:$R$492,0)),"")</f>
        <v/>
      </c>
      <c r="J218" s="27" t="str">
        <f aca="false">IFERROR(INDEX('Output Utente'!$G$2:$G$492,MATCH(215,'Output Utente'!$R$2:$R$492,0)),"")</f>
        <v/>
      </c>
      <c r="K218" s="27" t="str">
        <f aca="false">IFERROR(INDEX('Output Utente'!$H$2:$H$492,MATCH(215,'Output Utente'!$R$2:$R$492,0)),"")</f>
        <v/>
      </c>
      <c r="L218" s="26" t="str">
        <f aca="false">IFERROR(INDEX('Output Utente'!$E$2:$E$492,MATCH(215,'Output Utente'!$R$2:$R$492,0)),"")</f>
        <v/>
      </c>
    </row>
    <row r="219" customFormat="false" ht="15" hidden="false" customHeight="true" outlineLevel="0" collapsed="false">
      <c r="A219" s="29" t="n">
        <v>216</v>
      </c>
      <c r="B219" s="26" t="str">
        <f aca="false">IFERROR(INDEX('Output Utente'!$A$2:$A$492,MATCH(216,'Output Utente'!$R$2:$R$492,0)),"")</f>
        <v/>
      </c>
      <c r="C219" s="26" t="str">
        <f aca="false">IFERROR(INDEX('Output Utente'!$B$2:$B$492,MATCH(216,'Output Utente'!$R$2:$R$492,0)),"")</f>
        <v/>
      </c>
      <c r="D219" s="26" t="str">
        <f aca="false">IFERROR(INDEX('Output Utente'!$C$2:$C$492,MATCH(216,'Output Utente'!$R$2:$R$492,0)),"")</f>
        <v/>
      </c>
      <c r="E219" s="26" t="str">
        <f aca="false">IFERROR(INDEX('Input Giocatori 2026_27'!$D$3:$D$493,MATCH($B219,'Input Giocatori 2026_27'!$A$3:$A$493,0)),"")</f>
        <v/>
      </c>
      <c r="F219" s="27" t="str">
        <f aca="false">IFERROR(INDEX('Output Utente'!$N$2:$N$492,MATCH(216,'Output Utente'!$R$2:$R$492,0)),"")</f>
        <v/>
      </c>
      <c r="G219" s="26" t="str">
        <f aca="false">IFERROR(INDEX('Output Utente'!$O$2:$O$492,MATCH(216,'Output Utente'!$R$2:$R$492,0)),"")</f>
        <v/>
      </c>
      <c r="H219" s="26" t="str">
        <f aca="false">IFERROR(INDEX('Output Utente'!$P$2:$P$492,MATCH(216,'Output Utente'!$R$2:$R$492,0)),"")</f>
        <v/>
      </c>
      <c r="I219" s="27" t="str">
        <f aca="false">IFERROR(INDEX('Output Utente'!$F$2:$F$492,MATCH(216,'Output Utente'!$R$2:$R$492,0)),"")</f>
        <v/>
      </c>
      <c r="J219" s="27" t="str">
        <f aca="false">IFERROR(INDEX('Output Utente'!$G$2:$G$492,MATCH(216,'Output Utente'!$R$2:$R$492,0)),"")</f>
        <v/>
      </c>
      <c r="K219" s="27" t="str">
        <f aca="false">IFERROR(INDEX('Output Utente'!$H$2:$H$492,MATCH(216,'Output Utente'!$R$2:$R$492,0)),"")</f>
        <v/>
      </c>
      <c r="L219" s="26" t="str">
        <f aca="false">IFERROR(INDEX('Output Utente'!$E$2:$E$492,MATCH(216,'Output Utente'!$R$2:$R$492,0)),"")</f>
        <v/>
      </c>
    </row>
    <row r="220" customFormat="false" ht="15" hidden="false" customHeight="true" outlineLevel="0" collapsed="false">
      <c r="A220" s="29" t="n">
        <v>217</v>
      </c>
      <c r="B220" s="26" t="str">
        <f aca="false">IFERROR(INDEX('Output Utente'!$A$2:$A$492,MATCH(217,'Output Utente'!$R$2:$R$492,0)),"")</f>
        <v/>
      </c>
      <c r="C220" s="26" t="str">
        <f aca="false">IFERROR(INDEX('Output Utente'!$B$2:$B$492,MATCH(217,'Output Utente'!$R$2:$R$492,0)),"")</f>
        <v/>
      </c>
      <c r="D220" s="26" t="str">
        <f aca="false">IFERROR(INDEX('Output Utente'!$C$2:$C$492,MATCH(217,'Output Utente'!$R$2:$R$492,0)),"")</f>
        <v/>
      </c>
      <c r="E220" s="26" t="str">
        <f aca="false">IFERROR(INDEX('Input Giocatori 2026_27'!$D$3:$D$493,MATCH($B220,'Input Giocatori 2026_27'!$A$3:$A$493,0)),"")</f>
        <v/>
      </c>
      <c r="F220" s="27" t="str">
        <f aca="false">IFERROR(INDEX('Output Utente'!$N$2:$N$492,MATCH(217,'Output Utente'!$R$2:$R$492,0)),"")</f>
        <v/>
      </c>
      <c r="G220" s="26" t="str">
        <f aca="false">IFERROR(INDEX('Output Utente'!$O$2:$O$492,MATCH(217,'Output Utente'!$R$2:$R$492,0)),"")</f>
        <v/>
      </c>
      <c r="H220" s="26" t="str">
        <f aca="false">IFERROR(INDEX('Output Utente'!$P$2:$P$492,MATCH(217,'Output Utente'!$R$2:$R$492,0)),"")</f>
        <v/>
      </c>
      <c r="I220" s="27" t="str">
        <f aca="false">IFERROR(INDEX('Output Utente'!$F$2:$F$492,MATCH(217,'Output Utente'!$R$2:$R$492,0)),"")</f>
        <v/>
      </c>
      <c r="J220" s="27" t="str">
        <f aca="false">IFERROR(INDEX('Output Utente'!$G$2:$G$492,MATCH(217,'Output Utente'!$R$2:$R$492,0)),"")</f>
        <v/>
      </c>
      <c r="K220" s="27" t="str">
        <f aca="false">IFERROR(INDEX('Output Utente'!$H$2:$H$492,MATCH(217,'Output Utente'!$R$2:$R$492,0)),"")</f>
        <v/>
      </c>
      <c r="L220" s="26" t="str">
        <f aca="false">IFERROR(INDEX('Output Utente'!$E$2:$E$492,MATCH(217,'Output Utente'!$R$2:$R$492,0)),"")</f>
        <v/>
      </c>
    </row>
    <row r="221" customFormat="false" ht="15" hidden="false" customHeight="true" outlineLevel="0" collapsed="false">
      <c r="A221" s="29" t="n">
        <v>218</v>
      </c>
      <c r="B221" s="26" t="str">
        <f aca="false">IFERROR(INDEX('Output Utente'!$A$2:$A$492,MATCH(218,'Output Utente'!$R$2:$R$492,0)),"")</f>
        <v/>
      </c>
      <c r="C221" s="26" t="str">
        <f aca="false">IFERROR(INDEX('Output Utente'!$B$2:$B$492,MATCH(218,'Output Utente'!$R$2:$R$492,0)),"")</f>
        <v/>
      </c>
      <c r="D221" s="26" t="str">
        <f aca="false">IFERROR(INDEX('Output Utente'!$C$2:$C$492,MATCH(218,'Output Utente'!$R$2:$R$492,0)),"")</f>
        <v/>
      </c>
      <c r="E221" s="26" t="str">
        <f aca="false">IFERROR(INDEX('Input Giocatori 2026_27'!$D$3:$D$493,MATCH($B221,'Input Giocatori 2026_27'!$A$3:$A$493,0)),"")</f>
        <v/>
      </c>
      <c r="F221" s="27" t="str">
        <f aca="false">IFERROR(INDEX('Output Utente'!$N$2:$N$492,MATCH(218,'Output Utente'!$R$2:$R$492,0)),"")</f>
        <v/>
      </c>
      <c r="G221" s="26" t="str">
        <f aca="false">IFERROR(INDEX('Output Utente'!$O$2:$O$492,MATCH(218,'Output Utente'!$R$2:$R$492,0)),"")</f>
        <v/>
      </c>
      <c r="H221" s="26" t="str">
        <f aca="false">IFERROR(INDEX('Output Utente'!$P$2:$P$492,MATCH(218,'Output Utente'!$R$2:$R$492,0)),"")</f>
        <v/>
      </c>
      <c r="I221" s="27" t="str">
        <f aca="false">IFERROR(INDEX('Output Utente'!$F$2:$F$492,MATCH(218,'Output Utente'!$R$2:$R$492,0)),"")</f>
        <v/>
      </c>
      <c r="J221" s="27" t="str">
        <f aca="false">IFERROR(INDEX('Output Utente'!$G$2:$G$492,MATCH(218,'Output Utente'!$R$2:$R$492,0)),"")</f>
        <v/>
      </c>
      <c r="K221" s="27" t="str">
        <f aca="false">IFERROR(INDEX('Output Utente'!$H$2:$H$492,MATCH(218,'Output Utente'!$R$2:$R$492,0)),"")</f>
        <v/>
      </c>
      <c r="L221" s="26" t="str">
        <f aca="false">IFERROR(INDEX('Output Utente'!$E$2:$E$492,MATCH(218,'Output Utente'!$R$2:$R$492,0)),"")</f>
        <v/>
      </c>
    </row>
    <row r="222" customFormat="false" ht="15" hidden="false" customHeight="true" outlineLevel="0" collapsed="false">
      <c r="A222" s="29" t="n">
        <v>219</v>
      </c>
      <c r="B222" s="26" t="str">
        <f aca="false">IFERROR(INDEX('Output Utente'!$A$2:$A$492,MATCH(219,'Output Utente'!$R$2:$R$492,0)),"")</f>
        <v/>
      </c>
      <c r="C222" s="26" t="str">
        <f aca="false">IFERROR(INDEX('Output Utente'!$B$2:$B$492,MATCH(219,'Output Utente'!$R$2:$R$492,0)),"")</f>
        <v/>
      </c>
      <c r="D222" s="26" t="str">
        <f aca="false">IFERROR(INDEX('Output Utente'!$C$2:$C$492,MATCH(219,'Output Utente'!$R$2:$R$492,0)),"")</f>
        <v/>
      </c>
      <c r="E222" s="26" t="str">
        <f aca="false">IFERROR(INDEX('Input Giocatori 2026_27'!$D$3:$D$493,MATCH($B222,'Input Giocatori 2026_27'!$A$3:$A$493,0)),"")</f>
        <v/>
      </c>
      <c r="F222" s="27" t="str">
        <f aca="false">IFERROR(INDEX('Output Utente'!$N$2:$N$492,MATCH(219,'Output Utente'!$R$2:$R$492,0)),"")</f>
        <v/>
      </c>
      <c r="G222" s="26" t="str">
        <f aca="false">IFERROR(INDEX('Output Utente'!$O$2:$O$492,MATCH(219,'Output Utente'!$R$2:$R$492,0)),"")</f>
        <v/>
      </c>
      <c r="H222" s="26" t="str">
        <f aca="false">IFERROR(INDEX('Output Utente'!$P$2:$P$492,MATCH(219,'Output Utente'!$R$2:$R$492,0)),"")</f>
        <v/>
      </c>
      <c r="I222" s="27" t="str">
        <f aca="false">IFERROR(INDEX('Output Utente'!$F$2:$F$492,MATCH(219,'Output Utente'!$R$2:$R$492,0)),"")</f>
        <v/>
      </c>
      <c r="J222" s="27" t="str">
        <f aca="false">IFERROR(INDEX('Output Utente'!$G$2:$G$492,MATCH(219,'Output Utente'!$R$2:$R$492,0)),"")</f>
        <v/>
      </c>
      <c r="K222" s="27" t="str">
        <f aca="false">IFERROR(INDEX('Output Utente'!$H$2:$H$492,MATCH(219,'Output Utente'!$R$2:$R$492,0)),"")</f>
        <v/>
      </c>
      <c r="L222" s="26" t="str">
        <f aca="false">IFERROR(INDEX('Output Utente'!$E$2:$E$492,MATCH(219,'Output Utente'!$R$2:$R$492,0)),"")</f>
        <v/>
      </c>
    </row>
    <row r="223" customFormat="false" ht="15" hidden="false" customHeight="true" outlineLevel="0" collapsed="false">
      <c r="A223" s="29" t="n">
        <v>220</v>
      </c>
      <c r="B223" s="26" t="str">
        <f aca="false">IFERROR(INDEX('Output Utente'!$A$2:$A$492,MATCH(220,'Output Utente'!$R$2:$R$492,0)),"")</f>
        <v/>
      </c>
      <c r="C223" s="26" t="str">
        <f aca="false">IFERROR(INDEX('Output Utente'!$B$2:$B$492,MATCH(220,'Output Utente'!$R$2:$R$492,0)),"")</f>
        <v/>
      </c>
      <c r="D223" s="26" t="str">
        <f aca="false">IFERROR(INDEX('Output Utente'!$C$2:$C$492,MATCH(220,'Output Utente'!$R$2:$R$492,0)),"")</f>
        <v/>
      </c>
      <c r="E223" s="26" t="str">
        <f aca="false">IFERROR(INDEX('Input Giocatori 2026_27'!$D$3:$D$493,MATCH($B223,'Input Giocatori 2026_27'!$A$3:$A$493,0)),"")</f>
        <v/>
      </c>
      <c r="F223" s="27" t="str">
        <f aca="false">IFERROR(INDEX('Output Utente'!$N$2:$N$492,MATCH(220,'Output Utente'!$R$2:$R$492,0)),"")</f>
        <v/>
      </c>
      <c r="G223" s="26" t="str">
        <f aca="false">IFERROR(INDEX('Output Utente'!$O$2:$O$492,MATCH(220,'Output Utente'!$R$2:$R$492,0)),"")</f>
        <v/>
      </c>
      <c r="H223" s="26" t="str">
        <f aca="false">IFERROR(INDEX('Output Utente'!$P$2:$P$492,MATCH(220,'Output Utente'!$R$2:$R$492,0)),"")</f>
        <v/>
      </c>
      <c r="I223" s="27" t="str">
        <f aca="false">IFERROR(INDEX('Output Utente'!$F$2:$F$492,MATCH(220,'Output Utente'!$R$2:$R$492,0)),"")</f>
        <v/>
      </c>
      <c r="J223" s="27" t="str">
        <f aca="false">IFERROR(INDEX('Output Utente'!$G$2:$G$492,MATCH(220,'Output Utente'!$R$2:$R$492,0)),"")</f>
        <v/>
      </c>
      <c r="K223" s="27" t="str">
        <f aca="false">IFERROR(INDEX('Output Utente'!$H$2:$H$492,MATCH(220,'Output Utente'!$R$2:$R$492,0)),"")</f>
        <v/>
      </c>
      <c r="L223" s="26" t="str">
        <f aca="false">IFERROR(INDEX('Output Utente'!$E$2:$E$492,MATCH(220,'Output Utente'!$R$2:$R$492,0)),"")</f>
        <v/>
      </c>
    </row>
    <row r="224" customFormat="false" ht="15" hidden="false" customHeight="true" outlineLevel="0" collapsed="false">
      <c r="A224" s="29" t="n">
        <v>221</v>
      </c>
      <c r="B224" s="26" t="str">
        <f aca="false">IFERROR(INDEX('Output Utente'!$A$2:$A$492,MATCH(221,'Output Utente'!$R$2:$R$492,0)),"")</f>
        <v/>
      </c>
      <c r="C224" s="26" t="str">
        <f aca="false">IFERROR(INDEX('Output Utente'!$B$2:$B$492,MATCH(221,'Output Utente'!$R$2:$R$492,0)),"")</f>
        <v/>
      </c>
      <c r="D224" s="26" t="str">
        <f aca="false">IFERROR(INDEX('Output Utente'!$C$2:$C$492,MATCH(221,'Output Utente'!$R$2:$R$492,0)),"")</f>
        <v/>
      </c>
      <c r="E224" s="26" t="str">
        <f aca="false">IFERROR(INDEX('Input Giocatori 2026_27'!$D$3:$D$493,MATCH($B224,'Input Giocatori 2026_27'!$A$3:$A$493,0)),"")</f>
        <v/>
      </c>
      <c r="F224" s="27" t="str">
        <f aca="false">IFERROR(INDEX('Output Utente'!$N$2:$N$492,MATCH(221,'Output Utente'!$R$2:$R$492,0)),"")</f>
        <v/>
      </c>
      <c r="G224" s="26" t="str">
        <f aca="false">IFERROR(INDEX('Output Utente'!$O$2:$O$492,MATCH(221,'Output Utente'!$R$2:$R$492,0)),"")</f>
        <v/>
      </c>
      <c r="H224" s="26" t="str">
        <f aca="false">IFERROR(INDEX('Output Utente'!$P$2:$P$492,MATCH(221,'Output Utente'!$R$2:$R$492,0)),"")</f>
        <v/>
      </c>
      <c r="I224" s="27" t="str">
        <f aca="false">IFERROR(INDEX('Output Utente'!$F$2:$F$492,MATCH(221,'Output Utente'!$R$2:$R$492,0)),"")</f>
        <v/>
      </c>
      <c r="J224" s="27" t="str">
        <f aca="false">IFERROR(INDEX('Output Utente'!$G$2:$G$492,MATCH(221,'Output Utente'!$R$2:$R$492,0)),"")</f>
        <v/>
      </c>
      <c r="K224" s="27" t="str">
        <f aca="false">IFERROR(INDEX('Output Utente'!$H$2:$H$492,MATCH(221,'Output Utente'!$R$2:$R$492,0)),"")</f>
        <v/>
      </c>
      <c r="L224" s="26" t="str">
        <f aca="false">IFERROR(INDEX('Output Utente'!$E$2:$E$492,MATCH(221,'Output Utente'!$R$2:$R$492,0)),"")</f>
        <v/>
      </c>
    </row>
    <row r="225" customFormat="false" ht="15" hidden="false" customHeight="true" outlineLevel="0" collapsed="false">
      <c r="A225" s="29" t="n">
        <v>222</v>
      </c>
      <c r="B225" s="26" t="str">
        <f aca="false">IFERROR(INDEX('Output Utente'!$A$2:$A$492,MATCH(222,'Output Utente'!$R$2:$R$492,0)),"")</f>
        <v/>
      </c>
      <c r="C225" s="26" t="str">
        <f aca="false">IFERROR(INDEX('Output Utente'!$B$2:$B$492,MATCH(222,'Output Utente'!$R$2:$R$492,0)),"")</f>
        <v/>
      </c>
      <c r="D225" s="26" t="str">
        <f aca="false">IFERROR(INDEX('Output Utente'!$C$2:$C$492,MATCH(222,'Output Utente'!$R$2:$R$492,0)),"")</f>
        <v/>
      </c>
      <c r="E225" s="26" t="str">
        <f aca="false">IFERROR(INDEX('Input Giocatori 2026_27'!$D$3:$D$493,MATCH($B225,'Input Giocatori 2026_27'!$A$3:$A$493,0)),"")</f>
        <v/>
      </c>
      <c r="F225" s="27" t="str">
        <f aca="false">IFERROR(INDEX('Output Utente'!$N$2:$N$492,MATCH(222,'Output Utente'!$R$2:$R$492,0)),"")</f>
        <v/>
      </c>
      <c r="G225" s="26" t="str">
        <f aca="false">IFERROR(INDEX('Output Utente'!$O$2:$O$492,MATCH(222,'Output Utente'!$R$2:$R$492,0)),"")</f>
        <v/>
      </c>
      <c r="H225" s="26" t="str">
        <f aca="false">IFERROR(INDEX('Output Utente'!$P$2:$P$492,MATCH(222,'Output Utente'!$R$2:$R$492,0)),"")</f>
        <v/>
      </c>
      <c r="I225" s="27" t="str">
        <f aca="false">IFERROR(INDEX('Output Utente'!$F$2:$F$492,MATCH(222,'Output Utente'!$R$2:$R$492,0)),"")</f>
        <v/>
      </c>
      <c r="J225" s="27" t="str">
        <f aca="false">IFERROR(INDEX('Output Utente'!$G$2:$G$492,MATCH(222,'Output Utente'!$R$2:$R$492,0)),"")</f>
        <v/>
      </c>
      <c r="K225" s="27" t="str">
        <f aca="false">IFERROR(INDEX('Output Utente'!$H$2:$H$492,MATCH(222,'Output Utente'!$R$2:$R$492,0)),"")</f>
        <v/>
      </c>
      <c r="L225" s="26" t="str">
        <f aca="false">IFERROR(INDEX('Output Utente'!$E$2:$E$492,MATCH(222,'Output Utente'!$R$2:$R$492,0)),"")</f>
        <v/>
      </c>
    </row>
    <row r="226" customFormat="false" ht="15" hidden="false" customHeight="true" outlineLevel="0" collapsed="false">
      <c r="A226" s="29" t="n">
        <v>223</v>
      </c>
      <c r="B226" s="26" t="str">
        <f aca="false">IFERROR(INDEX('Output Utente'!$A$2:$A$492,MATCH(223,'Output Utente'!$R$2:$R$492,0)),"")</f>
        <v/>
      </c>
      <c r="C226" s="26" t="str">
        <f aca="false">IFERROR(INDEX('Output Utente'!$B$2:$B$492,MATCH(223,'Output Utente'!$R$2:$R$492,0)),"")</f>
        <v/>
      </c>
      <c r="D226" s="26" t="str">
        <f aca="false">IFERROR(INDEX('Output Utente'!$C$2:$C$492,MATCH(223,'Output Utente'!$R$2:$R$492,0)),"")</f>
        <v/>
      </c>
      <c r="E226" s="26" t="str">
        <f aca="false">IFERROR(INDEX('Input Giocatori 2026_27'!$D$3:$D$493,MATCH($B226,'Input Giocatori 2026_27'!$A$3:$A$493,0)),"")</f>
        <v/>
      </c>
      <c r="F226" s="27" t="str">
        <f aca="false">IFERROR(INDEX('Output Utente'!$N$2:$N$492,MATCH(223,'Output Utente'!$R$2:$R$492,0)),"")</f>
        <v/>
      </c>
      <c r="G226" s="26" t="str">
        <f aca="false">IFERROR(INDEX('Output Utente'!$O$2:$O$492,MATCH(223,'Output Utente'!$R$2:$R$492,0)),"")</f>
        <v/>
      </c>
      <c r="H226" s="26" t="str">
        <f aca="false">IFERROR(INDEX('Output Utente'!$P$2:$P$492,MATCH(223,'Output Utente'!$R$2:$R$492,0)),"")</f>
        <v/>
      </c>
      <c r="I226" s="27" t="str">
        <f aca="false">IFERROR(INDEX('Output Utente'!$F$2:$F$492,MATCH(223,'Output Utente'!$R$2:$R$492,0)),"")</f>
        <v/>
      </c>
      <c r="J226" s="27" t="str">
        <f aca="false">IFERROR(INDEX('Output Utente'!$G$2:$G$492,MATCH(223,'Output Utente'!$R$2:$R$492,0)),"")</f>
        <v/>
      </c>
      <c r="K226" s="27" t="str">
        <f aca="false">IFERROR(INDEX('Output Utente'!$H$2:$H$492,MATCH(223,'Output Utente'!$R$2:$R$492,0)),"")</f>
        <v/>
      </c>
      <c r="L226" s="26" t="str">
        <f aca="false">IFERROR(INDEX('Output Utente'!$E$2:$E$492,MATCH(223,'Output Utente'!$R$2:$R$492,0)),"")</f>
        <v/>
      </c>
    </row>
    <row r="227" customFormat="false" ht="15" hidden="false" customHeight="true" outlineLevel="0" collapsed="false">
      <c r="A227" s="29" t="n">
        <v>224</v>
      </c>
      <c r="B227" s="26" t="str">
        <f aca="false">IFERROR(INDEX('Output Utente'!$A$2:$A$492,MATCH(224,'Output Utente'!$R$2:$R$492,0)),"")</f>
        <v/>
      </c>
      <c r="C227" s="26" t="str">
        <f aca="false">IFERROR(INDEX('Output Utente'!$B$2:$B$492,MATCH(224,'Output Utente'!$R$2:$R$492,0)),"")</f>
        <v/>
      </c>
      <c r="D227" s="26" t="str">
        <f aca="false">IFERROR(INDEX('Output Utente'!$C$2:$C$492,MATCH(224,'Output Utente'!$R$2:$R$492,0)),"")</f>
        <v/>
      </c>
      <c r="E227" s="26" t="str">
        <f aca="false">IFERROR(INDEX('Input Giocatori 2026_27'!$D$3:$D$493,MATCH($B227,'Input Giocatori 2026_27'!$A$3:$A$493,0)),"")</f>
        <v/>
      </c>
      <c r="F227" s="27" t="str">
        <f aca="false">IFERROR(INDEX('Output Utente'!$N$2:$N$492,MATCH(224,'Output Utente'!$R$2:$R$492,0)),"")</f>
        <v/>
      </c>
      <c r="G227" s="26" t="str">
        <f aca="false">IFERROR(INDEX('Output Utente'!$O$2:$O$492,MATCH(224,'Output Utente'!$R$2:$R$492,0)),"")</f>
        <v/>
      </c>
      <c r="H227" s="26" t="str">
        <f aca="false">IFERROR(INDEX('Output Utente'!$P$2:$P$492,MATCH(224,'Output Utente'!$R$2:$R$492,0)),"")</f>
        <v/>
      </c>
      <c r="I227" s="27" t="str">
        <f aca="false">IFERROR(INDEX('Output Utente'!$F$2:$F$492,MATCH(224,'Output Utente'!$R$2:$R$492,0)),"")</f>
        <v/>
      </c>
      <c r="J227" s="27" t="str">
        <f aca="false">IFERROR(INDEX('Output Utente'!$G$2:$G$492,MATCH(224,'Output Utente'!$R$2:$R$492,0)),"")</f>
        <v/>
      </c>
      <c r="K227" s="27" t="str">
        <f aca="false">IFERROR(INDEX('Output Utente'!$H$2:$H$492,MATCH(224,'Output Utente'!$R$2:$R$492,0)),"")</f>
        <v/>
      </c>
      <c r="L227" s="26" t="str">
        <f aca="false">IFERROR(INDEX('Output Utente'!$E$2:$E$492,MATCH(224,'Output Utente'!$R$2:$R$492,0)),"")</f>
        <v/>
      </c>
    </row>
    <row r="228" customFormat="false" ht="15" hidden="false" customHeight="true" outlineLevel="0" collapsed="false">
      <c r="A228" s="29" t="n">
        <v>225</v>
      </c>
      <c r="B228" s="26" t="str">
        <f aca="false">IFERROR(INDEX('Output Utente'!$A$2:$A$492,MATCH(225,'Output Utente'!$R$2:$R$492,0)),"")</f>
        <v/>
      </c>
      <c r="C228" s="26" t="str">
        <f aca="false">IFERROR(INDEX('Output Utente'!$B$2:$B$492,MATCH(225,'Output Utente'!$R$2:$R$492,0)),"")</f>
        <v/>
      </c>
      <c r="D228" s="26" t="str">
        <f aca="false">IFERROR(INDEX('Output Utente'!$C$2:$C$492,MATCH(225,'Output Utente'!$R$2:$R$492,0)),"")</f>
        <v/>
      </c>
      <c r="E228" s="26" t="str">
        <f aca="false">IFERROR(INDEX('Input Giocatori 2026_27'!$D$3:$D$493,MATCH($B228,'Input Giocatori 2026_27'!$A$3:$A$493,0)),"")</f>
        <v/>
      </c>
      <c r="F228" s="27" t="str">
        <f aca="false">IFERROR(INDEX('Output Utente'!$N$2:$N$492,MATCH(225,'Output Utente'!$R$2:$R$492,0)),"")</f>
        <v/>
      </c>
      <c r="G228" s="26" t="str">
        <f aca="false">IFERROR(INDEX('Output Utente'!$O$2:$O$492,MATCH(225,'Output Utente'!$R$2:$R$492,0)),"")</f>
        <v/>
      </c>
      <c r="H228" s="26" t="str">
        <f aca="false">IFERROR(INDEX('Output Utente'!$P$2:$P$492,MATCH(225,'Output Utente'!$R$2:$R$492,0)),"")</f>
        <v/>
      </c>
      <c r="I228" s="27" t="str">
        <f aca="false">IFERROR(INDEX('Output Utente'!$F$2:$F$492,MATCH(225,'Output Utente'!$R$2:$R$492,0)),"")</f>
        <v/>
      </c>
      <c r="J228" s="27" t="str">
        <f aca="false">IFERROR(INDEX('Output Utente'!$G$2:$G$492,MATCH(225,'Output Utente'!$R$2:$R$492,0)),"")</f>
        <v/>
      </c>
      <c r="K228" s="27" t="str">
        <f aca="false">IFERROR(INDEX('Output Utente'!$H$2:$H$492,MATCH(225,'Output Utente'!$R$2:$R$492,0)),"")</f>
        <v/>
      </c>
      <c r="L228" s="26" t="str">
        <f aca="false">IFERROR(INDEX('Output Utente'!$E$2:$E$492,MATCH(225,'Output Utente'!$R$2:$R$492,0)),"")</f>
        <v/>
      </c>
    </row>
    <row r="229" customFormat="false" ht="15" hidden="false" customHeight="true" outlineLevel="0" collapsed="false">
      <c r="A229" s="29" t="n">
        <v>226</v>
      </c>
      <c r="B229" s="26" t="str">
        <f aca="false">IFERROR(INDEX('Output Utente'!$A$2:$A$492,MATCH(226,'Output Utente'!$R$2:$R$492,0)),"")</f>
        <v/>
      </c>
      <c r="C229" s="26" t="str">
        <f aca="false">IFERROR(INDEX('Output Utente'!$B$2:$B$492,MATCH(226,'Output Utente'!$R$2:$R$492,0)),"")</f>
        <v/>
      </c>
      <c r="D229" s="26" t="str">
        <f aca="false">IFERROR(INDEX('Output Utente'!$C$2:$C$492,MATCH(226,'Output Utente'!$R$2:$R$492,0)),"")</f>
        <v/>
      </c>
      <c r="E229" s="26" t="str">
        <f aca="false">IFERROR(INDEX('Input Giocatori 2026_27'!$D$3:$D$493,MATCH($B229,'Input Giocatori 2026_27'!$A$3:$A$493,0)),"")</f>
        <v/>
      </c>
      <c r="F229" s="27" t="str">
        <f aca="false">IFERROR(INDEX('Output Utente'!$N$2:$N$492,MATCH(226,'Output Utente'!$R$2:$R$492,0)),"")</f>
        <v/>
      </c>
      <c r="G229" s="26" t="str">
        <f aca="false">IFERROR(INDEX('Output Utente'!$O$2:$O$492,MATCH(226,'Output Utente'!$R$2:$R$492,0)),"")</f>
        <v/>
      </c>
      <c r="H229" s="26" t="str">
        <f aca="false">IFERROR(INDEX('Output Utente'!$P$2:$P$492,MATCH(226,'Output Utente'!$R$2:$R$492,0)),"")</f>
        <v/>
      </c>
      <c r="I229" s="27" t="str">
        <f aca="false">IFERROR(INDEX('Output Utente'!$F$2:$F$492,MATCH(226,'Output Utente'!$R$2:$R$492,0)),"")</f>
        <v/>
      </c>
      <c r="J229" s="27" t="str">
        <f aca="false">IFERROR(INDEX('Output Utente'!$G$2:$G$492,MATCH(226,'Output Utente'!$R$2:$R$492,0)),"")</f>
        <v/>
      </c>
      <c r="K229" s="27" t="str">
        <f aca="false">IFERROR(INDEX('Output Utente'!$H$2:$H$492,MATCH(226,'Output Utente'!$R$2:$R$492,0)),"")</f>
        <v/>
      </c>
      <c r="L229" s="26" t="str">
        <f aca="false">IFERROR(INDEX('Output Utente'!$E$2:$E$492,MATCH(226,'Output Utente'!$R$2:$R$492,0)),"")</f>
        <v/>
      </c>
    </row>
    <row r="230" customFormat="false" ht="15" hidden="false" customHeight="true" outlineLevel="0" collapsed="false">
      <c r="A230" s="29" t="n">
        <v>227</v>
      </c>
      <c r="B230" s="26" t="str">
        <f aca="false">IFERROR(INDEX('Output Utente'!$A$2:$A$492,MATCH(227,'Output Utente'!$R$2:$R$492,0)),"")</f>
        <v/>
      </c>
      <c r="C230" s="26" t="str">
        <f aca="false">IFERROR(INDEX('Output Utente'!$B$2:$B$492,MATCH(227,'Output Utente'!$R$2:$R$492,0)),"")</f>
        <v/>
      </c>
      <c r="D230" s="26" t="str">
        <f aca="false">IFERROR(INDEX('Output Utente'!$C$2:$C$492,MATCH(227,'Output Utente'!$R$2:$R$492,0)),"")</f>
        <v/>
      </c>
      <c r="E230" s="26" t="str">
        <f aca="false">IFERROR(INDEX('Input Giocatori 2026_27'!$D$3:$D$493,MATCH($B230,'Input Giocatori 2026_27'!$A$3:$A$493,0)),"")</f>
        <v/>
      </c>
      <c r="F230" s="27" t="str">
        <f aca="false">IFERROR(INDEX('Output Utente'!$N$2:$N$492,MATCH(227,'Output Utente'!$R$2:$R$492,0)),"")</f>
        <v/>
      </c>
      <c r="G230" s="26" t="str">
        <f aca="false">IFERROR(INDEX('Output Utente'!$O$2:$O$492,MATCH(227,'Output Utente'!$R$2:$R$492,0)),"")</f>
        <v/>
      </c>
      <c r="H230" s="26" t="str">
        <f aca="false">IFERROR(INDEX('Output Utente'!$P$2:$P$492,MATCH(227,'Output Utente'!$R$2:$R$492,0)),"")</f>
        <v/>
      </c>
      <c r="I230" s="27" t="str">
        <f aca="false">IFERROR(INDEX('Output Utente'!$F$2:$F$492,MATCH(227,'Output Utente'!$R$2:$R$492,0)),"")</f>
        <v/>
      </c>
      <c r="J230" s="27" t="str">
        <f aca="false">IFERROR(INDEX('Output Utente'!$G$2:$G$492,MATCH(227,'Output Utente'!$R$2:$R$492,0)),"")</f>
        <v/>
      </c>
      <c r="K230" s="27" t="str">
        <f aca="false">IFERROR(INDEX('Output Utente'!$H$2:$H$492,MATCH(227,'Output Utente'!$R$2:$R$492,0)),"")</f>
        <v/>
      </c>
      <c r="L230" s="26" t="str">
        <f aca="false">IFERROR(INDEX('Output Utente'!$E$2:$E$492,MATCH(227,'Output Utente'!$R$2:$R$492,0)),"")</f>
        <v/>
      </c>
    </row>
    <row r="231" customFormat="false" ht="15" hidden="false" customHeight="true" outlineLevel="0" collapsed="false">
      <c r="A231" s="29" t="n">
        <v>228</v>
      </c>
      <c r="B231" s="26" t="str">
        <f aca="false">IFERROR(INDEX('Output Utente'!$A$2:$A$492,MATCH(228,'Output Utente'!$R$2:$R$492,0)),"")</f>
        <v/>
      </c>
      <c r="C231" s="26" t="str">
        <f aca="false">IFERROR(INDEX('Output Utente'!$B$2:$B$492,MATCH(228,'Output Utente'!$R$2:$R$492,0)),"")</f>
        <v/>
      </c>
      <c r="D231" s="26" t="str">
        <f aca="false">IFERROR(INDEX('Output Utente'!$C$2:$C$492,MATCH(228,'Output Utente'!$R$2:$R$492,0)),"")</f>
        <v/>
      </c>
      <c r="E231" s="26" t="str">
        <f aca="false">IFERROR(INDEX('Input Giocatori 2026_27'!$D$3:$D$493,MATCH($B231,'Input Giocatori 2026_27'!$A$3:$A$493,0)),"")</f>
        <v/>
      </c>
      <c r="F231" s="27" t="str">
        <f aca="false">IFERROR(INDEX('Output Utente'!$N$2:$N$492,MATCH(228,'Output Utente'!$R$2:$R$492,0)),"")</f>
        <v/>
      </c>
      <c r="G231" s="26" t="str">
        <f aca="false">IFERROR(INDEX('Output Utente'!$O$2:$O$492,MATCH(228,'Output Utente'!$R$2:$R$492,0)),"")</f>
        <v/>
      </c>
      <c r="H231" s="26" t="str">
        <f aca="false">IFERROR(INDEX('Output Utente'!$P$2:$P$492,MATCH(228,'Output Utente'!$R$2:$R$492,0)),"")</f>
        <v/>
      </c>
      <c r="I231" s="27" t="str">
        <f aca="false">IFERROR(INDEX('Output Utente'!$F$2:$F$492,MATCH(228,'Output Utente'!$R$2:$R$492,0)),"")</f>
        <v/>
      </c>
      <c r="J231" s="27" t="str">
        <f aca="false">IFERROR(INDEX('Output Utente'!$G$2:$G$492,MATCH(228,'Output Utente'!$R$2:$R$492,0)),"")</f>
        <v/>
      </c>
      <c r="K231" s="27" t="str">
        <f aca="false">IFERROR(INDEX('Output Utente'!$H$2:$H$492,MATCH(228,'Output Utente'!$R$2:$R$492,0)),"")</f>
        <v/>
      </c>
      <c r="L231" s="26" t="str">
        <f aca="false">IFERROR(INDEX('Output Utente'!$E$2:$E$492,MATCH(228,'Output Utente'!$R$2:$R$492,0)),"")</f>
        <v/>
      </c>
    </row>
    <row r="232" customFormat="false" ht="15" hidden="false" customHeight="true" outlineLevel="0" collapsed="false">
      <c r="A232" s="29" t="n">
        <v>229</v>
      </c>
      <c r="B232" s="26" t="str">
        <f aca="false">IFERROR(INDEX('Output Utente'!$A$2:$A$492,MATCH(229,'Output Utente'!$R$2:$R$492,0)),"")</f>
        <v/>
      </c>
      <c r="C232" s="26" t="str">
        <f aca="false">IFERROR(INDEX('Output Utente'!$B$2:$B$492,MATCH(229,'Output Utente'!$R$2:$R$492,0)),"")</f>
        <v/>
      </c>
      <c r="D232" s="26" t="str">
        <f aca="false">IFERROR(INDEX('Output Utente'!$C$2:$C$492,MATCH(229,'Output Utente'!$R$2:$R$492,0)),"")</f>
        <v/>
      </c>
      <c r="E232" s="26" t="str">
        <f aca="false">IFERROR(INDEX('Input Giocatori 2026_27'!$D$3:$D$493,MATCH($B232,'Input Giocatori 2026_27'!$A$3:$A$493,0)),"")</f>
        <v/>
      </c>
      <c r="F232" s="27" t="str">
        <f aca="false">IFERROR(INDEX('Output Utente'!$N$2:$N$492,MATCH(229,'Output Utente'!$R$2:$R$492,0)),"")</f>
        <v/>
      </c>
      <c r="G232" s="26" t="str">
        <f aca="false">IFERROR(INDEX('Output Utente'!$O$2:$O$492,MATCH(229,'Output Utente'!$R$2:$R$492,0)),"")</f>
        <v/>
      </c>
      <c r="H232" s="26" t="str">
        <f aca="false">IFERROR(INDEX('Output Utente'!$P$2:$P$492,MATCH(229,'Output Utente'!$R$2:$R$492,0)),"")</f>
        <v/>
      </c>
      <c r="I232" s="27" t="str">
        <f aca="false">IFERROR(INDEX('Output Utente'!$F$2:$F$492,MATCH(229,'Output Utente'!$R$2:$R$492,0)),"")</f>
        <v/>
      </c>
      <c r="J232" s="27" t="str">
        <f aca="false">IFERROR(INDEX('Output Utente'!$G$2:$G$492,MATCH(229,'Output Utente'!$R$2:$R$492,0)),"")</f>
        <v/>
      </c>
      <c r="K232" s="27" t="str">
        <f aca="false">IFERROR(INDEX('Output Utente'!$H$2:$H$492,MATCH(229,'Output Utente'!$R$2:$R$492,0)),"")</f>
        <v/>
      </c>
      <c r="L232" s="26" t="str">
        <f aca="false">IFERROR(INDEX('Output Utente'!$E$2:$E$492,MATCH(229,'Output Utente'!$R$2:$R$492,0)),"")</f>
        <v/>
      </c>
    </row>
    <row r="233" customFormat="false" ht="15" hidden="false" customHeight="true" outlineLevel="0" collapsed="false">
      <c r="A233" s="29" t="n">
        <v>230</v>
      </c>
      <c r="B233" s="26" t="str">
        <f aca="false">IFERROR(INDEX('Output Utente'!$A$2:$A$492,MATCH(230,'Output Utente'!$R$2:$R$492,0)),"")</f>
        <v/>
      </c>
      <c r="C233" s="26" t="str">
        <f aca="false">IFERROR(INDEX('Output Utente'!$B$2:$B$492,MATCH(230,'Output Utente'!$R$2:$R$492,0)),"")</f>
        <v/>
      </c>
      <c r="D233" s="26" t="str">
        <f aca="false">IFERROR(INDEX('Output Utente'!$C$2:$C$492,MATCH(230,'Output Utente'!$R$2:$R$492,0)),"")</f>
        <v/>
      </c>
      <c r="E233" s="26" t="str">
        <f aca="false">IFERROR(INDEX('Input Giocatori 2026_27'!$D$3:$D$493,MATCH($B233,'Input Giocatori 2026_27'!$A$3:$A$493,0)),"")</f>
        <v/>
      </c>
      <c r="F233" s="27" t="str">
        <f aca="false">IFERROR(INDEX('Output Utente'!$N$2:$N$492,MATCH(230,'Output Utente'!$R$2:$R$492,0)),"")</f>
        <v/>
      </c>
      <c r="G233" s="26" t="str">
        <f aca="false">IFERROR(INDEX('Output Utente'!$O$2:$O$492,MATCH(230,'Output Utente'!$R$2:$R$492,0)),"")</f>
        <v/>
      </c>
      <c r="H233" s="26" t="str">
        <f aca="false">IFERROR(INDEX('Output Utente'!$P$2:$P$492,MATCH(230,'Output Utente'!$R$2:$R$492,0)),"")</f>
        <v/>
      </c>
      <c r="I233" s="27" t="str">
        <f aca="false">IFERROR(INDEX('Output Utente'!$F$2:$F$492,MATCH(230,'Output Utente'!$R$2:$R$492,0)),"")</f>
        <v/>
      </c>
      <c r="J233" s="27" t="str">
        <f aca="false">IFERROR(INDEX('Output Utente'!$G$2:$G$492,MATCH(230,'Output Utente'!$R$2:$R$492,0)),"")</f>
        <v/>
      </c>
      <c r="K233" s="27" t="str">
        <f aca="false">IFERROR(INDEX('Output Utente'!$H$2:$H$492,MATCH(230,'Output Utente'!$R$2:$R$492,0)),"")</f>
        <v/>
      </c>
      <c r="L233" s="26" t="str">
        <f aca="false">IFERROR(INDEX('Output Utente'!$E$2:$E$492,MATCH(230,'Output Utente'!$R$2:$R$492,0)),"")</f>
        <v/>
      </c>
    </row>
    <row r="234" customFormat="false" ht="15" hidden="false" customHeight="true" outlineLevel="0" collapsed="false">
      <c r="A234" s="29" t="n">
        <v>231</v>
      </c>
      <c r="B234" s="26" t="str">
        <f aca="false">IFERROR(INDEX('Output Utente'!$A$2:$A$492,MATCH(231,'Output Utente'!$R$2:$R$492,0)),"")</f>
        <v/>
      </c>
      <c r="C234" s="26" t="str">
        <f aca="false">IFERROR(INDEX('Output Utente'!$B$2:$B$492,MATCH(231,'Output Utente'!$R$2:$R$492,0)),"")</f>
        <v/>
      </c>
      <c r="D234" s="26" t="str">
        <f aca="false">IFERROR(INDEX('Output Utente'!$C$2:$C$492,MATCH(231,'Output Utente'!$R$2:$R$492,0)),"")</f>
        <v/>
      </c>
      <c r="E234" s="26" t="str">
        <f aca="false">IFERROR(INDEX('Input Giocatori 2026_27'!$D$3:$D$493,MATCH($B234,'Input Giocatori 2026_27'!$A$3:$A$493,0)),"")</f>
        <v/>
      </c>
      <c r="F234" s="27" t="str">
        <f aca="false">IFERROR(INDEX('Output Utente'!$N$2:$N$492,MATCH(231,'Output Utente'!$R$2:$R$492,0)),"")</f>
        <v/>
      </c>
      <c r="G234" s="26" t="str">
        <f aca="false">IFERROR(INDEX('Output Utente'!$O$2:$O$492,MATCH(231,'Output Utente'!$R$2:$R$492,0)),"")</f>
        <v/>
      </c>
      <c r="H234" s="26" t="str">
        <f aca="false">IFERROR(INDEX('Output Utente'!$P$2:$P$492,MATCH(231,'Output Utente'!$R$2:$R$492,0)),"")</f>
        <v/>
      </c>
      <c r="I234" s="27" t="str">
        <f aca="false">IFERROR(INDEX('Output Utente'!$F$2:$F$492,MATCH(231,'Output Utente'!$R$2:$R$492,0)),"")</f>
        <v/>
      </c>
      <c r="J234" s="27" t="str">
        <f aca="false">IFERROR(INDEX('Output Utente'!$G$2:$G$492,MATCH(231,'Output Utente'!$R$2:$R$492,0)),"")</f>
        <v/>
      </c>
      <c r="K234" s="27" t="str">
        <f aca="false">IFERROR(INDEX('Output Utente'!$H$2:$H$492,MATCH(231,'Output Utente'!$R$2:$R$492,0)),"")</f>
        <v/>
      </c>
      <c r="L234" s="26" t="str">
        <f aca="false">IFERROR(INDEX('Output Utente'!$E$2:$E$492,MATCH(231,'Output Utente'!$R$2:$R$492,0)),"")</f>
        <v/>
      </c>
    </row>
    <row r="235" customFormat="false" ht="15" hidden="false" customHeight="true" outlineLevel="0" collapsed="false">
      <c r="A235" s="29" t="n">
        <v>232</v>
      </c>
      <c r="B235" s="26" t="str">
        <f aca="false">IFERROR(INDEX('Output Utente'!$A$2:$A$492,MATCH(232,'Output Utente'!$R$2:$R$492,0)),"")</f>
        <v/>
      </c>
      <c r="C235" s="26" t="str">
        <f aca="false">IFERROR(INDEX('Output Utente'!$B$2:$B$492,MATCH(232,'Output Utente'!$R$2:$R$492,0)),"")</f>
        <v/>
      </c>
      <c r="D235" s="26" t="str">
        <f aca="false">IFERROR(INDEX('Output Utente'!$C$2:$C$492,MATCH(232,'Output Utente'!$R$2:$R$492,0)),"")</f>
        <v/>
      </c>
      <c r="E235" s="26" t="str">
        <f aca="false">IFERROR(INDEX('Input Giocatori 2026_27'!$D$3:$D$493,MATCH($B235,'Input Giocatori 2026_27'!$A$3:$A$493,0)),"")</f>
        <v/>
      </c>
      <c r="F235" s="27" t="str">
        <f aca="false">IFERROR(INDEX('Output Utente'!$N$2:$N$492,MATCH(232,'Output Utente'!$R$2:$R$492,0)),"")</f>
        <v/>
      </c>
      <c r="G235" s="26" t="str">
        <f aca="false">IFERROR(INDEX('Output Utente'!$O$2:$O$492,MATCH(232,'Output Utente'!$R$2:$R$492,0)),"")</f>
        <v/>
      </c>
      <c r="H235" s="26" t="str">
        <f aca="false">IFERROR(INDEX('Output Utente'!$P$2:$P$492,MATCH(232,'Output Utente'!$R$2:$R$492,0)),"")</f>
        <v/>
      </c>
      <c r="I235" s="27" t="str">
        <f aca="false">IFERROR(INDEX('Output Utente'!$F$2:$F$492,MATCH(232,'Output Utente'!$R$2:$R$492,0)),"")</f>
        <v/>
      </c>
      <c r="J235" s="27" t="str">
        <f aca="false">IFERROR(INDEX('Output Utente'!$G$2:$G$492,MATCH(232,'Output Utente'!$R$2:$R$492,0)),"")</f>
        <v/>
      </c>
      <c r="K235" s="27" t="str">
        <f aca="false">IFERROR(INDEX('Output Utente'!$H$2:$H$492,MATCH(232,'Output Utente'!$R$2:$R$492,0)),"")</f>
        <v/>
      </c>
      <c r="L235" s="26" t="str">
        <f aca="false">IFERROR(INDEX('Output Utente'!$E$2:$E$492,MATCH(232,'Output Utente'!$R$2:$R$492,0)),"")</f>
        <v/>
      </c>
    </row>
    <row r="236" customFormat="false" ht="15" hidden="false" customHeight="true" outlineLevel="0" collapsed="false">
      <c r="A236" s="29" t="n">
        <v>233</v>
      </c>
      <c r="B236" s="26" t="str">
        <f aca="false">IFERROR(INDEX('Output Utente'!$A$2:$A$492,MATCH(233,'Output Utente'!$R$2:$R$492,0)),"")</f>
        <v/>
      </c>
      <c r="C236" s="26" t="str">
        <f aca="false">IFERROR(INDEX('Output Utente'!$B$2:$B$492,MATCH(233,'Output Utente'!$R$2:$R$492,0)),"")</f>
        <v/>
      </c>
      <c r="D236" s="26" t="str">
        <f aca="false">IFERROR(INDEX('Output Utente'!$C$2:$C$492,MATCH(233,'Output Utente'!$R$2:$R$492,0)),"")</f>
        <v/>
      </c>
      <c r="E236" s="26" t="str">
        <f aca="false">IFERROR(INDEX('Input Giocatori 2026_27'!$D$3:$D$493,MATCH($B236,'Input Giocatori 2026_27'!$A$3:$A$493,0)),"")</f>
        <v/>
      </c>
      <c r="F236" s="27" t="str">
        <f aca="false">IFERROR(INDEX('Output Utente'!$N$2:$N$492,MATCH(233,'Output Utente'!$R$2:$R$492,0)),"")</f>
        <v/>
      </c>
      <c r="G236" s="26" t="str">
        <f aca="false">IFERROR(INDEX('Output Utente'!$O$2:$O$492,MATCH(233,'Output Utente'!$R$2:$R$492,0)),"")</f>
        <v/>
      </c>
      <c r="H236" s="26" t="str">
        <f aca="false">IFERROR(INDEX('Output Utente'!$P$2:$P$492,MATCH(233,'Output Utente'!$R$2:$R$492,0)),"")</f>
        <v/>
      </c>
      <c r="I236" s="27" t="str">
        <f aca="false">IFERROR(INDEX('Output Utente'!$F$2:$F$492,MATCH(233,'Output Utente'!$R$2:$R$492,0)),"")</f>
        <v/>
      </c>
      <c r="J236" s="27" t="str">
        <f aca="false">IFERROR(INDEX('Output Utente'!$G$2:$G$492,MATCH(233,'Output Utente'!$R$2:$R$492,0)),"")</f>
        <v/>
      </c>
      <c r="K236" s="27" t="str">
        <f aca="false">IFERROR(INDEX('Output Utente'!$H$2:$H$492,MATCH(233,'Output Utente'!$R$2:$R$492,0)),"")</f>
        <v/>
      </c>
      <c r="L236" s="26" t="str">
        <f aca="false">IFERROR(INDEX('Output Utente'!$E$2:$E$492,MATCH(233,'Output Utente'!$R$2:$R$492,0)),"")</f>
        <v/>
      </c>
    </row>
    <row r="237" customFormat="false" ht="15" hidden="false" customHeight="true" outlineLevel="0" collapsed="false">
      <c r="A237" s="29" t="n">
        <v>234</v>
      </c>
      <c r="B237" s="26" t="str">
        <f aca="false">IFERROR(INDEX('Output Utente'!$A$2:$A$492,MATCH(234,'Output Utente'!$R$2:$R$492,0)),"")</f>
        <v/>
      </c>
      <c r="C237" s="26" t="str">
        <f aca="false">IFERROR(INDEX('Output Utente'!$B$2:$B$492,MATCH(234,'Output Utente'!$R$2:$R$492,0)),"")</f>
        <v/>
      </c>
      <c r="D237" s="26" t="str">
        <f aca="false">IFERROR(INDEX('Output Utente'!$C$2:$C$492,MATCH(234,'Output Utente'!$R$2:$R$492,0)),"")</f>
        <v/>
      </c>
      <c r="E237" s="26" t="str">
        <f aca="false">IFERROR(INDEX('Input Giocatori 2026_27'!$D$3:$D$493,MATCH($B237,'Input Giocatori 2026_27'!$A$3:$A$493,0)),"")</f>
        <v/>
      </c>
      <c r="F237" s="27" t="str">
        <f aca="false">IFERROR(INDEX('Output Utente'!$N$2:$N$492,MATCH(234,'Output Utente'!$R$2:$R$492,0)),"")</f>
        <v/>
      </c>
      <c r="G237" s="26" t="str">
        <f aca="false">IFERROR(INDEX('Output Utente'!$O$2:$O$492,MATCH(234,'Output Utente'!$R$2:$R$492,0)),"")</f>
        <v/>
      </c>
      <c r="H237" s="26" t="str">
        <f aca="false">IFERROR(INDEX('Output Utente'!$P$2:$P$492,MATCH(234,'Output Utente'!$R$2:$R$492,0)),"")</f>
        <v/>
      </c>
      <c r="I237" s="27" t="str">
        <f aca="false">IFERROR(INDEX('Output Utente'!$F$2:$F$492,MATCH(234,'Output Utente'!$R$2:$R$492,0)),"")</f>
        <v/>
      </c>
      <c r="J237" s="27" t="str">
        <f aca="false">IFERROR(INDEX('Output Utente'!$G$2:$G$492,MATCH(234,'Output Utente'!$R$2:$R$492,0)),"")</f>
        <v/>
      </c>
      <c r="K237" s="27" t="str">
        <f aca="false">IFERROR(INDEX('Output Utente'!$H$2:$H$492,MATCH(234,'Output Utente'!$R$2:$R$492,0)),"")</f>
        <v/>
      </c>
      <c r="L237" s="26" t="str">
        <f aca="false">IFERROR(INDEX('Output Utente'!$E$2:$E$492,MATCH(234,'Output Utente'!$R$2:$R$492,0)),"")</f>
        <v/>
      </c>
    </row>
    <row r="238" customFormat="false" ht="15" hidden="false" customHeight="true" outlineLevel="0" collapsed="false">
      <c r="A238" s="29" t="n">
        <v>235</v>
      </c>
      <c r="B238" s="26" t="str">
        <f aca="false">IFERROR(INDEX('Output Utente'!$A$2:$A$492,MATCH(235,'Output Utente'!$R$2:$R$492,0)),"")</f>
        <v/>
      </c>
      <c r="C238" s="26" t="str">
        <f aca="false">IFERROR(INDEX('Output Utente'!$B$2:$B$492,MATCH(235,'Output Utente'!$R$2:$R$492,0)),"")</f>
        <v/>
      </c>
      <c r="D238" s="26" t="str">
        <f aca="false">IFERROR(INDEX('Output Utente'!$C$2:$C$492,MATCH(235,'Output Utente'!$R$2:$R$492,0)),"")</f>
        <v/>
      </c>
      <c r="E238" s="26" t="str">
        <f aca="false">IFERROR(INDEX('Input Giocatori 2026_27'!$D$3:$D$493,MATCH($B238,'Input Giocatori 2026_27'!$A$3:$A$493,0)),"")</f>
        <v/>
      </c>
      <c r="F238" s="27" t="str">
        <f aca="false">IFERROR(INDEX('Output Utente'!$N$2:$N$492,MATCH(235,'Output Utente'!$R$2:$R$492,0)),"")</f>
        <v/>
      </c>
      <c r="G238" s="26" t="str">
        <f aca="false">IFERROR(INDEX('Output Utente'!$O$2:$O$492,MATCH(235,'Output Utente'!$R$2:$R$492,0)),"")</f>
        <v/>
      </c>
      <c r="H238" s="26" t="str">
        <f aca="false">IFERROR(INDEX('Output Utente'!$P$2:$P$492,MATCH(235,'Output Utente'!$R$2:$R$492,0)),"")</f>
        <v/>
      </c>
      <c r="I238" s="27" t="str">
        <f aca="false">IFERROR(INDEX('Output Utente'!$F$2:$F$492,MATCH(235,'Output Utente'!$R$2:$R$492,0)),"")</f>
        <v/>
      </c>
      <c r="J238" s="27" t="str">
        <f aca="false">IFERROR(INDEX('Output Utente'!$G$2:$G$492,MATCH(235,'Output Utente'!$R$2:$R$492,0)),"")</f>
        <v/>
      </c>
      <c r="K238" s="27" t="str">
        <f aca="false">IFERROR(INDEX('Output Utente'!$H$2:$H$492,MATCH(235,'Output Utente'!$R$2:$R$492,0)),"")</f>
        <v/>
      </c>
      <c r="L238" s="26" t="str">
        <f aca="false">IFERROR(INDEX('Output Utente'!$E$2:$E$492,MATCH(235,'Output Utente'!$R$2:$R$492,0)),"")</f>
        <v/>
      </c>
    </row>
    <row r="239" customFormat="false" ht="15" hidden="false" customHeight="true" outlineLevel="0" collapsed="false">
      <c r="A239" s="29" t="n">
        <v>236</v>
      </c>
      <c r="B239" s="26" t="str">
        <f aca="false">IFERROR(INDEX('Output Utente'!$A$2:$A$492,MATCH(236,'Output Utente'!$R$2:$R$492,0)),"")</f>
        <v/>
      </c>
      <c r="C239" s="26" t="str">
        <f aca="false">IFERROR(INDEX('Output Utente'!$B$2:$B$492,MATCH(236,'Output Utente'!$R$2:$R$492,0)),"")</f>
        <v/>
      </c>
      <c r="D239" s="26" t="str">
        <f aca="false">IFERROR(INDEX('Output Utente'!$C$2:$C$492,MATCH(236,'Output Utente'!$R$2:$R$492,0)),"")</f>
        <v/>
      </c>
      <c r="E239" s="26" t="str">
        <f aca="false">IFERROR(INDEX('Input Giocatori 2026_27'!$D$3:$D$493,MATCH($B239,'Input Giocatori 2026_27'!$A$3:$A$493,0)),"")</f>
        <v/>
      </c>
      <c r="F239" s="27" t="str">
        <f aca="false">IFERROR(INDEX('Output Utente'!$N$2:$N$492,MATCH(236,'Output Utente'!$R$2:$R$492,0)),"")</f>
        <v/>
      </c>
      <c r="G239" s="26" t="str">
        <f aca="false">IFERROR(INDEX('Output Utente'!$O$2:$O$492,MATCH(236,'Output Utente'!$R$2:$R$492,0)),"")</f>
        <v/>
      </c>
      <c r="H239" s="26" t="str">
        <f aca="false">IFERROR(INDEX('Output Utente'!$P$2:$P$492,MATCH(236,'Output Utente'!$R$2:$R$492,0)),"")</f>
        <v/>
      </c>
      <c r="I239" s="27" t="str">
        <f aca="false">IFERROR(INDEX('Output Utente'!$F$2:$F$492,MATCH(236,'Output Utente'!$R$2:$R$492,0)),"")</f>
        <v/>
      </c>
      <c r="J239" s="27" t="str">
        <f aca="false">IFERROR(INDEX('Output Utente'!$G$2:$G$492,MATCH(236,'Output Utente'!$R$2:$R$492,0)),"")</f>
        <v/>
      </c>
      <c r="K239" s="27" t="str">
        <f aca="false">IFERROR(INDEX('Output Utente'!$H$2:$H$492,MATCH(236,'Output Utente'!$R$2:$R$492,0)),"")</f>
        <v/>
      </c>
      <c r="L239" s="26" t="str">
        <f aca="false">IFERROR(INDEX('Output Utente'!$E$2:$E$492,MATCH(236,'Output Utente'!$R$2:$R$492,0)),"")</f>
        <v/>
      </c>
    </row>
    <row r="240" customFormat="false" ht="15" hidden="false" customHeight="true" outlineLevel="0" collapsed="false">
      <c r="A240" s="29" t="n">
        <v>237</v>
      </c>
      <c r="B240" s="26" t="str">
        <f aca="false">IFERROR(INDEX('Output Utente'!$A$2:$A$492,MATCH(237,'Output Utente'!$R$2:$R$492,0)),"")</f>
        <v/>
      </c>
      <c r="C240" s="26" t="str">
        <f aca="false">IFERROR(INDEX('Output Utente'!$B$2:$B$492,MATCH(237,'Output Utente'!$R$2:$R$492,0)),"")</f>
        <v/>
      </c>
      <c r="D240" s="26" t="str">
        <f aca="false">IFERROR(INDEX('Output Utente'!$C$2:$C$492,MATCH(237,'Output Utente'!$R$2:$R$492,0)),"")</f>
        <v/>
      </c>
      <c r="E240" s="26" t="str">
        <f aca="false">IFERROR(INDEX('Input Giocatori 2026_27'!$D$3:$D$493,MATCH($B240,'Input Giocatori 2026_27'!$A$3:$A$493,0)),"")</f>
        <v/>
      </c>
      <c r="F240" s="27" t="str">
        <f aca="false">IFERROR(INDEX('Output Utente'!$N$2:$N$492,MATCH(237,'Output Utente'!$R$2:$R$492,0)),"")</f>
        <v/>
      </c>
      <c r="G240" s="26" t="str">
        <f aca="false">IFERROR(INDEX('Output Utente'!$O$2:$O$492,MATCH(237,'Output Utente'!$R$2:$R$492,0)),"")</f>
        <v/>
      </c>
      <c r="H240" s="26" t="str">
        <f aca="false">IFERROR(INDEX('Output Utente'!$P$2:$P$492,MATCH(237,'Output Utente'!$R$2:$R$492,0)),"")</f>
        <v/>
      </c>
      <c r="I240" s="27" t="str">
        <f aca="false">IFERROR(INDEX('Output Utente'!$F$2:$F$492,MATCH(237,'Output Utente'!$R$2:$R$492,0)),"")</f>
        <v/>
      </c>
      <c r="J240" s="27" t="str">
        <f aca="false">IFERROR(INDEX('Output Utente'!$G$2:$G$492,MATCH(237,'Output Utente'!$R$2:$R$492,0)),"")</f>
        <v/>
      </c>
      <c r="K240" s="27" t="str">
        <f aca="false">IFERROR(INDEX('Output Utente'!$H$2:$H$492,MATCH(237,'Output Utente'!$R$2:$R$492,0)),"")</f>
        <v/>
      </c>
      <c r="L240" s="26" t="str">
        <f aca="false">IFERROR(INDEX('Output Utente'!$E$2:$E$492,MATCH(237,'Output Utente'!$R$2:$R$492,0)),"")</f>
        <v/>
      </c>
    </row>
    <row r="241" customFormat="false" ht="15" hidden="false" customHeight="true" outlineLevel="0" collapsed="false">
      <c r="A241" s="29" t="n">
        <v>238</v>
      </c>
      <c r="B241" s="26" t="str">
        <f aca="false">IFERROR(INDEX('Output Utente'!$A$2:$A$492,MATCH(238,'Output Utente'!$R$2:$R$492,0)),"")</f>
        <v/>
      </c>
      <c r="C241" s="26" t="str">
        <f aca="false">IFERROR(INDEX('Output Utente'!$B$2:$B$492,MATCH(238,'Output Utente'!$R$2:$R$492,0)),"")</f>
        <v/>
      </c>
      <c r="D241" s="26" t="str">
        <f aca="false">IFERROR(INDEX('Output Utente'!$C$2:$C$492,MATCH(238,'Output Utente'!$R$2:$R$492,0)),"")</f>
        <v/>
      </c>
      <c r="E241" s="26" t="str">
        <f aca="false">IFERROR(INDEX('Input Giocatori 2026_27'!$D$3:$D$493,MATCH($B241,'Input Giocatori 2026_27'!$A$3:$A$493,0)),"")</f>
        <v/>
      </c>
      <c r="F241" s="27" t="str">
        <f aca="false">IFERROR(INDEX('Output Utente'!$N$2:$N$492,MATCH(238,'Output Utente'!$R$2:$R$492,0)),"")</f>
        <v/>
      </c>
      <c r="G241" s="26" t="str">
        <f aca="false">IFERROR(INDEX('Output Utente'!$O$2:$O$492,MATCH(238,'Output Utente'!$R$2:$R$492,0)),"")</f>
        <v/>
      </c>
      <c r="H241" s="26" t="str">
        <f aca="false">IFERROR(INDEX('Output Utente'!$P$2:$P$492,MATCH(238,'Output Utente'!$R$2:$R$492,0)),"")</f>
        <v/>
      </c>
      <c r="I241" s="27" t="str">
        <f aca="false">IFERROR(INDEX('Output Utente'!$F$2:$F$492,MATCH(238,'Output Utente'!$R$2:$R$492,0)),"")</f>
        <v/>
      </c>
      <c r="J241" s="27" t="str">
        <f aca="false">IFERROR(INDEX('Output Utente'!$G$2:$G$492,MATCH(238,'Output Utente'!$R$2:$R$492,0)),"")</f>
        <v/>
      </c>
      <c r="K241" s="27" t="str">
        <f aca="false">IFERROR(INDEX('Output Utente'!$H$2:$H$492,MATCH(238,'Output Utente'!$R$2:$R$492,0)),"")</f>
        <v/>
      </c>
      <c r="L241" s="26" t="str">
        <f aca="false">IFERROR(INDEX('Output Utente'!$E$2:$E$492,MATCH(238,'Output Utente'!$R$2:$R$492,0)),"")</f>
        <v/>
      </c>
    </row>
    <row r="242" customFormat="false" ht="15" hidden="false" customHeight="true" outlineLevel="0" collapsed="false">
      <c r="A242" s="29" t="n">
        <v>239</v>
      </c>
      <c r="B242" s="26" t="str">
        <f aca="false">IFERROR(INDEX('Output Utente'!$A$2:$A$492,MATCH(239,'Output Utente'!$R$2:$R$492,0)),"")</f>
        <v/>
      </c>
      <c r="C242" s="26" t="str">
        <f aca="false">IFERROR(INDEX('Output Utente'!$B$2:$B$492,MATCH(239,'Output Utente'!$R$2:$R$492,0)),"")</f>
        <v/>
      </c>
      <c r="D242" s="26" t="str">
        <f aca="false">IFERROR(INDEX('Output Utente'!$C$2:$C$492,MATCH(239,'Output Utente'!$R$2:$R$492,0)),"")</f>
        <v/>
      </c>
      <c r="E242" s="26" t="str">
        <f aca="false">IFERROR(INDEX('Input Giocatori 2026_27'!$D$3:$D$493,MATCH($B242,'Input Giocatori 2026_27'!$A$3:$A$493,0)),"")</f>
        <v/>
      </c>
      <c r="F242" s="27" t="str">
        <f aca="false">IFERROR(INDEX('Output Utente'!$N$2:$N$492,MATCH(239,'Output Utente'!$R$2:$R$492,0)),"")</f>
        <v/>
      </c>
      <c r="G242" s="26" t="str">
        <f aca="false">IFERROR(INDEX('Output Utente'!$O$2:$O$492,MATCH(239,'Output Utente'!$R$2:$R$492,0)),"")</f>
        <v/>
      </c>
      <c r="H242" s="26" t="str">
        <f aca="false">IFERROR(INDEX('Output Utente'!$P$2:$P$492,MATCH(239,'Output Utente'!$R$2:$R$492,0)),"")</f>
        <v/>
      </c>
      <c r="I242" s="27" t="str">
        <f aca="false">IFERROR(INDEX('Output Utente'!$F$2:$F$492,MATCH(239,'Output Utente'!$R$2:$R$492,0)),"")</f>
        <v/>
      </c>
      <c r="J242" s="27" t="str">
        <f aca="false">IFERROR(INDEX('Output Utente'!$G$2:$G$492,MATCH(239,'Output Utente'!$R$2:$R$492,0)),"")</f>
        <v/>
      </c>
      <c r="K242" s="27" t="str">
        <f aca="false">IFERROR(INDEX('Output Utente'!$H$2:$H$492,MATCH(239,'Output Utente'!$R$2:$R$492,0)),"")</f>
        <v/>
      </c>
      <c r="L242" s="26" t="str">
        <f aca="false">IFERROR(INDEX('Output Utente'!$E$2:$E$492,MATCH(239,'Output Utente'!$R$2:$R$492,0)),"")</f>
        <v/>
      </c>
    </row>
    <row r="243" customFormat="false" ht="15" hidden="false" customHeight="true" outlineLevel="0" collapsed="false">
      <c r="A243" s="29" t="n">
        <v>240</v>
      </c>
      <c r="B243" s="26" t="str">
        <f aca="false">IFERROR(INDEX('Output Utente'!$A$2:$A$492,MATCH(240,'Output Utente'!$R$2:$R$492,0)),"")</f>
        <v/>
      </c>
      <c r="C243" s="26" t="str">
        <f aca="false">IFERROR(INDEX('Output Utente'!$B$2:$B$492,MATCH(240,'Output Utente'!$R$2:$R$492,0)),"")</f>
        <v/>
      </c>
      <c r="D243" s="26" t="str">
        <f aca="false">IFERROR(INDEX('Output Utente'!$C$2:$C$492,MATCH(240,'Output Utente'!$R$2:$R$492,0)),"")</f>
        <v/>
      </c>
      <c r="E243" s="26" t="str">
        <f aca="false">IFERROR(INDEX('Input Giocatori 2026_27'!$D$3:$D$493,MATCH($B243,'Input Giocatori 2026_27'!$A$3:$A$493,0)),"")</f>
        <v/>
      </c>
      <c r="F243" s="27" t="str">
        <f aca="false">IFERROR(INDEX('Output Utente'!$N$2:$N$492,MATCH(240,'Output Utente'!$R$2:$R$492,0)),"")</f>
        <v/>
      </c>
      <c r="G243" s="26" t="str">
        <f aca="false">IFERROR(INDEX('Output Utente'!$O$2:$O$492,MATCH(240,'Output Utente'!$R$2:$R$492,0)),"")</f>
        <v/>
      </c>
      <c r="H243" s="26" t="str">
        <f aca="false">IFERROR(INDEX('Output Utente'!$P$2:$P$492,MATCH(240,'Output Utente'!$R$2:$R$492,0)),"")</f>
        <v/>
      </c>
      <c r="I243" s="27" t="str">
        <f aca="false">IFERROR(INDEX('Output Utente'!$F$2:$F$492,MATCH(240,'Output Utente'!$R$2:$R$492,0)),"")</f>
        <v/>
      </c>
      <c r="J243" s="27" t="str">
        <f aca="false">IFERROR(INDEX('Output Utente'!$G$2:$G$492,MATCH(240,'Output Utente'!$R$2:$R$492,0)),"")</f>
        <v/>
      </c>
      <c r="K243" s="27" t="str">
        <f aca="false">IFERROR(INDEX('Output Utente'!$H$2:$H$492,MATCH(240,'Output Utente'!$R$2:$R$492,0)),"")</f>
        <v/>
      </c>
      <c r="L243" s="26" t="str">
        <f aca="false">IFERROR(INDEX('Output Utente'!$E$2:$E$492,MATCH(240,'Output Utente'!$R$2:$R$492,0)),"")</f>
        <v/>
      </c>
    </row>
    <row r="244" customFormat="false" ht="15" hidden="false" customHeight="true" outlineLevel="0" collapsed="false">
      <c r="A244" s="29" t="n">
        <v>241</v>
      </c>
      <c r="B244" s="26" t="str">
        <f aca="false">IFERROR(INDEX('Output Utente'!$A$2:$A$492,MATCH(241,'Output Utente'!$R$2:$R$492,0)),"")</f>
        <v/>
      </c>
      <c r="C244" s="26" t="str">
        <f aca="false">IFERROR(INDEX('Output Utente'!$B$2:$B$492,MATCH(241,'Output Utente'!$R$2:$R$492,0)),"")</f>
        <v/>
      </c>
      <c r="D244" s="26" t="str">
        <f aca="false">IFERROR(INDEX('Output Utente'!$C$2:$C$492,MATCH(241,'Output Utente'!$R$2:$R$492,0)),"")</f>
        <v/>
      </c>
      <c r="E244" s="26" t="str">
        <f aca="false">IFERROR(INDEX('Input Giocatori 2026_27'!$D$3:$D$493,MATCH($B244,'Input Giocatori 2026_27'!$A$3:$A$493,0)),"")</f>
        <v/>
      </c>
      <c r="F244" s="27" t="str">
        <f aca="false">IFERROR(INDEX('Output Utente'!$N$2:$N$492,MATCH(241,'Output Utente'!$R$2:$R$492,0)),"")</f>
        <v/>
      </c>
      <c r="G244" s="26" t="str">
        <f aca="false">IFERROR(INDEX('Output Utente'!$O$2:$O$492,MATCH(241,'Output Utente'!$R$2:$R$492,0)),"")</f>
        <v/>
      </c>
      <c r="H244" s="26" t="str">
        <f aca="false">IFERROR(INDEX('Output Utente'!$P$2:$P$492,MATCH(241,'Output Utente'!$R$2:$R$492,0)),"")</f>
        <v/>
      </c>
      <c r="I244" s="27" t="str">
        <f aca="false">IFERROR(INDEX('Output Utente'!$F$2:$F$492,MATCH(241,'Output Utente'!$R$2:$R$492,0)),"")</f>
        <v/>
      </c>
      <c r="J244" s="27" t="str">
        <f aca="false">IFERROR(INDEX('Output Utente'!$G$2:$G$492,MATCH(241,'Output Utente'!$R$2:$R$492,0)),"")</f>
        <v/>
      </c>
      <c r="K244" s="27" t="str">
        <f aca="false">IFERROR(INDEX('Output Utente'!$H$2:$H$492,MATCH(241,'Output Utente'!$R$2:$R$492,0)),"")</f>
        <v/>
      </c>
      <c r="L244" s="26" t="str">
        <f aca="false">IFERROR(INDEX('Output Utente'!$E$2:$E$492,MATCH(241,'Output Utente'!$R$2:$R$492,0)),"")</f>
        <v/>
      </c>
    </row>
    <row r="245" customFormat="false" ht="15" hidden="false" customHeight="true" outlineLevel="0" collapsed="false">
      <c r="A245" s="29" t="n">
        <v>242</v>
      </c>
      <c r="B245" s="26" t="str">
        <f aca="false">IFERROR(INDEX('Output Utente'!$A$2:$A$492,MATCH(242,'Output Utente'!$R$2:$R$492,0)),"")</f>
        <v/>
      </c>
      <c r="C245" s="26" t="str">
        <f aca="false">IFERROR(INDEX('Output Utente'!$B$2:$B$492,MATCH(242,'Output Utente'!$R$2:$R$492,0)),"")</f>
        <v/>
      </c>
      <c r="D245" s="26" t="str">
        <f aca="false">IFERROR(INDEX('Output Utente'!$C$2:$C$492,MATCH(242,'Output Utente'!$R$2:$R$492,0)),"")</f>
        <v/>
      </c>
      <c r="E245" s="26" t="str">
        <f aca="false">IFERROR(INDEX('Input Giocatori 2026_27'!$D$3:$D$493,MATCH($B245,'Input Giocatori 2026_27'!$A$3:$A$493,0)),"")</f>
        <v/>
      </c>
      <c r="F245" s="27" t="str">
        <f aca="false">IFERROR(INDEX('Output Utente'!$N$2:$N$492,MATCH(242,'Output Utente'!$R$2:$R$492,0)),"")</f>
        <v/>
      </c>
      <c r="G245" s="26" t="str">
        <f aca="false">IFERROR(INDEX('Output Utente'!$O$2:$O$492,MATCH(242,'Output Utente'!$R$2:$R$492,0)),"")</f>
        <v/>
      </c>
      <c r="H245" s="26" t="str">
        <f aca="false">IFERROR(INDEX('Output Utente'!$P$2:$P$492,MATCH(242,'Output Utente'!$R$2:$R$492,0)),"")</f>
        <v/>
      </c>
      <c r="I245" s="27" t="str">
        <f aca="false">IFERROR(INDEX('Output Utente'!$F$2:$F$492,MATCH(242,'Output Utente'!$R$2:$R$492,0)),"")</f>
        <v/>
      </c>
      <c r="J245" s="27" t="str">
        <f aca="false">IFERROR(INDEX('Output Utente'!$G$2:$G$492,MATCH(242,'Output Utente'!$R$2:$R$492,0)),"")</f>
        <v/>
      </c>
      <c r="K245" s="27" t="str">
        <f aca="false">IFERROR(INDEX('Output Utente'!$H$2:$H$492,MATCH(242,'Output Utente'!$R$2:$R$492,0)),"")</f>
        <v/>
      </c>
      <c r="L245" s="26" t="str">
        <f aca="false">IFERROR(INDEX('Output Utente'!$E$2:$E$492,MATCH(242,'Output Utente'!$R$2:$R$492,0)),"")</f>
        <v/>
      </c>
    </row>
    <row r="246" customFormat="false" ht="15" hidden="false" customHeight="true" outlineLevel="0" collapsed="false">
      <c r="A246" s="29" t="n">
        <v>243</v>
      </c>
      <c r="B246" s="26" t="str">
        <f aca="false">IFERROR(INDEX('Output Utente'!$A$2:$A$492,MATCH(243,'Output Utente'!$R$2:$R$492,0)),"")</f>
        <v/>
      </c>
      <c r="C246" s="26" t="str">
        <f aca="false">IFERROR(INDEX('Output Utente'!$B$2:$B$492,MATCH(243,'Output Utente'!$R$2:$R$492,0)),"")</f>
        <v/>
      </c>
      <c r="D246" s="26" t="str">
        <f aca="false">IFERROR(INDEX('Output Utente'!$C$2:$C$492,MATCH(243,'Output Utente'!$R$2:$R$492,0)),"")</f>
        <v/>
      </c>
      <c r="E246" s="26" t="str">
        <f aca="false">IFERROR(INDEX('Input Giocatori 2026_27'!$D$3:$D$493,MATCH($B246,'Input Giocatori 2026_27'!$A$3:$A$493,0)),"")</f>
        <v/>
      </c>
      <c r="F246" s="27" t="str">
        <f aca="false">IFERROR(INDEX('Output Utente'!$N$2:$N$492,MATCH(243,'Output Utente'!$R$2:$R$492,0)),"")</f>
        <v/>
      </c>
      <c r="G246" s="26" t="str">
        <f aca="false">IFERROR(INDEX('Output Utente'!$O$2:$O$492,MATCH(243,'Output Utente'!$R$2:$R$492,0)),"")</f>
        <v/>
      </c>
      <c r="H246" s="26" t="str">
        <f aca="false">IFERROR(INDEX('Output Utente'!$P$2:$P$492,MATCH(243,'Output Utente'!$R$2:$R$492,0)),"")</f>
        <v/>
      </c>
      <c r="I246" s="27" t="str">
        <f aca="false">IFERROR(INDEX('Output Utente'!$F$2:$F$492,MATCH(243,'Output Utente'!$R$2:$R$492,0)),"")</f>
        <v/>
      </c>
      <c r="J246" s="27" t="str">
        <f aca="false">IFERROR(INDEX('Output Utente'!$G$2:$G$492,MATCH(243,'Output Utente'!$R$2:$R$492,0)),"")</f>
        <v/>
      </c>
      <c r="K246" s="27" t="str">
        <f aca="false">IFERROR(INDEX('Output Utente'!$H$2:$H$492,MATCH(243,'Output Utente'!$R$2:$R$492,0)),"")</f>
        <v/>
      </c>
      <c r="L246" s="26" t="str">
        <f aca="false">IFERROR(INDEX('Output Utente'!$E$2:$E$492,MATCH(243,'Output Utente'!$R$2:$R$492,0)),"")</f>
        <v/>
      </c>
    </row>
    <row r="247" customFormat="false" ht="15" hidden="false" customHeight="true" outlineLevel="0" collapsed="false">
      <c r="A247" s="29" t="n">
        <v>244</v>
      </c>
      <c r="B247" s="26" t="str">
        <f aca="false">IFERROR(INDEX('Output Utente'!$A$2:$A$492,MATCH(244,'Output Utente'!$R$2:$R$492,0)),"")</f>
        <v/>
      </c>
      <c r="C247" s="26" t="str">
        <f aca="false">IFERROR(INDEX('Output Utente'!$B$2:$B$492,MATCH(244,'Output Utente'!$R$2:$R$492,0)),"")</f>
        <v/>
      </c>
      <c r="D247" s="26" t="str">
        <f aca="false">IFERROR(INDEX('Output Utente'!$C$2:$C$492,MATCH(244,'Output Utente'!$R$2:$R$492,0)),"")</f>
        <v/>
      </c>
      <c r="E247" s="26" t="str">
        <f aca="false">IFERROR(INDEX('Input Giocatori 2026_27'!$D$3:$D$493,MATCH($B247,'Input Giocatori 2026_27'!$A$3:$A$493,0)),"")</f>
        <v/>
      </c>
      <c r="F247" s="27" t="str">
        <f aca="false">IFERROR(INDEX('Output Utente'!$N$2:$N$492,MATCH(244,'Output Utente'!$R$2:$R$492,0)),"")</f>
        <v/>
      </c>
      <c r="G247" s="26" t="str">
        <f aca="false">IFERROR(INDEX('Output Utente'!$O$2:$O$492,MATCH(244,'Output Utente'!$R$2:$R$492,0)),"")</f>
        <v/>
      </c>
      <c r="H247" s="26" t="str">
        <f aca="false">IFERROR(INDEX('Output Utente'!$P$2:$P$492,MATCH(244,'Output Utente'!$R$2:$R$492,0)),"")</f>
        <v/>
      </c>
      <c r="I247" s="27" t="str">
        <f aca="false">IFERROR(INDEX('Output Utente'!$F$2:$F$492,MATCH(244,'Output Utente'!$R$2:$R$492,0)),"")</f>
        <v/>
      </c>
      <c r="J247" s="27" t="str">
        <f aca="false">IFERROR(INDEX('Output Utente'!$G$2:$G$492,MATCH(244,'Output Utente'!$R$2:$R$492,0)),"")</f>
        <v/>
      </c>
      <c r="K247" s="27" t="str">
        <f aca="false">IFERROR(INDEX('Output Utente'!$H$2:$H$492,MATCH(244,'Output Utente'!$R$2:$R$492,0)),"")</f>
        <v/>
      </c>
      <c r="L247" s="26" t="str">
        <f aca="false">IFERROR(INDEX('Output Utente'!$E$2:$E$492,MATCH(244,'Output Utente'!$R$2:$R$492,0)),"")</f>
        <v/>
      </c>
    </row>
    <row r="248" customFormat="false" ht="15" hidden="false" customHeight="true" outlineLevel="0" collapsed="false">
      <c r="A248" s="29" t="n">
        <v>245</v>
      </c>
      <c r="B248" s="26" t="str">
        <f aca="false">IFERROR(INDEX('Output Utente'!$A$2:$A$492,MATCH(245,'Output Utente'!$R$2:$R$492,0)),"")</f>
        <v/>
      </c>
      <c r="C248" s="26" t="str">
        <f aca="false">IFERROR(INDEX('Output Utente'!$B$2:$B$492,MATCH(245,'Output Utente'!$R$2:$R$492,0)),"")</f>
        <v/>
      </c>
      <c r="D248" s="26" t="str">
        <f aca="false">IFERROR(INDEX('Output Utente'!$C$2:$C$492,MATCH(245,'Output Utente'!$R$2:$R$492,0)),"")</f>
        <v/>
      </c>
      <c r="E248" s="26" t="str">
        <f aca="false">IFERROR(INDEX('Input Giocatori 2026_27'!$D$3:$D$493,MATCH($B248,'Input Giocatori 2026_27'!$A$3:$A$493,0)),"")</f>
        <v/>
      </c>
      <c r="F248" s="27" t="str">
        <f aca="false">IFERROR(INDEX('Output Utente'!$N$2:$N$492,MATCH(245,'Output Utente'!$R$2:$R$492,0)),"")</f>
        <v/>
      </c>
      <c r="G248" s="26" t="str">
        <f aca="false">IFERROR(INDEX('Output Utente'!$O$2:$O$492,MATCH(245,'Output Utente'!$R$2:$R$492,0)),"")</f>
        <v/>
      </c>
      <c r="H248" s="26" t="str">
        <f aca="false">IFERROR(INDEX('Output Utente'!$P$2:$P$492,MATCH(245,'Output Utente'!$R$2:$R$492,0)),"")</f>
        <v/>
      </c>
      <c r="I248" s="27" t="str">
        <f aca="false">IFERROR(INDEX('Output Utente'!$F$2:$F$492,MATCH(245,'Output Utente'!$R$2:$R$492,0)),"")</f>
        <v/>
      </c>
      <c r="J248" s="27" t="str">
        <f aca="false">IFERROR(INDEX('Output Utente'!$G$2:$G$492,MATCH(245,'Output Utente'!$R$2:$R$492,0)),"")</f>
        <v/>
      </c>
      <c r="K248" s="27" t="str">
        <f aca="false">IFERROR(INDEX('Output Utente'!$H$2:$H$492,MATCH(245,'Output Utente'!$R$2:$R$492,0)),"")</f>
        <v/>
      </c>
      <c r="L248" s="26" t="str">
        <f aca="false">IFERROR(INDEX('Output Utente'!$E$2:$E$492,MATCH(245,'Output Utente'!$R$2:$R$492,0)),"")</f>
        <v/>
      </c>
    </row>
    <row r="249" customFormat="false" ht="15" hidden="false" customHeight="true" outlineLevel="0" collapsed="false">
      <c r="A249" s="29" t="n">
        <v>246</v>
      </c>
      <c r="B249" s="26" t="str">
        <f aca="false">IFERROR(INDEX('Output Utente'!$A$2:$A$492,MATCH(246,'Output Utente'!$R$2:$R$492,0)),"")</f>
        <v/>
      </c>
      <c r="C249" s="26" t="str">
        <f aca="false">IFERROR(INDEX('Output Utente'!$B$2:$B$492,MATCH(246,'Output Utente'!$R$2:$R$492,0)),"")</f>
        <v/>
      </c>
      <c r="D249" s="26" t="str">
        <f aca="false">IFERROR(INDEX('Output Utente'!$C$2:$C$492,MATCH(246,'Output Utente'!$R$2:$R$492,0)),"")</f>
        <v/>
      </c>
      <c r="E249" s="26" t="str">
        <f aca="false">IFERROR(INDEX('Input Giocatori 2026_27'!$D$3:$D$493,MATCH($B249,'Input Giocatori 2026_27'!$A$3:$A$493,0)),"")</f>
        <v/>
      </c>
      <c r="F249" s="27" t="str">
        <f aca="false">IFERROR(INDEX('Output Utente'!$N$2:$N$492,MATCH(246,'Output Utente'!$R$2:$R$492,0)),"")</f>
        <v/>
      </c>
      <c r="G249" s="26" t="str">
        <f aca="false">IFERROR(INDEX('Output Utente'!$O$2:$O$492,MATCH(246,'Output Utente'!$R$2:$R$492,0)),"")</f>
        <v/>
      </c>
      <c r="H249" s="26" t="str">
        <f aca="false">IFERROR(INDEX('Output Utente'!$P$2:$P$492,MATCH(246,'Output Utente'!$R$2:$R$492,0)),"")</f>
        <v/>
      </c>
      <c r="I249" s="27" t="str">
        <f aca="false">IFERROR(INDEX('Output Utente'!$F$2:$F$492,MATCH(246,'Output Utente'!$R$2:$R$492,0)),"")</f>
        <v/>
      </c>
      <c r="J249" s="27" t="str">
        <f aca="false">IFERROR(INDEX('Output Utente'!$G$2:$G$492,MATCH(246,'Output Utente'!$R$2:$R$492,0)),"")</f>
        <v/>
      </c>
      <c r="K249" s="27" t="str">
        <f aca="false">IFERROR(INDEX('Output Utente'!$H$2:$H$492,MATCH(246,'Output Utente'!$R$2:$R$492,0)),"")</f>
        <v/>
      </c>
      <c r="L249" s="26" t="str">
        <f aca="false">IFERROR(INDEX('Output Utente'!$E$2:$E$492,MATCH(246,'Output Utente'!$R$2:$R$492,0)),"")</f>
        <v/>
      </c>
    </row>
    <row r="250" customFormat="false" ht="15" hidden="false" customHeight="true" outlineLevel="0" collapsed="false">
      <c r="A250" s="29" t="n">
        <v>247</v>
      </c>
      <c r="B250" s="26" t="str">
        <f aca="false">IFERROR(INDEX('Output Utente'!$A$2:$A$492,MATCH(247,'Output Utente'!$R$2:$R$492,0)),"")</f>
        <v/>
      </c>
      <c r="C250" s="26" t="str">
        <f aca="false">IFERROR(INDEX('Output Utente'!$B$2:$B$492,MATCH(247,'Output Utente'!$R$2:$R$492,0)),"")</f>
        <v/>
      </c>
      <c r="D250" s="26" t="str">
        <f aca="false">IFERROR(INDEX('Output Utente'!$C$2:$C$492,MATCH(247,'Output Utente'!$R$2:$R$492,0)),"")</f>
        <v/>
      </c>
      <c r="E250" s="26" t="str">
        <f aca="false">IFERROR(INDEX('Input Giocatori 2026_27'!$D$3:$D$493,MATCH($B250,'Input Giocatori 2026_27'!$A$3:$A$493,0)),"")</f>
        <v/>
      </c>
      <c r="F250" s="27" t="str">
        <f aca="false">IFERROR(INDEX('Output Utente'!$N$2:$N$492,MATCH(247,'Output Utente'!$R$2:$R$492,0)),"")</f>
        <v/>
      </c>
      <c r="G250" s="26" t="str">
        <f aca="false">IFERROR(INDEX('Output Utente'!$O$2:$O$492,MATCH(247,'Output Utente'!$R$2:$R$492,0)),"")</f>
        <v/>
      </c>
      <c r="H250" s="26" t="str">
        <f aca="false">IFERROR(INDEX('Output Utente'!$P$2:$P$492,MATCH(247,'Output Utente'!$R$2:$R$492,0)),"")</f>
        <v/>
      </c>
      <c r="I250" s="27" t="str">
        <f aca="false">IFERROR(INDEX('Output Utente'!$F$2:$F$492,MATCH(247,'Output Utente'!$R$2:$R$492,0)),"")</f>
        <v/>
      </c>
      <c r="J250" s="27" t="str">
        <f aca="false">IFERROR(INDEX('Output Utente'!$G$2:$G$492,MATCH(247,'Output Utente'!$R$2:$R$492,0)),"")</f>
        <v/>
      </c>
      <c r="K250" s="27" t="str">
        <f aca="false">IFERROR(INDEX('Output Utente'!$H$2:$H$492,MATCH(247,'Output Utente'!$R$2:$R$492,0)),"")</f>
        <v/>
      </c>
      <c r="L250" s="26" t="str">
        <f aca="false">IFERROR(INDEX('Output Utente'!$E$2:$E$492,MATCH(247,'Output Utente'!$R$2:$R$492,0)),"")</f>
        <v/>
      </c>
    </row>
    <row r="251" customFormat="false" ht="15" hidden="false" customHeight="true" outlineLevel="0" collapsed="false">
      <c r="A251" s="29" t="n">
        <v>248</v>
      </c>
      <c r="B251" s="26" t="str">
        <f aca="false">IFERROR(INDEX('Output Utente'!$A$2:$A$492,MATCH(248,'Output Utente'!$R$2:$R$492,0)),"")</f>
        <v/>
      </c>
      <c r="C251" s="26" t="str">
        <f aca="false">IFERROR(INDEX('Output Utente'!$B$2:$B$492,MATCH(248,'Output Utente'!$R$2:$R$492,0)),"")</f>
        <v/>
      </c>
      <c r="D251" s="26" t="str">
        <f aca="false">IFERROR(INDEX('Output Utente'!$C$2:$C$492,MATCH(248,'Output Utente'!$R$2:$R$492,0)),"")</f>
        <v/>
      </c>
      <c r="E251" s="26" t="str">
        <f aca="false">IFERROR(INDEX('Input Giocatori 2026_27'!$D$3:$D$493,MATCH($B251,'Input Giocatori 2026_27'!$A$3:$A$493,0)),"")</f>
        <v/>
      </c>
      <c r="F251" s="27" t="str">
        <f aca="false">IFERROR(INDEX('Output Utente'!$N$2:$N$492,MATCH(248,'Output Utente'!$R$2:$R$492,0)),"")</f>
        <v/>
      </c>
      <c r="G251" s="26" t="str">
        <f aca="false">IFERROR(INDEX('Output Utente'!$O$2:$O$492,MATCH(248,'Output Utente'!$R$2:$R$492,0)),"")</f>
        <v/>
      </c>
      <c r="H251" s="26" t="str">
        <f aca="false">IFERROR(INDEX('Output Utente'!$P$2:$P$492,MATCH(248,'Output Utente'!$R$2:$R$492,0)),"")</f>
        <v/>
      </c>
      <c r="I251" s="27" t="str">
        <f aca="false">IFERROR(INDEX('Output Utente'!$F$2:$F$492,MATCH(248,'Output Utente'!$R$2:$R$492,0)),"")</f>
        <v/>
      </c>
      <c r="J251" s="27" t="str">
        <f aca="false">IFERROR(INDEX('Output Utente'!$G$2:$G$492,MATCH(248,'Output Utente'!$R$2:$R$492,0)),"")</f>
        <v/>
      </c>
      <c r="K251" s="27" t="str">
        <f aca="false">IFERROR(INDEX('Output Utente'!$H$2:$H$492,MATCH(248,'Output Utente'!$R$2:$R$492,0)),"")</f>
        <v/>
      </c>
      <c r="L251" s="26" t="str">
        <f aca="false">IFERROR(INDEX('Output Utente'!$E$2:$E$492,MATCH(248,'Output Utente'!$R$2:$R$492,0)),"")</f>
        <v/>
      </c>
    </row>
    <row r="252" customFormat="false" ht="15" hidden="false" customHeight="true" outlineLevel="0" collapsed="false">
      <c r="A252" s="29" t="n">
        <v>249</v>
      </c>
      <c r="B252" s="26" t="str">
        <f aca="false">IFERROR(INDEX('Output Utente'!$A$2:$A$492,MATCH(249,'Output Utente'!$R$2:$R$492,0)),"")</f>
        <v/>
      </c>
      <c r="C252" s="26" t="str">
        <f aca="false">IFERROR(INDEX('Output Utente'!$B$2:$B$492,MATCH(249,'Output Utente'!$R$2:$R$492,0)),"")</f>
        <v/>
      </c>
      <c r="D252" s="26" t="str">
        <f aca="false">IFERROR(INDEX('Output Utente'!$C$2:$C$492,MATCH(249,'Output Utente'!$R$2:$R$492,0)),"")</f>
        <v/>
      </c>
      <c r="E252" s="26" t="str">
        <f aca="false">IFERROR(INDEX('Input Giocatori 2026_27'!$D$3:$D$493,MATCH($B252,'Input Giocatori 2026_27'!$A$3:$A$493,0)),"")</f>
        <v/>
      </c>
      <c r="F252" s="27" t="str">
        <f aca="false">IFERROR(INDEX('Output Utente'!$N$2:$N$492,MATCH(249,'Output Utente'!$R$2:$R$492,0)),"")</f>
        <v/>
      </c>
      <c r="G252" s="26" t="str">
        <f aca="false">IFERROR(INDEX('Output Utente'!$O$2:$O$492,MATCH(249,'Output Utente'!$R$2:$R$492,0)),"")</f>
        <v/>
      </c>
      <c r="H252" s="26" t="str">
        <f aca="false">IFERROR(INDEX('Output Utente'!$P$2:$P$492,MATCH(249,'Output Utente'!$R$2:$R$492,0)),"")</f>
        <v/>
      </c>
      <c r="I252" s="27" t="str">
        <f aca="false">IFERROR(INDEX('Output Utente'!$F$2:$F$492,MATCH(249,'Output Utente'!$R$2:$R$492,0)),"")</f>
        <v/>
      </c>
      <c r="J252" s="27" t="str">
        <f aca="false">IFERROR(INDEX('Output Utente'!$G$2:$G$492,MATCH(249,'Output Utente'!$R$2:$R$492,0)),"")</f>
        <v/>
      </c>
      <c r="K252" s="27" t="str">
        <f aca="false">IFERROR(INDEX('Output Utente'!$H$2:$H$492,MATCH(249,'Output Utente'!$R$2:$R$492,0)),"")</f>
        <v/>
      </c>
      <c r="L252" s="26" t="str">
        <f aca="false">IFERROR(INDEX('Output Utente'!$E$2:$E$492,MATCH(249,'Output Utente'!$R$2:$R$492,0)),"")</f>
        <v/>
      </c>
    </row>
    <row r="253" customFormat="false" ht="15" hidden="false" customHeight="true" outlineLevel="0" collapsed="false">
      <c r="A253" s="29" t="n">
        <v>250</v>
      </c>
      <c r="B253" s="26" t="str">
        <f aca="false">IFERROR(INDEX('Output Utente'!$A$2:$A$492,MATCH(250,'Output Utente'!$R$2:$R$492,0)),"")</f>
        <v/>
      </c>
      <c r="C253" s="26" t="str">
        <f aca="false">IFERROR(INDEX('Output Utente'!$B$2:$B$492,MATCH(250,'Output Utente'!$R$2:$R$492,0)),"")</f>
        <v/>
      </c>
      <c r="D253" s="26" t="str">
        <f aca="false">IFERROR(INDEX('Output Utente'!$C$2:$C$492,MATCH(250,'Output Utente'!$R$2:$R$492,0)),"")</f>
        <v/>
      </c>
      <c r="E253" s="26" t="str">
        <f aca="false">IFERROR(INDEX('Input Giocatori 2026_27'!$D$3:$D$493,MATCH($B253,'Input Giocatori 2026_27'!$A$3:$A$493,0)),"")</f>
        <v/>
      </c>
      <c r="F253" s="27" t="str">
        <f aca="false">IFERROR(INDEX('Output Utente'!$N$2:$N$492,MATCH(250,'Output Utente'!$R$2:$R$492,0)),"")</f>
        <v/>
      </c>
      <c r="G253" s="26" t="str">
        <f aca="false">IFERROR(INDEX('Output Utente'!$O$2:$O$492,MATCH(250,'Output Utente'!$R$2:$R$492,0)),"")</f>
        <v/>
      </c>
      <c r="H253" s="26" t="str">
        <f aca="false">IFERROR(INDEX('Output Utente'!$P$2:$P$492,MATCH(250,'Output Utente'!$R$2:$R$492,0)),"")</f>
        <v/>
      </c>
      <c r="I253" s="27" t="str">
        <f aca="false">IFERROR(INDEX('Output Utente'!$F$2:$F$492,MATCH(250,'Output Utente'!$R$2:$R$492,0)),"")</f>
        <v/>
      </c>
      <c r="J253" s="27" t="str">
        <f aca="false">IFERROR(INDEX('Output Utente'!$G$2:$G$492,MATCH(250,'Output Utente'!$R$2:$R$492,0)),"")</f>
        <v/>
      </c>
      <c r="K253" s="27" t="str">
        <f aca="false">IFERROR(INDEX('Output Utente'!$H$2:$H$492,MATCH(250,'Output Utente'!$R$2:$R$492,0)),"")</f>
        <v/>
      </c>
      <c r="L253" s="26" t="str">
        <f aca="false">IFERROR(INDEX('Output Utente'!$E$2:$E$492,MATCH(250,'Output Utente'!$R$2:$R$492,0)),"")</f>
        <v/>
      </c>
    </row>
    <row r="254" customFormat="false" ht="15" hidden="false" customHeight="true" outlineLevel="0" collapsed="false">
      <c r="A254" s="29" t="n">
        <v>251</v>
      </c>
      <c r="B254" s="26" t="str">
        <f aca="false">IFERROR(INDEX('Output Utente'!$A$2:$A$492,MATCH(251,'Output Utente'!$R$2:$R$492,0)),"")</f>
        <v/>
      </c>
      <c r="C254" s="26" t="str">
        <f aca="false">IFERROR(INDEX('Output Utente'!$B$2:$B$492,MATCH(251,'Output Utente'!$R$2:$R$492,0)),"")</f>
        <v/>
      </c>
      <c r="D254" s="26" t="str">
        <f aca="false">IFERROR(INDEX('Output Utente'!$C$2:$C$492,MATCH(251,'Output Utente'!$R$2:$R$492,0)),"")</f>
        <v/>
      </c>
      <c r="E254" s="26" t="str">
        <f aca="false">IFERROR(INDEX('Input Giocatori 2026_27'!$D$3:$D$493,MATCH($B254,'Input Giocatori 2026_27'!$A$3:$A$493,0)),"")</f>
        <v/>
      </c>
      <c r="F254" s="27" t="str">
        <f aca="false">IFERROR(INDEX('Output Utente'!$N$2:$N$492,MATCH(251,'Output Utente'!$R$2:$R$492,0)),"")</f>
        <v/>
      </c>
      <c r="G254" s="26" t="str">
        <f aca="false">IFERROR(INDEX('Output Utente'!$O$2:$O$492,MATCH(251,'Output Utente'!$R$2:$R$492,0)),"")</f>
        <v/>
      </c>
      <c r="H254" s="26" t="str">
        <f aca="false">IFERROR(INDEX('Output Utente'!$P$2:$P$492,MATCH(251,'Output Utente'!$R$2:$R$492,0)),"")</f>
        <v/>
      </c>
      <c r="I254" s="27" t="str">
        <f aca="false">IFERROR(INDEX('Output Utente'!$F$2:$F$492,MATCH(251,'Output Utente'!$R$2:$R$492,0)),"")</f>
        <v/>
      </c>
      <c r="J254" s="27" t="str">
        <f aca="false">IFERROR(INDEX('Output Utente'!$G$2:$G$492,MATCH(251,'Output Utente'!$R$2:$R$492,0)),"")</f>
        <v/>
      </c>
      <c r="K254" s="27" t="str">
        <f aca="false">IFERROR(INDEX('Output Utente'!$H$2:$H$492,MATCH(251,'Output Utente'!$R$2:$R$492,0)),"")</f>
        <v/>
      </c>
      <c r="L254" s="26" t="str">
        <f aca="false">IFERROR(INDEX('Output Utente'!$E$2:$E$492,MATCH(251,'Output Utente'!$R$2:$R$492,0)),"")</f>
        <v/>
      </c>
    </row>
    <row r="255" customFormat="false" ht="15" hidden="false" customHeight="true" outlineLevel="0" collapsed="false">
      <c r="A255" s="29" t="n">
        <v>252</v>
      </c>
      <c r="B255" s="26" t="str">
        <f aca="false">IFERROR(INDEX('Output Utente'!$A$2:$A$492,MATCH(252,'Output Utente'!$R$2:$R$492,0)),"")</f>
        <v/>
      </c>
      <c r="C255" s="26" t="str">
        <f aca="false">IFERROR(INDEX('Output Utente'!$B$2:$B$492,MATCH(252,'Output Utente'!$R$2:$R$492,0)),"")</f>
        <v/>
      </c>
      <c r="D255" s="26" t="str">
        <f aca="false">IFERROR(INDEX('Output Utente'!$C$2:$C$492,MATCH(252,'Output Utente'!$R$2:$R$492,0)),"")</f>
        <v/>
      </c>
      <c r="E255" s="26" t="str">
        <f aca="false">IFERROR(INDEX('Input Giocatori 2026_27'!$D$3:$D$493,MATCH($B255,'Input Giocatori 2026_27'!$A$3:$A$493,0)),"")</f>
        <v/>
      </c>
      <c r="F255" s="27" t="str">
        <f aca="false">IFERROR(INDEX('Output Utente'!$N$2:$N$492,MATCH(252,'Output Utente'!$R$2:$R$492,0)),"")</f>
        <v/>
      </c>
      <c r="G255" s="26" t="str">
        <f aca="false">IFERROR(INDEX('Output Utente'!$O$2:$O$492,MATCH(252,'Output Utente'!$R$2:$R$492,0)),"")</f>
        <v/>
      </c>
      <c r="H255" s="26" t="str">
        <f aca="false">IFERROR(INDEX('Output Utente'!$P$2:$P$492,MATCH(252,'Output Utente'!$R$2:$R$492,0)),"")</f>
        <v/>
      </c>
      <c r="I255" s="27" t="str">
        <f aca="false">IFERROR(INDEX('Output Utente'!$F$2:$F$492,MATCH(252,'Output Utente'!$R$2:$R$492,0)),"")</f>
        <v/>
      </c>
      <c r="J255" s="27" t="str">
        <f aca="false">IFERROR(INDEX('Output Utente'!$G$2:$G$492,MATCH(252,'Output Utente'!$R$2:$R$492,0)),"")</f>
        <v/>
      </c>
      <c r="K255" s="27" t="str">
        <f aca="false">IFERROR(INDEX('Output Utente'!$H$2:$H$492,MATCH(252,'Output Utente'!$R$2:$R$492,0)),"")</f>
        <v/>
      </c>
      <c r="L255" s="26" t="str">
        <f aca="false">IFERROR(INDEX('Output Utente'!$E$2:$E$492,MATCH(252,'Output Utente'!$R$2:$R$492,0)),"")</f>
        <v/>
      </c>
    </row>
    <row r="256" customFormat="false" ht="15" hidden="false" customHeight="true" outlineLevel="0" collapsed="false">
      <c r="A256" s="29" t="n">
        <v>253</v>
      </c>
      <c r="B256" s="26" t="str">
        <f aca="false">IFERROR(INDEX('Output Utente'!$A$2:$A$492,MATCH(253,'Output Utente'!$R$2:$R$492,0)),"")</f>
        <v/>
      </c>
      <c r="C256" s="26" t="str">
        <f aca="false">IFERROR(INDEX('Output Utente'!$B$2:$B$492,MATCH(253,'Output Utente'!$R$2:$R$492,0)),"")</f>
        <v/>
      </c>
      <c r="D256" s="26" t="str">
        <f aca="false">IFERROR(INDEX('Output Utente'!$C$2:$C$492,MATCH(253,'Output Utente'!$R$2:$R$492,0)),"")</f>
        <v/>
      </c>
      <c r="E256" s="26" t="str">
        <f aca="false">IFERROR(INDEX('Input Giocatori 2026_27'!$D$3:$D$493,MATCH($B256,'Input Giocatori 2026_27'!$A$3:$A$493,0)),"")</f>
        <v/>
      </c>
      <c r="F256" s="27" t="str">
        <f aca="false">IFERROR(INDEX('Output Utente'!$N$2:$N$492,MATCH(253,'Output Utente'!$R$2:$R$492,0)),"")</f>
        <v/>
      </c>
      <c r="G256" s="26" t="str">
        <f aca="false">IFERROR(INDEX('Output Utente'!$O$2:$O$492,MATCH(253,'Output Utente'!$R$2:$R$492,0)),"")</f>
        <v/>
      </c>
      <c r="H256" s="26" t="str">
        <f aca="false">IFERROR(INDEX('Output Utente'!$P$2:$P$492,MATCH(253,'Output Utente'!$R$2:$R$492,0)),"")</f>
        <v/>
      </c>
      <c r="I256" s="27" t="str">
        <f aca="false">IFERROR(INDEX('Output Utente'!$F$2:$F$492,MATCH(253,'Output Utente'!$R$2:$R$492,0)),"")</f>
        <v/>
      </c>
      <c r="J256" s="27" t="str">
        <f aca="false">IFERROR(INDEX('Output Utente'!$G$2:$G$492,MATCH(253,'Output Utente'!$R$2:$R$492,0)),"")</f>
        <v/>
      </c>
      <c r="K256" s="27" t="str">
        <f aca="false">IFERROR(INDEX('Output Utente'!$H$2:$H$492,MATCH(253,'Output Utente'!$R$2:$R$492,0)),"")</f>
        <v/>
      </c>
      <c r="L256" s="26" t="str">
        <f aca="false">IFERROR(INDEX('Output Utente'!$E$2:$E$492,MATCH(253,'Output Utente'!$R$2:$R$492,0)),"")</f>
        <v/>
      </c>
    </row>
    <row r="257" customFormat="false" ht="15" hidden="false" customHeight="true" outlineLevel="0" collapsed="false">
      <c r="A257" s="29" t="n">
        <v>254</v>
      </c>
      <c r="B257" s="26" t="str">
        <f aca="false">IFERROR(INDEX('Output Utente'!$A$2:$A$492,MATCH(254,'Output Utente'!$R$2:$R$492,0)),"")</f>
        <v/>
      </c>
      <c r="C257" s="26" t="str">
        <f aca="false">IFERROR(INDEX('Output Utente'!$B$2:$B$492,MATCH(254,'Output Utente'!$R$2:$R$492,0)),"")</f>
        <v/>
      </c>
      <c r="D257" s="26" t="str">
        <f aca="false">IFERROR(INDEX('Output Utente'!$C$2:$C$492,MATCH(254,'Output Utente'!$R$2:$R$492,0)),"")</f>
        <v/>
      </c>
      <c r="E257" s="26" t="str">
        <f aca="false">IFERROR(INDEX('Input Giocatori 2026_27'!$D$3:$D$493,MATCH($B257,'Input Giocatori 2026_27'!$A$3:$A$493,0)),"")</f>
        <v/>
      </c>
      <c r="F257" s="27" t="str">
        <f aca="false">IFERROR(INDEX('Output Utente'!$N$2:$N$492,MATCH(254,'Output Utente'!$R$2:$R$492,0)),"")</f>
        <v/>
      </c>
      <c r="G257" s="26" t="str">
        <f aca="false">IFERROR(INDEX('Output Utente'!$O$2:$O$492,MATCH(254,'Output Utente'!$R$2:$R$492,0)),"")</f>
        <v/>
      </c>
      <c r="H257" s="26" t="str">
        <f aca="false">IFERROR(INDEX('Output Utente'!$P$2:$P$492,MATCH(254,'Output Utente'!$R$2:$R$492,0)),"")</f>
        <v/>
      </c>
      <c r="I257" s="27" t="str">
        <f aca="false">IFERROR(INDEX('Output Utente'!$F$2:$F$492,MATCH(254,'Output Utente'!$R$2:$R$492,0)),"")</f>
        <v/>
      </c>
      <c r="J257" s="27" t="str">
        <f aca="false">IFERROR(INDEX('Output Utente'!$G$2:$G$492,MATCH(254,'Output Utente'!$R$2:$R$492,0)),"")</f>
        <v/>
      </c>
      <c r="K257" s="27" t="str">
        <f aca="false">IFERROR(INDEX('Output Utente'!$H$2:$H$492,MATCH(254,'Output Utente'!$R$2:$R$492,0)),"")</f>
        <v/>
      </c>
      <c r="L257" s="26" t="str">
        <f aca="false">IFERROR(INDEX('Output Utente'!$E$2:$E$492,MATCH(254,'Output Utente'!$R$2:$R$492,0)),"")</f>
        <v/>
      </c>
    </row>
    <row r="258" customFormat="false" ht="15" hidden="false" customHeight="true" outlineLevel="0" collapsed="false">
      <c r="A258" s="29" t="n">
        <v>255</v>
      </c>
      <c r="B258" s="26" t="str">
        <f aca="false">IFERROR(INDEX('Output Utente'!$A$2:$A$492,MATCH(255,'Output Utente'!$R$2:$R$492,0)),"")</f>
        <v/>
      </c>
      <c r="C258" s="26" t="str">
        <f aca="false">IFERROR(INDEX('Output Utente'!$B$2:$B$492,MATCH(255,'Output Utente'!$R$2:$R$492,0)),"")</f>
        <v/>
      </c>
      <c r="D258" s="26" t="str">
        <f aca="false">IFERROR(INDEX('Output Utente'!$C$2:$C$492,MATCH(255,'Output Utente'!$R$2:$R$492,0)),"")</f>
        <v/>
      </c>
      <c r="E258" s="26" t="str">
        <f aca="false">IFERROR(INDEX('Input Giocatori 2026_27'!$D$3:$D$493,MATCH($B258,'Input Giocatori 2026_27'!$A$3:$A$493,0)),"")</f>
        <v/>
      </c>
      <c r="F258" s="27" t="str">
        <f aca="false">IFERROR(INDEX('Output Utente'!$N$2:$N$492,MATCH(255,'Output Utente'!$R$2:$R$492,0)),"")</f>
        <v/>
      </c>
      <c r="G258" s="26" t="str">
        <f aca="false">IFERROR(INDEX('Output Utente'!$O$2:$O$492,MATCH(255,'Output Utente'!$R$2:$R$492,0)),"")</f>
        <v/>
      </c>
      <c r="H258" s="26" t="str">
        <f aca="false">IFERROR(INDEX('Output Utente'!$P$2:$P$492,MATCH(255,'Output Utente'!$R$2:$R$492,0)),"")</f>
        <v/>
      </c>
      <c r="I258" s="27" t="str">
        <f aca="false">IFERROR(INDEX('Output Utente'!$F$2:$F$492,MATCH(255,'Output Utente'!$R$2:$R$492,0)),"")</f>
        <v/>
      </c>
      <c r="J258" s="27" t="str">
        <f aca="false">IFERROR(INDEX('Output Utente'!$G$2:$G$492,MATCH(255,'Output Utente'!$R$2:$R$492,0)),"")</f>
        <v/>
      </c>
      <c r="K258" s="27" t="str">
        <f aca="false">IFERROR(INDEX('Output Utente'!$H$2:$H$492,MATCH(255,'Output Utente'!$R$2:$R$492,0)),"")</f>
        <v/>
      </c>
      <c r="L258" s="26" t="str">
        <f aca="false">IFERROR(INDEX('Output Utente'!$E$2:$E$492,MATCH(255,'Output Utente'!$R$2:$R$492,0)),"")</f>
        <v/>
      </c>
    </row>
    <row r="259" customFormat="false" ht="15" hidden="false" customHeight="true" outlineLevel="0" collapsed="false">
      <c r="A259" s="29" t="n">
        <v>256</v>
      </c>
      <c r="B259" s="26" t="str">
        <f aca="false">IFERROR(INDEX('Output Utente'!$A$2:$A$492,MATCH(256,'Output Utente'!$R$2:$R$492,0)),"")</f>
        <v/>
      </c>
      <c r="C259" s="26" t="str">
        <f aca="false">IFERROR(INDEX('Output Utente'!$B$2:$B$492,MATCH(256,'Output Utente'!$R$2:$R$492,0)),"")</f>
        <v/>
      </c>
      <c r="D259" s="26" t="str">
        <f aca="false">IFERROR(INDEX('Output Utente'!$C$2:$C$492,MATCH(256,'Output Utente'!$R$2:$R$492,0)),"")</f>
        <v/>
      </c>
      <c r="E259" s="26" t="str">
        <f aca="false">IFERROR(INDEX('Input Giocatori 2026_27'!$D$3:$D$493,MATCH($B259,'Input Giocatori 2026_27'!$A$3:$A$493,0)),"")</f>
        <v/>
      </c>
      <c r="F259" s="27" t="str">
        <f aca="false">IFERROR(INDEX('Output Utente'!$N$2:$N$492,MATCH(256,'Output Utente'!$R$2:$R$492,0)),"")</f>
        <v/>
      </c>
      <c r="G259" s="26" t="str">
        <f aca="false">IFERROR(INDEX('Output Utente'!$O$2:$O$492,MATCH(256,'Output Utente'!$R$2:$R$492,0)),"")</f>
        <v/>
      </c>
      <c r="H259" s="26" t="str">
        <f aca="false">IFERROR(INDEX('Output Utente'!$P$2:$P$492,MATCH(256,'Output Utente'!$R$2:$R$492,0)),"")</f>
        <v/>
      </c>
      <c r="I259" s="27" t="str">
        <f aca="false">IFERROR(INDEX('Output Utente'!$F$2:$F$492,MATCH(256,'Output Utente'!$R$2:$R$492,0)),"")</f>
        <v/>
      </c>
      <c r="J259" s="27" t="str">
        <f aca="false">IFERROR(INDEX('Output Utente'!$G$2:$G$492,MATCH(256,'Output Utente'!$R$2:$R$492,0)),"")</f>
        <v/>
      </c>
      <c r="K259" s="27" t="str">
        <f aca="false">IFERROR(INDEX('Output Utente'!$H$2:$H$492,MATCH(256,'Output Utente'!$R$2:$R$492,0)),"")</f>
        <v/>
      </c>
      <c r="L259" s="26" t="str">
        <f aca="false">IFERROR(INDEX('Output Utente'!$E$2:$E$492,MATCH(256,'Output Utente'!$R$2:$R$492,0)),"")</f>
        <v/>
      </c>
    </row>
    <row r="260" customFormat="false" ht="15" hidden="false" customHeight="true" outlineLevel="0" collapsed="false">
      <c r="A260" s="29" t="n">
        <v>257</v>
      </c>
      <c r="B260" s="26" t="str">
        <f aca="false">IFERROR(INDEX('Output Utente'!$A$2:$A$492,MATCH(257,'Output Utente'!$R$2:$R$492,0)),"")</f>
        <v/>
      </c>
      <c r="C260" s="26" t="str">
        <f aca="false">IFERROR(INDEX('Output Utente'!$B$2:$B$492,MATCH(257,'Output Utente'!$R$2:$R$492,0)),"")</f>
        <v/>
      </c>
      <c r="D260" s="26" t="str">
        <f aca="false">IFERROR(INDEX('Output Utente'!$C$2:$C$492,MATCH(257,'Output Utente'!$R$2:$R$492,0)),"")</f>
        <v/>
      </c>
      <c r="E260" s="26" t="str">
        <f aca="false">IFERROR(INDEX('Input Giocatori 2026_27'!$D$3:$D$493,MATCH($B260,'Input Giocatori 2026_27'!$A$3:$A$493,0)),"")</f>
        <v/>
      </c>
      <c r="F260" s="27" t="str">
        <f aca="false">IFERROR(INDEX('Output Utente'!$N$2:$N$492,MATCH(257,'Output Utente'!$R$2:$R$492,0)),"")</f>
        <v/>
      </c>
      <c r="G260" s="26" t="str">
        <f aca="false">IFERROR(INDEX('Output Utente'!$O$2:$O$492,MATCH(257,'Output Utente'!$R$2:$R$492,0)),"")</f>
        <v/>
      </c>
      <c r="H260" s="26" t="str">
        <f aca="false">IFERROR(INDEX('Output Utente'!$P$2:$P$492,MATCH(257,'Output Utente'!$R$2:$R$492,0)),"")</f>
        <v/>
      </c>
      <c r="I260" s="27" t="str">
        <f aca="false">IFERROR(INDEX('Output Utente'!$F$2:$F$492,MATCH(257,'Output Utente'!$R$2:$R$492,0)),"")</f>
        <v/>
      </c>
      <c r="J260" s="27" t="str">
        <f aca="false">IFERROR(INDEX('Output Utente'!$G$2:$G$492,MATCH(257,'Output Utente'!$R$2:$R$492,0)),"")</f>
        <v/>
      </c>
      <c r="K260" s="27" t="str">
        <f aca="false">IFERROR(INDEX('Output Utente'!$H$2:$H$492,MATCH(257,'Output Utente'!$R$2:$R$492,0)),"")</f>
        <v/>
      </c>
      <c r="L260" s="26" t="str">
        <f aca="false">IFERROR(INDEX('Output Utente'!$E$2:$E$492,MATCH(257,'Output Utente'!$R$2:$R$492,0)),"")</f>
        <v/>
      </c>
    </row>
    <row r="261" customFormat="false" ht="15" hidden="false" customHeight="true" outlineLevel="0" collapsed="false">
      <c r="A261" s="29" t="n">
        <v>258</v>
      </c>
      <c r="B261" s="26" t="str">
        <f aca="false">IFERROR(INDEX('Output Utente'!$A$2:$A$492,MATCH(258,'Output Utente'!$R$2:$R$492,0)),"")</f>
        <v/>
      </c>
      <c r="C261" s="26" t="str">
        <f aca="false">IFERROR(INDEX('Output Utente'!$B$2:$B$492,MATCH(258,'Output Utente'!$R$2:$R$492,0)),"")</f>
        <v/>
      </c>
      <c r="D261" s="26" t="str">
        <f aca="false">IFERROR(INDEX('Output Utente'!$C$2:$C$492,MATCH(258,'Output Utente'!$R$2:$R$492,0)),"")</f>
        <v/>
      </c>
      <c r="E261" s="26" t="str">
        <f aca="false">IFERROR(INDEX('Input Giocatori 2026_27'!$D$3:$D$493,MATCH($B261,'Input Giocatori 2026_27'!$A$3:$A$493,0)),"")</f>
        <v/>
      </c>
      <c r="F261" s="27" t="str">
        <f aca="false">IFERROR(INDEX('Output Utente'!$N$2:$N$492,MATCH(258,'Output Utente'!$R$2:$R$492,0)),"")</f>
        <v/>
      </c>
      <c r="G261" s="26" t="str">
        <f aca="false">IFERROR(INDEX('Output Utente'!$O$2:$O$492,MATCH(258,'Output Utente'!$R$2:$R$492,0)),"")</f>
        <v/>
      </c>
      <c r="H261" s="26" t="str">
        <f aca="false">IFERROR(INDEX('Output Utente'!$P$2:$P$492,MATCH(258,'Output Utente'!$R$2:$R$492,0)),"")</f>
        <v/>
      </c>
      <c r="I261" s="27" t="str">
        <f aca="false">IFERROR(INDEX('Output Utente'!$F$2:$F$492,MATCH(258,'Output Utente'!$R$2:$R$492,0)),"")</f>
        <v/>
      </c>
      <c r="J261" s="27" t="str">
        <f aca="false">IFERROR(INDEX('Output Utente'!$G$2:$G$492,MATCH(258,'Output Utente'!$R$2:$R$492,0)),"")</f>
        <v/>
      </c>
      <c r="K261" s="27" t="str">
        <f aca="false">IFERROR(INDEX('Output Utente'!$H$2:$H$492,MATCH(258,'Output Utente'!$R$2:$R$492,0)),"")</f>
        <v/>
      </c>
      <c r="L261" s="26" t="str">
        <f aca="false">IFERROR(INDEX('Output Utente'!$E$2:$E$492,MATCH(258,'Output Utente'!$R$2:$R$492,0)),"")</f>
        <v/>
      </c>
    </row>
    <row r="262" customFormat="false" ht="15" hidden="false" customHeight="true" outlineLevel="0" collapsed="false">
      <c r="A262" s="29" t="n">
        <v>259</v>
      </c>
      <c r="B262" s="26" t="str">
        <f aca="false">IFERROR(INDEX('Output Utente'!$A$2:$A$492,MATCH(259,'Output Utente'!$R$2:$R$492,0)),"")</f>
        <v/>
      </c>
      <c r="C262" s="26" t="str">
        <f aca="false">IFERROR(INDEX('Output Utente'!$B$2:$B$492,MATCH(259,'Output Utente'!$R$2:$R$492,0)),"")</f>
        <v/>
      </c>
      <c r="D262" s="26" t="str">
        <f aca="false">IFERROR(INDEX('Output Utente'!$C$2:$C$492,MATCH(259,'Output Utente'!$R$2:$R$492,0)),"")</f>
        <v/>
      </c>
      <c r="E262" s="26" t="str">
        <f aca="false">IFERROR(INDEX('Input Giocatori 2026_27'!$D$3:$D$493,MATCH($B262,'Input Giocatori 2026_27'!$A$3:$A$493,0)),"")</f>
        <v/>
      </c>
      <c r="F262" s="27" t="str">
        <f aca="false">IFERROR(INDEX('Output Utente'!$N$2:$N$492,MATCH(259,'Output Utente'!$R$2:$R$492,0)),"")</f>
        <v/>
      </c>
      <c r="G262" s="26" t="str">
        <f aca="false">IFERROR(INDEX('Output Utente'!$O$2:$O$492,MATCH(259,'Output Utente'!$R$2:$R$492,0)),"")</f>
        <v/>
      </c>
      <c r="H262" s="26" t="str">
        <f aca="false">IFERROR(INDEX('Output Utente'!$P$2:$P$492,MATCH(259,'Output Utente'!$R$2:$R$492,0)),"")</f>
        <v/>
      </c>
      <c r="I262" s="27" t="str">
        <f aca="false">IFERROR(INDEX('Output Utente'!$F$2:$F$492,MATCH(259,'Output Utente'!$R$2:$R$492,0)),"")</f>
        <v/>
      </c>
      <c r="J262" s="27" t="str">
        <f aca="false">IFERROR(INDEX('Output Utente'!$G$2:$G$492,MATCH(259,'Output Utente'!$R$2:$R$492,0)),"")</f>
        <v/>
      </c>
      <c r="K262" s="27" t="str">
        <f aca="false">IFERROR(INDEX('Output Utente'!$H$2:$H$492,MATCH(259,'Output Utente'!$R$2:$R$492,0)),"")</f>
        <v/>
      </c>
      <c r="L262" s="26" t="str">
        <f aca="false">IFERROR(INDEX('Output Utente'!$E$2:$E$492,MATCH(259,'Output Utente'!$R$2:$R$492,0)),"")</f>
        <v/>
      </c>
    </row>
    <row r="263" customFormat="false" ht="15" hidden="false" customHeight="true" outlineLevel="0" collapsed="false">
      <c r="A263" s="29" t="n">
        <v>260</v>
      </c>
      <c r="B263" s="26" t="str">
        <f aca="false">IFERROR(INDEX('Output Utente'!$A$2:$A$492,MATCH(260,'Output Utente'!$R$2:$R$492,0)),"")</f>
        <v/>
      </c>
      <c r="C263" s="26" t="str">
        <f aca="false">IFERROR(INDEX('Output Utente'!$B$2:$B$492,MATCH(260,'Output Utente'!$R$2:$R$492,0)),"")</f>
        <v/>
      </c>
      <c r="D263" s="26" t="str">
        <f aca="false">IFERROR(INDEX('Output Utente'!$C$2:$C$492,MATCH(260,'Output Utente'!$R$2:$R$492,0)),"")</f>
        <v/>
      </c>
      <c r="E263" s="26" t="str">
        <f aca="false">IFERROR(INDEX('Input Giocatori 2026_27'!$D$3:$D$493,MATCH($B263,'Input Giocatori 2026_27'!$A$3:$A$493,0)),"")</f>
        <v/>
      </c>
      <c r="F263" s="27" t="str">
        <f aca="false">IFERROR(INDEX('Output Utente'!$N$2:$N$492,MATCH(260,'Output Utente'!$R$2:$R$492,0)),"")</f>
        <v/>
      </c>
      <c r="G263" s="26" t="str">
        <f aca="false">IFERROR(INDEX('Output Utente'!$O$2:$O$492,MATCH(260,'Output Utente'!$R$2:$R$492,0)),"")</f>
        <v/>
      </c>
      <c r="H263" s="26" t="str">
        <f aca="false">IFERROR(INDEX('Output Utente'!$P$2:$P$492,MATCH(260,'Output Utente'!$R$2:$R$492,0)),"")</f>
        <v/>
      </c>
      <c r="I263" s="27" t="str">
        <f aca="false">IFERROR(INDEX('Output Utente'!$F$2:$F$492,MATCH(260,'Output Utente'!$R$2:$R$492,0)),"")</f>
        <v/>
      </c>
      <c r="J263" s="27" t="str">
        <f aca="false">IFERROR(INDEX('Output Utente'!$G$2:$G$492,MATCH(260,'Output Utente'!$R$2:$R$492,0)),"")</f>
        <v/>
      </c>
      <c r="K263" s="27" t="str">
        <f aca="false">IFERROR(INDEX('Output Utente'!$H$2:$H$492,MATCH(260,'Output Utente'!$R$2:$R$492,0)),"")</f>
        <v/>
      </c>
      <c r="L263" s="26" t="str">
        <f aca="false">IFERROR(INDEX('Output Utente'!$E$2:$E$492,MATCH(260,'Output Utente'!$R$2:$R$492,0)),"")</f>
        <v/>
      </c>
    </row>
    <row r="264" customFormat="false" ht="15" hidden="false" customHeight="true" outlineLevel="0" collapsed="false">
      <c r="A264" s="29" t="n">
        <v>261</v>
      </c>
      <c r="B264" s="26" t="str">
        <f aca="false">IFERROR(INDEX('Output Utente'!$A$2:$A$492,MATCH(261,'Output Utente'!$R$2:$R$492,0)),"")</f>
        <v/>
      </c>
      <c r="C264" s="26" t="str">
        <f aca="false">IFERROR(INDEX('Output Utente'!$B$2:$B$492,MATCH(261,'Output Utente'!$R$2:$R$492,0)),"")</f>
        <v/>
      </c>
      <c r="D264" s="26" t="str">
        <f aca="false">IFERROR(INDEX('Output Utente'!$C$2:$C$492,MATCH(261,'Output Utente'!$R$2:$R$492,0)),"")</f>
        <v/>
      </c>
      <c r="E264" s="26" t="str">
        <f aca="false">IFERROR(INDEX('Input Giocatori 2026_27'!$D$3:$D$493,MATCH($B264,'Input Giocatori 2026_27'!$A$3:$A$493,0)),"")</f>
        <v/>
      </c>
      <c r="F264" s="27" t="str">
        <f aca="false">IFERROR(INDEX('Output Utente'!$N$2:$N$492,MATCH(261,'Output Utente'!$R$2:$R$492,0)),"")</f>
        <v/>
      </c>
      <c r="G264" s="26" t="str">
        <f aca="false">IFERROR(INDEX('Output Utente'!$O$2:$O$492,MATCH(261,'Output Utente'!$R$2:$R$492,0)),"")</f>
        <v/>
      </c>
      <c r="H264" s="26" t="str">
        <f aca="false">IFERROR(INDEX('Output Utente'!$P$2:$P$492,MATCH(261,'Output Utente'!$R$2:$R$492,0)),"")</f>
        <v/>
      </c>
      <c r="I264" s="27" t="str">
        <f aca="false">IFERROR(INDEX('Output Utente'!$F$2:$F$492,MATCH(261,'Output Utente'!$R$2:$R$492,0)),"")</f>
        <v/>
      </c>
      <c r="J264" s="27" t="str">
        <f aca="false">IFERROR(INDEX('Output Utente'!$G$2:$G$492,MATCH(261,'Output Utente'!$R$2:$R$492,0)),"")</f>
        <v/>
      </c>
      <c r="K264" s="27" t="str">
        <f aca="false">IFERROR(INDEX('Output Utente'!$H$2:$H$492,MATCH(261,'Output Utente'!$R$2:$R$492,0)),"")</f>
        <v/>
      </c>
      <c r="L264" s="26" t="str">
        <f aca="false">IFERROR(INDEX('Output Utente'!$E$2:$E$492,MATCH(261,'Output Utente'!$R$2:$R$492,0)),"")</f>
        <v/>
      </c>
    </row>
    <row r="265" customFormat="false" ht="15" hidden="false" customHeight="true" outlineLevel="0" collapsed="false">
      <c r="A265" s="29" t="n">
        <v>262</v>
      </c>
      <c r="B265" s="26" t="str">
        <f aca="false">IFERROR(INDEX('Output Utente'!$A$2:$A$492,MATCH(262,'Output Utente'!$R$2:$R$492,0)),"")</f>
        <v/>
      </c>
      <c r="C265" s="26" t="str">
        <f aca="false">IFERROR(INDEX('Output Utente'!$B$2:$B$492,MATCH(262,'Output Utente'!$R$2:$R$492,0)),"")</f>
        <v/>
      </c>
      <c r="D265" s="26" t="str">
        <f aca="false">IFERROR(INDEX('Output Utente'!$C$2:$C$492,MATCH(262,'Output Utente'!$R$2:$R$492,0)),"")</f>
        <v/>
      </c>
      <c r="E265" s="26" t="str">
        <f aca="false">IFERROR(INDEX('Input Giocatori 2026_27'!$D$3:$D$493,MATCH($B265,'Input Giocatori 2026_27'!$A$3:$A$493,0)),"")</f>
        <v/>
      </c>
      <c r="F265" s="27" t="str">
        <f aca="false">IFERROR(INDEX('Output Utente'!$N$2:$N$492,MATCH(262,'Output Utente'!$R$2:$R$492,0)),"")</f>
        <v/>
      </c>
      <c r="G265" s="26" t="str">
        <f aca="false">IFERROR(INDEX('Output Utente'!$O$2:$O$492,MATCH(262,'Output Utente'!$R$2:$R$492,0)),"")</f>
        <v/>
      </c>
      <c r="H265" s="26" t="str">
        <f aca="false">IFERROR(INDEX('Output Utente'!$P$2:$P$492,MATCH(262,'Output Utente'!$R$2:$R$492,0)),"")</f>
        <v/>
      </c>
      <c r="I265" s="27" t="str">
        <f aca="false">IFERROR(INDEX('Output Utente'!$F$2:$F$492,MATCH(262,'Output Utente'!$R$2:$R$492,0)),"")</f>
        <v/>
      </c>
      <c r="J265" s="27" t="str">
        <f aca="false">IFERROR(INDEX('Output Utente'!$G$2:$G$492,MATCH(262,'Output Utente'!$R$2:$R$492,0)),"")</f>
        <v/>
      </c>
      <c r="K265" s="27" t="str">
        <f aca="false">IFERROR(INDEX('Output Utente'!$H$2:$H$492,MATCH(262,'Output Utente'!$R$2:$R$492,0)),"")</f>
        <v/>
      </c>
      <c r="L265" s="26" t="str">
        <f aca="false">IFERROR(INDEX('Output Utente'!$E$2:$E$492,MATCH(262,'Output Utente'!$R$2:$R$492,0)),"")</f>
        <v/>
      </c>
    </row>
    <row r="266" customFormat="false" ht="15" hidden="false" customHeight="true" outlineLevel="0" collapsed="false">
      <c r="A266" s="29" t="n">
        <v>263</v>
      </c>
      <c r="B266" s="26" t="str">
        <f aca="false">IFERROR(INDEX('Output Utente'!$A$2:$A$492,MATCH(263,'Output Utente'!$R$2:$R$492,0)),"")</f>
        <v/>
      </c>
      <c r="C266" s="26" t="str">
        <f aca="false">IFERROR(INDEX('Output Utente'!$B$2:$B$492,MATCH(263,'Output Utente'!$R$2:$R$492,0)),"")</f>
        <v/>
      </c>
      <c r="D266" s="26" t="str">
        <f aca="false">IFERROR(INDEX('Output Utente'!$C$2:$C$492,MATCH(263,'Output Utente'!$R$2:$R$492,0)),"")</f>
        <v/>
      </c>
      <c r="E266" s="26" t="str">
        <f aca="false">IFERROR(INDEX('Input Giocatori 2026_27'!$D$3:$D$493,MATCH($B266,'Input Giocatori 2026_27'!$A$3:$A$493,0)),"")</f>
        <v/>
      </c>
      <c r="F266" s="27" t="str">
        <f aca="false">IFERROR(INDEX('Output Utente'!$N$2:$N$492,MATCH(263,'Output Utente'!$R$2:$R$492,0)),"")</f>
        <v/>
      </c>
      <c r="G266" s="26" t="str">
        <f aca="false">IFERROR(INDEX('Output Utente'!$O$2:$O$492,MATCH(263,'Output Utente'!$R$2:$R$492,0)),"")</f>
        <v/>
      </c>
      <c r="H266" s="26" t="str">
        <f aca="false">IFERROR(INDEX('Output Utente'!$P$2:$P$492,MATCH(263,'Output Utente'!$R$2:$R$492,0)),"")</f>
        <v/>
      </c>
      <c r="I266" s="27" t="str">
        <f aca="false">IFERROR(INDEX('Output Utente'!$F$2:$F$492,MATCH(263,'Output Utente'!$R$2:$R$492,0)),"")</f>
        <v/>
      </c>
      <c r="J266" s="27" t="str">
        <f aca="false">IFERROR(INDEX('Output Utente'!$G$2:$G$492,MATCH(263,'Output Utente'!$R$2:$R$492,0)),"")</f>
        <v/>
      </c>
      <c r="K266" s="27" t="str">
        <f aca="false">IFERROR(INDEX('Output Utente'!$H$2:$H$492,MATCH(263,'Output Utente'!$R$2:$R$492,0)),"")</f>
        <v/>
      </c>
      <c r="L266" s="26" t="str">
        <f aca="false">IFERROR(INDEX('Output Utente'!$E$2:$E$492,MATCH(263,'Output Utente'!$R$2:$R$492,0)),"")</f>
        <v/>
      </c>
    </row>
    <row r="267" customFormat="false" ht="15" hidden="false" customHeight="true" outlineLevel="0" collapsed="false">
      <c r="A267" s="29" t="n">
        <v>264</v>
      </c>
      <c r="B267" s="26" t="str">
        <f aca="false">IFERROR(INDEX('Output Utente'!$A$2:$A$492,MATCH(264,'Output Utente'!$R$2:$R$492,0)),"")</f>
        <v/>
      </c>
      <c r="C267" s="26" t="str">
        <f aca="false">IFERROR(INDEX('Output Utente'!$B$2:$B$492,MATCH(264,'Output Utente'!$R$2:$R$492,0)),"")</f>
        <v/>
      </c>
      <c r="D267" s="26" t="str">
        <f aca="false">IFERROR(INDEX('Output Utente'!$C$2:$C$492,MATCH(264,'Output Utente'!$R$2:$R$492,0)),"")</f>
        <v/>
      </c>
      <c r="E267" s="26" t="str">
        <f aca="false">IFERROR(INDEX('Input Giocatori 2026_27'!$D$3:$D$493,MATCH($B267,'Input Giocatori 2026_27'!$A$3:$A$493,0)),"")</f>
        <v/>
      </c>
      <c r="F267" s="27" t="str">
        <f aca="false">IFERROR(INDEX('Output Utente'!$N$2:$N$492,MATCH(264,'Output Utente'!$R$2:$R$492,0)),"")</f>
        <v/>
      </c>
      <c r="G267" s="26" t="str">
        <f aca="false">IFERROR(INDEX('Output Utente'!$O$2:$O$492,MATCH(264,'Output Utente'!$R$2:$R$492,0)),"")</f>
        <v/>
      </c>
      <c r="H267" s="26" t="str">
        <f aca="false">IFERROR(INDEX('Output Utente'!$P$2:$P$492,MATCH(264,'Output Utente'!$R$2:$R$492,0)),"")</f>
        <v/>
      </c>
      <c r="I267" s="27" t="str">
        <f aca="false">IFERROR(INDEX('Output Utente'!$F$2:$F$492,MATCH(264,'Output Utente'!$R$2:$R$492,0)),"")</f>
        <v/>
      </c>
      <c r="J267" s="27" t="str">
        <f aca="false">IFERROR(INDEX('Output Utente'!$G$2:$G$492,MATCH(264,'Output Utente'!$R$2:$R$492,0)),"")</f>
        <v/>
      </c>
      <c r="K267" s="27" t="str">
        <f aca="false">IFERROR(INDEX('Output Utente'!$H$2:$H$492,MATCH(264,'Output Utente'!$R$2:$R$492,0)),"")</f>
        <v/>
      </c>
      <c r="L267" s="26" t="str">
        <f aca="false">IFERROR(INDEX('Output Utente'!$E$2:$E$492,MATCH(264,'Output Utente'!$R$2:$R$492,0)),"")</f>
        <v/>
      </c>
    </row>
    <row r="268" customFormat="false" ht="15" hidden="false" customHeight="true" outlineLevel="0" collapsed="false">
      <c r="A268" s="29" t="n">
        <v>265</v>
      </c>
      <c r="B268" s="26" t="str">
        <f aca="false">IFERROR(INDEX('Output Utente'!$A$2:$A$492,MATCH(265,'Output Utente'!$R$2:$R$492,0)),"")</f>
        <v/>
      </c>
      <c r="C268" s="26" t="str">
        <f aca="false">IFERROR(INDEX('Output Utente'!$B$2:$B$492,MATCH(265,'Output Utente'!$R$2:$R$492,0)),"")</f>
        <v/>
      </c>
      <c r="D268" s="26" t="str">
        <f aca="false">IFERROR(INDEX('Output Utente'!$C$2:$C$492,MATCH(265,'Output Utente'!$R$2:$R$492,0)),"")</f>
        <v/>
      </c>
      <c r="E268" s="26" t="str">
        <f aca="false">IFERROR(INDEX('Input Giocatori 2026_27'!$D$3:$D$493,MATCH($B268,'Input Giocatori 2026_27'!$A$3:$A$493,0)),"")</f>
        <v/>
      </c>
      <c r="F268" s="27" t="str">
        <f aca="false">IFERROR(INDEX('Output Utente'!$N$2:$N$492,MATCH(265,'Output Utente'!$R$2:$R$492,0)),"")</f>
        <v/>
      </c>
      <c r="G268" s="26" t="str">
        <f aca="false">IFERROR(INDEX('Output Utente'!$O$2:$O$492,MATCH(265,'Output Utente'!$R$2:$R$492,0)),"")</f>
        <v/>
      </c>
      <c r="H268" s="26" t="str">
        <f aca="false">IFERROR(INDEX('Output Utente'!$P$2:$P$492,MATCH(265,'Output Utente'!$R$2:$R$492,0)),"")</f>
        <v/>
      </c>
      <c r="I268" s="27" t="str">
        <f aca="false">IFERROR(INDEX('Output Utente'!$F$2:$F$492,MATCH(265,'Output Utente'!$R$2:$R$492,0)),"")</f>
        <v/>
      </c>
      <c r="J268" s="27" t="str">
        <f aca="false">IFERROR(INDEX('Output Utente'!$G$2:$G$492,MATCH(265,'Output Utente'!$R$2:$R$492,0)),"")</f>
        <v/>
      </c>
      <c r="K268" s="27" t="str">
        <f aca="false">IFERROR(INDEX('Output Utente'!$H$2:$H$492,MATCH(265,'Output Utente'!$R$2:$R$492,0)),"")</f>
        <v/>
      </c>
      <c r="L268" s="26" t="str">
        <f aca="false">IFERROR(INDEX('Output Utente'!$E$2:$E$492,MATCH(265,'Output Utente'!$R$2:$R$492,0)),"")</f>
        <v/>
      </c>
    </row>
    <row r="269" customFormat="false" ht="15" hidden="false" customHeight="true" outlineLevel="0" collapsed="false">
      <c r="A269" s="29" t="n">
        <v>266</v>
      </c>
      <c r="B269" s="26" t="str">
        <f aca="false">IFERROR(INDEX('Output Utente'!$A$2:$A$492,MATCH(266,'Output Utente'!$R$2:$R$492,0)),"")</f>
        <v/>
      </c>
      <c r="C269" s="26" t="str">
        <f aca="false">IFERROR(INDEX('Output Utente'!$B$2:$B$492,MATCH(266,'Output Utente'!$R$2:$R$492,0)),"")</f>
        <v/>
      </c>
      <c r="D269" s="26" t="str">
        <f aca="false">IFERROR(INDEX('Output Utente'!$C$2:$C$492,MATCH(266,'Output Utente'!$R$2:$R$492,0)),"")</f>
        <v/>
      </c>
      <c r="E269" s="26" t="str">
        <f aca="false">IFERROR(INDEX('Input Giocatori 2026_27'!$D$3:$D$493,MATCH($B269,'Input Giocatori 2026_27'!$A$3:$A$493,0)),"")</f>
        <v/>
      </c>
      <c r="F269" s="27" t="str">
        <f aca="false">IFERROR(INDEX('Output Utente'!$N$2:$N$492,MATCH(266,'Output Utente'!$R$2:$R$492,0)),"")</f>
        <v/>
      </c>
      <c r="G269" s="26" t="str">
        <f aca="false">IFERROR(INDEX('Output Utente'!$O$2:$O$492,MATCH(266,'Output Utente'!$R$2:$R$492,0)),"")</f>
        <v/>
      </c>
      <c r="H269" s="26" t="str">
        <f aca="false">IFERROR(INDEX('Output Utente'!$P$2:$P$492,MATCH(266,'Output Utente'!$R$2:$R$492,0)),"")</f>
        <v/>
      </c>
      <c r="I269" s="27" t="str">
        <f aca="false">IFERROR(INDEX('Output Utente'!$F$2:$F$492,MATCH(266,'Output Utente'!$R$2:$R$492,0)),"")</f>
        <v/>
      </c>
      <c r="J269" s="27" t="str">
        <f aca="false">IFERROR(INDEX('Output Utente'!$G$2:$G$492,MATCH(266,'Output Utente'!$R$2:$R$492,0)),"")</f>
        <v/>
      </c>
      <c r="K269" s="27" t="str">
        <f aca="false">IFERROR(INDEX('Output Utente'!$H$2:$H$492,MATCH(266,'Output Utente'!$R$2:$R$492,0)),"")</f>
        <v/>
      </c>
      <c r="L269" s="26" t="str">
        <f aca="false">IFERROR(INDEX('Output Utente'!$E$2:$E$492,MATCH(266,'Output Utente'!$R$2:$R$492,0)),"")</f>
        <v/>
      </c>
    </row>
    <row r="270" customFormat="false" ht="15" hidden="false" customHeight="true" outlineLevel="0" collapsed="false">
      <c r="A270" s="29" t="n">
        <v>267</v>
      </c>
      <c r="B270" s="26" t="str">
        <f aca="false">IFERROR(INDEX('Output Utente'!$A$2:$A$492,MATCH(267,'Output Utente'!$R$2:$R$492,0)),"")</f>
        <v/>
      </c>
      <c r="C270" s="26" t="str">
        <f aca="false">IFERROR(INDEX('Output Utente'!$B$2:$B$492,MATCH(267,'Output Utente'!$R$2:$R$492,0)),"")</f>
        <v/>
      </c>
      <c r="D270" s="26" t="str">
        <f aca="false">IFERROR(INDEX('Output Utente'!$C$2:$C$492,MATCH(267,'Output Utente'!$R$2:$R$492,0)),"")</f>
        <v/>
      </c>
      <c r="E270" s="26" t="str">
        <f aca="false">IFERROR(INDEX('Input Giocatori 2026_27'!$D$3:$D$493,MATCH($B270,'Input Giocatori 2026_27'!$A$3:$A$493,0)),"")</f>
        <v/>
      </c>
      <c r="F270" s="27" t="str">
        <f aca="false">IFERROR(INDEX('Output Utente'!$N$2:$N$492,MATCH(267,'Output Utente'!$R$2:$R$492,0)),"")</f>
        <v/>
      </c>
      <c r="G270" s="26" t="str">
        <f aca="false">IFERROR(INDEX('Output Utente'!$O$2:$O$492,MATCH(267,'Output Utente'!$R$2:$R$492,0)),"")</f>
        <v/>
      </c>
      <c r="H270" s="26" t="str">
        <f aca="false">IFERROR(INDEX('Output Utente'!$P$2:$P$492,MATCH(267,'Output Utente'!$R$2:$R$492,0)),"")</f>
        <v/>
      </c>
      <c r="I270" s="27" t="str">
        <f aca="false">IFERROR(INDEX('Output Utente'!$F$2:$F$492,MATCH(267,'Output Utente'!$R$2:$R$492,0)),"")</f>
        <v/>
      </c>
      <c r="J270" s="27" t="str">
        <f aca="false">IFERROR(INDEX('Output Utente'!$G$2:$G$492,MATCH(267,'Output Utente'!$R$2:$R$492,0)),"")</f>
        <v/>
      </c>
      <c r="K270" s="27" t="str">
        <f aca="false">IFERROR(INDEX('Output Utente'!$H$2:$H$492,MATCH(267,'Output Utente'!$R$2:$R$492,0)),"")</f>
        <v/>
      </c>
      <c r="L270" s="26" t="str">
        <f aca="false">IFERROR(INDEX('Output Utente'!$E$2:$E$492,MATCH(267,'Output Utente'!$R$2:$R$492,0)),"")</f>
        <v/>
      </c>
    </row>
    <row r="271" customFormat="false" ht="15" hidden="false" customHeight="true" outlineLevel="0" collapsed="false">
      <c r="A271" s="29" t="n">
        <v>268</v>
      </c>
      <c r="B271" s="26" t="str">
        <f aca="false">IFERROR(INDEX('Output Utente'!$A$2:$A$492,MATCH(268,'Output Utente'!$R$2:$R$492,0)),"")</f>
        <v/>
      </c>
      <c r="C271" s="26" t="str">
        <f aca="false">IFERROR(INDEX('Output Utente'!$B$2:$B$492,MATCH(268,'Output Utente'!$R$2:$R$492,0)),"")</f>
        <v/>
      </c>
      <c r="D271" s="26" t="str">
        <f aca="false">IFERROR(INDEX('Output Utente'!$C$2:$C$492,MATCH(268,'Output Utente'!$R$2:$R$492,0)),"")</f>
        <v/>
      </c>
      <c r="E271" s="26" t="str">
        <f aca="false">IFERROR(INDEX('Input Giocatori 2026_27'!$D$3:$D$493,MATCH($B271,'Input Giocatori 2026_27'!$A$3:$A$493,0)),"")</f>
        <v/>
      </c>
      <c r="F271" s="27" t="str">
        <f aca="false">IFERROR(INDEX('Output Utente'!$N$2:$N$492,MATCH(268,'Output Utente'!$R$2:$R$492,0)),"")</f>
        <v/>
      </c>
      <c r="G271" s="26" t="str">
        <f aca="false">IFERROR(INDEX('Output Utente'!$O$2:$O$492,MATCH(268,'Output Utente'!$R$2:$R$492,0)),"")</f>
        <v/>
      </c>
      <c r="H271" s="26" t="str">
        <f aca="false">IFERROR(INDEX('Output Utente'!$P$2:$P$492,MATCH(268,'Output Utente'!$R$2:$R$492,0)),"")</f>
        <v/>
      </c>
      <c r="I271" s="27" t="str">
        <f aca="false">IFERROR(INDEX('Output Utente'!$F$2:$F$492,MATCH(268,'Output Utente'!$R$2:$R$492,0)),"")</f>
        <v/>
      </c>
      <c r="J271" s="27" t="str">
        <f aca="false">IFERROR(INDEX('Output Utente'!$G$2:$G$492,MATCH(268,'Output Utente'!$R$2:$R$492,0)),"")</f>
        <v/>
      </c>
      <c r="K271" s="27" t="str">
        <f aca="false">IFERROR(INDEX('Output Utente'!$H$2:$H$492,MATCH(268,'Output Utente'!$R$2:$R$492,0)),"")</f>
        <v/>
      </c>
      <c r="L271" s="26" t="str">
        <f aca="false">IFERROR(INDEX('Output Utente'!$E$2:$E$492,MATCH(268,'Output Utente'!$R$2:$R$492,0)),"")</f>
        <v/>
      </c>
    </row>
    <row r="272" customFormat="false" ht="15" hidden="false" customHeight="true" outlineLevel="0" collapsed="false">
      <c r="A272" s="29" t="n">
        <v>269</v>
      </c>
      <c r="B272" s="26" t="str">
        <f aca="false">IFERROR(INDEX('Output Utente'!$A$2:$A$492,MATCH(269,'Output Utente'!$R$2:$R$492,0)),"")</f>
        <v/>
      </c>
      <c r="C272" s="26" t="str">
        <f aca="false">IFERROR(INDEX('Output Utente'!$B$2:$B$492,MATCH(269,'Output Utente'!$R$2:$R$492,0)),"")</f>
        <v/>
      </c>
      <c r="D272" s="26" t="str">
        <f aca="false">IFERROR(INDEX('Output Utente'!$C$2:$C$492,MATCH(269,'Output Utente'!$R$2:$R$492,0)),"")</f>
        <v/>
      </c>
      <c r="E272" s="26" t="str">
        <f aca="false">IFERROR(INDEX('Input Giocatori 2026_27'!$D$3:$D$493,MATCH($B272,'Input Giocatori 2026_27'!$A$3:$A$493,0)),"")</f>
        <v/>
      </c>
      <c r="F272" s="27" t="str">
        <f aca="false">IFERROR(INDEX('Output Utente'!$N$2:$N$492,MATCH(269,'Output Utente'!$R$2:$R$492,0)),"")</f>
        <v/>
      </c>
      <c r="G272" s="26" t="str">
        <f aca="false">IFERROR(INDEX('Output Utente'!$O$2:$O$492,MATCH(269,'Output Utente'!$R$2:$R$492,0)),"")</f>
        <v/>
      </c>
      <c r="H272" s="26" t="str">
        <f aca="false">IFERROR(INDEX('Output Utente'!$P$2:$P$492,MATCH(269,'Output Utente'!$R$2:$R$492,0)),"")</f>
        <v/>
      </c>
      <c r="I272" s="27" t="str">
        <f aca="false">IFERROR(INDEX('Output Utente'!$F$2:$F$492,MATCH(269,'Output Utente'!$R$2:$R$492,0)),"")</f>
        <v/>
      </c>
      <c r="J272" s="27" t="str">
        <f aca="false">IFERROR(INDEX('Output Utente'!$G$2:$G$492,MATCH(269,'Output Utente'!$R$2:$R$492,0)),"")</f>
        <v/>
      </c>
      <c r="K272" s="27" t="str">
        <f aca="false">IFERROR(INDEX('Output Utente'!$H$2:$H$492,MATCH(269,'Output Utente'!$R$2:$R$492,0)),"")</f>
        <v/>
      </c>
      <c r="L272" s="26" t="str">
        <f aca="false">IFERROR(INDEX('Output Utente'!$E$2:$E$492,MATCH(269,'Output Utente'!$R$2:$R$492,0)),"")</f>
        <v/>
      </c>
    </row>
    <row r="273" customFormat="false" ht="15" hidden="false" customHeight="true" outlineLevel="0" collapsed="false">
      <c r="A273" s="29" t="n">
        <v>270</v>
      </c>
      <c r="B273" s="26" t="str">
        <f aca="false">IFERROR(INDEX('Output Utente'!$A$2:$A$492,MATCH(270,'Output Utente'!$R$2:$R$492,0)),"")</f>
        <v/>
      </c>
      <c r="C273" s="26" t="str">
        <f aca="false">IFERROR(INDEX('Output Utente'!$B$2:$B$492,MATCH(270,'Output Utente'!$R$2:$R$492,0)),"")</f>
        <v/>
      </c>
      <c r="D273" s="26" t="str">
        <f aca="false">IFERROR(INDEX('Output Utente'!$C$2:$C$492,MATCH(270,'Output Utente'!$R$2:$R$492,0)),"")</f>
        <v/>
      </c>
      <c r="E273" s="26" t="str">
        <f aca="false">IFERROR(INDEX('Input Giocatori 2026_27'!$D$3:$D$493,MATCH($B273,'Input Giocatori 2026_27'!$A$3:$A$493,0)),"")</f>
        <v/>
      </c>
      <c r="F273" s="27" t="str">
        <f aca="false">IFERROR(INDEX('Output Utente'!$N$2:$N$492,MATCH(270,'Output Utente'!$R$2:$R$492,0)),"")</f>
        <v/>
      </c>
      <c r="G273" s="26" t="str">
        <f aca="false">IFERROR(INDEX('Output Utente'!$O$2:$O$492,MATCH(270,'Output Utente'!$R$2:$R$492,0)),"")</f>
        <v/>
      </c>
      <c r="H273" s="26" t="str">
        <f aca="false">IFERROR(INDEX('Output Utente'!$P$2:$P$492,MATCH(270,'Output Utente'!$R$2:$R$492,0)),"")</f>
        <v/>
      </c>
      <c r="I273" s="27" t="str">
        <f aca="false">IFERROR(INDEX('Output Utente'!$F$2:$F$492,MATCH(270,'Output Utente'!$R$2:$R$492,0)),"")</f>
        <v/>
      </c>
      <c r="J273" s="27" t="str">
        <f aca="false">IFERROR(INDEX('Output Utente'!$G$2:$G$492,MATCH(270,'Output Utente'!$R$2:$R$492,0)),"")</f>
        <v/>
      </c>
      <c r="K273" s="27" t="str">
        <f aca="false">IFERROR(INDEX('Output Utente'!$H$2:$H$492,MATCH(270,'Output Utente'!$R$2:$R$492,0)),"")</f>
        <v/>
      </c>
      <c r="L273" s="26" t="str">
        <f aca="false">IFERROR(INDEX('Output Utente'!$E$2:$E$492,MATCH(270,'Output Utente'!$R$2:$R$492,0)),"")</f>
        <v/>
      </c>
    </row>
    <row r="274" customFormat="false" ht="15" hidden="false" customHeight="true" outlineLevel="0" collapsed="false">
      <c r="A274" s="29" t="n">
        <v>271</v>
      </c>
      <c r="B274" s="26" t="str">
        <f aca="false">IFERROR(INDEX('Output Utente'!$A$2:$A$492,MATCH(271,'Output Utente'!$R$2:$R$492,0)),"")</f>
        <v/>
      </c>
      <c r="C274" s="26" t="str">
        <f aca="false">IFERROR(INDEX('Output Utente'!$B$2:$B$492,MATCH(271,'Output Utente'!$R$2:$R$492,0)),"")</f>
        <v/>
      </c>
      <c r="D274" s="26" t="str">
        <f aca="false">IFERROR(INDEX('Output Utente'!$C$2:$C$492,MATCH(271,'Output Utente'!$R$2:$R$492,0)),"")</f>
        <v/>
      </c>
      <c r="E274" s="26" t="str">
        <f aca="false">IFERROR(INDEX('Input Giocatori 2026_27'!$D$3:$D$493,MATCH($B274,'Input Giocatori 2026_27'!$A$3:$A$493,0)),"")</f>
        <v/>
      </c>
      <c r="F274" s="27" t="str">
        <f aca="false">IFERROR(INDEX('Output Utente'!$N$2:$N$492,MATCH(271,'Output Utente'!$R$2:$R$492,0)),"")</f>
        <v/>
      </c>
      <c r="G274" s="26" t="str">
        <f aca="false">IFERROR(INDEX('Output Utente'!$O$2:$O$492,MATCH(271,'Output Utente'!$R$2:$R$492,0)),"")</f>
        <v/>
      </c>
      <c r="H274" s="26" t="str">
        <f aca="false">IFERROR(INDEX('Output Utente'!$P$2:$P$492,MATCH(271,'Output Utente'!$R$2:$R$492,0)),"")</f>
        <v/>
      </c>
      <c r="I274" s="27" t="str">
        <f aca="false">IFERROR(INDEX('Output Utente'!$F$2:$F$492,MATCH(271,'Output Utente'!$R$2:$R$492,0)),"")</f>
        <v/>
      </c>
      <c r="J274" s="27" t="str">
        <f aca="false">IFERROR(INDEX('Output Utente'!$G$2:$G$492,MATCH(271,'Output Utente'!$R$2:$R$492,0)),"")</f>
        <v/>
      </c>
      <c r="K274" s="27" t="str">
        <f aca="false">IFERROR(INDEX('Output Utente'!$H$2:$H$492,MATCH(271,'Output Utente'!$R$2:$R$492,0)),"")</f>
        <v/>
      </c>
      <c r="L274" s="26" t="str">
        <f aca="false">IFERROR(INDEX('Output Utente'!$E$2:$E$492,MATCH(271,'Output Utente'!$R$2:$R$492,0)),"")</f>
        <v/>
      </c>
    </row>
    <row r="275" customFormat="false" ht="15" hidden="false" customHeight="true" outlineLevel="0" collapsed="false">
      <c r="A275" s="29" t="n">
        <v>272</v>
      </c>
      <c r="B275" s="26" t="str">
        <f aca="false">IFERROR(INDEX('Output Utente'!$A$2:$A$492,MATCH(272,'Output Utente'!$R$2:$R$492,0)),"")</f>
        <v/>
      </c>
      <c r="C275" s="26" t="str">
        <f aca="false">IFERROR(INDEX('Output Utente'!$B$2:$B$492,MATCH(272,'Output Utente'!$R$2:$R$492,0)),"")</f>
        <v/>
      </c>
      <c r="D275" s="26" t="str">
        <f aca="false">IFERROR(INDEX('Output Utente'!$C$2:$C$492,MATCH(272,'Output Utente'!$R$2:$R$492,0)),"")</f>
        <v/>
      </c>
      <c r="E275" s="26" t="str">
        <f aca="false">IFERROR(INDEX('Input Giocatori 2026_27'!$D$3:$D$493,MATCH($B275,'Input Giocatori 2026_27'!$A$3:$A$493,0)),"")</f>
        <v/>
      </c>
      <c r="F275" s="27" t="str">
        <f aca="false">IFERROR(INDEX('Output Utente'!$N$2:$N$492,MATCH(272,'Output Utente'!$R$2:$R$492,0)),"")</f>
        <v/>
      </c>
      <c r="G275" s="26" t="str">
        <f aca="false">IFERROR(INDEX('Output Utente'!$O$2:$O$492,MATCH(272,'Output Utente'!$R$2:$R$492,0)),"")</f>
        <v/>
      </c>
      <c r="H275" s="26" t="str">
        <f aca="false">IFERROR(INDEX('Output Utente'!$P$2:$P$492,MATCH(272,'Output Utente'!$R$2:$R$492,0)),"")</f>
        <v/>
      </c>
      <c r="I275" s="27" t="str">
        <f aca="false">IFERROR(INDEX('Output Utente'!$F$2:$F$492,MATCH(272,'Output Utente'!$R$2:$R$492,0)),"")</f>
        <v/>
      </c>
      <c r="J275" s="27" t="str">
        <f aca="false">IFERROR(INDEX('Output Utente'!$G$2:$G$492,MATCH(272,'Output Utente'!$R$2:$R$492,0)),"")</f>
        <v/>
      </c>
      <c r="K275" s="27" t="str">
        <f aca="false">IFERROR(INDEX('Output Utente'!$H$2:$H$492,MATCH(272,'Output Utente'!$R$2:$R$492,0)),"")</f>
        <v/>
      </c>
      <c r="L275" s="26" t="str">
        <f aca="false">IFERROR(INDEX('Output Utente'!$E$2:$E$492,MATCH(272,'Output Utente'!$R$2:$R$492,0)),"")</f>
        <v/>
      </c>
    </row>
    <row r="276" customFormat="false" ht="15" hidden="false" customHeight="true" outlineLevel="0" collapsed="false">
      <c r="A276" s="29" t="n">
        <v>273</v>
      </c>
      <c r="B276" s="26" t="str">
        <f aca="false">IFERROR(INDEX('Output Utente'!$A$2:$A$492,MATCH(273,'Output Utente'!$R$2:$R$492,0)),"")</f>
        <v/>
      </c>
      <c r="C276" s="26" t="str">
        <f aca="false">IFERROR(INDEX('Output Utente'!$B$2:$B$492,MATCH(273,'Output Utente'!$R$2:$R$492,0)),"")</f>
        <v/>
      </c>
      <c r="D276" s="26" t="str">
        <f aca="false">IFERROR(INDEX('Output Utente'!$C$2:$C$492,MATCH(273,'Output Utente'!$R$2:$R$492,0)),"")</f>
        <v/>
      </c>
      <c r="E276" s="26" t="str">
        <f aca="false">IFERROR(INDEX('Input Giocatori 2026_27'!$D$3:$D$493,MATCH($B276,'Input Giocatori 2026_27'!$A$3:$A$493,0)),"")</f>
        <v/>
      </c>
      <c r="F276" s="27" t="str">
        <f aca="false">IFERROR(INDEX('Output Utente'!$N$2:$N$492,MATCH(273,'Output Utente'!$R$2:$R$492,0)),"")</f>
        <v/>
      </c>
      <c r="G276" s="26" t="str">
        <f aca="false">IFERROR(INDEX('Output Utente'!$O$2:$O$492,MATCH(273,'Output Utente'!$R$2:$R$492,0)),"")</f>
        <v/>
      </c>
      <c r="H276" s="26" t="str">
        <f aca="false">IFERROR(INDEX('Output Utente'!$P$2:$P$492,MATCH(273,'Output Utente'!$R$2:$R$492,0)),"")</f>
        <v/>
      </c>
      <c r="I276" s="27" t="str">
        <f aca="false">IFERROR(INDEX('Output Utente'!$F$2:$F$492,MATCH(273,'Output Utente'!$R$2:$R$492,0)),"")</f>
        <v/>
      </c>
      <c r="J276" s="27" t="str">
        <f aca="false">IFERROR(INDEX('Output Utente'!$G$2:$G$492,MATCH(273,'Output Utente'!$R$2:$R$492,0)),"")</f>
        <v/>
      </c>
      <c r="K276" s="27" t="str">
        <f aca="false">IFERROR(INDEX('Output Utente'!$H$2:$H$492,MATCH(273,'Output Utente'!$R$2:$R$492,0)),"")</f>
        <v/>
      </c>
      <c r="L276" s="26" t="str">
        <f aca="false">IFERROR(INDEX('Output Utente'!$E$2:$E$492,MATCH(273,'Output Utente'!$R$2:$R$492,0)),"")</f>
        <v/>
      </c>
    </row>
    <row r="277" customFormat="false" ht="15" hidden="false" customHeight="true" outlineLevel="0" collapsed="false">
      <c r="A277" s="29" t="n">
        <v>274</v>
      </c>
      <c r="B277" s="26" t="str">
        <f aca="false">IFERROR(INDEX('Output Utente'!$A$2:$A$492,MATCH(274,'Output Utente'!$R$2:$R$492,0)),"")</f>
        <v/>
      </c>
      <c r="C277" s="26" t="str">
        <f aca="false">IFERROR(INDEX('Output Utente'!$B$2:$B$492,MATCH(274,'Output Utente'!$R$2:$R$492,0)),"")</f>
        <v/>
      </c>
      <c r="D277" s="26" t="str">
        <f aca="false">IFERROR(INDEX('Output Utente'!$C$2:$C$492,MATCH(274,'Output Utente'!$R$2:$R$492,0)),"")</f>
        <v/>
      </c>
      <c r="E277" s="26" t="str">
        <f aca="false">IFERROR(INDEX('Input Giocatori 2026_27'!$D$3:$D$493,MATCH($B277,'Input Giocatori 2026_27'!$A$3:$A$493,0)),"")</f>
        <v/>
      </c>
      <c r="F277" s="27" t="str">
        <f aca="false">IFERROR(INDEX('Output Utente'!$N$2:$N$492,MATCH(274,'Output Utente'!$R$2:$R$492,0)),"")</f>
        <v/>
      </c>
      <c r="G277" s="26" t="str">
        <f aca="false">IFERROR(INDEX('Output Utente'!$O$2:$O$492,MATCH(274,'Output Utente'!$R$2:$R$492,0)),"")</f>
        <v/>
      </c>
      <c r="H277" s="26" t="str">
        <f aca="false">IFERROR(INDEX('Output Utente'!$P$2:$P$492,MATCH(274,'Output Utente'!$R$2:$R$492,0)),"")</f>
        <v/>
      </c>
      <c r="I277" s="27" t="str">
        <f aca="false">IFERROR(INDEX('Output Utente'!$F$2:$F$492,MATCH(274,'Output Utente'!$R$2:$R$492,0)),"")</f>
        <v/>
      </c>
      <c r="J277" s="27" t="str">
        <f aca="false">IFERROR(INDEX('Output Utente'!$G$2:$G$492,MATCH(274,'Output Utente'!$R$2:$R$492,0)),"")</f>
        <v/>
      </c>
      <c r="K277" s="27" t="str">
        <f aca="false">IFERROR(INDEX('Output Utente'!$H$2:$H$492,MATCH(274,'Output Utente'!$R$2:$R$492,0)),"")</f>
        <v/>
      </c>
      <c r="L277" s="26" t="str">
        <f aca="false">IFERROR(INDEX('Output Utente'!$E$2:$E$492,MATCH(274,'Output Utente'!$R$2:$R$492,0)),"")</f>
        <v/>
      </c>
    </row>
    <row r="278" customFormat="false" ht="15" hidden="false" customHeight="true" outlineLevel="0" collapsed="false">
      <c r="A278" s="29" t="n">
        <v>275</v>
      </c>
      <c r="B278" s="26" t="str">
        <f aca="false">IFERROR(INDEX('Output Utente'!$A$2:$A$492,MATCH(275,'Output Utente'!$R$2:$R$492,0)),"")</f>
        <v/>
      </c>
      <c r="C278" s="26" t="str">
        <f aca="false">IFERROR(INDEX('Output Utente'!$B$2:$B$492,MATCH(275,'Output Utente'!$R$2:$R$492,0)),"")</f>
        <v/>
      </c>
      <c r="D278" s="26" t="str">
        <f aca="false">IFERROR(INDEX('Output Utente'!$C$2:$C$492,MATCH(275,'Output Utente'!$R$2:$R$492,0)),"")</f>
        <v/>
      </c>
      <c r="E278" s="26" t="str">
        <f aca="false">IFERROR(INDEX('Input Giocatori 2026_27'!$D$3:$D$493,MATCH($B278,'Input Giocatori 2026_27'!$A$3:$A$493,0)),"")</f>
        <v/>
      </c>
      <c r="F278" s="27" t="str">
        <f aca="false">IFERROR(INDEX('Output Utente'!$N$2:$N$492,MATCH(275,'Output Utente'!$R$2:$R$492,0)),"")</f>
        <v/>
      </c>
      <c r="G278" s="26" t="str">
        <f aca="false">IFERROR(INDEX('Output Utente'!$O$2:$O$492,MATCH(275,'Output Utente'!$R$2:$R$492,0)),"")</f>
        <v/>
      </c>
      <c r="H278" s="26" t="str">
        <f aca="false">IFERROR(INDEX('Output Utente'!$P$2:$P$492,MATCH(275,'Output Utente'!$R$2:$R$492,0)),"")</f>
        <v/>
      </c>
      <c r="I278" s="27" t="str">
        <f aca="false">IFERROR(INDEX('Output Utente'!$F$2:$F$492,MATCH(275,'Output Utente'!$R$2:$R$492,0)),"")</f>
        <v/>
      </c>
      <c r="J278" s="27" t="str">
        <f aca="false">IFERROR(INDEX('Output Utente'!$G$2:$G$492,MATCH(275,'Output Utente'!$R$2:$R$492,0)),"")</f>
        <v/>
      </c>
      <c r="K278" s="27" t="str">
        <f aca="false">IFERROR(INDEX('Output Utente'!$H$2:$H$492,MATCH(275,'Output Utente'!$R$2:$R$492,0)),"")</f>
        <v/>
      </c>
      <c r="L278" s="26" t="str">
        <f aca="false">IFERROR(INDEX('Output Utente'!$E$2:$E$492,MATCH(275,'Output Utente'!$R$2:$R$492,0)),"")</f>
        <v/>
      </c>
    </row>
    <row r="279" customFormat="false" ht="15" hidden="false" customHeight="true" outlineLevel="0" collapsed="false">
      <c r="A279" s="29" t="n">
        <v>276</v>
      </c>
      <c r="B279" s="26" t="str">
        <f aca="false">IFERROR(INDEX('Output Utente'!$A$2:$A$492,MATCH(276,'Output Utente'!$R$2:$R$492,0)),"")</f>
        <v/>
      </c>
      <c r="C279" s="26" t="str">
        <f aca="false">IFERROR(INDEX('Output Utente'!$B$2:$B$492,MATCH(276,'Output Utente'!$R$2:$R$492,0)),"")</f>
        <v/>
      </c>
      <c r="D279" s="26" t="str">
        <f aca="false">IFERROR(INDEX('Output Utente'!$C$2:$C$492,MATCH(276,'Output Utente'!$R$2:$R$492,0)),"")</f>
        <v/>
      </c>
      <c r="E279" s="26" t="str">
        <f aca="false">IFERROR(INDEX('Input Giocatori 2026_27'!$D$3:$D$493,MATCH($B279,'Input Giocatori 2026_27'!$A$3:$A$493,0)),"")</f>
        <v/>
      </c>
      <c r="F279" s="27" t="str">
        <f aca="false">IFERROR(INDEX('Output Utente'!$N$2:$N$492,MATCH(276,'Output Utente'!$R$2:$R$492,0)),"")</f>
        <v/>
      </c>
      <c r="G279" s="26" t="str">
        <f aca="false">IFERROR(INDEX('Output Utente'!$O$2:$O$492,MATCH(276,'Output Utente'!$R$2:$R$492,0)),"")</f>
        <v/>
      </c>
      <c r="H279" s="26" t="str">
        <f aca="false">IFERROR(INDEX('Output Utente'!$P$2:$P$492,MATCH(276,'Output Utente'!$R$2:$R$492,0)),"")</f>
        <v/>
      </c>
      <c r="I279" s="27" t="str">
        <f aca="false">IFERROR(INDEX('Output Utente'!$F$2:$F$492,MATCH(276,'Output Utente'!$R$2:$R$492,0)),"")</f>
        <v/>
      </c>
      <c r="J279" s="27" t="str">
        <f aca="false">IFERROR(INDEX('Output Utente'!$G$2:$G$492,MATCH(276,'Output Utente'!$R$2:$R$492,0)),"")</f>
        <v/>
      </c>
      <c r="K279" s="27" t="str">
        <f aca="false">IFERROR(INDEX('Output Utente'!$H$2:$H$492,MATCH(276,'Output Utente'!$R$2:$R$492,0)),"")</f>
        <v/>
      </c>
      <c r="L279" s="26" t="str">
        <f aca="false">IFERROR(INDEX('Output Utente'!$E$2:$E$492,MATCH(276,'Output Utente'!$R$2:$R$492,0)),"")</f>
        <v/>
      </c>
    </row>
    <row r="280" customFormat="false" ht="15" hidden="false" customHeight="true" outlineLevel="0" collapsed="false">
      <c r="A280" s="29" t="n">
        <v>277</v>
      </c>
      <c r="B280" s="26" t="str">
        <f aca="false">IFERROR(INDEX('Output Utente'!$A$2:$A$492,MATCH(277,'Output Utente'!$R$2:$R$492,0)),"")</f>
        <v/>
      </c>
      <c r="C280" s="26" t="str">
        <f aca="false">IFERROR(INDEX('Output Utente'!$B$2:$B$492,MATCH(277,'Output Utente'!$R$2:$R$492,0)),"")</f>
        <v/>
      </c>
      <c r="D280" s="26" t="str">
        <f aca="false">IFERROR(INDEX('Output Utente'!$C$2:$C$492,MATCH(277,'Output Utente'!$R$2:$R$492,0)),"")</f>
        <v/>
      </c>
      <c r="E280" s="26" t="str">
        <f aca="false">IFERROR(INDEX('Input Giocatori 2026_27'!$D$3:$D$493,MATCH($B280,'Input Giocatori 2026_27'!$A$3:$A$493,0)),"")</f>
        <v/>
      </c>
      <c r="F280" s="27" t="str">
        <f aca="false">IFERROR(INDEX('Output Utente'!$N$2:$N$492,MATCH(277,'Output Utente'!$R$2:$R$492,0)),"")</f>
        <v/>
      </c>
      <c r="G280" s="26" t="str">
        <f aca="false">IFERROR(INDEX('Output Utente'!$O$2:$O$492,MATCH(277,'Output Utente'!$R$2:$R$492,0)),"")</f>
        <v/>
      </c>
      <c r="H280" s="26" t="str">
        <f aca="false">IFERROR(INDEX('Output Utente'!$P$2:$P$492,MATCH(277,'Output Utente'!$R$2:$R$492,0)),"")</f>
        <v/>
      </c>
      <c r="I280" s="27" t="str">
        <f aca="false">IFERROR(INDEX('Output Utente'!$F$2:$F$492,MATCH(277,'Output Utente'!$R$2:$R$492,0)),"")</f>
        <v/>
      </c>
      <c r="J280" s="27" t="str">
        <f aca="false">IFERROR(INDEX('Output Utente'!$G$2:$G$492,MATCH(277,'Output Utente'!$R$2:$R$492,0)),"")</f>
        <v/>
      </c>
      <c r="K280" s="27" t="str">
        <f aca="false">IFERROR(INDEX('Output Utente'!$H$2:$H$492,MATCH(277,'Output Utente'!$R$2:$R$492,0)),"")</f>
        <v/>
      </c>
      <c r="L280" s="26" t="str">
        <f aca="false">IFERROR(INDEX('Output Utente'!$E$2:$E$492,MATCH(277,'Output Utente'!$R$2:$R$492,0)),"")</f>
        <v/>
      </c>
    </row>
    <row r="281" customFormat="false" ht="15" hidden="false" customHeight="true" outlineLevel="0" collapsed="false">
      <c r="A281" s="29" t="n">
        <v>278</v>
      </c>
      <c r="B281" s="26" t="str">
        <f aca="false">IFERROR(INDEX('Output Utente'!$A$2:$A$492,MATCH(278,'Output Utente'!$R$2:$R$492,0)),"")</f>
        <v/>
      </c>
      <c r="C281" s="26" t="str">
        <f aca="false">IFERROR(INDEX('Output Utente'!$B$2:$B$492,MATCH(278,'Output Utente'!$R$2:$R$492,0)),"")</f>
        <v/>
      </c>
      <c r="D281" s="26" t="str">
        <f aca="false">IFERROR(INDEX('Output Utente'!$C$2:$C$492,MATCH(278,'Output Utente'!$R$2:$R$492,0)),"")</f>
        <v/>
      </c>
      <c r="E281" s="26" t="str">
        <f aca="false">IFERROR(INDEX('Input Giocatori 2026_27'!$D$3:$D$493,MATCH($B281,'Input Giocatori 2026_27'!$A$3:$A$493,0)),"")</f>
        <v/>
      </c>
      <c r="F281" s="27" t="str">
        <f aca="false">IFERROR(INDEX('Output Utente'!$N$2:$N$492,MATCH(278,'Output Utente'!$R$2:$R$492,0)),"")</f>
        <v/>
      </c>
      <c r="G281" s="26" t="str">
        <f aca="false">IFERROR(INDEX('Output Utente'!$O$2:$O$492,MATCH(278,'Output Utente'!$R$2:$R$492,0)),"")</f>
        <v/>
      </c>
      <c r="H281" s="26" t="str">
        <f aca="false">IFERROR(INDEX('Output Utente'!$P$2:$P$492,MATCH(278,'Output Utente'!$R$2:$R$492,0)),"")</f>
        <v/>
      </c>
      <c r="I281" s="27" t="str">
        <f aca="false">IFERROR(INDEX('Output Utente'!$F$2:$F$492,MATCH(278,'Output Utente'!$R$2:$R$492,0)),"")</f>
        <v/>
      </c>
      <c r="J281" s="27" t="str">
        <f aca="false">IFERROR(INDEX('Output Utente'!$G$2:$G$492,MATCH(278,'Output Utente'!$R$2:$R$492,0)),"")</f>
        <v/>
      </c>
      <c r="K281" s="27" t="str">
        <f aca="false">IFERROR(INDEX('Output Utente'!$H$2:$H$492,MATCH(278,'Output Utente'!$R$2:$R$492,0)),"")</f>
        <v/>
      </c>
      <c r="L281" s="26" t="str">
        <f aca="false">IFERROR(INDEX('Output Utente'!$E$2:$E$492,MATCH(278,'Output Utente'!$R$2:$R$492,0)),"")</f>
        <v/>
      </c>
    </row>
    <row r="282" customFormat="false" ht="15" hidden="false" customHeight="true" outlineLevel="0" collapsed="false">
      <c r="A282" s="29" t="n">
        <v>279</v>
      </c>
      <c r="B282" s="26" t="str">
        <f aca="false">IFERROR(INDEX('Output Utente'!$A$2:$A$492,MATCH(279,'Output Utente'!$R$2:$R$492,0)),"")</f>
        <v/>
      </c>
      <c r="C282" s="26" t="str">
        <f aca="false">IFERROR(INDEX('Output Utente'!$B$2:$B$492,MATCH(279,'Output Utente'!$R$2:$R$492,0)),"")</f>
        <v/>
      </c>
      <c r="D282" s="26" t="str">
        <f aca="false">IFERROR(INDEX('Output Utente'!$C$2:$C$492,MATCH(279,'Output Utente'!$R$2:$R$492,0)),"")</f>
        <v/>
      </c>
      <c r="E282" s="26" t="str">
        <f aca="false">IFERROR(INDEX('Input Giocatori 2026_27'!$D$3:$D$493,MATCH($B282,'Input Giocatori 2026_27'!$A$3:$A$493,0)),"")</f>
        <v/>
      </c>
      <c r="F282" s="27" t="str">
        <f aca="false">IFERROR(INDEX('Output Utente'!$N$2:$N$492,MATCH(279,'Output Utente'!$R$2:$R$492,0)),"")</f>
        <v/>
      </c>
      <c r="G282" s="26" t="str">
        <f aca="false">IFERROR(INDEX('Output Utente'!$O$2:$O$492,MATCH(279,'Output Utente'!$R$2:$R$492,0)),"")</f>
        <v/>
      </c>
      <c r="H282" s="26" t="str">
        <f aca="false">IFERROR(INDEX('Output Utente'!$P$2:$P$492,MATCH(279,'Output Utente'!$R$2:$R$492,0)),"")</f>
        <v/>
      </c>
      <c r="I282" s="27" t="str">
        <f aca="false">IFERROR(INDEX('Output Utente'!$F$2:$F$492,MATCH(279,'Output Utente'!$R$2:$R$492,0)),"")</f>
        <v/>
      </c>
      <c r="J282" s="27" t="str">
        <f aca="false">IFERROR(INDEX('Output Utente'!$G$2:$G$492,MATCH(279,'Output Utente'!$R$2:$R$492,0)),"")</f>
        <v/>
      </c>
      <c r="K282" s="27" t="str">
        <f aca="false">IFERROR(INDEX('Output Utente'!$H$2:$H$492,MATCH(279,'Output Utente'!$R$2:$R$492,0)),"")</f>
        <v/>
      </c>
      <c r="L282" s="26" t="str">
        <f aca="false">IFERROR(INDEX('Output Utente'!$E$2:$E$492,MATCH(279,'Output Utente'!$R$2:$R$492,0)),"")</f>
        <v/>
      </c>
    </row>
    <row r="283" customFormat="false" ht="15" hidden="false" customHeight="true" outlineLevel="0" collapsed="false">
      <c r="A283" s="29" t="n">
        <v>280</v>
      </c>
      <c r="B283" s="26" t="str">
        <f aca="false">IFERROR(INDEX('Output Utente'!$A$2:$A$492,MATCH(280,'Output Utente'!$R$2:$R$492,0)),"")</f>
        <v/>
      </c>
      <c r="C283" s="26" t="str">
        <f aca="false">IFERROR(INDEX('Output Utente'!$B$2:$B$492,MATCH(280,'Output Utente'!$R$2:$R$492,0)),"")</f>
        <v/>
      </c>
      <c r="D283" s="26" t="str">
        <f aca="false">IFERROR(INDEX('Output Utente'!$C$2:$C$492,MATCH(280,'Output Utente'!$R$2:$R$492,0)),"")</f>
        <v/>
      </c>
      <c r="E283" s="26" t="str">
        <f aca="false">IFERROR(INDEX('Input Giocatori 2026_27'!$D$3:$D$493,MATCH($B283,'Input Giocatori 2026_27'!$A$3:$A$493,0)),"")</f>
        <v/>
      </c>
      <c r="F283" s="27" t="str">
        <f aca="false">IFERROR(INDEX('Output Utente'!$N$2:$N$492,MATCH(280,'Output Utente'!$R$2:$R$492,0)),"")</f>
        <v/>
      </c>
      <c r="G283" s="26" t="str">
        <f aca="false">IFERROR(INDEX('Output Utente'!$O$2:$O$492,MATCH(280,'Output Utente'!$R$2:$R$492,0)),"")</f>
        <v/>
      </c>
      <c r="H283" s="26" t="str">
        <f aca="false">IFERROR(INDEX('Output Utente'!$P$2:$P$492,MATCH(280,'Output Utente'!$R$2:$R$492,0)),"")</f>
        <v/>
      </c>
      <c r="I283" s="27" t="str">
        <f aca="false">IFERROR(INDEX('Output Utente'!$F$2:$F$492,MATCH(280,'Output Utente'!$R$2:$R$492,0)),"")</f>
        <v/>
      </c>
      <c r="J283" s="27" t="str">
        <f aca="false">IFERROR(INDEX('Output Utente'!$G$2:$G$492,MATCH(280,'Output Utente'!$R$2:$R$492,0)),"")</f>
        <v/>
      </c>
      <c r="K283" s="27" t="str">
        <f aca="false">IFERROR(INDEX('Output Utente'!$H$2:$H$492,MATCH(280,'Output Utente'!$R$2:$R$492,0)),"")</f>
        <v/>
      </c>
      <c r="L283" s="26" t="str">
        <f aca="false">IFERROR(INDEX('Output Utente'!$E$2:$E$492,MATCH(280,'Output Utente'!$R$2:$R$492,0)),"")</f>
        <v/>
      </c>
    </row>
    <row r="284" customFormat="false" ht="15" hidden="false" customHeight="true" outlineLevel="0" collapsed="false">
      <c r="A284" s="29" t="n">
        <v>281</v>
      </c>
      <c r="B284" s="26" t="str">
        <f aca="false">IFERROR(INDEX('Output Utente'!$A$2:$A$492,MATCH(281,'Output Utente'!$R$2:$R$492,0)),"")</f>
        <v/>
      </c>
      <c r="C284" s="26" t="str">
        <f aca="false">IFERROR(INDEX('Output Utente'!$B$2:$B$492,MATCH(281,'Output Utente'!$R$2:$R$492,0)),"")</f>
        <v/>
      </c>
      <c r="D284" s="26" t="str">
        <f aca="false">IFERROR(INDEX('Output Utente'!$C$2:$C$492,MATCH(281,'Output Utente'!$R$2:$R$492,0)),"")</f>
        <v/>
      </c>
      <c r="E284" s="26" t="str">
        <f aca="false">IFERROR(INDEX('Input Giocatori 2026_27'!$D$3:$D$493,MATCH($B284,'Input Giocatori 2026_27'!$A$3:$A$493,0)),"")</f>
        <v/>
      </c>
      <c r="F284" s="27" t="str">
        <f aca="false">IFERROR(INDEX('Output Utente'!$N$2:$N$492,MATCH(281,'Output Utente'!$R$2:$R$492,0)),"")</f>
        <v/>
      </c>
      <c r="G284" s="26" t="str">
        <f aca="false">IFERROR(INDEX('Output Utente'!$O$2:$O$492,MATCH(281,'Output Utente'!$R$2:$R$492,0)),"")</f>
        <v/>
      </c>
      <c r="H284" s="26" t="str">
        <f aca="false">IFERROR(INDEX('Output Utente'!$P$2:$P$492,MATCH(281,'Output Utente'!$R$2:$R$492,0)),"")</f>
        <v/>
      </c>
      <c r="I284" s="27" t="str">
        <f aca="false">IFERROR(INDEX('Output Utente'!$F$2:$F$492,MATCH(281,'Output Utente'!$R$2:$R$492,0)),"")</f>
        <v/>
      </c>
      <c r="J284" s="27" t="str">
        <f aca="false">IFERROR(INDEX('Output Utente'!$G$2:$G$492,MATCH(281,'Output Utente'!$R$2:$R$492,0)),"")</f>
        <v/>
      </c>
      <c r="K284" s="27" t="str">
        <f aca="false">IFERROR(INDEX('Output Utente'!$H$2:$H$492,MATCH(281,'Output Utente'!$R$2:$R$492,0)),"")</f>
        <v/>
      </c>
      <c r="L284" s="26" t="str">
        <f aca="false">IFERROR(INDEX('Output Utente'!$E$2:$E$492,MATCH(281,'Output Utente'!$R$2:$R$492,0)),"")</f>
        <v/>
      </c>
    </row>
    <row r="285" customFormat="false" ht="15" hidden="false" customHeight="true" outlineLevel="0" collapsed="false">
      <c r="A285" s="29" t="n">
        <v>282</v>
      </c>
      <c r="B285" s="26" t="str">
        <f aca="false">IFERROR(INDEX('Output Utente'!$A$2:$A$492,MATCH(282,'Output Utente'!$R$2:$R$492,0)),"")</f>
        <v/>
      </c>
      <c r="C285" s="26" t="str">
        <f aca="false">IFERROR(INDEX('Output Utente'!$B$2:$B$492,MATCH(282,'Output Utente'!$R$2:$R$492,0)),"")</f>
        <v/>
      </c>
      <c r="D285" s="26" t="str">
        <f aca="false">IFERROR(INDEX('Output Utente'!$C$2:$C$492,MATCH(282,'Output Utente'!$R$2:$R$492,0)),"")</f>
        <v/>
      </c>
      <c r="E285" s="26" t="str">
        <f aca="false">IFERROR(INDEX('Input Giocatori 2026_27'!$D$3:$D$493,MATCH($B285,'Input Giocatori 2026_27'!$A$3:$A$493,0)),"")</f>
        <v/>
      </c>
      <c r="F285" s="27" t="str">
        <f aca="false">IFERROR(INDEX('Output Utente'!$N$2:$N$492,MATCH(282,'Output Utente'!$R$2:$R$492,0)),"")</f>
        <v/>
      </c>
      <c r="G285" s="26" t="str">
        <f aca="false">IFERROR(INDEX('Output Utente'!$O$2:$O$492,MATCH(282,'Output Utente'!$R$2:$R$492,0)),"")</f>
        <v/>
      </c>
      <c r="H285" s="26" t="str">
        <f aca="false">IFERROR(INDEX('Output Utente'!$P$2:$P$492,MATCH(282,'Output Utente'!$R$2:$R$492,0)),"")</f>
        <v/>
      </c>
      <c r="I285" s="27" t="str">
        <f aca="false">IFERROR(INDEX('Output Utente'!$F$2:$F$492,MATCH(282,'Output Utente'!$R$2:$R$492,0)),"")</f>
        <v/>
      </c>
      <c r="J285" s="27" t="str">
        <f aca="false">IFERROR(INDEX('Output Utente'!$G$2:$G$492,MATCH(282,'Output Utente'!$R$2:$R$492,0)),"")</f>
        <v/>
      </c>
      <c r="K285" s="27" t="str">
        <f aca="false">IFERROR(INDEX('Output Utente'!$H$2:$H$492,MATCH(282,'Output Utente'!$R$2:$R$492,0)),"")</f>
        <v/>
      </c>
      <c r="L285" s="26" t="str">
        <f aca="false">IFERROR(INDEX('Output Utente'!$E$2:$E$492,MATCH(282,'Output Utente'!$R$2:$R$492,0)),"")</f>
        <v/>
      </c>
    </row>
    <row r="286" customFormat="false" ht="15" hidden="false" customHeight="true" outlineLevel="0" collapsed="false">
      <c r="A286" s="29" t="n">
        <v>283</v>
      </c>
      <c r="B286" s="26" t="str">
        <f aca="false">IFERROR(INDEX('Output Utente'!$A$2:$A$492,MATCH(283,'Output Utente'!$R$2:$R$492,0)),"")</f>
        <v/>
      </c>
      <c r="C286" s="26" t="str">
        <f aca="false">IFERROR(INDEX('Output Utente'!$B$2:$B$492,MATCH(283,'Output Utente'!$R$2:$R$492,0)),"")</f>
        <v/>
      </c>
      <c r="D286" s="26" t="str">
        <f aca="false">IFERROR(INDEX('Output Utente'!$C$2:$C$492,MATCH(283,'Output Utente'!$R$2:$R$492,0)),"")</f>
        <v/>
      </c>
      <c r="E286" s="26" t="str">
        <f aca="false">IFERROR(INDEX('Input Giocatori 2026_27'!$D$3:$D$493,MATCH($B286,'Input Giocatori 2026_27'!$A$3:$A$493,0)),"")</f>
        <v/>
      </c>
      <c r="F286" s="27" t="str">
        <f aca="false">IFERROR(INDEX('Output Utente'!$N$2:$N$492,MATCH(283,'Output Utente'!$R$2:$R$492,0)),"")</f>
        <v/>
      </c>
      <c r="G286" s="26" t="str">
        <f aca="false">IFERROR(INDEX('Output Utente'!$O$2:$O$492,MATCH(283,'Output Utente'!$R$2:$R$492,0)),"")</f>
        <v/>
      </c>
      <c r="H286" s="26" t="str">
        <f aca="false">IFERROR(INDEX('Output Utente'!$P$2:$P$492,MATCH(283,'Output Utente'!$R$2:$R$492,0)),"")</f>
        <v/>
      </c>
      <c r="I286" s="27" t="str">
        <f aca="false">IFERROR(INDEX('Output Utente'!$F$2:$F$492,MATCH(283,'Output Utente'!$R$2:$R$492,0)),"")</f>
        <v/>
      </c>
      <c r="J286" s="27" t="str">
        <f aca="false">IFERROR(INDEX('Output Utente'!$G$2:$G$492,MATCH(283,'Output Utente'!$R$2:$R$492,0)),"")</f>
        <v/>
      </c>
      <c r="K286" s="27" t="str">
        <f aca="false">IFERROR(INDEX('Output Utente'!$H$2:$H$492,MATCH(283,'Output Utente'!$R$2:$R$492,0)),"")</f>
        <v/>
      </c>
      <c r="L286" s="26" t="str">
        <f aca="false">IFERROR(INDEX('Output Utente'!$E$2:$E$492,MATCH(283,'Output Utente'!$R$2:$R$492,0)),"")</f>
        <v/>
      </c>
    </row>
    <row r="287" customFormat="false" ht="15" hidden="false" customHeight="true" outlineLevel="0" collapsed="false">
      <c r="A287" s="29" t="n">
        <v>284</v>
      </c>
      <c r="B287" s="26" t="str">
        <f aca="false">IFERROR(INDEX('Output Utente'!$A$2:$A$492,MATCH(284,'Output Utente'!$R$2:$R$492,0)),"")</f>
        <v/>
      </c>
      <c r="C287" s="26" t="str">
        <f aca="false">IFERROR(INDEX('Output Utente'!$B$2:$B$492,MATCH(284,'Output Utente'!$R$2:$R$492,0)),"")</f>
        <v/>
      </c>
      <c r="D287" s="26" t="str">
        <f aca="false">IFERROR(INDEX('Output Utente'!$C$2:$C$492,MATCH(284,'Output Utente'!$R$2:$R$492,0)),"")</f>
        <v/>
      </c>
      <c r="E287" s="26" t="str">
        <f aca="false">IFERROR(INDEX('Input Giocatori 2026_27'!$D$3:$D$493,MATCH($B287,'Input Giocatori 2026_27'!$A$3:$A$493,0)),"")</f>
        <v/>
      </c>
      <c r="F287" s="27" t="str">
        <f aca="false">IFERROR(INDEX('Output Utente'!$N$2:$N$492,MATCH(284,'Output Utente'!$R$2:$R$492,0)),"")</f>
        <v/>
      </c>
      <c r="G287" s="26" t="str">
        <f aca="false">IFERROR(INDEX('Output Utente'!$O$2:$O$492,MATCH(284,'Output Utente'!$R$2:$R$492,0)),"")</f>
        <v/>
      </c>
      <c r="H287" s="26" t="str">
        <f aca="false">IFERROR(INDEX('Output Utente'!$P$2:$P$492,MATCH(284,'Output Utente'!$R$2:$R$492,0)),"")</f>
        <v/>
      </c>
      <c r="I287" s="27" t="str">
        <f aca="false">IFERROR(INDEX('Output Utente'!$F$2:$F$492,MATCH(284,'Output Utente'!$R$2:$R$492,0)),"")</f>
        <v/>
      </c>
      <c r="J287" s="27" t="str">
        <f aca="false">IFERROR(INDEX('Output Utente'!$G$2:$G$492,MATCH(284,'Output Utente'!$R$2:$R$492,0)),"")</f>
        <v/>
      </c>
      <c r="K287" s="27" t="str">
        <f aca="false">IFERROR(INDEX('Output Utente'!$H$2:$H$492,MATCH(284,'Output Utente'!$R$2:$R$492,0)),"")</f>
        <v/>
      </c>
      <c r="L287" s="26" t="str">
        <f aca="false">IFERROR(INDEX('Output Utente'!$E$2:$E$492,MATCH(284,'Output Utente'!$R$2:$R$492,0)),"")</f>
        <v/>
      </c>
    </row>
    <row r="288" customFormat="false" ht="15" hidden="false" customHeight="true" outlineLevel="0" collapsed="false">
      <c r="A288" s="29" t="n">
        <v>285</v>
      </c>
      <c r="B288" s="26" t="str">
        <f aca="false">IFERROR(INDEX('Output Utente'!$A$2:$A$492,MATCH(285,'Output Utente'!$R$2:$R$492,0)),"")</f>
        <v/>
      </c>
      <c r="C288" s="26" t="str">
        <f aca="false">IFERROR(INDEX('Output Utente'!$B$2:$B$492,MATCH(285,'Output Utente'!$R$2:$R$492,0)),"")</f>
        <v/>
      </c>
      <c r="D288" s="26" t="str">
        <f aca="false">IFERROR(INDEX('Output Utente'!$C$2:$C$492,MATCH(285,'Output Utente'!$R$2:$R$492,0)),"")</f>
        <v/>
      </c>
      <c r="E288" s="26" t="str">
        <f aca="false">IFERROR(INDEX('Input Giocatori 2026_27'!$D$3:$D$493,MATCH($B288,'Input Giocatori 2026_27'!$A$3:$A$493,0)),"")</f>
        <v/>
      </c>
      <c r="F288" s="27" t="str">
        <f aca="false">IFERROR(INDEX('Output Utente'!$N$2:$N$492,MATCH(285,'Output Utente'!$R$2:$R$492,0)),"")</f>
        <v/>
      </c>
      <c r="G288" s="26" t="str">
        <f aca="false">IFERROR(INDEX('Output Utente'!$O$2:$O$492,MATCH(285,'Output Utente'!$R$2:$R$492,0)),"")</f>
        <v/>
      </c>
      <c r="H288" s="26" t="str">
        <f aca="false">IFERROR(INDEX('Output Utente'!$P$2:$P$492,MATCH(285,'Output Utente'!$R$2:$R$492,0)),"")</f>
        <v/>
      </c>
      <c r="I288" s="27" t="str">
        <f aca="false">IFERROR(INDEX('Output Utente'!$F$2:$F$492,MATCH(285,'Output Utente'!$R$2:$R$492,0)),"")</f>
        <v/>
      </c>
      <c r="J288" s="27" t="str">
        <f aca="false">IFERROR(INDEX('Output Utente'!$G$2:$G$492,MATCH(285,'Output Utente'!$R$2:$R$492,0)),"")</f>
        <v/>
      </c>
      <c r="K288" s="27" t="str">
        <f aca="false">IFERROR(INDEX('Output Utente'!$H$2:$H$492,MATCH(285,'Output Utente'!$R$2:$R$492,0)),"")</f>
        <v/>
      </c>
      <c r="L288" s="26" t="str">
        <f aca="false">IFERROR(INDEX('Output Utente'!$E$2:$E$492,MATCH(285,'Output Utente'!$R$2:$R$492,0)),"")</f>
        <v/>
      </c>
    </row>
    <row r="289" customFormat="false" ht="15" hidden="false" customHeight="true" outlineLevel="0" collapsed="false">
      <c r="A289" s="29" t="n">
        <v>286</v>
      </c>
      <c r="B289" s="26" t="str">
        <f aca="false">IFERROR(INDEX('Output Utente'!$A$2:$A$492,MATCH(286,'Output Utente'!$R$2:$R$492,0)),"")</f>
        <v/>
      </c>
      <c r="C289" s="26" t="str">
        <f aca="false">IFERROR(INDEX('Output Utente'!$B$2:$B$492,MATCH(286,'Output Utente'!$R$2:$R$492,0)),"")</f>
        <v/>
      </c>
      <c r="D289" s="26" t="str">
        <f aca="false">IFERROR(INDEX('Output Utente'!$C$2:$C$492,MATCH(286,'Output Utente'!$R$2:$R$492,0)),"")</f>
        <v/>
      </c>
      <c r="E289" s="26" t="str">
        <f aca="false">IFERROR(INDEX('Input Giocatori 2026_27'!$D$3:$D$493,MATCH($B289,'Input Giocatori 2026_27'!$A$3:$A$493,0)),"")</f>
        <v/>
      </c>
      <c r="F289" s="27" t="str">
        <f aca="false">IFERROR(INDEX('Output Utente'!$N$2:$N$492,MATCH(286,'Output Utente'!$R$2:$R$492,0)),"")</f>
        <v/>
      </c>
      <c r="G289" s="26" t="str">
        <f aca="false">IFERROR(INDEX('Output Utente'!$O$2:$O$492,MATCH(286,'Output Utente'!$R$2:$R$492,0)),"")</f>
        <v/>
      </c>
      <c r="H289" s="26" t="str">
        <f aca="false">IFERROR(INDEX('Output Utente'!$P$2:$P$492,MATCH(286,'Output Utente'!$R$2:$R$492,0)),"")</f>
        <v/>
      </c>
      <c r="I289" s="27" t="str">
        <f aca="false">IFERROR(INDEX('Output Utente'!$F$2:$F$492,MATCH(286,'Output Utente'!$R$2:$R$492,0)),"")</f>
        <v/>
      </c>
      <c r="J289" s="27" t="str">
        <f aca="false">IFERROR(INDEX('Output Utente'!$G$2:$G$492,MATCH(286,'Output Utente'!$R$2:$R$492,0)),"")</f>
        <v/>
      </c>
      <c r="K289" s="27" t="str">
        <f aca="false">IFERROR(INDEX('Output Utente'!$H$2:$H$492,MATCH(286,'Output Utente'!$R$2:$R$492,0)),"")</f>
        <v/>
      </c>
      <c r="L289" s="26" t="str">
        <f aca="false">IFERROR(INDEX('Output Utente'!$E$2:$E$492,MATCH(286,'Output Utente'!$R$2:$R$492,0)),"")</f>
        <v/>
      </c>
    </row>
    <row r="290" customFormat="false" ht="15" hidden="false" customHeight="true" outlineLevel="0" collapsed="false">
      <c r="A290" s="29" t="n">
        <v>287</v>
      </c>
      <c r="B290" s="26" t="str">
        <f aca="false">IFERROR(INDEX('Output Utente'!$A$2:$A$492,MATCH(287,'Output Utente'!$R$2:$R$492,0)),"")</f>
        <v/>
      </c>
      <c r="C290" s="26" t="str">
        <f aca="false">IFERROR(INDEX('Output Utente'!$B$2:$B$492,MATCH(287,'Output Utente'!$R$2:$R$492,0)),"")</f>
        <v/>
      </c>
      <c r="D290" s="26" t="str">
        <f aca="false">IFERROR(INDEX('Output Utente'!$C$2:$C$492,MATCH(287,'Output Utente'!$R$2:$R$492,0)),"")</f>
        <v/>
      </c>
      <c r="E290" s="26" t="str">
        <f aca="false">IFERROR(INDEX('Input Giocatori 2026_27'!$D$3:$D$493,MATCH($B290,'Input Giocatori 2026_27'!$A$3:$A$493,0)),"")</f>
        <v/>
      </c>
      <c r="F290" s="27" t="str">
        <f aca="false">IFERROR(INDEX('Output Utente'!$N$2:$N$492,MATCH(287,'Output Utente'!$R$2:$R$492,0)),"")</f>
        <v/>
      </c>
      <c r="G290" s="26" t="str">
        <f aca="false">IFERROR(INDEX('Output Utente'!$O$2:$O$492,MATCH(287,'Output Utente'!$R$2:$R$492,0)),"")</f>
        <v/>
      </c>
      <c r="H290" s="26" t="str">
        <f aca="false">IFERROR(INDEX('Output Utente'!$P$2:$P$492,MATCH(287,'Output Utente'!$R$2:$R$492,0)),"")</f>
        <v/>
      </c>
      <c r="I290" s="27" t="str">
        <f aca="false">IFERROR(INDEX('Output Utente'!$F$2:$F$492,MATCH(287,'Output Utente'!$R$2:$R$492,0)),"")</f>
        <v/>
      </c>
      <c r="J290" s="27" t="str">
        <f aca="false">IFERROR(INDEX('Output Utente'!$G$2:$G$492,MATCH(287,'Output Utente'!$R$2:$R$492,0)),"")</f>
        <v/>
      </c>
      <c r="K290" s="27" t="str">
        <f aca="false">IFERROR(INDEX('Output Utente'!$H$2:$H$492,MATCH(287,'Output Utente'!$R$2:$R$492,0)),"")</f>
        <v/>
      </c>
      <c r="L290" s="26" t="str">
        <f aca="false">IFERROR(INDEX('Output Utente'!$E$2:$E$492,MATCH(287,'Output Utente'!$R$2:$R$492,0)),"")</f>
        <v/>
      </c>
    </row>
    <row r="291" customFormat="false" ht="15" hidden="false" customHeight="true" outlineLevel="0" collapsed="false">
      <c r="A291" s="29" t="n">
        <v>288</v>
      </c>
      <c r="B291" s="26" t="str">
        <f aca="false">IFERROR(INDEX('Output Utente'!$A$2:$A$492,MATCH(288,'Output Utente'!$R$2:$R$492,0)),"")</f>
        <v/>
      </c>
      <c r="C291" s="26" t="str">
        <f aca="false">IFERROR(INDEX('Output Utente'!$B$2:$B$492,MATCH(288,'Output Utente'!$R$2:$R$492,0)),"")</f>
        <v/>
      </c>
      <c r="D291" s="26" t="str">
        <f aca="false">IFERROR(INDEX('Output Utente'!$C$2:$C$492,MATCH(288,'Output Utente'!$R$2:$R$492,0)),"")</f>
        <v/>
      </c>
      <c r="E291" s="26" t="str">
        <f aca="false">IFERROR(INDEX('Input Giocatori 2026_27'!$D$3:$D$493,MATCH($B291,'Input Giocatori 2026_27'!$A$3:$A$493,0)),"")</f>
        <v/>
      </c>
      <c r="F291" s="27" t="str">
        <f aca="false">IFERROR(INDEX('Output Utente'!$N$2:$N$492,MATCH(288,'Output Utente'!$R$2:$R$492,0)),"")</f>
        <v/>
      </c>
      <c r="G291" s="26" t="str">
        <f aca="false">IFERROR(INDEX('Output Utente'!$O$2:$O$492,MATCH(288,'Output Utente'!$R$2:$R$492,0)),"")</f>
        <v/>
      </c>
      <c r="H291" s="26" t="str">
        <f aca="false">IFERROR(INDEX('Output Utente'!$P$2:$P$492,MATCH(288,'Output Utente'!$R$2:$R$492,0)),"")</f>
        <v/>
      </c>
      <c r="I291" s="27" t="str">
        <f aca="false">IFERROR(INDEX('Output Utente'!$F$2:$F$492,MATCH(288,'Output Utente'!$R$2:$R$492,0)),"")</f>
        <v/>
      </c>
      <c r="J291" s="27" t="str">
        <f aca="false">IFERROR(INDEX('Output Utente'!$G$2:$G$492,MATCH(288,'Output Utente'!$R$2:$R$492,0)),"")</f>
        <v/>
      </c>
      <c r="K291" s="27" t="str">
        <f aca="false">IFERROR(INDEX('Output Utente'!$H$2:$H$492,MATCH(288,'Output Utente'!$R$2:$R$492,0)),"")</f>
        <v/>
      </c>
      <c r="L291" s="26" t="str">
        <f aca="false">IFERROR(INDEX('Output Utente'!$E$2:$E$492,MATCH(288,'Output Utente'!$R$2:$R$492,0)),"")</f>
        <v/>
      </c>
    </row>
    <row r="292" customFormat="false" ht="15" hidden="false" customHeight="true" outlineLevel="0" collapsed="false">
      <c r="A292" s="29" t="n">
        <v>289</v>
      </c>
      <c r="B292" s="26" t="str">
        <f aca="false">IFERROR(INDEX('Output Utente'!$A$2:$A$492,MATCH(289,'Output Utente'!$R$2:$R$492,0)),"")</f>
        <v/>
      </c>
      <c r="C292" s="26" t="str">
        <f aca="false">IFERROR(INDEX('Output Utente'!$B$2:$B$492,MATCH(289,'Output Utente'!$R$2:$R$492,0)),"")</f>
        <v/>
      </c>
      <c r="D292" s="26" t="str">
        <f aca="false">IFERROR(INDEX('Output Utente'!$C$2:$C$492,MATCH(289,'Output Utente'!$R$2:$R$492,0)),"")</f>
        <v/>
      </c>
      <c r="E292" s="26" t="str">
        <f aca="false">IFERROR(INDEX('Input Giocatori 2026_27'!$D$3:$D$493,MATCH($B292,'Input Giocatori 2026_27'!$A$3:$A$493,0)),"")</f>
        <v/>
      </c>
      <c r="F292" s="27" t="str">
        <f aca="false">IFERROR(INDEX('Output Utente'!$N$2:$N$492,MATCH(289,'Output Utente'!$R$2:$R$492,0)),"")</f>
        <v/>
      </c>
      <c r="G292" s="26" t="str">
        <f aca="false">IFERROR(INDEX('Output Utente'!$O$2:$O$492,MATCH(289,'Output Utente'!$R$2:$R$492,0)),"")</f>
        <v/>
      </c>
      <c r="H292" s="26" t="str">
        <f aca="false">IFERROR(INDEX('Output Utente'!$P$2:$P$492,MATCH(289,'Output Utente'!$R$2:$R$492,0)),"")</f>
        <v/>
      </c>
      <c r="I292" s="27" t="str">
        <f aca="false">IFERROR(INDEX('Output Utente'!$F$2:$F$492,MATCH(289,'Output Utente'!$R$2:$R$492,0)),"")</f>
        <v/>
      </c>
      <c r="J292" s="27" t="str">
        <f aca="false">IFERROR(INDEX('Output Utente'!$G$2:$G$492,MATCH(289,'Output Utente'!$R$2:$R$492,0)),"")</f>
        <v/>
      </c>
      <c r="K292" s="27" t="str">
        <f aca="false">IFERROR(INDEX('Output Utente'!$H$2:$H$492,MATCH(289,'Output Utente'!$R$2:$R$492,0)),"")</f>
        <v/>
      </c>
      <c r="L292" s="26" t="str">
        <f aca="false">IFERROR(INDEX('Output Utente'!$E$2:$E$492,MATCH(289,'Output Utente'!$R$2:$R$492,0)),"")</f>
        <v/>
      </c>
    </row>
    <row r="293" customFormat="false" ht="15" hidden="false" customHeight="true" outlineLevel="0" collapsed="false">
      <c r="A293" s="29" t="n">
        <v>290</v>
      </c>
      <c r="B293" s="26" t="str">
        <f aca="false">IFERROR(INDEX('Output Utente'!$A$2:$A$492,MATCH(290,'Output Utente'!$R$2:$R$492,0)),"")</f>
        <v/>
      </c>
      <c r="C293" s="26" t="str">
        <f aca="false">IFERROR(INDEX('Output Utente'!$B$2:$B$492,MATCH(290,'Output Utente'!$R$2:$R$492,0)),"")</f>
        <v/>
      </c>
      <c r="D293" s="26" t="str">
        <f aca="false">IFERROR(INDEX('Output Utente'!$C$2:$C$492,MATCH(290,'Output Utente'!$R$2:$R$492,0)),"")</f>
        <v/>
      </c>
      <c r="E293" s="26" t="str">
        <f aca="false">IFERROR(INDEX('Input Giocatori 2026_27'!$D$3:$D$493,MATCH($B293,'Input Giocatori 2026_27'!$A$3:$A$493,0)),"")</f>
        <v/>
      </c>
      <c r="F293" s="27" t="str">
        <f aca="false">IFERROR(INDEX('Output Utente'!$N$2:$N$492,MATCH(290,'Output Utente'!$R$2:$R$492,0)),"")</f>
        <v/>
      </c>
      <c r="G293" s="26" t="str">
        <f aca="false">IFERROR(INDEX('Output Utente'!$O$2:$O$492,MATCH(290,'Output Utente'!$R$2:$R$492,0)),"")</f>
        <v/>
      </c>
      <c r="H293" s="26" t="str">
        <f aca="false">IFERROR(INDEX('Output Utente'!$P$2:$P$492,MATCH(290,'Output Utente'!$R$2:$R$492,0)),"")</f>
        <v/>
      </c>
      <c r="I293" s="27" t="str">
        <f aca="false">IFERROR(INDEX('Output Utente'!$F$2:$F$492,MATCH(290,'Output Utente'!$R$2:$R$492,0)),"")</f>
        <v/>
      </c>
      <c r="J293" s="27" t="str">
        <f aca="false">IFERROR(INDEX('Output Utente'!$G$2:$G$492,MATCH(290,'Output Utente'!$R$2:$R$492,0)),"")</f>
        <v/>
      </c>
      <c r="K293" s="27" t="str">
        <f aca="false">IFERROR(INDEX('Output Utente'!$H$2:$H$492,MATCH(290,'Output Utente'!$R$2:$R$492,0)),"")</f>
        <v/>
      </c>
      <c r="L293" s="26" t="str">
        <f aca="false">IFERROR(INDEX('Output Utente'!$E$2:$E$492,MATCH(290,'Output Utente'!$R$2:$R$492,0)),"")</f>
        <v/>
      </c>
    </row>
    <row r="294" customFormat="false" ht="15" hidden="false" customHeight="true" outlineLevel="0" collapsed="false">
      <c r="A294" s="29" t="n">
        <v>291</v>
      </c>
      <c r="B294" s="26" t="str">
        <f aca="false">IFERROR(INDEX('Output Utente'!$A$2:$A$492,MATCH(291,'Output Utente'!$R$2:$R$492,0)),"")</f>
        <v/>
      </c>
      <c r="C294" s="26" t="str">
        <f aca="false">IFERROR(INDEX('Output Utente'!$B$2:$B$492,MATCH(291,'Output Utente'!$R$2:$R$492,0)),"")</f>
        <v/>
      </c>
      <c r="D294" s="26" t="str">
        <f aca="false">IFERROR(INDEX('Output Utente'!$C$2:$C$492,MATCH(291,'Output Utente'!$R$2:$R$492,0)),"")</f>
        <v/>
      </c>
      <c r="E294" s="26" t="str">
        <f aca="false">IFERROR(INDEX('Input Giocatori 2026_27'!$D$3:$D$493,MATCH($B294,'Input Giocatori 2026_27'!$A$3:$A$493,0)),"")</f>
        <v/>
      </c>
      <c r="F294" s="27" t="str">
        <f aca="false">IFERROR(INDEX('Output Utente'!$N$2:$N$492,MATCH(291,'Output Utente'!$R$2:$R$492,0)),"")</f>
        <v/>
      </c>
      <c r="G294" s="26" t="str">
        <f aca="false">IFERROR(INDEX('Output Utente'!$O$2:$O$492,MATCH(291,'Output Utente'!$R$2:$R$492,0)),"")</f>
        <v/>
      </c>
      <c r="H294" s="26" t="str">
        <f aca="false">IFERROR(INDEX('Output Utente'!$P$2:$P$492,MATCH(291,'Output Utente'!$R$2:$R$492,0)),"")</f>
        <v/>
      </c>
      <c r="I294" s="27" t="str">
        <f aca="false">IFERROR(INDEX('Output Utente'!$F$2:$F$492,MATCH(291,'Output Utente'!$R$2:$R$492,0)),"")</f>
        <v/>
      </c>
      <c r="J294" s="27" t="str">
        <f aca="false">IFERROR(INDEX('Output Utente'!$G$2:$G$492,MATCH(291,'Output Utente'!$R$2:$R$492,0)),"")</f>
        <v/>
      </c>
      <c r="K294" s="27" t="str">
        <f aca="false">IFERROR(INDEX('Output Utente'!$H$2:$H$492,MATCH(291,'Output Utente'!$R$2:$R$492,0)),"")</f>
        <v/>
      </c>
      <c r="L294" s="26" t="str">
        <f aca="false">IFERROR(INDEX('Output Utente'!$E$2:$E$492,MATCH(291,'Output Utente'!$R$2:$R$492,0)),"")</f>
        <v/>
      </c>
    </row>
    <row r="295" customFormat="false" ht="15" hidden="false" customHeight="true" outlineLevel="0" collapsed="false">
      <c r="A295" s="29" t="n">
        <v>292</v>
      </c>
      <c r="B295" s="26" t="str">
        <f aca="false">IFERROR(INDEX('Output Utente'!$A$2:$A$492,MATCH(292,'Output Utente'!$R$2:$R$492,0)),"")</f>
        <v/>
      </c>
      <c r="C295" s="26" t="str">
        <f aca="false">IFERROR(INDEX('Output Utente'!$B$2:$B$492,MATCH(292,'Output Utente'!$R$2:$R$492,0)),"")</f>
        <v/>
      </c>
      <c r="D295" s="26" t="str">
        <f aca="false">IFERROR(INDEX('Output Utente'!$C$2:$C$492,MATCH(292,'Output Utente'!$R$2:$R$492,0)),"")</f>
        <v/>
      </c>
      <c r="E295" s="26" t="str">
        <f aca="false">IFERROR(INDEX('Input Giocatori 2026_27'!$D$3:$D$493,MATCH($B295,'Input Giocatori 2026_27'!$A$3:$A$493,0)),"")</f>
        <v/>
      </c>
      <c r="F295" s="27" t="str">
        <f aca="false">IFERROR(INDEX('Output Utente'!$N$2:$N$492,MATCH(292,'Output Utente'!$R$2:$R$492,0)),"")</f>
        <v/>
      </c>
      <c r="G295" s="26" t="str">
        <f aca="false">IFERROR(INDEX('Output Utente'!$O$2:$O$492,MATCH(292,'Output Utente'!$R$2:$R$492,0)),"")</f>
        <v/>
      </c>
      <c r="H295" s="26" t="str">
        <f aca="false">IFERROR(INDEX('Output Utente'!$P$2:$P$492,MATCH(292,'Output Utente'!$R$2:$R$492,0)),"")</f>
        <v/>
      </c>
      <c r="I295" s="27" t="str">
        <f aca="false">IFERROR(INDEX('Output Utente'!$F$2:$F$492,MATCH(292,'Output Utente'!$R$2:$R$492,0)),"")</f>
        <v/>
      </c>
      <c r="J295" s="27" t="str">
        <f aca="false">IFERROR(INDEX('Output Utente'!$G$2:$G$492,MATCH(292,'Output Utente'!$R$2:$R$492,0)),"")</f>
        <v/>
      </c>
      <c r="K295" s="27" t="str">
        <f aca="false">IFERROR(INDEX('Output Utente'!$H$2:$H$492,MATCH(292,'Output Utente'!$R$2:$R$492,0)),"")</f>
        <v/>
      </c>
      <c r="L295" s="26" t="str">
        <f aca="false">IFERROR(INDEX('Output Utente'!$E$2:$E$492,MATCH(292,'Output Utente'!$R$2:$R$492,0)),"")</f>
        <v/>
      </c>
    </row>
    <row r="296" customFormat="false" ht="15" hidden="false" customHeight="true" outlineLevel="0" collapsed="false">
      <c r="A296" s="29" t="n">
        <v>293</v>
      </c>
      <c r="B296" s="26" t="str">
        <f aca="false">IFERROR(INDEX('Output Utente'!$A$2:$A$492,MATCH(293,'Output Utente'!$R$2:$R$492,0)),"")</f>
        <v/>
      </c>
      <c r="C296" s="26" t="str">
        <f aca="false">IFERROR(INDEX('Output Utente'!$B$2:$B$492,MATCH(293,'Output Utente'!$R$2:$R$492,0)),"")</f>
        <v/>
      </c>
      <c r="D296" s="26" t="str">
        <f aca="false">IFERROR(INDEX('Output Utente'!$C$2:$C$492,MATCH(293,'Output Utente'!$R$2:$R$492,0)),"")</f>
        <v/>
      </c>
      <c r="E296" s="26" t="str">
        <f aca="false">IFERROR(INDEX('Input Giocatori 2026_27'!$D$3:$D$493,MATCH($B296,'Input Giocatori 2026_27'!$A$3:$A$493,0)),"")</f>
        <v/>
      </c>
      <c r="F296" s="27" t="str">
        <f aca="false">IFERROR(INDEX('Output Utente'!$N$2:$N$492,MATCH(293,'Output Utente'!$R$2:$R$492,0)),"")</f>
        <v/>
      </c>
      <c r="G296" s="26" t="str">
        <f aca="false">IFERROR(INDEX('Output Utente'!$O$2:$O$492,MATCH(293,'Output Utente'!$R$2:$R$492,0)),"")</f>
        <v/>
      </c>
      <c r="H296" s="26" t="str">
        <f aca="false">IFERROR(INDEX('Output Utente'!$P$2:$P$492,MATCH(293,'Output Utente'!$R$2:$R$492,0)),"")</f>
        <v/>
      </c>
      <c r="I296" s="27" t="str">
        <f aca="false">IFERROR(INDEX('Output Utente'!$F$2:$F$492,MATCH(293,'Output Utente'!$R$2:$R$492,0)),"")</f>
        <v/>
      </c>
      <c r="J296" s="27" t="str">
        <f aca="false">IFERROR(INDEX('Output Utente'!$G$2:$G$492,MATCH(293,'Output Utente'!$R$2:$R$492,0)),"")</f>
        <v/>
      </c>
      <c r="K296" s="27" t="str">
        <f aca="false">IFERROR(INDEX('Output Utente'!$H$2:$H$492,MATCH(293,'Output Utente'!$R$2:$R$492,0)),"")</f>
        <v/>
      </c>
      <c r="L296" s="26" t="str">
        <f aca="false">IFERROR(INDEX('Output Utente'!$E$2:$E$492,MATCH(293,'Output Utente'!$R$2:$R$492,0)),"")</f>
        <v/>
      </c>
    </row>
    <row r="297" customFormat="false" ht="15" hidden="false" customHeight="true" outlineLevel="0" collapsed="false">
      <c r="A297" s="29" t="n">
        <v>294</v>
      </c>
      <c r="B297" s="26" t="str">
        <f aca="false">IFERROR(INDEX('Output Utente'!$A$2:$A$492,MATCH(294,'Output Utente'!$R$2:$R$492,0)),"")</f>
        <v/>
      </c>
      <c r="C297" s="26" t="str">
        <f aca="false">IFERROR(INDEX('Output Utente'!$B$2:$B$492,MATCH(294,'Output Utente'!$R$2:$R$492,0)),"")</f>
        <v/>
      </c>
      <c r="D297" s="26" t="str">
        <f aca="false">IFERROR(INDEX('Output Utente'!$C$2:$C$492,MATCH(294,'Output Utente'!$R$2:$R$492,0)),"")</f>
        <v/>
      </c>
      <c r="E297" s="26" t="str">
        <f aca="false">IFERROR(INDEX('Input Giocatori 2026_27'!$D$3:$D$493,MATCH($B297,'Input Giocatori 2026_27'!$A$3:$A$493,0)),"")</f>
        <v/>
      </c>
      <c r="F297" s="27" t="str">
        <f aca="false">IFERROR(INDEX('Output Utente'!$N$2:$N$492,MATCH(294,'Output Utente'!$R$2:$R$492,0)),"")</f>
        <v/>
      </c>
      <c r="G297" s="26" t="str">
        <f aca="false">IFERROR(INDEX('Output Utente'!$O$2:$O$492,MATCH(294,'Output Utente'!$R$2:$R$492,0)),"")</f>
        <v/>
      </c>
      <c r="H297" s="26" t="str">
        <f aca="false">IFERROR(INDEX('Output Utente'!$P$2:$P$492,MATCH(294,'Output Utente'!$R$2:$R$492,0)),"")</f>
        <v/>
      </c>
      <c r="I297" s="27" t="str">
        <f aca="false">IFERROR(INDEX('Output Utente'!$F$2:$F$492,MATCH(294,'Output Utente'!$R$2:$R$492,0)),"")</f>
        <v/>
      </c>
      <c r="J297" s="27" t="str">
        <f aca="false">IFERROR(INDEX('Output Utente'!$G$2:$G$492,MATCH(294,'Output Utente'!$R$2:$R$492,0)),"")</f>
        <v/>
      </c>
      <c r="K297" s="27" t="str">
        <f aca="false">IFERROR(INDEX('Output Utente'!$H$2:$H$492,MATCH(294,'Output Utente'!$R$2:$R$492,0)),"")</f>
        <v/>
      </c>
      <c r="L297" s="26" t="str">
        <f aca="false">IFERROR(INDEX('Output Utente'!$E$2:$E$492,MATCH(294,'Output Utente'!$R$2:$R$492,0)),"")</f>
        <v/>
      </c>
    </row>
    <row r="298" customFormat="false" ht="15" hidden="false" customHeight="true" outlineLevel="0" collapsed="false">
      <c r="A298" s="29" t="n">
        <v>295</v>
      </c>
      <c r="B298" s="26" t="str">
        <f aca="false">IFERROR(INDEX('Output Utente'!$A$2:$A$492,MATCH(295,'Output Utente'!$R$2:$R$492,0)),"")</f>
        <v/>
      </c>
      <c r="C298" s="26" t="str">
        <f aca="false">IFERROR(INDEX('Output Utente'!$B$2:$B$492,MATCH(295,'Output Utente'!$R$2:$R$492,0)),"")</f>
        <v/>
      </c>
      <c r="D298" s="26" t="str">
        <f aca="false">IFERROR(INDEX('Output Utente'!$C$2:$C$492,MATCH(295,'Output Utente'!$R$2:$R$492,0)),"")</f>
        <v/>
      </c>
      <c r="E298" s="26" t="str">
        <f aca="false">IFERROR(INDEX('Input Giocatori 2026_27'!$D$3:$D$493,MATCH($B298,'Input Giocatori 2026_27'!$A$3:$A$493,0)),"")</f>
        <v/>
      </c>
      <c r="F298" s="27" t="str">
        <f aca="false">IFERROR(INDEX('Output Utente'!$N$2:$N$492,MATCH(295,'Output Utente'!$R$2:$R$492,0)),"")</f>
        <v/>
      </c>
      <c r="G298" s="26" t="str">
        <f aca="false">IFERROR(INDEX('Output Utente'!$O$2:$O$492,MATCH(295,'Output Utente'!$R$2:$R$492,0)),"")</f>
        <v/>
      </c>
      <c r="H298" s="26" t="str">
        <f aca="false">IFERROR(INDEX('Output Utente'!$P$2:$P$492,MATCH(295,'Output Utente'!$R$2:$R$492,0)),"")</f>
        <v/>
      </c>
      <c r="I298" s="27" t="str">
        <f aca="false">IFERROR(INDEX('Output Utente'!$F$2:$F$492,MATCH(295,'Output Utente'!$R$2:$R$492,0)),"")</f>
        <v/>
      </c>
      <c r="J298" s="27" t="str">
        <f aca="false">IFERROR(INDEX('Output Utente'!$G$2:$G$492,MATCH(295,'Output Utente'!$R$2:$R$492,0)),"")</f>
        <v/>
      </c>
      <c r="K298" s="27" t="str">
        <f aca="false">IFERROR(INDEX('Output Utente'!$H$2:$H$492,MATCH(295,'Output Utente'!$R$2:$R$492,0)),"")</f>
        <v/>
      </c>
      <c r="L298" s="26" t="str">
        <f aca="false">IFERROR(INDEX('Output Utente'!$E$2:$E$492,MATCH(295,'Output Utente'!$R$2:$R$492,0)),"")</f>
        <v/>
      </c>
    </row>
    <row r="299" customFormat="false" ht="15" hidden="false" customHeight="true" outlineLevel="0" collapsed="false">
      <c r="A299" s="29" t="n">
        <v>296</v>
      </c>
      <c r="B299" s="26" t="str">
        <f aca="false">IFERROR(INDEX('Output Utente'!$A$2:$A$492,MATCH(296,'Output Utente'!$R$2:$R$492,0)),"")</f>
        <v/>
      </c>
      <c r="C299" s="26" t="str">
        <f aca="false">IFERROR(INDEX('Output Utente'!$B$2:$B$492,MATCH(296,'Output Utente'!$R$2:$R$492,0)),"")</f>
        <v/>
      </c>
      <c r="D299" s="26" t="str">
        <f aca="false">IFERROR(INDEX('Output Utente'!$C$2:$C$492,MATCH(296,'Output Utente'!$R$2:$R$492,0)),"")</f>
        <v/>
      </c>
      <c r="E299" s="26" t="str">
        <f aca="false">IFERROR(INDEX('Input Giocatori 2026_27'!$D$3:$D$493,MATCH($B299,'Input Giocatori 2026_27'!$A$3:$A$493,0)),"")</f>
        <v/>
      </c>
      <c r="F299" s="27" t="str">
        <f aca="false">IFERROR(INDEX('Output Utente'!$N$2:$N$492,MATCH(296,'Output Utente'!$R$2:$R$492,0)),"")</f>
        <v/>
      </c>
      <c r="G299" s="26" t="str">
        <f aca="false">IFERROR(INDEX('Output Utente'!$O$2:$O$492,MATCH(296,'Output Utente'!$R$2:$R$492,0)),"")</f>
        <v/>
      </c>
      <c r="H299" s="26" t="str">
        <f aca="false">IFERROR(INDEX('Output Utente'!$P$2:$P$492,MATCH(296,'Output Utente'!$R$2:$R$492,0)),"")</f>
        <v/>
      </c>
      <c r="I299" s="27" t="str">
        <f aca="false">IFERROR(INDEX('Output Utente'!$F$2:$F$492,MATCH(296,'Output Utente'!$R$2:$R$492,0)),"")</f>
        <v/>
      </c>
      <c r="J299" s="27" t="str">
        <f aca="false">IFERROR(INDEX('Output Utente'!$G$2:$G$492,MATCH(296,'Output Utente'!$R$2:$R$492,0)),"")</f>
        <v/>
      </c>
      <c r="K299" s="27" t="str">
        <f aca="false">IFERROR(INDEX('Output Utente'!$H$2:$H$492,MATCH(296,'Output Utente'!$R$2:$R$492,0)),"")</f>
        <v/>
      </c>
      <c r="L299" s="26" t="str">
        <f aca="false">IFERROR(INDEX('Output Utente'!$E$2:$E$492,MATCH(296,'Output Utente'!$R$2:$R$492,0)),"")</f>
        <v/>
      </c>
    </row>
    <row r="300" customFormat="false" ht="15" hidden="false" customHeight="true" outlineLevel="0" collapsed="false">
      <c r="A300" s="29" t="n">
        <v>297</v>
      </c>
      <c r="B300" s="26" t="str">
        <f aca="false">IFERROR(INDEX('Output Utente'!$A$2:$A$492,MATCH(297,'Output Utente'!$R$2:$R$492,0)),"")</f>
        <v/>
      </c>
      <c r="C300" s="26" t="str">
        <f aca="false">IFERROR(INDEX('Output Utente'!$B$2:$B$492,MATCH(297,'Output Utente'!$R$2:$R$492,0)),"")</f>
        <v/>
      </c>
      <c r="D300" s="26" t="str">
        <f aca="false">IFERROR(INDEX('Output Utente'!$C$2:$C$492,MATCH(297,'Output Utente'!$R$2:$R$492,0)),"")</f>
        <v/>
      </c>
      <c r="E300" s="26" t="str">
        <f aca="false">IFERROR(INDEX('Input Giocatori 2026_27'!$D$3:$D$493,MATCH($B300,'Input Giocatori 2026_27'!$A$3:$A$493,0)),"")</f>
        <v/>
      </c>
      <c r="F300" s="27" t="str">
        <f aca="false">IFERROR(INDEX('Output Utente'!$N$2:$N$492,MATCH(297,'Output Utente'!$R$2:$R$492,0)),"")</f>
        <v/>
      </c>
      <c r="G300" s="26" t="str">
        <f aca="false">IFERROR(INDEX('Output Utente'!$O$2:$O$492,MATCH(297,'Output Utente'!$R$2:$R$492,0)),"")</f>
        <v/>
      </c>
      <c r="H300" s="26" t="str">
        <f aca="false">IFERROR(INDEX('Output Utente'!$P$2:$P$492,MATCH(297,'Output Utente'!$R$2:$R$492,0)),"")</f>
        <v/>
      </c>
      <c r="I300" s="27" t="str">
        <f aca="false">IFERROR(INDEX('Output Utente'!$F$2:$F$492,MATCH(297,'Output Utente'!$R$2:$R$492,0)),"")</f>
        <v/>
      </c>
      <c r="J300" s="27" t="str">
        <f aca="false">IFERROR(INDEX('Output Utente'!$G$2:$G$492,MATCH(297,'Output Utente'!$R$2:$R$492,0)),"")</f>
        <v/>
      </c>
      <c r="K300" s="27" t="str">
        <f aca="false">IFERROR(INDEX('Output Utente'!$H$2:$H$492,MATCH(297,'Output Utente'!$R$2:$R$492,0)),"")</f>
        <v/>
      </c>
      <c r="L300" s="26" t="str">
        <f aca="false">IFERROR(INDEX('Output Utente'!$E$2:$E$492,MATCH(297,'Output Utente'!$R$2:$R$492,0)),"")</f>
        <v/>
      </c>
    </row>
    <row r="301" customFormat="false" ht="15" hidden="false" customHeight="true" outlineLevel="0" collapsed="false">
      <c r="A301" s="29" t="n">
        <v>298</v>
      </c>
      <c r="B301" s="26" t="str">
        <f aca="false">IFERROR(INDEX('Output Utente'!$A$2:$A$492,MATCH(298,'Output Utente'!$R$2:$R$492,0)),"")</f>
        <v/>
      </c>
      <c r="C301" s="26" t="str">
        <f aca="false">IFERROR(INDEX('Output Utente'!$B$2:$B$492,MATCH(298,'Output Utente'!$R$2:$R$492,0)),"")</f>
        <v/>
      </c>
      <c r="D301" s="26" t="str">
        <f aca="false">IFERROR(INDEX('Output Utente'!$C$2:$C$492,MATCH(298,'Output Utente'!$R$2:$R$492,0)),"")</f>
        <v/>
      </c>
      <c r="E301" s="26" t="str">
        <f aca="false">IFERROR(INDEX('Input Giocatori 2026_27'!$D$3:$D$493,MATCH($B301,'Input Giocatori 2026_27'!$A$3:$A$493,0)),"")</f>
        <v/>
      </c>
      <c r="F301" s="27" t="str">
        <f aca="false">IFERROR(INDEX('Output Utente'!$N$2:$N$492,MATCH(298,'Output Utente'!$R$2:$R$492,0)),"")</f>
        <v/>
      </c>
      <c r="G301" s="26" t="str">
        <f aca="false">IFERROR(INDEX('Output Utente'!$O$2:$O$492,MATCH(298,'Output Utente'!$R$2:$R$492,0)),"")</f>
        <v/>
      </c>
      <c r="H301" s="26" t="str">
        <f aca="false">IFERROR(INDEX('Output Utente'!$P$2:$P$492,MATCH(298,'Output Utente'!$R$2:$R$492,0)),"")</f>
        <v/>
      </c>
      <c r="I301" s="27" t="str">
        <f aca="false">IFERROR(INDEX('Output Utente'!$F$2:$F$492,MATCH(298,'Output Utente'!$R$2:$R$492,0)),"")</f>
        <v/>
      </c>
      <c r="J301" s="27" t="str">
        <f aca="false">IFERROR(INDEX('Output Utente'!$G$2:$G$492,MATCH(298,'Output Utente'!$R$2:$R$492,0)),"")</f>
        <v/>
      </c>
      <c r="K301" s="27" t="str">
        <f aca="false">IFERROR(INDEX('Output Utente'!$H$2:$H$492,MATCH(298,'Output Utente'!$R$2:$R$492,0)),"")</f>
        <v/>
      </c>
      <c r="L301" s="26" t="str">
        <f aca="false">IFERROR(INDEX('Output Utente'!$E$2:$E$492,MATCH(298,'Output Utente'!$R$2:$R$492,0)),"")</f>
        <v/>
      </c>
    </row>
    <row r="302" customFormat="false" ht="15" hidden="false" customHeight="true" outlineLevel="0" collapsed="false">
      <c r="A302" s="29" t="n">
        <v>299</v>
      </c>
      <c r="B302" s="26" t="str">
        <f aca="false">IFERROR(INDEX('Output Utente'!$A$2:$A$492,MATCH(299,'Output Utente'!$R$2:$R$492,0)),"")</f>
        <v/>
      </c>
      <c r="C302" s="26" t="str">
        <f aca="false">IFERROR(INDEX('Output Utente'!$B$2:$B$492,MATCH(299,'Output Utente'!$R$2:$R$492,0)),"")</f>
        <v/>
      </c>
      <c r="D302" s="26" t="str">
        <f aca="false">IFERROR(INDEX('Output Utente'!$C$2:$C$492,MATCH(299,'Output Utente'!$R$2:$R$492,0)),"")</f>
        <v/>
      </c>
      <c r="E302" s="26" t="str">
        <f aca="false">IFERROR(INDEX('Input Giocatori 2026_27'!$D$3:$D$493,MATCH($B302,'Input Giocatori 2026_27'!$A$3:$A$493,0)),"")</f>
        <v/>
      </c>
      <c r="F302" s="27" t="str">
        <f aca="false">IFERROR(INDEX('Output Utente'!$N$2:$N$492,MATCH(299,'Output Utente'!$R$2:$R$492,0)),"")</f>
        <v/>
      </c>
      <c r="G302" s="26" t="str">
        <f aca="false">IFERROR(INDEX('Output Utente'!$O$2:$O$492,MATCH(299,'Output Utente'!$R$2:$R$492,0)),"")</f>
        <v/>
      </c>
      <c r="H302" s="26" t="str">
        <f aca="false">IFERROR(INDEX('Output Utente'!$P$2:$P$492,MATCH(299,'Output Utente'!$R$2:$R$492,0)),"")</f>
        <v/>
      </c>
      <c r="I302" s="27" t="str">
        <f aca="false">IFERROR(INDEX('Output Utente'!$F$2:$F$492,MATCH(299,'Output Utente'!$R$2:$R$492,0)),"")</f>
        <v/>
      </c>
      <c r="J302" s="27" t="str">
        <f aca="false">IFERROR(INDEX('Output Utente'!$G$2:$G$492,MATCH(299,'Output Utente'!$R$2:$R$492,0)),"")</f>
        <v/>
      </c>
      <c r="K302" s="27" t="str">
        <f aca="false">IFERROR(INDEX('Output Utente'!$H$2:$H$492,MATCH(299,'Output Utente'!$R$2:$R$492,0)),"")</f>
        <v/>
      </c>
      <c r="L302" s="26" t="str">
        <f aca="false">IFERROR(INDEX('Output Utente'!$E$2:$E$492,MATCH(299,'Output Utente'!$R$2:$R$492,0)),"")</f>
        <v/>
      </c>
    </row>
    <row r="303" customFormat="false" ht="15" hidden="false" customHeight="true" outlineLevel="0" collapsed="false">
      <c r="A303" s="29" t="n">
        <v>300</v>
      </c>
      <c r="B303" s="26" t="str">
        <f aca="false">IFERROR(INDEX('Output Utente'!$A$2:$A$492,MATCH(300,'Output Utente'!$R$2:$R$492,0)),"")</f>
        <v/>
      </c>
      <c r="C303" s="26" t="str">
        <f aca="false">IFERROR(INDEX('Output Utente'!$B$2:$B$492,MATCH(300,'Output Utente'!$R$2:$R$492,0)),"")</f>
        <v/>
      </c>
      <c r="D303" s="26" t="str">
        <f aca="false">IFERROR(INDEX('Output Utente'!$C$2:$C$492,MATCH(300,'Output Utente'!$R$2:$R$492,0)),"")</f>
        <v/>
      </c>
      <c r="E303" s="26" t="str">
        <f aca="false">IFERROR(INDEX('Input Giocatori 2026_27'!$D$3:$D$493,MATCH($B303,'Input Giocatori 2026_27'!$A$3:$A$493,0)),"")</f>
        <v/>
      </c>
      <c r="F303" s="27" t="str">
        <f aca="false">IFERROR(INDEX('Output Utente'!$N$2:$N$492,MATCH(300,'Output Utente'!$R$2:$R$492,0)),"")</f>
        <v/>
      </c>
      <c r="G303" s="26" t="str">
        <f aca="false">IFERROR(INDEX('Output Utente'!$O$2:$O$492,MATCH(300,'Output Utente'!$R$2:$R$492,0)),"")</f>
        <v/>
      </c>
      <c r="H303" s="26" t="str">
        <f aca="false">IFERROR(INDEX('Output Utente'!$P$2:$P$492,MATCH(300,'Output Utente'!$R$2:$R$492,0)),"")</f>
        <v/>
      </c>
      <c r="I303" s="27" t="str">
        <f aca="false">IFERROR(INDEX('Output Utente'!$F$2:$F$492,MATCH(300,'Output Utente'!$R$2:$R$492,0)),"")</f>
        <v/>
      </c>
      <c r="J303" s="27" t="str">
        <f aca="false">IFERROR(INDEX('Output Utente'!$G$2:$G$492,MATCH(300,'Output Utente'!$R$2:$R$492,0)),"")</f>
        <v/>
      </c>
      <c r="K303" s="27" t="str">
        <f aca="false">IFERROR(INDEX('Output Utente'!$H$2:$H$492,MATCH(300,'Output Utente'!$R$2:$R$492,0)),"")</f>
        <v/>
      </c>
      <c r="L303" s="26" t="str">
        <f aca="false">IFERROR(INDEX('Output Utente'!$E$2:$E$492,MATCH(300,'Output Utente'!$R$2:$R$492,0)),"")</f>
        <v/>
      </c>
    </row>
    <row r="304" customFormat="false" ht="15" hidden="false" customHeight="true" outlineLevel="0" collapsed="false">
      <c r="A304" s="29" t="n">
        <v>301</v>
      </c>
      <c r="B304" s="26" t="str">
        <f aca="false">IFERROR(INDEX('Output Utente'!$A$2:$A$492,MATCH(301,'Output Utente'!$R$2:$R$492,0)),"")</f>
        <v/>
      </c>
      <c r="C304" s="26" t="str">
        <f aca="false">IFERROR(INDEX('Output Utente'!$B$2:$B$492,MATCH(301,'Output Utente'!$R$2:$R$492,0)),"")</f>
        <v/>
      </c>
      <c r="D304" s="26" t="str">
        <f aca="false">IFERROR(INDEX('Output Utente'!$C$2:$C$492,MATCH(301,'Output Utente'!$R$2:$R$492,0)),"")</f>
        <v/>
      </c>
      <c r="E304" s="26" t="str">
        <f aca="false">IFERROR(INDEX('Input Giocatori 2026_27'!$D$3:$D$493,MATCH($B304,'Input Giocatori 2026_27'!$A$3:$A$493,0)),"")</f>
        <v/>
      </c>
      <c r="F304" s="27" t="str">
        <f aca="false">IFERROR(INDEX('Output Utente'!$N$2:$N$492,MATCH(301,'Output Utente'!$R$2:$R$492,0)),"")</f>
        <v/>
      </c>
      <c r="G304" s="26" t="str">
        <f aca="false">IFERROR(INDEX('Output Utente'!$O$2:$O$492,MATCH(301,'Output Utente'!$R$2:$R$492,0)),"")</f>
        <v/>
      </c>
      <c r="H304" s="26" t="str">
        <f aca="false">IFERROR(INDEX('Output Utente'!$P$2:$P$492,MATCH(301,'Output Utente'!$R$2:$R$492,0)),"")</f>
        <v/>
      </c>
      <c r="I304" s="27" t="str">
        <f aca="false">IFERROR(INDEX('Output Utente'!$F$2:$F$492,MATCH(301,'Output Utente'!$R$2:$R$492,0)),"")</f>
        <v/>
      </c>
      <c r="J304" s="27" t="str">
        <f aca="false">IFERROR(INDEX('Output Utente'!$G$2:$G$492,MATCH(301,'Output Utente'!$R$2:$R$492,0)),"")</f>
        <v/>
      </c>
      <c r="K304" s="27" t="str">
        <f aca="false">IFERROR(INDEX('Output Utente'!$H$2:$H$492,MATCH(301,'Output Utente'!$R$2:$R$492,0)),"")</f>
        <v/>
      </c>
      <c r="L304" s="26" t="str">
        <f aca="false">IFERROR(INDEX('Output Utente'!$E$2:$E$492,MATCH(301,'Output Utente'!$R$2:$R$492,0)),"")</f>
        <v/>
      </c>
    </row>
    <row r="305" customFormat="false" ht="15" hidden="false" customHeight="true" outlineLevel="0" collapsed="false">
      <c r="A305" s="29" t="n">
        <v>302</v>
      </c>
      <c r="B305" s="26" t="str">
        <f aca="false">IFERROR(INDEX('Output Utente'!$A$2:$A$492,MATCH(302,'Output Utente'!$R$2:$R$492,0)),"")</f>
        <v/>
      </c>
      <c r="C305" s="26" t="str">
        <f aca="false">IFERROR(INDEX('Output Utente'!$B$2:$B$492,MATCH(302,'Output Utente'!$R$2:$R$492,0)),"")</f>
        <v/>
      </c>
      <c r="D305" s="26" t="str">
        <f aca="false">IFERROR(INDEX('Output Utente'!$C$2:$C$492,MATCH(302,'Output Utente'!$R$2:$R$492,0)),"")</f>
        <v/>
      </c>
      <c r="E305" s="26" t="str">
        <f aca="false">IFERROR(INDEX('Input Giocatori 2026_27'!$D$3:$D$493,MATCH($B305,'Input Giocatori 2026_27'!$A$3:$A$493,0)),"")</f>
        <v/>
      </c>
      <c r="F305" s="27" t="str">
        <f aca="false">IFERROR(INDEX('Output Utente'!$N$2:$N$492,MATCH(302,'Output Utente'!$R$2:$R$492,0)),"")</f>
        <v/>
      </c>
      <c r="G305" s="26" t="str">
        <f aca="false">IFERROR(INDEX('Output Utente'!$O$2:$O$492,MATCH(302,'Output Utente'!$R$2:$R$492,0)),"")</f>
        <v/>
      </c>
      <c r="H305" s="26" t="str">
        <f aca="false">IFERROR(INDEX('Output Utente'!$P$2:$P$492,MATCH(302,'Output Utente'!$R$2:$R$492,0)),"")</f>
        <v/>
      </c>
      <c r="I305" s="27" t="str">
        <f aca="false">IFERROR(INDEX('Output Utente'!$F$2:$F$492,MATCH(302,'Output Utente'!$R$2:$R$492,0)),"")</f>
        <v/>
      </c>
      <c r="J305" s="27" t="str">
        <f aca="false">IFERROR(INDEX('Output Utente'!$G$2:$G$492,MATCH(302,'Output Utente'!$R$2:$R$492,0)),"")</f>
        <v/>
      </c>
      <c r="K305" s="27" t="str">
        <f aca="false">IFERROR(INDEX('Output Utente'!$H$2:$H$492,MATCH(302,'Output Utente'!$R$2:$R$492,0)),"")</f>
        <v/>
      </c>
      <c r="L305" s="26" t="str">
        <f aca="false">IFERROR(INDEX('Output Utente'!$E$2:$E$492,MATCH(302,'Output Utente'!$R$2:$R$492,0)),"")</f>
        <v/>
      </c>
    </row>
    <row r="306" customFormat="false" ht="15" hidden="false" customHeight="true" outlineLevel="0" collapsed="false">
      <c r="A306" s="29" t="n">
        <v>303</v>
      </c>
      <c r="B306" s="26" t="str">
        <f aca="false">IFERROR(INDEX('Output Utente'!$A$2:$A$492,MATCH(303,'Output Utente'!$R$2:$R$492,0)),"")</f>
        <v/>
      </c>
      <c r="C306" s="26" t="str">
        <f aca="false">IFERROR(INDEX('Output Utente'!$B$2:$B$492,MATCH(303,'Output Utente'!$R$2:$R$492,0)),"")</f>
        <v/>
      </c>
      <c r="D306" s="26" t="str">
        <f aca="false">IFERROR(INDEX('Output Utente'!$C$2:$C$492,MATCH(303,'Output Utente'!$R$2:$R$492,0)),"")</f>
        <v/>
      </c>
      <c r="E306" s="26" t="str">
        <f aca="false">IFERROR(INDEX('Input Giocatori 2026_27'!$D$3:$D$493,MATCH($B306,'Input Giocatori 2026_27'!$A$3:$A$493,0)),"")</f>
        <v/>
      </c>
      <c r="F306" s="27" t="str">
        <f aca="false">IFERROR(INDEX('Output Utente'!$N$2:$N$492,MATCH(303,'Output Utente'!$R$2:$R$492,0)),"")</f>
        <v/>
      </c>
      <c r="G306" s="26" t="str">
        <f aca="false">IFERROR(INDEX('Output Utente'!$O$2:$O$492,MATCH(303,'Output Utente'!$R$2:$R$492,0)),"")</f>
        <v/>
      </c>
      <c r="H306" s="26" t="str">
        <f aca="false">IFERROR(INDEX('Output Utente'!$P$2:$P$492,MATCH(303,'Output Utente'!$R$2:$R$492,0)),"")</f>
        <v/>
      </c>
      <c r="I306" s="27" t="str">
        <f aca="false">IFERROR(INDEX('Output Utente'!$F$2:$F$492,MATCH(303,'Output Utente'!$R$2:$R$492,0)),"")</f>
        <v/>
      </c>
      <c r="J306" s="27" t="str">
        <f aca="false">IFERROR(INDEX('Output Utente'!$G$2:$G$492,MATCH(303,'Output Utente'!$R$2:$R$492,0)),"")</f>
        <v/>
      </c>
      <c r="K306" s="27" t="str">
        <f aca="false">IFERROR(INDEX('Output Utente'!$H$2:$H$492,MATCH(303,'Output Utente'!$R$2:$R$492,0)),"")</f>
        <v/>
      </c>
      <c r="L306" s="26" t="str">
        <f aca="false">IFERROR(INDEX('Output Utente'!$E$2:$E$492,MATCH(303,'Output Utente'!$R$2:$R$492,0)),"")</f>
        <v/>
      </c>
    </row>
    <row r="307" customFormat="false" ht="15" hidden="false" customHeight="true" outlineLevel="0" collapsed="false">
      <c r="A307" s="29" t="n">
        <v>304</v>
      </c>
      <c r="B307" s="26" t="str">
        <f aca="false">IFERROR(INDEX('Output Utente'!$A$2:$A$492,MATCH(304,'Output Utente'!$R$2:$R$492,0)),"")</f>
        <v/>
      </c>
      <c r="C307" s="26" t="str">
        <f aca="false">IFERROR(INDEX('Output Utente'!$B$2:$B$492,MATCH(304,'Output Utente'!$R$2:$R$492,0)),"")</f>
        <v/>
      </c>
      <c r="D307" s="26" t="str">
        <f aca="false">IFERROR(INDEX('Output Utente'!$C$2:$C$492,MATCH(304,'Output Utente'!$R$2:$R$492,0)),"")</f>
        <v/>
      </c>
      <c r="E307" s="26" t="str">
        <f aca="false">IFERROR(INDEX('Input Giocatori 2026_27'!$D$3:$D$493,MATCH($B307,'Input Giocatori 2026_27'!$A$3:$A$493,0)),"")</f>
        <v/>
      </c>
      <c r="F307" s="27" t="str">
        <f aca="false">IFERROR(INDEX('Output Utente'!$N$2:$N$492,MATCH(304,'Output Utente'!$R$2:$R$492,0)),"")</f>
        <v/>
      </c>
      <c r="G307" s="26" t="str">
        <f aca="false">IFERROR(INDEX('Output Utente'!$O$2:$O$492,MATCH(304,'Output Utente'!$R$2:$R$492,0)),"")</f>
        <v/>
      </c>
      <c r="H307" s="26" t="str">
        <f aca="false">IFERROR(INDEX('Output Utente'!$P$2:$P$492,MATCH(304,'Output Utente'!$R$2:$R$492,0)),"")</f>
        <v/>
      </c>
      <c r="I307" s="27" t="str">
        <f aca="false">IFERROR(INDEX('Output Utente'!$F$2:$F$492,MATCH(304,'Output Utente'!$R$2:$R$492,0)),"")</f>
        <v/>
      </c>
      <c r="J307" s="27" t="str">
        <f aca="false">IFERROR(INDEX('Output Utente'!$G$2:$G$492,MATCH(304,'Output Utente'!$R$2:$R$492,0)),"")</f>
        <v/>
      </c>
      <c r="K307" s="27" t="str">
        <f aca="false">IFERROR(INDEX('Output Utente'!$H$2:$H$492,MATCH(304,'Output Utente'!$R$2:$R$492,0)),"")</f>
        <v/>
      </c>
      <c r="L307" s="26" t="str">
        <f aca="false">IFERROR(INDEX('Output Utente'!$E$2:$E$492,MATCH(304,'Output Utente'!$R$2:$R$492,0)),"")</f>
        <v/>
      </c>
    </row>
    <row r="308" customFormat="false" ht="15" hidden="false" customHeight="true" outlineLevel="0" collapsed="false">
      <c r="A308" s="29" t="n">
        <v>305</v>
      </c>
      <c r="B308" s="26" t="str">
        <f aca="false">IFERROR(INDEX('Output Utente'!$A$2:$A$492,MATCH(305,'Output Utente'!$R$2:$R$492,0)),"")</f>
        <v/>
      </c>
      <c r="C308" s="26" t="str">
        <f aca="false">IFERROR(INDEX('Output Utente'!$B$2:$B$492,MATCH(305,'Output Utente'!$R$2:$R$492,0)),"")</f>
        <v/>
      </c>
      <c r="D308" s="26" t="str">
        <f aca="false">IFERROR(INDEX('Output Utente'!$C$2:$C$492,MATCH(305,'Output Utente'!$R$2:$R$492,0)),"")</f>
        <v/>
      </c>
      <c r="E308" s="26" t="str">
        <f aca="false">IFERROR(INDEX('Input Giocatori 2026_27'!$D$3:$D$493,MATCH($B308,'Input Giocatori 2026_27'!$A$3:$A$493,0)),"")</f>
        <v/>
      </c>
      <c r="F308" s="27" t="str">
        <f aca="false">IFERROR(INDEX('Output Utente'!$N$2:$N$492,MATCH(305,'Output Utente'!$R$2:$R$492,0)),"")</f>
        <v/>
      </c>
      <c r="G308" s="26" t="str">
        <f aca="false">IFERROR(INDEX('Output Utente'!$O$2:$O$492,MATCH(305,'Output Utente'!$R$2:$R$492,0)),"")</f>
        <v/>
      </c>
      <c r="H308" s="26" t="str">
        <f aca="false">IFERROR(INDEX('Output Utente'!$P$2:$P$492,MATCH(305,'Output Utente'!$R$2:$R$492,0)),"")</f>
        <v/>
      </c>
      <c r="I308" s="27" t="str">
        <f aca="false">IFERROR(INDEX('Output Utente'!$F$2:$F$492,MATCH(305,'Output Utente'!$R$2:$R$492,0)),"")</f>
        <v/>
      </c>
      <c r="J308" s="27" t="str">
        <f aca="false">IFERROR(INDEX('Output Utente'!$G$2:$G$492,MATCH(305,'Output Utente'!$R$2:$R$492,0)),"")</f>
        <v/>
      </c>
      <c r="K308" s="27" t="str">
        <f aca="false">IFERROR(INDEX('Output Utente'!$H$2:$H$492,MATCH(305,'Output Utente'!$R$2:$R$492,0)),"")</f>
        <v/>
      </c>
      <c r="L308" s="26" t="str">
        <f aca="false">IFERROR(INDEX('Output Utente'!$E$2:$E$492,MATCH(305,'Output Utente'!$R$2:$R$492,0)),"")</f>
        <v/>
      </c>
    </row>
    <row r="309" customFormat="false" ht="15" hidden="false" customHeight="true" outlineLevel="0" collapsed="false">
      <c r="A309" s="29" t="n">
        <v>306</v>
      </c>
      <c r="B309" s="26" t="str">
        <f aca="false">IFERROR(INDEX('Output Utente'!$A$2:$A$492,MATCH(306,'Output Utente'!$R$2:$R$492,0)),"")</f>
        <v/>
      </c>
      <c r="C309" s="26" t="str">
        <f aca="false">IFERROR(INDEX('Output Utente'!$B$2:$B$492,MATCH(306,'Output Utente'!$R$2:$R$492,0)),"")</f>
        <v/>
      </c>
      <c r="D309" s="26" t="str">
        <f aca="false">IFERROR(INDEX('Output Utente'!$C$2:$C$492,MATCH(306,'Output Utente'!$R$2:$R$492,0)),"")</f>
        <v/>
      </c>
      <c r="E309" s="26" t="str">
        <f aca="false">IFERROR(INDEX('Input Giocatori 2026_27'!$D$3:$D$493,MATCH($B309,'Input Giocatori 2026_27'!$A$3:$A$493,0)),"")</f>
        <v/>
      </c>
      <c r="F309" s="27" t="str">
        <f aca="false">IFERROR(INDEX('Output Utente'!$N$2:$N$492,MATCH(306,'Output Utente'!$R$2:$R$492,0)),"")</f>
        <v/>
      </c>
      <c r="G309" s="26" t="str">
        <f aca="false">IFERROR(INDEX('Output Utente'!$O$2:$O$492,MATCH(306,'Output Utente'!$R$2:$R$492,0)),"")</f>
        <v/>
      </c>
      <c r="H309" s="26" t="str">
        <f aca="false">IFERROR(INDEX('Output Utente'!$P$2:$P$492,MATCH(306,'Output Utente'!$R$2:$R$492,0)),"")</f>
        <v/>
      </c>
      <c r="I309" s="27" t="str">
        <f aca="false">IFERROR(INDEX('Output Utente'!$F$2:$F$492,MATCH(306,'Output Utente'!$R$2:$R$492,0)),"")</f>
        <v/>
      </c>
      <c r="J309" s="27" t="str">
        <f aca="false">IFERROR(INDEX('Output Utente'!$G$2:$G$492,MATCH(306,'Output Utente'!$R$2:$R$492,0)),"")</f>
        <v/>
      </c>
      <c r="K309" s="27" t="str">
        <f aca="false">IFERROR(INDEX('Output Utente'!$H$2:$H$492,MATCH(306,'Output Utente'!$R$2:$R$492,0)),"")</f>
        <v/>
      </c>
      <c r="L309" s="26" t="str">
        <f aca="false">IFERROR(INDEX('Output Utente'!$E$2:$E$492,MATCH(306,'Output Utente'!$R$2:$R$492,0)),"")</f>
        <v/>
      </c>
    </row>
    <row r="310" customFormat="false" ht="15" hidden="false" customHeight="true" outlineLevel="0" collapsed="false">
      <c r="A310" s="29" t="n">
        <v>307</v>
      </c>
      <c r="B310" s="26" t="str">
        <f aca="false">IFERROR(INDEX('Output Utente'!$A$2:$A$492,MATCH(307,'Output Utente'!$R$2:$R$492,0)),"")</f>
        <v/>
      </c>
      <c r="C310" s="26" t="str">
        <f aca="false">IFERROR(INDEX('Output Utente'!$B$2:$B$492,MATCH(307,'Output Utente'!$R$2:$R$492,0)),"")</f>
        <v/>
      </c>
      <c r="D310" s="26" t="str">
        <f aca="false">IFERROR(INDEX('Output Utente'!$C$2:$C$492,MATCH(307,'Output Utente'!$R$2:$R$492,0)),"")</f>
        <v/>
      </c>
      <c r="E310" s="26" t="str">
        <f aca="false">IFERROR(INDEX('Input Giocatori 2026_27'!$D$3:$D$493,MATCH($B310,'Input Giocatori 2026_27'!$A$3:$A$493,0)),"")</f>
        <v/>
      </c>
      <c r="F310" s="27" t="str">
        <f aca="false">IFERROR(INDEX('Output Utente'!$N$2:$N$492,MATCH(307,'Output Utente'!$R$2:$R$492,0)),"")</f>
        <v/>
      </c>
      <c r="G310" s="26" t="str">
        <f aca="false">IFERROR(INDEX('Output Utente'!$O$2:$O$492,MATCH(307,'Output Utente'!$R$2:$R$492,0)),"")</f>
        <v/>
      </c>
      <c r="H310" s="26" t="str">
        <f aca="false">IFERROR(INDEX('Output Utente'!$P$2:$P$492,MATCH(307,'Output Utente'!$R$2:$R$492,0)),"")</f>
        <v/>
      </c>
      <c r="I310" s="27" t="str">
        <f aca="false">IFERROR(INDEX('Output Utente'!$F$2:$F$492,MATCH(307,'Output Utente'!$R$2:$R$492,0)),"")</f>
        <v/>
      </c>
      <c r="J310" s="27" t="str">
        <f aca="false">IFERROR(INDEX('Output Utente'!$G$2:$G$492,MATCH(307,'Output Utente'!$R$2:$R$492,0)),"")</f>
        <v/>
      </c>
      <c r="K310" s="27" t="str">
        <f aca="false">IFERROR(INDEX('Output Utente'!$H$2:$H$492,MATCH(307,'Output Utente'!$R$2:$R$492,0)),"")</f>
        <v/>
      </c>
      <c r="L310" s="26" t="str">
        <f aca="false">IFERROR(INDEX('Output Utente'!$E$2:$E$492,MATCH(307,'Output Utente'!$R$2:$R$492,0)),"")</f>
        <v/>
      </c>
    </row>
    <row r="311" customFormat="false" ht="15" hidden="false" customHeight="true" outlineLevel="0" collapsed="false">
      <c r="A311" s="29" t="n">
        <v>308</v>
      </c>
      <c r="B311" s="26" t="str">
        <f aca="false">IFERROR(INDEX('Output Utente'!$A$2:$A$492,MATCH(308,'Output Utente'!$R$2:$R$492,0)),"")</f>
        <v/>
      </c>
      <c r="C311" s="26" t="str">
        <f aca="false">IFERROR(INDEX('Output Utente'!$B$2:$B$492,MATCH(308,'Output Utente'!$R$2:$R$492,0)),"")</f>
        <v/>
      </c>
      <c r="D311" s="26" t="str">
        <f aca="false">IFERROR(INDEX('Output Utente'!$C$2:$C$492,MATCH(308,'Output Utente'!$R$2:$R$492,0)),"")</f>
        <v/>
      </c>
      <c r="E311" s="26" t="str">
        <f aca="false">IFERROR(INDEX('Input Giocatori 2026_27'!$D$3:$D$493,MATCH($B311,'Input Giocatori 2026_27'!$A$3:$A$493,0)),"")</f>
        <v/>
      </c>
      <c r="F311" s="27" t="str">
        <f aca="false">IFERROR(INDEX('Output Utente'!$N$2:$N$492,MATCH(308,'Output Utente'!$R$2:$R$492,0)),"")</f>
        <v/>
      </c>
      <c r="G311" s="26" t="str">
        <f aca="false">IFERROR(INDEX('Output Utente'!$O$2:$O$492,MATCH(308,'Output Utente'!$R$2:$R$492,0)),"")</f>
        <v/>
      </c>
      <c r="H311" s="26" t="str">
        <f aca="false">IFERROR(INDEX('Output Utente'!$P$2:$P$492,MATCH(308,'Output Utente'!$R$2:$R$492,0)),"")</f>
        <v/>
      </c>
      <c r="I311" s="27" t="str">
        <f aca="false">IFERROR(INDEX('Output Utente'!$F$2:$F$492,MATCH(308,'Output Utente'!$R$2:$R$492,0)),"")</f>
        <v/>
      </c>
      <c r="J311" s="27" t="str">
        <f aca="false">IFERROR(INDEX('Output Utente'!$G$2:$G$492,MATCH(308,'Output Utente'!$R$2:$R$492,0)),"")</f>
        <v/>
      </c>
      <c r="K311" s="27" t="str">
        <f aca="false">IFERROR(INDEX('Output Utente'!$H$2:$H$492,MATCH(308,'Output Utente'!$R$2:$R$492,0)),"")</f>
        <v/>
      </c>
      <c r="L311" s="26" t="str">
        <f aca="false">IFERROR(INDEX('Output Utente'!$E$2:$E$492,MATCH(308,'Output Utente'!$R$2:$R$492,0)),"")</f>
        <v/>
      </c>
    </row>
    <row r="312" customFormat="false" ht="15" hidden="false" customHeight="true" outlineLevel="0" collapsed="false">
      <c r="A312" s="29" t="n">
        <v>309</v>
      </c>
      <c r="B312" s="26" t="str">
        <f aca="false">IFERROR(INDEX('Output Utente'!$A$2:$A$492,MATCH(309,'Output Utente'!$R$2:$R$492,0)),"")</f>
        <v/>
      </c>
      <c r="C312" s="26" t="str">
        <f aca="false">IFERROR(INDEX('Output Utente'!$B$2:$B$492,MATCH(309,'Output Utente'!$R$2:$R$492,0)),"")</f>
        <v/>
      </c>
      <c r="D312" s="26" t="str">
        <f aca="false">IFERROR(INDEX('Output Utente'!$C$2:$C$492,MATCH(309,'Output Utente'!$R$2:$R$492,0)),"")</f>
        <v/>
      </c>
      <c r="E312" s="26" t="str">
        <f aca="false">IFERROR(INDEX('Input Giocatori 2026_27'!$D$3:$D$493,MATCH($B312,'Input Giocatori 2026_27'!$A$3:$A$493,0)),"")</f>
        <v/>
      </c>
      <c r="F312" s="27" t="str">
        <f aca="false">IFERROR(INDEX('Output Utente'!$N$2:$N$492,MATCH(309,'Output Utente'!$R$2:$R$492,0)),"")</f>
        <v/>
      </c>
      <c r="G312" s="26" t="str">
        <f aca="false">IFERROR(INDEX('Output Utente'!$O$2:$O$492,MATCH(309,'Output Utente'!$R$2:$R$492,0)),"")</f>
        <v/>
      </c>
      <c r="H312" s="26" t="str">
        <f aca="false">IFERROR(INDEX('Output Utente'!$P$2:$P$492,MATCH(309,'Output Utente'!$R$2:$R$492,0)),"")</f>
        <v/>
      </c>
      <c r="I312" s="27" t="str">
        <f aca="false">IFERROR(INDEX('Output Utente'!$F$2:$F$492,MATCH(309,'Output Utente'!$R$2:$R$492,0)),"")</f>
        <v/>
      </c>
      <c r="J312" s="27" t="str">
        <f aca="false">IFERROR(INDEX('Output Utente'!$G$2:$G$492,MATCH(309,'Output Utente'!$R$2:$R$492,0)),"")</f>
        <v/>
      </c>
      <c r="K312" s="27" t="str">
        <f aca="false">IFERROR(INDEX('Output Utente'!$H$2:$H$492,MATCH(309,'Output Utente'!$R$2:$R$492,0)),"")</f>
        <v/>
      </c>
      <c r="L312" s="26" t="str">
        <f aca="false">IFERROR(INDEX('Output Utente'!$E$2:$E$492,MATCH(309,'Output Utente'!$R$2:$R$492,0)),"")</f>
        <v/>
      </c>
    </row>
    <row r="313" customFormat="false" ht="15" hidden="false" customHeight="true" outlineLevel="0" collapsed="false">
      <c r="A313" s="29" t="n">
        <v>310</v>
      </c>
      <c r="B313" s="26" t="str">
        <f aca="false">IFERROR(INDEX('Output Utente'!$A$2:$A$492,MATCH(310,'Output Utente'!$R$2:$R$492,0)),"")</f>
        <v/>
      </c>
      <c r="C313" s="26" t="str">
        <f aca="false">IFERROR(INDEX('Output Utente'!$B$2:$B$492,MATCH(310,'Output Utente'!$R$2:$R$492,0)),"")</f>
        <v/>
      </c>
      <c r="D313" s="26" t="str">
        <f aca="false">IFERROR(INDEX('Output Utente'!$C$2:$C$492,MATCH(310,'Output Utente'!$R$2:$R$492,0)),"")</f>
        <v/>
      </c>
      <c r="E313" s="26" t="str">
        <f aca="false">IFERROR(INDEX('Input Giocatori 2026_27'!$D$3:$D$493,MATCH($B313,'Input Giocatori 2026_27'!$A$3:$A$493,0)),"")</f>
        <v/>
      </c>
      <c r="F313" s="27" t="str">
        <f aca="false">IFERROR(INDEX('Output Utente'!$N$2:$N$492,MATCH(310,'Output Utente'!$R$2:$R$492,0)),"")</f>
        <v/>
      </c>
      <c r="G313" s="26" t="str">
        <f aca="false">IFERROR(INDEX('Output Utente'!$O$2:$O$492,MATCH(310,'Output Utente'!$R$2:$R$492,0)),"")</f>
        <v/>
      </c>
      <c r="H313" s="26" t="str">
        <f aca="false">IFERROR(INDEX('Output Utente'!$P$2:$P$492,MATCH(310,'Output Utente'!$R$2:$R$492,0)),"")</f>
        <v/>
      </c>
      <c r="I313" s="27" t="str">
        <f aca="false">IFERROR(INDEX('Output Utente'!$F$2:$F$492,MATCH(310,'Output Utente'!$R$2:$R$492,0)),"")</f>
        <v/>
      </c>
      <c r="J313" s="27" t="str">
        <f aca="false">IFERROR(INDEX('Output Utente'!$G$2:$G$492,MATCH(310,'Output Utente'!$R$2:$R$492,0)),"")</f>
        <v/>
      </c>
      <c r="K313" s="27" t="str">
        <f aca="false">IFERROR(INDEX('Output Utente'!$H$2:$H$492,MATCH(310,'Output Utente'!$R$2:$R$492,0)),"")</f>
        <v/>
      </c>
      <c r="L313" s="26" t="str">
        <f aca="false">IFERROR(INDEX('Output Utente'!$E$2:$E$492,MATCH(310,'Output Utente'!$R$2:$R$492,0)),"")</f>
        <v/>
      </c>
    </row>
    <row r="314" customFormat="false" ht="15" hidden="false" customHeight="true" outlineLevel="0" collapsed="false">
      <c r="A314" s="29" t="n">
        <v>311</v>
      </c>
      <c r="B314" s="26" t="str">
        <f aca="false">IFERROR(INDEX('Output Utente'!$A$2:$A$492,MATCH(311,'Output Utente'!$R$2:$R$492,0)),"")</f>
        <v/>
      </c>
      <c r="C314" s="26" t="str">
        <f aca="false">IFERROR(INDEX('Output Utente'!$B$2:$B$492,MATCH(311,'Output Utente'!$R$2:$R$492,0)),"")</f>
        <v/>
      </c>
      <c r="D314" s="26" t="str">
        <f aca="false">IFERROR(INDEX('Output Utente'!$C$2:$C$492,MATCH(311,'Output Utente'!$R$2:$R$492,0)),"")</f>
        <v/>
      </c>
      <c r="E314" s="26" t="str">
        <f aca="false">IFERROR(INDEX('Input Giocatori 2026_27'!$D$3:$D$493,MATCH($B314,'Input Giocatori 2026_27'!$A$3:$A$493,0)),"")</f>
        <v/>
      </c>
      <c r="F314" s="27" t="str">
        <f aca="false">IFERROR(INDEX('Output Utente'!$N$2:$N$492,MATCH(311,'Output Utente'!$R$2:$R$492,0)),"")</f>
        <v/>
      </c>
      <c r="G314" s="26" t="str">
        <f aca="false">IFERROR(INDEX('Output Utente'!$O$2:$O$492,MATCH(311,'Output Utente'!$R$2:$R$492,0)),"")</f>
        <v/>
      </c>
      <c r="H314" s="26" t="str">
        <f aca="false">IFERROR(INDEX('Output Utente'!$P$2:$P$492,MATCH(311,'Output Utente'!$R$2:$R$492,0)),"")</f>
        <v/>
      </c>
      <c r="I314" s="27" t="str">
        <f aca="false">IFERROR(INDEX('Output Utente'!$F$2:$F$492,MATCH(311,'Output Utente'!$R$2:$R$492,0)),"")</f>
        <v/>
      </c>
      <c r="J314" s="27" t="str">
        <f aca="false">IFERROR(INDEX('Output Utente'!$G$2:$G$492,MATCH(311,'Output Utente'!$R$2:$R$492,0)),"")</f>
        <v/>
      </c>
      <c r="K314" s="27" t="str">
        <f aca="false">IFERROR(INDEX('Output Utente'!$H$2:$H$492,MATCH(311,'Output Utente'!$R$2:$R$492,0)),"")</f>
        <v/>
      </c>
      <c r="L314" s="26" t="str">
        <f aca="false">IFERROR(INDEX('Output Utente'!$E$2:$E$492,MATCH(311,'Output Utente'!$R$2:$R$492,0)),"")</f>
        <v/>
      </c>
    </row>
    <row r="315" customFormat="false" ht="15" hidden="false" customHeight="true" outlineLevel="0" collapsed="false">
      <c r="A315" s="29" t="n">
        <v>312</v>
      </c>
      <c r="B315" s="26" t="str">
        <f aca="false">IFERROR(INDEX('Output Utente'!$A$2:$A$492,MATCH(312,'Output Utente'!$R$2:$R$492,0)),"")</f>
        <v/>
      </c>
      <c r="C315" s="26" t="str">
        <f aca="false">IFERROR(INDEX('Output Utente'!$B$2:$B$492,MATCH(312,'Output Utente'!$R$2:$R$492,0)),"")</f>
        <v/>
      </c>
      <c r="D315" s="26" t="str">
        <f aca="false">IFERROR(INDEX('Output Utente'!$C$2:$C$492,MATCH(312,'Output Utente'!$R$2:$R$492,0)),"")</f>
        <v/>
      </c>
      <c r="E315" s="26" t="str">
        <f aca="false">IFERROR(INDEX('Input Giocatori 2026_27'!$D$3:$D$493,MATCH($B315,'Input Giocatori 2026_27'!$A$3:$A$493,0)),"")</f>
        <v/>
      </c>
      <c r="F315" s="27" t="str">
        <f aca="false">IFERROR(INDEX('Output Utente'!$N$2:$N$492,MATCH(312,'Output Utente'!$R$2:$R$492,0)),"")</f>
        <v/>
      </c>
      <c r="G315" s="26" t="str">
        <f aca="false">IFERROR(INDEX('Output Utente'!$O$2:$O$492,MATCH(312,'Output Utente'!$R$2:$R$492,0)),"")</f>
        <v/>
      </c>
      <c r="H315" s="26" t="str">
        <f aca="false">IFERROR(INDEX('Output Utente'!$P$2:$P$492,MATCH(312,'Output Utente'!$R$2:$R$492,0)),"")</f>
        <v/>
      </c>
      <c r="I315" s="27" t="str">
        <f aca="false">IFERROR(INDEX('Output Utente'!$F$2:$F$492,MATCH(312,'Output Utente'!$R$2:$R$492,0)),"")</f>
        <v/>
      </c>
      <c r="J315" s="27" t="str">
        <f aca="false">IFERROR(INDEX('Output Utente'!$G$2:$G$492,MATCH(312,'Output Utente'!$R$2:$R$492,0)),"")</f>
        <v/>
      </c>
      <c r="K315" s="27" t="str">
        <f aca="false">IFERROR(INDEX('Output Utente'!$H$2:$H$492,MATCH(312,'Output Utente'!$R$2:$R$492,0)),"")</f>
        <v/>
      </c>
      <c r="L315" s="26" t="str">
        <f aca="false">IFERROR(INDEX('Output Utente'!$E$2:$E$492,MATCH(312,'Output Utente'!$R$2:$R$492,0)),"")</f>
        <v/>
      </c>
    </row>
    <row r="316" customFormat="false" ht="15" hidden="false" customHeight="true" outlineLevel="0" collapsed="false">
      <c r="A316" s="29" t="n">
        <v>313</v>
      </c>
      <c r="B316" s="26" t="str">
        <f aca="false">IFERROR(INDEX('Output Utente'!$A$2:$A$492,MATCH(313,'Output Utente'!$R$2:$R$492,0)),"")</f>
        <v/>
      </c>
      <c r="C316" s="26" t="str">
        <f aca="false">IFERROR(INDEX('Output Utente'!$B$2:$B$492,MATCH(313,'Output Utente'!$R$2:$R$492,0)),"")</f>
        <v/>
      </c>
      <c r="D316" s="26" t="str">
        <f aca="false">IFERROR(INDEX('Output Utente'!$C$2:$C$492,MATCH(313,'Output Utente'!$R$2:$R$492,0)),"")</f>
        <v/>
      </c>
      <c r="E316" s="26" t="str">
        <f aca="false">IFERROR(INDEX('Input Giocatori 2026_27'!$D$3:$D$493,MATCH($B316,'Input Giocatori 2026_27'!$A$3:$A$493,0)),"")</f>
        <v/>
      </c>
      <c r="F316" s="27" t="str">
        <f aca="false">IFERROR(INDEX('Output Utente'!$N$2:$N$492,MATCH(313,'Output Utente'!$R$2:$R$492,0)),"")</f>
        <v/>
      </c>
      <c r="G316" s="26" t="str">
        <f aca="false">IFERROR(INDEX('Output Utente'!$O$2:$O$492,MATCH(313,'Output Utente'!$R$2:$R$492,0)),"")</f>
        <v/>
      </c>
      <c r="H316" s="26" t="str">
        <f aca="false">IFERROR(INDEX('Output Utente'!$P$2:$P$492,MATCH(313,'Output Utente'!$R$2:$R$492,0)),"")</f>
        <v/>
      </c>
      <c r="I316" s="27" t="str">
        <f aca="false">IFERROR(INDEX('Output Utente'!$F$2:$F$492,MATCH(313,'Output Utente'!$R$2:$R$492,0)),"")</f>
        <v/>
      </c>
      <c r="J316" s="27" t="str">
        <f aca="false">IFERROR(INDEX('Output Utente'!$G$2:$G$492,MATCH(313,'Output Utente'!$R$2:$R$492,0)),"")</f>
        <v/>
      </c>
      <c r="K316" s="27" t="str">
        <f aca="false">IFERROR(INDEX('Output Utente'!$H$2:$H$492,MATCH(313,'Output Utente'!$R$2:$R$492,0)),"")</f>
        <v/>
      </c>
      <c r="L316" s="26" t="str">
        <f aca="false">IFERROR(INDEX('Output Utente'!$E$2:$E$492,MATCH(313,'Output Utente'!$R$2:$R$492,0)),"")</f>
        <v/>
      </c>
    </row>
    <row r="317" customFormat="false" ht="15" hidden="false" customHeight="true" outlineLevel="0" collapsed="false">
      <c r="A317" s="29" t="n">
        <v>314</v>
      </c>
      <c r="B317" s="26" t="str">
        <f aca="false">IFERROR(INDEX('Output Utente'!$A$2:$A$492,MATCH(314,'Output Utente'!$R$2:$R$492,0)),"")</f>
        <v/>
      </c>
      <c r="C317" s="26" t="str">
        <f aca="false">IFERROR(INDEX('Output Utente'!$B$2:$B$492,MATCH(314,'Output Utente'!$R$2:$R$492,0)),"")</f>
        <v/>
      </c>
      <c r="D317" s="26" t="str">
        <f aca="false">IFERROR(INDEX('Output Utente'!$C$2:$C$492,MATCH(314,'Output Utente'!$R$2:$R$492,0)),"")</f>
        <v/>
      </c>
      <c r="E317" s="26" t="str">
        <f aca="false">IFERROR(INDEX('Input Giocatori 2026_27'!$D$3:$D$493,MATCH($B317,'Input Giocatori 2026_27'!$A$3:$A$493,0)),"")</f>
        <v/>
      </c>
      <c r="F317" s="27" t="str">
        <f aca="false">IFERROR(INDEX('Output Utente'!$N$2:$N$492,MATCH(314,'Output Utente'!$R$2:$R$492,0)),"")</f>
        <v/>
      </c>
      <c r="G317" s="26" t="str">
        <f aca="false">IFERROR(INDEX('Output Utente'!$O$2:$O$492,MATCH(314,'Output Utente'!$R$2:$R$492,0)),"")</f>
        <v/>
      </c>
      <c r="H317" s="26" t="str">
        <f aca="false">IFERROR(INDEX('Output Utente'!$P$2:$P$492,MATCH(314,'Output Utente'!$R$2:$R$492,0)),"")</f>
        <v/>
      </c>
      <c r="I317" s="27" t="str">
        <f aca="false">IFERROR(INDEX('Output Utente'!$F$2:$F$492,MATCH(314,'Output Utente'!$R$2:$R$492,0)),"")</f>
        <v/>
      </c>
      <c r="J317" s="27" t="str">
        <f aca="false">IFERROR(INDEX('Output Utente'!$G$2:$G$492,MATCH(314,'Output Utente'!$R$2:$R$492,0)),"")</f>
        <v/>
      </c>
      <c r="K317" s="27" t="str">
        <f aca="false">IFERROR(INDEX('Output Utente'!$H$2:$H$492,MATCH(314,'Output Utente'!$R$2:$R$492,0)),"")</f>
        <v/>
      </c>
      <c r="L317" s="26" t="str">
        <f aca="false">IFERROR(INDEX('Output Utente'!$E$2:$E$492,MATCH(314,'Output Utente'!$R$2:$R$492,0)),"")</f>
        <v/>
      </c>
    </row>
    <row r="318" customFormat="false" ht="15" hidden="false" customHeight="true" outlineLevel="0" collapsed="false">
      <c r="A318" s="29" t="n">
        <v>315</v>
      </c>
      <c r="B318" s="26" t="str">
        <f aca="false">IFERROR(INDEX('Output Utente'!$A$2:$A$492,MATCH(315,'Output Utente'!$R$2:$R$492,0)),"")</f>
        <v/>
      </c>
      <c r="C318" s="26" t="str">
        <f aca="false">IFERROR(INDEX('Output Utente'!$B$2:$B$492,MATCH(315,'Output Utente'!$R$2:$R$492,0)),"")</f>
        <v/>
      </c>
      <c r="D318" s="26" t="str">
        <f aca="false">IFERROR(INDEX('Output Utente'!$C$2:$C$492,MATCH(315,'Output Utente'!$R$2:$R$492,0)),"")</f>
        <v/>
      </c>
      <c r="E318" s="26" t="str">
        <f aca="false">IFERROR(INDEX('Input Giocatori 2026_27'!$D$3:$D$493,MATCH($B318,'Input Giocatori 2026_27'!$A$3:$A$493,0)),"")</f>
        <v/>
      </c>
      <c r="F318" s="27" t="str">
        <f aca="false">IFERROR(INDEX('Output Utente'!$N$2:$N$492,MATCH(315,'Output Utente'!$R$2:$R$492,0)),"")</f>
        <v/>
      </c>
      <c r="G318" s="26" t="str">
        <f aca="false">IFERROR(INDEX('Output Utente'!$O$2:$O$492,MATCH(315,'Output Utente'!$R$2:$R$492,0)),"")</f>
        <v/>
      </c>
      <c r="H318" s="26" t="str">
        <f aca="false">IFERROR(INDEX('Output Utente'!$P$2:$P$492,MATCH(315,'Output Utente'!$R$2:$R$492,0)),"")</f>
        <v/>
      </c>
      <c r="I318" s="27" t="str">
        <f aca="false">IFERROR(INDEX('Output Utente'!$F$2:$F$492,MATCH(315,'Output Utente'!$R$2:$R$492,0)),"")</f>
        <v/>
      </c>
      <c r="J318" s="27" t="str">
        <f aca="false">IFERROR(INDEX('Output Utente'!$G$2:$G$492,MATCH(315,'Output Utente'!$R$2:$R$492,0)),"")</f>
        <v/>
      </c>
      <c r="K318" s="27" t="str">
        <f aca="false">IFERROR(INDEX('Output Utente'!$H$2:$H$492,MATCH(315,'Output Utente'!$R$2:$R$492,0)),"")</f>
        <v/>
      </c>
      <c r="L318" s="26" t="str">
        <f aca="false">IFERROR(INDEX('Output Utente'!$E$2:$E$492,MATCH(315,'Output Utente'!$R$2:$R$492,0)),"")</f>
        <v/>
      </c>
    </row>
    <row r="319" customFormat="false" ht="15" hidden="false" customHeight="true" outlineLevel="0" collapsed="false">
      <c r="A319" s="29" t="n">
        <v>316</v>
      </c>
      <c r="B319" s="26" t="str">
        <f aca="false">IFERROR(INDEX('Output Utente'!$A$2:$A$492,MATCH(316,'Output Utente'!$R$2:$R$492,0)),"")</f>
        <v/>
      </c>
      <c r="C319" s="26" t="str">
        <f aca="false">IFERROR(INDEX('Output Utente'!$B$2:$B$492,MATCH(316,'Output Utente'!$R$2:$R$492,0)),"")</f>
        <v/>
      </c>
      <c r="D319" s="26" t="str">
        <f aca="false">IFERROR(INDEX('Output Utente'!$C$2:$C$492,MATCH(316,'Output Utente'!$R$2:$R$492,0)),"")</f>
        <v/>
      </c>
      <c r="E319" s="26" t="str">
        <f aca="false">IFERROR(INDEX('Input Giocatori 2026_27'!$D$3:$D$493,MATCH($B319,'Input Giocatori 2026_27'!$A$3:$A$493,0)),"")</f>
        <v/>
      </c>
      <c r="F319" s="27" t="str">
        <f aca="false">IFERROR(INDEX('Output Utente'!$N$2:$N$492,MATCH(316,'Output Utente'!$R$2:$R$492,0)),"")</f>
        <v/>
      </c>
      <c r="G319" s="26" t="str">
        <f aca="false">IFERROR(INDEX('Output Utente'!$O$2:$O$492,MATCH(316,'Output Utente'!$R$2:$R$492,0)),"")</f>
        <v/>
      </c>
      <c r="H319" s="26" t="str">
        <f aca="false">IFERROR(INDEX('Output Utente'!$P$2:$P$492,MATCH(316,'Output Utente'!$R$2:$R$492,0)),"")</f>
        <v/>
      </c>
      <c r="I319" s="27" t="str">
        <f aca="false">IFERROR(INDEX('Output Utente'!$F$2:$F$492,MATCH(316,'Output Utente'!$R$2:$R$492,0)),"")</f>
        <v/>
      </c>
      <c r="J319" s="27" t="str">
        <f aca="false">IFERROR(INDEX('Output Utente'!$G$2:$G$492,MATCH(316,'Output Utente'!$R$2:$R$492,0)),"")</f>
        <v/>
      </c>
      <c r="K319" s="27" t="str">
        <f aca="false">IFERROR(INDEX('Output Utente'!$H$2:$H$492,MATCH(316,'Output Utente'!$R$2:$R$492,0)),"")</f>
        <v/>
      </c>
      <c r="L319" s="26" t="str">
        <f aca="false">IFERROR(INDEX('Output Utente'!$E$2:$E$492,MATCH(316,'Output Utente'!$R$2:$R$492,0)),"")</f>
        <v/>
      </c>
    </row>
    <row r="320" customFormat="false" ht="15" hidden="false" customHeight="true" outlineLevel="0" collapsed="false">
      <c r="A320" s="29" t="n">
        <v>317</v>
      </c>
      <c r="B320" s="26" t="str">
        <f aca="false">IFERROR(INDEX('Output Utente'!$A$2:$A$492,MATCH(317,'Output Utente'!$R$2:$R$492,0)),"")</f>
        <v/>
      </c>
      <c r="C320" s="26" t="str">
        <f aca="false">IFERROR(INDEX('Output Utente'!$B$2:$B$492,MATCH(317,'Output Utente'!$R$2:$R$492,0)),"")</f>
        <v/>
      </c>
      <c r="D320" s="26" t="str">
        <f aca="false">IFERROR(INDEX('Output Utente'!$C$2:$C$492,MATCH(317,'Output Utente'!$R$2:$R$492,0)),"")</f>
        <v/>
      </c>
      <c r="E320" s="26" t="str">
        <f aca="false">IFERROR(INDEX('Input Giocatori 2026_27'!$D$3:$D$493,MATCH($B320,'Input Giocatori 2026_27'!$A$3:$A$493,0)),"")</f>
        <v/>
      </c>
      <c r="F320" s="27" t="str">
        <f aca="false">IFERROR(INDEX('Output Utente'!$N$2:$N$492,MATCH(317,'Output Utente'!$R$2:$R$492,0)),"")</f>
        <v/>
      </c>
      <c r="G320" s="26" t="str">
        <f aca="false">IFERROR(INDEX('Output Utente'!$O$2:$O$492,MATCH(317,'Output Utente'!$R$2:$R$492,0)),"")</f>
        <v/>
      </c>
      <c r="H320" s="26" t="str">
        <f aca="false">IFERROR(INDEX('Output Utente'!$P$2:$P$492,MATCH(317,'Output Utente'!$R$2:$R$492,0)),"")</f>
        <v/>
      </c>
      <c r="I320" s="27" t="str">
        <f aca="false">IFERROR(INDEX('Output Utente'!$F$2:$F$492,MATCH(317,'Output Utente'!$R$2:$R$492,0)),"")</f>
        <v/>
      </c>
      <c r="J320" s="27" t="str">
        <f aca="false">IFERROR(INDEX('Output Utente'!$G$2:$G$492,MATCH(317,'Output Utente'!$R$2:$R$492,0)),"")</f>
        <v/>
      </c>
      <c r="K320" s="27" t="str">
        <f aca="false">IFERROR(INDEX('Output Utente'!$H$2:$H$492,MATCH(317,'Output Utente'!$R$2:$R$492,0)),"")</f>
        <v/>
      </c>
      <c r="L320" s="26" t="str">
        <f aca="false">IFERROR(INDEX('Output Utente'!$E$2:$E$492,MATCH(317,'Output Utente'!$R$2:$R$492,0)),"")</f>
        <v/>
      </c>
    </row>
    <row r="321" customFormat="false" ht="15" hidden="false" customHeight="true" outlineLevel="0" collapsed="false">
      <c r="A321" s="29" t="n">
        <v>318</v>
      </c>
      <c r="B321" s="26" t="str">
        <f aca="false">IFERROR(INDEX('Output Utente'!$A$2:$A$492,MATCH(318,'Output Utente'!$R$2:$R$492,0)),"")</f>
        <v/>
      </c>
      <c r="C321" s="26" t="str">
        <f aca="false">IFERROR(INDEX('Output Utente'!$B$2:$B$492,MATCH(318,'Output Utente'!$R$2:$R$492,0)),"")</f>
        <v/>
      </c>
      <c r="D321" s="26" t="str">
        <f aca="false">IFERROR(INDEX('Output Utente'!$C$2:$C$492,MATCH(318,'Output Utente'!$R$2:$R$492,0)),"")</f>
        <v/>
      </c>
      <c r="E321" s="26" t="str">
        <f aca="false">IFERROR(INDEX('Input Giocatori 2026_27'!$D$3:$D$493,MATCH($B321,'Input Giocatori 2026_27'!$A$3:$A$493,0)),"")</f>
        <v/>
      </c>
      <c r="F321" s="27" t="str">
        <f aca="false">IFERROR(INDEX('Output Utente'!$N$2:$N$492,MATCH(318,'Output Utente'!$R$2:$R$492,0)),"")</f>
        <v/>
      </c>
      <c r="G321" s="26" t="str">
        <f aca="false">IFERROR(INDEX('Output Utente'!$O$2:$O$492,MATCH(318,'Output Utente'!$R$2:$R$492,0)),"")</f>
        <v/>
      </c>
      <c r="H321" s="26" t="str">
        <f aca="false">IFERROR(INDEX('Output Utente'!$P$2:$P$492,MATCH(318,'Output Utente'!$R$2:$R$492,0)),"")</f>
        <v/>
      </c>
      <c r="I321" s="27" t="str">
        <f aca="false">IFERROR(INDEX('Output Utente'!$F$2:$F$492,MATCH(318,'Output Utente'!$R$2:$R$492,0)),"")</f>
        <v/>
      </c>
      <c r="J321" s="27" t="str">
        <f aca="false">IFERROR(INDEX('Output Utente'!$G$2:$G$492,MATCH(318,'Output Utente'!$R$2:$R$492,0)),"")</f>
        <v/>
      </c>
      <c r="K321" s="27" t="str">
        <f aca="false">IFERROR(INDEX('Output Utente'!$H$2:$H$492,MATCH(318,'Output Utente'!$R$2:$R$492,0)),"")</f>
        <v/>
      </c>
      <c r="L321" s="26" t="str">
        <f aca="false">IFERROR(INDEX('Output Utente'!$E$2:$E$492,MATCH(318,'Output Utente'!$R$2:$R$492,0)),"")</f>
        <v/>
      </c>
    </row>
    <row r="322" customFormat="false" ht="15" hidden="false" customHeight="true" outlineLevel="0" collapsed="false">
      <c r="A322" s="29" t="n">
        <v>319</v>
      </c>
      <c r="B322" s="26" t="str">
        <f aca="false">IFERROR(INDEX('Output Utente'!$A$2:$A$492,MATCH(319,'Output Utente'!$R$2:$R$492,0)),"")</f>
        <v/>
      </c>
      <c r="C322" s="26" t="str">
        <f aca="false">IFERROR(INDEX('Output Utente'!$B$2:$B$492,MATCH(319,'Output Utente'!$R$2:$R$492,0)),"")</f>
        <v/>
      </c>
      <c r="D322" s="26" t="str">
        <f aca="false">IFERROR(INDEX('Output Utente'!$C$2:$C$492,MATCH(319,'Output Utente'!$R$2:$R$492,0)),"")</f>
        <v/>
      </c>
      <c r="E322" s="26" t="str">
        <f aca="false">IFERROR(INDEX('Input Giocatori 2026_27'!$D$3:$D$493,MATCH($B322,'Input Giocatori 2026_27'!$A$3:$A$493,0)),"")</f>
        <v/>
      </c>
      <c r="F322" s="27" t="str">
        <f aca="false">IFERROR(INDEX('Output Utente'!$N$2:$N$492,MATCH(319,'Output Utente'!$R$2:$R$492,0)),"")</f>
        <v/>
      </c>
      <c r="G322" s="26" t="str">
        <f aca="false">IFERROR(INDEX('Output Utente'!$O$2:$O$492,MATCH(319,'Output Utente'!$R$2:$R$492,0)),"")</f>
        <v/>
      </c>
      <c r="H322" s="26" t="str">
        <f aca="false">IFERROR(INDEX('Output Utente'!$P$2:$P$492,MATCH(319,'Output Utente'!$R$2:$R$492,0)),"")</f>
        <v/>
      </c>
      <c r="I322" s="27" t="str">
        <f aca="false">IFERROR(INDEX('Output Utente'!$F$2:$F$492,MATCH(319,'Output Utente'!$R$2:$R$492,0)),"")</f>
        <v/>
      </c>
      <c r="J322" s="27" t="str">
        <f aca="false">IFERROR(INDEX('Output Utente'!$G$2:$G$492,MATCH(319,'Output Utente'!$R$2:$R$492,0)),"")</f>
        <v/>
      </c>
      <c r="K322" s="27" t="str">
        <f aca="false">IFERROR(INDEX('Output Utente'!$H$2:$H$492,MATCH(319,'Output Utente'!$R$2:$R$492,0)),"")</f>
        <v/>
      </c>
      <c r="L322" s="26" t="str">
        <f aca="false">IFERROR(INDEX('Output Utente'!$E$2:$E$492,MATCH(319,'Output Utente'!$R$2:$R$492,0)),"")</f>
        <v/>
      </c>
    </row>
    <row r="323" customFormat="false" ht="15" hidden="false" customHeight="true" outlineLevel="0" collapsed="false">
      <c r="A323" s="29" t="n">
        <v>320</v>
      </c>
      <c r="B323" s="26" t="str">
        <f aca="false">IFERROR(INDEX('Output Utente'!$A$2:$A$492,MATCH(320,'Output Utente'!$R$2:$R$492,0)),"")</f>
        <v/>
      </c>
      <c r="C323" s="26" t="str">
        <f aca="false">IFERROR(INDEX('Output Utente'!$B$2:$B$492,MATCH(320,'Output Utente'!$R$2:$R$492,0)),"")</f>
        <v/>
      </c>
      <c r="D323" s="26" t="str">
        <f aca="false">IFERROR(INDEX('Output Utente'!$C$2:$C$492,MATCH(320,'Output Utente'!$R$2:$R$492,0)),"")</f>
        <v/>
      </c>
      <c r="E323" s="26" t="str">
        <f aca="false">IFERROR(INDEX('Input Giocatori 2026_27'!$D$3:$D$493,MATCH($B323,'Input Giocatori 2026_27'!$A$3:$A$493,0)),"")</f>
        <v/>
      </c>
      <c r="F323" s="27" t="str">
        <f aca="false">IFERROR(INDEX('Output Utente'!$N$2:$N$492,MATCH(320,'Output Utente'!$R$2:$R$492,0)),"")</f>
        <v/>
      </c>
      <c r="G323" s="26" t="str">
        <f aca="false">IFERROR(INDEX('Output Utente'!$O$2:$O$492,MATCH(320,'Output Utente'!$R$2:$R$492,0)),"")</f>
        <v/>
      </c>
      <c r="H323" s="26" t="str">
        <f aca="false">IFERROR(INDEX('Output Utente'!$P$2:$P$492,MATCH(320,'Output Utente'!$R$2:$R$492,0)),"")</f>
        <v/>
      </c>
      <c r="I323" s="27" t="str">
        <f aca="false">IFERROR(INDEX('Output Utente'!$F$2:$F$492,MATCH(320,'Output Utente'!$R$2:$R$492,0)),"")</f>
        <v/>
      </c>
      <c r="J323" s="27" t="str">
        <f aca="false">IFERROR(INDEX('Output Utente'!$G$2:$G$492,MATCH(320,'Output Utente'!$R$2:$R$492,0)),"")</f>
        <v/>
      </c>
      <c r="K323" s="27" t="str">
        <f aca="false">IFERROR(INDEX('Output Utente'!$H$2:$H$492,MATCH(320,'Output Utente'!$R$2:$R$492,0)),"")</f>
        <v/>
      </c>
      <c r="L323" s="26" t="str">
        <f aca="false">IFERROR(INDEX('Output Utente'!$E$2:$E$492,MATCH(320,'Output Utente'!$R$2:$R$492,0)),"")</f>
        <v/>
      </c>
    </row>
    <row r="324" customFormat="false" ht="15" hidden="false" customHeight="true" outlineLevel="0" collapsed="false">
      <c r="A324" s="29" t="n">
        <v>321</v>
      </c>
      <c r="B324" s="26" t="str">
        <f aca="false">IFERROR(INDEX('Output Utente'!$A$2:$A$492,MATCH(321,'Output Utente'!$R$2:$R$492,0)),"")</f>
        <v/>
      </c>
      <c r="C324" s="26" t="str">
        <f aca="false">IFERROR(INDEX('Output Utente'!$B$2:$B$492,MATCH(321,'Output Utente'!$R$2:$R$492,0)),"")</f>
        <v/>
      </c>
      <c r="D324" s="26" t="str">
        <f aca="false">IFERROR(INDEX('Output Utente'!$C$2:$C$492,MATCH(321,'Output Utente'!$R$2:$R$492,0)),"")</f>
        <v/>
      </c>
      <c r="E324" s="26" t="str">
        <f aca="false">IFERROR(INDEX('Input Giocatori 2026_27'!$D$3:$D$493,MATCH($B324,'Input Giocatori 2026_27'!$A$3:$A$493,0)),"")</f>
        <v/>
      </c>
      <c r="F324" s="27" t="str">
        <f aca="false">IFERROR(INDEX('Output Utente'!$N$2:$N$492,MATCH(321,'Output Utente'!$R$2:$R$492,0)),"")</f>
        <v/>
      </c>
      <c r="G324" s="26" t="str">
        <f aca="false">IFERROR(INDEX('Output Utente'!$O$2:$O$492,MATCH(321,'Output Utente'!$R$2:$R$492,0)),"")</f>
        <v/>
      </c>
      <c r="H324" s="26" t="str">
        <f aca="false">IFERROR(INDEX('Output Utente'!$P$2:$P$492,MATCH(321,'Output Utente'!$R$2:$R$492,0)),"")</f>
        <v/>
      </c>
      <c r="I324" s="27" t="str">
        <f aca="false">IFERROR(INDEX('Output Utente'!$F$2:$F$492,MATCH(321,'Output Utente'!$R$2:$R$492,0)),"")</f>
        <v/>
      </c>
      <c r="J324" s="27" t="str">
        <f aca="false">IFERROR(INDEX('Output Utente'!$G$2:$G$492,MATCH(321,'Output Utente'!$R$2:$R$492,0)),"")</f>
        <v/>
      </c>
      <c r="K324" s="27" t="str">
        <f aca="false">IFERROR(INDEX('Output Utente'!$H$2:$H$492,MATCH(321,'Output Utente'!$R$2:$R$492,0)),"")</f>
        <v/>
      </c>
      <c r="L324" s="26" t="str">
        <f aca="false">IFERROR(INDEX('Output Utente'!$E$2:$E$492,MATCH(321,'Output Utente'!$R$2:$R$492,0)),"")</f>
        <v/>
      </c>
    </row>
    <row r="325" customFormat="false" ht="15" hidden="false" customHeight="true" outlineLevel="0" collapsed="false">
      <c r="A325" s="29" t="n">
        <v>322</v>
      </c>
      <c r="B325" s="26" t="str">
        <f aca="false">IFERROR(INDEX('Output Utente'!$A$2:$A$492,MATCH(322,'Output Utente'!$R$2:$R$492,0)),"")</f>
        <v/>
      </c>
      <c r="C325" s="26" t="str">
        <f aca="false">IFERROR(INDEX('Output Utente'!$B$2:$B$492,MATCH(322,'Output Utente'!$R$2:$R$492,0)),"")</f>
        <v/>
      </c>
      <c r="D325" s="26" t="str">
        <f aca="false">IFERROR(INDEX('Output Utente'!$C$2:$C$492,MATCH(322,'Output Utente'!$R$2:$R$492,0)),"")</f>
        <v/>
      </c>
      <c r="E325" s="26" t="str">
        <f aca="false">IFERROR(INDEX('Input Giocatori 2026_27'!$D$3:$D$493,MATCH($B325,'Input Giocatori 2026_27'!$A$3:$A$493,0)),"")</f>
        <v/>
      </c>
      <c r="F325" s="27" t="str">
        <f aca="false">IFERROR(INDEX('Output Utente'!$N$2:$N$492,MATCH(322,'Output Utente'!$R$2:$R$492,0)),"")</f>
        <v/>
      </c>
      <c r="G325" s="26" t="str">
        <f aca="false">IFERROR(INDEX('Output Utente'!$O$2:$O$492,MATCH(322,'Output Utente'!$R$2:$R$492,0)),"")</f>
        <v/>
      </c>
      <c r="H325" s="26" t="str">
        <f aca="false">IFERROR(INDEX('Output Utente'!$P$2:$P$492,MATCH(322,'Output Utente'!$R$2:$R$492,0)),"")</f>
        <v/>
      </c>
      <c r="I325" s="27" t="str">
        <f aca="false">IFERROR(INDEX('Output Utente'!$F$2:$F$492,MATCH(322,'Output Utente'!$R$2:$R$492,0)),"")</f>
        <v/>
      </c>
      <c r="J325" s="27" t="str">
        <f aca="false">IFERROR(INDEX('Output Utente'!$G$2:$G$492,MATCH(322,'Output Utente'!$R$2:$R$492,0)),"")</f>
        <v/>
      </c>
      <c r="K325" s="27" t="str">
        <f aca="false">IFERROR(INDEX('Output Utente'!$H$2:$H$492,MATCH(322,'Output Utente'!$R$2:$R$492,0)),"")</f>
        <v/>
      </c>
      <c r="L325" s="26" t="str">
        <f aca="false">IFERROR(INDEX('Output Utente'!$E$2:$E$492,MATCH(322,'Output Utente'!$R$2:$R$492,0)),"")</f>
        <v/>
      </c>
    </row>
    <row r="326" customFormat="false" ht="15" hidden="false" customHeight="true" outlineLevel="0" collapsed="false">
      <c r="A326" s="29" t="n">
        <v>323</v>
      </c>
      <c r="B326" s="26" t="str">
        <f aca="false">IFERROR(INDEX('Output Utente'!$A$2:$A$492,MATCH(323,'Output Utente'!$R$2:$R$492,0)),"")</f>
        <v/>
      </c>
      <c r="C326" s="26" t="str">
        <f aca="false">IFERROR(INDEX('Output Utente'!$B$2:$B$492,MATCH(323,'Output Utente'!$R$2:$R$492,0)),"")</f>
        <v/>
      </c>
      <c r="D326" s="26" t="str">
        <f aca="false">IFERROR(INDEX('Output Utente'!$C$2:$C$492,MATCH(323,'Output Utente'!$R$2:$R$492,0)),"")</f>
        <v/>
      </c>
      <c r="E326" s="26" t="str">
        <f aca="false">IFERROR(INDEX('Input Giocatori 2026_27'!$D$3:$D$493,MATCH($B326,'Input Giocatori 2026_27'!$A$3:$A$493,0)),"")</f>
        <v/>
      </c>
      <c r="F326" s="27" t="str">
        <f aca="false">IFERROR(INDEX('Output Utente'!$N$2:$N$492,MATCH(323,'Output Utente'!$R$2:$R$492,0)),"")</f>
        <v/>
      </c>
      <c r="G326" s="26" t="str">
        <f aca="false">IFERROR(INDEX('Output Utente'!$O$2:$O$492,MATCH(323,'Output Utente'!$R$2:$R$492,0)),"")</f>
        <v/>
      </c>
      <c r="H326" s="26" t="str">
        <f aca="false">IFERROR(INDEX('Output Utente'!$P$2:$P$492,MATCH(323,'Output Utente'!$R$2:$R$492,0)),"")</f>
        <v/>
      </c>
      <c r="I326" s="27" t="str">
        <f aca="false">IFERROR(INDEX('Output Utente'!$F$2:$F$492,MATCH(323,'Output Utente'!$R$2:$R$492,0)),"")</f>
        <v/>
      </c>
      <c r="J326" s="27" t="str">
        <f aca="false">IFERROR(INDEX('Output Utente'!$G$2:$G$492,MATCH(323,'Output Utente'!$R$2:$R$492,0)),"")</f>
        <v/>
      </c>
      <c r="K326" s="27" t="str">
        <f aca="false">IFERROR(INDEX('Output Utente'!$H$2:$H$492,MATCH(323,'Output Utente'!$R$2:$R$492,0)),"")</f>
        <v/>
      </c>
      <c r="L326" s="26" t="str">
        <f aca="false">IFERROR(INDEX('Output Utente'!$E$2:$E$492,MATCH(323,'Output Utente'!$R$2:$R$492,0)),"")</f>
        <v/>
      </c>
    </row>
    <row r="327" customFormat="false" ht="15" hidden="false" customHeight="true" outlineLevel="0" collapsed="false">
      <c r="A327" s="29" t="n">
        <v>324</v>
      </c>
      <c r="B327" s="26" t="str">
        <f aca="false">IFERROR(INDEX('Output Utente'!$A$2:$A$492,MATCH(324,'Output Utente'!$R$2:$R$492,0)),"")</f>
        <v/>
      </c>
      <c r="C327" s="26" t="str">
        <f aca="false">IFERROR(INDEX('Output Utente'!$B$2:$B$492,MATCH(324,'Output Utente'!$R$2:$R$492,0)),"")</f>
        <v/>
      </c>
      <c r="D327" s="26" t="str">
        <f aca="false">IFERROR(INDEX('Output Utente'!$C$2:$C$492,MATCH(324,'Output Utente'!$R$2:$R$492,0)),"")</f>
        <v/>
      </c>
      <c r="E327" s="26" t="str">
        <f aca="false">IFERROR(INDEX('Input Giocatori 2026_27'!$D$3:$D$493,MATCH($B327,'Input Giocatori 2026_27'!$A$3:$A$493,0)),"")</f>
        <v/>
      </c>
      <c r="F327" s="27" t="str">
        <f aca="false">IFERROR(INDEX('Output Utente'!$N$2:$N$492,MATCH(324,'Output Utente'!$R$2:$R$492,0)),"")</f>
        <v/>
      </c>
      <c r="G327" s="26" t="str">
        <f aca="false">IFERROR(INDEX('Output Utente'!$O$2:$O$492,MATCH(324,'Output Utente'!$R$2:$R$492,0)),"")</f>
        <v/>
      </c>
      <c r="H327" s="26" t="str">
        <f aca="false">IFERROR(INDEX('Output Utente'!$P$2:$P$492,MATCH(324,'Output Utente'!$R$2:$R$492,0)),"")</f>
        <v/>
      </c>
      <c r="I327" s="27" t="str">
        <f aca="false">IFERROR(INDEX('Output Utente'!$F$2:$F$492,MATCH(324,'Output Utente'!$R$2:$R$492,0)),"")</f>
        <v/>
      </c>
      <c r="J327" s="27" t="str">
        <f aca="false">IFERROR(INDEX('Output Utente'!$G$2:$G$492,MATCH(324,'Output Utente'!$R$2:$R$492,0)),"")</f>
        <v/>
      </c>
      <c r="K327" s="27" t="str">
        <f aca="false">IFERROR(INDEX('Output Utente'!$H$2:$H$492,MATCH(324,'Output Utente'!$R$2:$R$492,0)),"")</f>
        <v/>
      </c>
      <c r="L327" s="26" t="str">
        <f aca="false">IFERROR(INDEX('Output Utente'!$E$2:$E$492,MATCH(324,'Output Utente'!$R$2:$R$492,0)),"")</f>
        <v/>
      </c>
    </row>
    <row r="328" customFormat="false" ht="15" hidden="false" customHeight="true" outlineLevel="0" collapsed="false">
      <c r="A328" s="29" t="n">
        <v>325</v>
      </c>
      <c r="B328" s="26" t="str">
        <f aca="false">IFERROR(INDEX('Output Utente'!$A$2:$A$492,MATCH(325,'Output Utente'!$R$2:$R$492,0)),"")</f>
        <v/>
      </c>
      <c r="C328" s="26" t="str">
        <f aca="false">IFERROR(INDEX('Output Utente'!$B$2:$B$492,MATCH(325,'Output Utente'!$R$2:$R$492,0)),"")</f>
        <v/>
      </c>
      <c r="D328" s="26" t="str">
        <f aca="false">IFERROR(INDEX('Output Utente'!$C$2:$C$492,MATCH(325,'Output Utente'!$R$2:$R$492,0)),"")</f>
        <v/>
      </c>
      <c r="E328" s="26" t="str">
        <f aca="false">IFERROR(INDEX('Input Giocatori 2026_27'!$D$3:$D$493,MATCH($B328,'Input Giocatori 2026_27'!$A$3:$A$493,0)),"")</f>
        <v/>
      </c>
      <c r="F328" s="27" t="str">
        <f aca="false">IFERROR(INDEX('Output Utente'!$N$2:$N$492,MATCH(325,'Output Utente'!$R$2:$R$492,0)),"")</f>
        <v/>
      </c>
      <c r="G328" s="26" t="str">
        <f aca="false">IFERROR(INDEX('Output Utente'!$O$2:$O$492,MATCH(325,'Output Utente'!$R$2:$R$492,0)),"")</f>
        <v/>
      </c>
      <c r="H328" s="26" t="str">
        <f aca="false">IFERROR(INDEX('Output Utente'!$P$2:$P$492,MATCH(325,'Output Utente'!$R$2:$R$492,0)),"")</f>
        <v/>
      </c>
      <c r="I328" s="27" t="str">
        <f aca="false">IFERROR(INDEX('Output Utente'!$F$2:$F$492,MATCH(325,'Output Utente'!$R$2:$R$492,0)),"")</f>
        <v/>
      </c>
      <c r="J328" s="27" t="str">
        <f aca="false">IFERROR(INDEX('Output Utente'!$G$2:$G$492,MATCH(325,'Output Utente'!$R$2:$R$492,0)),"")</f>
        <v/>
      </c>
      <c r="K328" s="27" t="str">
        <f aca="false">IFERROR(INDEX('Output Utente'!$H$2:$H$492,MATCH(325,'Output Utente'!$R$2:$R$492,0)),"")</f>
        <v/>
      </c>
      <c r="L328" s="26" t="str">
        <f aca="false">IFERROR(INDEX('Output Utente'!$E$2:$E$492,MATCH(325,'Output Utente'!$R$2:$R$492,0)),"")</f>
        <v/>
      </c>
    </row>
    <row r="329" customFormat="false" ht="15" hidden="false" customHeight="true" outlineLevel="0" collapsed="false">
      <c r="A329" s="29" t="n">
        <v>326</v>
      </c>
      <c r="B329" s="26" t="str">
        <f aca="false">IFERROR(INDEX('Output Utente'!$A$2:$A$492,MATCH(326,'Output Utente'!$R$2:$R$492,0)),"")</f>
        <v/>
      </c>
      <c r="C329" s="26" t="str">
        <f aca="false">IFERROR(INDEX('Output Utente'!$B$2:$B$492,MATCH(326,'Output Utente'!$R$2:$R$492,0)),"")</f>
        <v/>
      </c>
      <c r="D329" s="26" t="str">
        <f aca="false">IFERROR(INDEX('Output Utente'!$C$2:$C$492,MATCH(326,'Output Utente'!$R$2:$R$492,0)),"")</f>
        <v/>
      </c>
      <c r="E329" s="26" t="str">
        <f aca="false">IFERROR(INDEX('Input Giocatori 2026_27'!$D$3:$D$493,MATCH($B329,'Input Giocatori 2026_27'!$A$3:$A$493,0)),"")</f>
        <v/>
      </c>
      <c r="F329" s="27" t="str">
        <f aca="false">IFERROR(INDEX('Output Utente'!$N$2:$N$492,MATCH(326,'Output Utente'!$R$2:$R$492,0)),"")</f>
        <v/>
      </c>
      <c r="G329" s="26" t="str">
        <f aca="false">IFERROR(INDEX('Output Utente'!$O$2:$O$492,MATCH(326,'Output Utente'!$R$2:$R$492,0)),"")</f>
        <v/>
      </c>
      <c r="H329" s="26" t="str">
        <f aca="false">IFERROR(INDEX('Output Utente'!$P$2:$P$492,MATCH(326,'Output Utente'!$R$2:$R$492,0)),"")</f>
        <v/>
      </c>
      <c r="I329" s="27" t="str">
        <f aca="false">IFERROR(INDEX('Output Utente'!$F$2:$F$492,MATCH(326,'Output Utente'!$R$2:$R$492,0)),"")</f>
        <v/>
      </c>
      <c r="J329" s="27" t="str">
        <f aca="false">IFERROR(INDEX('Output Utente'!$G$2:$G$492,MATCH(326,'Output Utente'!$R$2:$R$492,0)),"")</f>
        <v/>
      </c>
      <c r="K329" s="27" t="str">
        <f aca="false">IFERROR(INDEX('Output Utente'!$H$2:$H$492,MATCH(326,'Output Utente'!$R$2:$R$492,0)),"")</f>
        <v/>
      </c>
      <c r="L329" s="26" t="str">
        <f aca="false">IFERROR(INDEX('Output Utente'!$E$2:$E$492,MATCH(326,'Output Utente'!$R$2:$R$492,0)),"")</f>
        <v/>
      </c>
    </row>
    <row r="330" customFormat="false" ht="15" hidden="false" customHeight="true" outlineLevel="0" collapsed="false">
      <c r="A330" s="29" t="n">
        <v>327</v>
      </c>
      <c r="B330" s="26" t="str">
        <f aca="false">IFERROR(INDEX('Output Utente'!$A$2:$A$492,MATCH(327,'Output Utente'!$R$2:$R$492,0)),"")</f>
        <v/>
      </c>
      <c r="C330" s="26" t="str">
        <f aca="false">IFERROR(INDEX('Output Utente'!$B$2:$B$492,MATCH(327,'Output Utente'!$R$2:$R$492,0)),"")</f>
        <v/>
      </c>
      <c r="D330" s="26" t="str">
        <f aca="false">IFERROR(INDEX('Output Utente'!$C$2:$C$492,MATCH(327,'Output Utente'!$R$2:$R$492,0)),"")</f>
        <v/>
      </c>
      <c r="E330" s="26" t="str">
        <f aca="false">IFERROR(INDEX('Input Giocatori 2026_27'!$D$3:$D$493,MATCH($B330,'Input Giocatori 2026_27'!$A$3:$A$493,0)),"")</f>
        <v/>
      </c>
      <c r="F330" s="27" t="str">
        <f aca="false">IFERROR(INDEX('Output Utente'!$N$2:$N$492,MATCH(327,'Output Utente'!$R$2:$R$492,0)),"")</f>
        <v/>
      </c>
      <c r="G330" s="26" t="str">
        <f aca="false">IFERROR(INDEX('Output Utente'!$O$2:$O$492,MATCH(327,'Output Utente'!$R$2:$R$492,0)),"")</f>
        <v/>
      </c>
      <c r="H330" s="26" t="str">
        <f aca="false">IFERROR(INDEX('Output Utente'!$P$2:$P$492,MATCH(327,'Output Utente'!$R$2:$R$492,0)),"")</f>
        <v/>
      </c>
      <c r="I330" s="27" t="str">
        <f aca="false">IFERROR(INDEX('Output Utente'!$F$2:$F$492,MATCH(327,'Output Utente'!$R$2:$R$492,0)),"")</f>
        <v/>
      </c>
      <c r="J330" s="27" t="str">
        <f aca="false">IFERROR(INDEX('Output Utente'!$G$2:$G$492,MATCH(327,'Output Utente'!$R$2:$R$492,0)),"")</f>
        <v/>
      </c>
      <c r="K330" s="27" t="str">
        <f aca="false">IFERROR(INDEX('Output Utente'!$H$2:$H$492,MATCH(327,'Output Utente'!$R$2:$R$492,0)),"")</f>
        <v/>
      </c>
      <c r="L330" s="26" t="str">
        <f aca="false">IFERROR(INDEX('Output Utente'!$E$2:$E$492,MATCH(327,'Output Utente'!$R$2:$R$492,0)),"")</f>
        <v/>
      </c>
    </row>
    <row r="331" customFormat="false" ht="15" hidden="false" customHeight="true" outlineLevel="0" collapsed="false">
      <c r="A331" s="29" t="n">
        <v>328</v>
      </c>
      <c r="B331" s="26" t="str">
        <f aca="false">IFERROR(INDEX('Output Utente'!$A$2:$A$492,MATCH(328,'Output Utente'!$R$2:$R$492,0)),"")</f>
        <v/>
      </c>
      <c r="C331" s="26" t="str">
        <f aca="false">IFERROR(INDEX('Output Utente'!$B$2:$B$492,MATCH(328,'Output Utente'!$R$2:$R$492,0)),"")</f>
        <v/>
      </c>
      <c r="D331" s="26" t="str">
        <f aca="false">IFERROR(INDEX('Output Utente'!$C$2:$C$492,MATCH(328,'Output Utente'!$R$2:$R$492,0)),"")</f>
        <v/>
      </c>
      <c r="E331" s="26" t="str">
        <f aca="false">IFERROR(INDEX('Input Giocatori 2026_27'!$D$3:$D$493,MATCH($B331,'Input Giocatori 2026_27'!$A$3:$A$493,0)),"")</f>
        <v/>
      </c>
      <c r="F331" s="27" t="str">
        <f aca="false">IFERROR(INDEX('Output Utente'!$N$2:$N$492,MATCH(328,'Output Utente'!$R$2:$R$492,0)),"")</f>
        <v/>
      </c>
      <c r="G331" s="26" t="str">
        <f aca="false">IFERROR(INDEX('Output Utente'!$O$2:$O$492,MATCH(328,'Output Utente'!$R$2:$R$492,0)),"")</f>
        <v/>
      </c>
      <c r="H331" s="26" t="str">
        <f aca="false">IFERROR(INDEX('Output Utente'!$P$2:$P$492,MATCH(328,'Output Utente'!$R$2:$R$492,0)),"")</f>
        <v/>
      </c>
      <c r="I331" s="27" t="str">
        <f aca="false">IFERROR(INDEX('Output Utente'!$F$2:$F$492,MATCH(328,'Output Utente'!$R$2:$R$492,0)),"")</f>
        <v/>
      </c>
      <c r="J331" s="27" t="str">
        <f aca="false">IFERROR(INDEX('Output Utente'!$G$2:$G$492,MATCH(328,'Output Utente'!$R$2:$R$492,0)),"")</f>
        <v/>
      </c>
      <c r="K331" s="27" t="str">
        <f aca="false">IFERROR(INDEX('Output Utente'!$H$2:$H$492,MATCH(328,'Output Utente'!$R$2:$R$492,0)),"")</f>
        <v/>
      </c>
      <c r="L331" s="26" t="str">
        <f aca="false">IFERROR(INDEX('Output Utente'!$E$2:$E$492,MATCH(328,'Output Utente'!$R$2:$R$492,0)),"")</f>
        <v/>
      </c>
    </row>
    <row r="332" customFormat="false" ht="15" hidden="false" customHeight="true" outlineLevel="0" collapsed="false">
      <c r="A332" s="29" t="n">
        <v>329</v>
      </c>
      <c r="B332" s="26" t="str">
        <f aca="false">IFERROR(INDEX('Output Utente'!$A$2:$A$492,MATCH(329,'Output Utente'!$R$2:$R$492,0)),"")</f>
        <v/>
      </c>
      <c r="C332" s="26" t="str">
        <f aca="false">IFERROR(INDEX('Output Utente'!$B$2:$B$492,MATCH(329,'Output Utente'!$R$2:$R$492,0)),"")</f>
        <v/>
      </c>
      <c r="D332" s="26" t="str">
        <f aca="false">IFERROR(INDEX('Output Utente'!$C$2:$C$492,MATCH(329,'Output Utente'!$R$2:$R$492,0)),"")</f>
        <v/>
      </c>
      <c r="E332" s="26" t="str">
        <f aca="false">IFERROR(INDEX('Input Giocatori 2026_27'!$D$3:$D$493,MATCH($B332,'Input Giocatori 2026_27'!$A$3:$A$493,0)),"")</f>
        <v/>
      </c>
      <c r="F332" s="27" t="str">
        <f aca="false">IFERROR(INDEX('Output Utente'!$N$2:$N$492,MATCH(329,'Output Utente'!$R$2:$R$492,0)),"")</f>
        <v/>
      </c>
      <c r="G332" s="26" t="str">
        <f aca="false">IFERROR(INDEX('Output Utente'!$O$2:$O$492,MATCH(329,'Output Utente'!$R$2:$R$492,0)),"")</f>
        <v/>
      </c>
      <c r="H332" s="26" t="str">
        <f aca="false">IFERROR(INDEX('Output Utente'!$P$2:$P$492,MATCH(329,'Output Utente'!$R$2:$R$492,0)),"")</f>
        <v/>
      </c>
      <c r="I332" s="27" t="str">
        <f aca="false">IFERROR(INDEX('Output Utente'!$F$2:$F$492,MATCH(329,'Output Utente'!$R$2:$R$492,0)),"")</f>
        <v/>
      </c>
      <c r="J332" s="27" t="str">
        <f aca="false">IFERROR(INDEX('Output Utente'!$G$2:$G$492,MATCH(329,'Output Utente'!$R$2:$R$492,0)),"")</f>
        <v/>
      </c>
      <c r="K332" s="27" t="str">
        <f aca="false">IFERROR(INDEX('Output Utente'!$H$2:$H$492,MATCH(329,'Output Utente'!$R$2:$R$492,0)),"")</f>
        <v/>
      </c>
      <c r="L332" s="26" t="str">
        <f aca="false">IFERROR(INDEX('Output Utente'!$E$2:$E$492,MATCH(329,'Output Utente'!$R$2:$R$492,0)),"")</f>
        <v/>
      </c>
    </row>
    <row r="333" customFormat="false" ht="15" hidden="false" customHeight="true" outlineLevel="0" collapsed="false">
      <c r="A333" s="29" t="n">
        <v>330</v>
      </c>
      <c r="B333" s="26" t="str">
        <f aca="false">IFERROR(INDEX('Output Utente'!$A$2:$A$492,MATCH(330,'Output Utente'!$R$2:$R$492,0)),"")</f>
        <v/>
      </c>
      <c r="C333" s="26" t="str">
        <f aca="false">IFERROR(INDEX('Output Utente'!$B$2:$B$492,MATCH(330,'Output Utente'!$R$2:$R$492,0)),"")</f>
        <v/>
      </c>
      <c r="D333" s="26" t="str">
        <f aca="false">IFERROR(INDEX('Output Utente'!$C$2:$C$492,MATCH(330,'Output Utente'!$R$2:$R$492,0)),"")</f>
        <v/>
      </c>
      <c r="E333" s="26" t="str">
        <f aca="false">IFERROR(INDEX('Input Giocatori 2026_27'!$D$3:$D$493,MATCH($B333,'Input Giocatori 2026_27'!$A$3:$A$493,0)),"")</f>
        <v/>
      </c>
      <c r="F333" s="27" t="str">
        <f aca="false">IFERROR(INDEX('Output Utente'!$N$2:$N$492,MATCH(330,'Output Utente'!$R$2:$R$492,0)),"")</f>
        <v/>
      </c>
      <c r="G333" s="26" t="str">
        <f aca="false">IFERROR(INDEX('Output Utente'!$O$2:$O$492,MATCH(330,'Output Utente'!$R$2:$R$492,0)),"")</f>
        <v/>
      </c>
      <c r="H333" s="26" t="str">
        <f aca="false">IFERROR(INDEX('Output Utente'!$P$2:$P$492,MATCH(330,'Output Utente'!$R$2:$R$492,0)),"")</f>
        <v/>
      </c>
      <c r="I333" s="27" t="str">
        <f aca="false">IFERROR(INDEX('Output Utente'!$F$2:$F$492,MATCH(330,'Output Utente'!$R$2:$R$492,0)),"")</f>
        <v/>
      </c>
      <c r="J333" s="27" t="str">
        <f aca="false">IFERROR(INDEX('Output Utente'!$G$2:$G$492,MATCH(330,'Output Utente'!$R$2:$R$492,0)),"")</f>
        <v/>
      </c>
      <c r="K333" s="27" t="str">
        <f aca="false">IFERROR(INDEX('Output Utente'!$H$2:$H$492,MATCH(330,'Output Utente'!$R$2:$R$492,0)),"")</f>
        <v/>
      </c>
      <c r="L333" s="26" t="str">
        <f aca="false">IFERROR(INDEX('Output Utente'!$E$2:$E$492,MATCH(330,'Output Utente'!$R$2:$R$492,0)),"")</f>
        <v/>
      </c>
    </row>
    <row r="334" customFormat="false" ht="15" hidden="false" customHeight="true" outlineLevel="0" collapsed="false">
      <c r="A334" s="29" t="n">
        <v>331</v>
      </c>
      <c r="B334" s="26" t="str">
        <f aca="false">IFERROR(INDEX('Output Utente'!$A$2:$A$492,MATCH(331,'Output Utente'!$R$2:$R$492,0)),"")</f>
        <v/>
      </c>
      <c r="C334" s="26" t="str">
        <f aca="false">IFERROR(INDEX('Output Utente'!$B$2:$B$492,MATCH(331,'Output Utente'!$R$2:$R$492,0)),"")</f>
        <v/>
      </c>
      <c r="D334" s="26" t="str">
        <f aca="false">IFERROR(INDEX('Output Utente'!$C$2:$C$492,MATCH(331,'Output Utente'!$R$2:$R$492,0)),"")</f>
        <v/>
      </c>
      <c r="E334" s="26" t="str">
        <f aca="false">IFERROR(INDEX('Input Giocatori 2026_27'!$D$3:$D$493,MATCH($B334,'Input Giocatori 2026_27'!$A$3:$A$493,0)),"")</f>
        <v/>
      </c>
      <c r="F334" s="27" t="str">
        <f aca="false">IFERROR(INDEX('Output Utente'!$N$2:$N$492,MATCH(331,'Output Utente'!$R$2:$R$492,0)),"")</f>
        <v/>
      </c>
      <c r="G334" s="26" t="str">
        <f aca="false">IFERROR(INDEX('Output Utente'!$O$2:$O$492,MATCH(331,'Output Utente'!$R$2:$R$492,0)),"")</f>
        <v/>
      </c>
      <c r="H334" s="26" t="str">
        <f aca="false">IFERROR(INDEX('Output Utente'!$P$2:$P$492,MATCH(331,'Output Utente'!$R$2:$R$492,0)),"")</f>
        <v/>
      </c>
      <c r="I334" s="27" t="str">
        <f aca="false">IFERROR(INDEX('Output Utente'!$F$2:$F$492,MATCH(331,'Output Utente'!$R$2:$R$492,0)),"")</f>
        <v/>
      </c>
      <c r="J334" s="27" t="str">
        <f aca="false">IFERROR(INDEX('Output Utente'!$G$2:$G$492,MATCH(331,'Output Utente'!$R$2:$R$492,0)),"")</f>
        <v/>
      </c>
      <c r="K334" s="27" t="str">
        <f aca="false">IFERROR(INDEX('Output Utente'!$H$2:$H$492,MATCH(331,'Output Utente'!$R$2:$R$492,0)),"")</f>
        <v/>
      </c>
      <c r="L334" s="26" t="str">
        <f aca="false">IFERROR(INDEX('Output Utente'!$E$2:$E$492,MATCH(331,'Output Utente'!$R$2:$R$492,0)),"")</f>
        <v/>
      </c>
    </row>
    <row r="335" customFormat="false" ht="15" hidden="false" customHeight="true" outlineLevel="0" collapsed="false">
      <c r="A335" s="29" t="n">
        <v>332</v>
      </c>
      <c r="B335" s="26" t="str">
        <f aca="false">IFERROR(INDEX('Output Utente'!$A$2:$A$492,MATCH(332,'Output Utente'!$R$2:$R$492,0)),"")</f>
        <v/>
      </c>
      <c r="C335" s="26" t="str">
        <f aca="false">IFERROR(INDEX('Output Utente'!$B$2:$B$492,MATCH(332,'Output Utente'!$R$2:$R$492,0)),"")</f>
        <v/>
      </c>
      <c r="D335" s="26" t="str">
        <f aca="false">IFERROR(INDEX('Output Utente'!$C$2:$C$492,MATCH(332,'Output Utente'!$R$2:$R$492,0)),"")</f>
        <v/>
      </c>
      <c r="E335" s="26" t="str">
        <f aca="false">IFERROR(INDEX('Input Giocatori 2026_27'!$D$3:$D$493,MATCH($B335,'Input Giocatori 2026_27'!$A$3:$A$493,0)),"")</f>
        <v/>
      </c>
      <c r="F335" s="27" t="str">
        <f aca="false">IFERROR(INDEX('Output Utente'!$N$2:$N$492,MATCH(332,'Output Utente'!$R$2:$R$492,0)),"")</f>
        <v/>
      </c>
      <c r="G335" s="26" t="str">
        <f aca="false">IFERROR(INDEX('Output Utente'!$O$2:$O$492,MATCH(332,'Output Utente'!$R$2:$R$492,0)),"")</f>
        <v/>
      </c>
      <c r="H335" s="26" t="str">
        <f aca="false">IFERROR(INDEX('Output Utente'!$P$2:$P$492,MATCH(332,'Output Utente'!$R$2:$R$492,0)),"")</f>
        <v/>
      </c>
      <c r="I335" s="27" t="str">
        <f aca="false">IFERROR(INDEX('Output Utente'!$F$2:$F$492,MATCH(332,'Output Utente'!$R$2:$R$492,0)),"")</f>
        <v/>
      </c>
      <c r="J335" s="27" t="str">
        <f aca="false">IFERROR(INDEX('Output Utente'!$G$2:$G$492,MATCH(332,'Output Utente'!$R$2:$R$492,0)),"")</f>
        <v/>
      </c>
      <c r="K335" s="27" t="str">
        <f aca="false">IFERROR(INDEX('Output Utente'!$H$2:$H$492,MATCH(332,'Output Utente'!$R$2:$R$492,0)),"")</f>
        <v/>
      </c>
      <c r="L335" s="26" t="str">
        <f aca="false">IFERROR(INDEX('Output Utente'!$E$2:$E$492,MATCH(332,'Output Utente'!$R$2:$R$492,0)),"")</f>
        <v/>
      </c>
    </row>
    <row r="336" customFormat="false" ht="15" hidden="false" customHeight="true" outlineLevel="0" collapsed="false">
      <c r="A336" s="29" t="n">
        <v>333</v>
      </c>
      <c r="B336" s="26" t="str">
        <f aca="false">IFERROR(INDEX('Output Utente'!$A$2:$A$492,MATCH(333,'Output Utente'!$R$2:$R$492,0)),"")</f>
        <v/>
      </c>
      <c r="C336" s="26" t="str">
        <f aca="false">IFERROR(INDEX('Output Utente'!$B$2:$B$492,MATCH(333,'Output Utente'!$R$2:$R$492,0)),"")</f>
        <v/>
      </c>
      <c r="D336" s="26" t="str">
        <f aca="false">IFERROR(INDEX('Output Utente'!$C$2:$C$492,MATCH(333,'Output Utente'!$R$2:$R$492,0)),"")</f>
        <v/>
      </c>
      <c r="E336" s="26" t="str">
        <f aca="false">IFERROR(INDEX('Input Giocatori 2026_27'!$D$3:$D$493,MATCH($B336,'Input Giocatori 2026_27'!$A$3:$A$493,0)),"")</f>
        <v/>
      </c>
      <c r="F336" s="27" t="str">
        <f aca="false">IFERROR(INDEX('Output Utente'!$N$2:$N$492,MATCH(333,'Output Utente'!$R$2:$R$492,0)),"")</f>
        <v/>
      </c>
      <c r="G336" s="26" t="str">
        <f aca="false">IFERROR(INDEX('Output Utente'!$O$2:$O$492,MATCH(333,'Output Utente'!$R$2:$R$492,0)),"")</f>
        <v/>
      </c>
      <c r="H336" s="26" t="str">
        <f aca="false">IFERROR(INDEX('Output Utente'!$P$2:$P$492,MATCH(333,'Output Utente'!$R$2:$R$492,0)),"")</f>
        <v/>
      </c>
      <c r="I336" s="27" t="str">
        <f aca="false">IFERROR(INDEX('Output Utente'!$F$2:$F$492,MATCH(333,'Output Utente'!$R$2:$R$492,0)),"")</f>
        <v/>
      </c>
      <c r="J336" s="27" t="str">
        <f aca="false">IFERROR(INDEX('Output Utente'!$G$2:$G$492,MATCH(333,'Output Utente'!$R$2:$R$492,0)),"")</f>
        <v/>
      </c>
      <c r="K336" s="27" t="str">
        <f aca="false">IFERROR(INDEX('Output Utente'!$H$2:$H$492,MATCH(333,'Output Utente'!$R$2:$R$492,0)),"")</f>
        <v/>
      </c>
      <c r="L336" s="26" t="str">
        <f aca="false">IFERROR(INDEX('Output Utente'!$E$2:$E$492,MATCH(333,'Output Utente'!$R$2:$R$492,0)),"")</f>
        <v/>
      </c>
    </row>
    <row r="337" customFormat="false" ht="15" hidden="false" customHeight="true" outlineLevel="0" collapsed="false">
      <c r="A337" s="29" t="n">
        <v>334</v>
      </c>
      <c r="B337" s="26" t="str">
        <f aca="false">IFERROR(INDEX('Output Utente'!$A$2:$A$492,MATCH(334,'Output Utente'!$R$2:$R$492,0)),"")</f>
        <v/>
      </c>
      <c r="C337" s="26" t="str">
        <f aca="false">IFERROR(INDEX('Output Utente'!$B$2:$B$492,MATCH(334,'Output Utente'!$R$2:$R$492,0)),"")</f>
        <v/>
      </c>
      <c r="D337" s="26" t="str">
        <f aca="false">IFERROR(INDEX('Output Utente'!$C$2:$C$492,MATCH(334,'Output Utente'!$R$2:$R$492,0)),"")</f>
        <v/>
      </c>
      <c r="E337" s="26" t="str">
        <f aca="false">IFERROR(INDEX('Input Giocatori 2026_27'!$D$3:$D$493,MATCH($B337,'Input Giocatori 2026_27'!$A$3:$A$493,0)),"")</f>
        <v/>
      </c>
      <c r="F337" s="27" t="str">
        <f aca="false">IFERROR(INDEX('Output Utente'!$N$2:$N$492,MATCH(334,'Output Utente'!$R$2:$R$492,0)),"")</f>
        <v/>
      </c>
      <c r="G337" s="26" t="str">
        <f aca="false">IFERROR(INDEX('Output Utente'!$O$2:$O$492,MATCH(334,'Output Utente'!$R$2:$R$492,0)),"")</f>
        <v/>
      </c>
      <c r="H337" s="26" t="str">
        <f aca="false">IFERROR(INDEX('Output Utente'!$P$2:$P$492,MATCH(334,'Output Utente'!$R$2:$R$492,0)),"")</f>
        <v/>
      </c>
      <c r="I337" s="27" t="str">
        <f aca="false">IFERROR(INDEX('Output Utente'!$F$2:$F$492,MATCH(334,'Output Utente'!$R$2:$R$492,0)),"")</f>
        <v/>
      </c>
      <c r="J337" s="27" t="str">
        <f aca="false">IFERROR(INDEX('Output Utente'!$G$2:$G$492,MATCH(334,'Output Utente'!$R$2:$R$492,0)),"")</f>
        <v/>
      </c>
      <c r="K337" s="27" t="str">
        <f aca="false">IFERROR(INDEX('Output Utente'!$H$2:$H$492,MATCH(334,'Output Utente'!$R$2:$R$492,0)),"")</f>
        <v/>
      </c>
      <c r="L337" s="26" t="str">
        <f aca="false">IFERROR(INDEX('Output Utente'!$E$2:$E$492,MATCH(334,'Output Utente'!$R$2:$R$492,0)),"")</f>
        <v/>
      </c>
    </row>
    <row r="338" customFormat="false" ht="15" hidden="false" customHeight="true" outlineLevel="0" collapsed="false">
      <c r="A338" s="29" t="n">
        <v>335</v>
      </c>
      <c r="B338" s="26" t="str">
        <f aca="false">IFERROR(INDEX('Output Utente'!$A$2:$A$492,MATCH(335,'Output Utente'!$R$2:$R$492,0)),"")</f>
        <v/>
      </c>
      <c r="C338" s="26" t="str">
        <f aca="false">IFERROR(INDEX('Output Utente'!$B$2:$B$492,MATCH(335,'Output Utente'!$R$2:$R$492,0)),"")</f>
        <v/>
      </c>
      <c r="D338" s="26" t="str">
        <f aca="false">IFERROR(INDEX('Output Utente'!$C$2:$C$492,MATCH(335,'Output Utente'!$R$2:$R$492,0)),"")</f>
        <v/>
      </c>
      <c r="E338" s="26" t="str">
        <f aca="false">IFERROR(INDEX('Input Giocatori 2026_27'!$D$3:$D$493,MATCH($B338,'Input Giocatori 2026_27'!$A$3:$A$493,0)),"")</f>
        <v/>
      </c>
      <c r="F338" s="27" t="str">
        <f aca="false">IFERROR(INDEX('Output Utente'!$N$2:$N$492,MATCH(335,'Output Utente'!$R$2:$R$492,0)),"")</f>
        <v/>
      </c>
      <c r="G338" s="26" t="str">
        <f aca="false">IFERROR(INDEX('Output Utente'!$O$2:$O$492,MATCH(335,'Output Utente'!$R$2:$R$492,0)),"")</f>
        <v/>
      </c>
      <c r="H338" s="26" t="str">
        <f aca="false">IFERROR(INDEX('Output Utente'!$P$2:$P$492,MATCH(335,'Output Utente'!$R$2:$R$492,0)),"")</f>
        <v/>
      </c>
      <c r="I338" s="27" t="str">
        <f aca="false">IFERROR(INDEX('Output Utente'!$F$2:$F$492,MATCH(335,'Output Utente'!$R$2:$R$492,0)),"")</f>
        <v/>
      </c>
      <c r="J338" s="27" t="str">
        <f aca="false">IFERROR(INDEX('Output Utente'!$G$2:$G$492,MATCH(335,'Output Utente'!$R$2:$R$492,0)),"")</f>
        <v/>
      </c>
      <c r="K338" s="27" t="str">
        <f aca="false">IFERROR(INDEX('Output Utente'!$H$2:$H$492,MATCH(335,'Output Utente'!$R$2:$R$492,0)),"")</f>
        <v/>
      </c>
      <c r="L338" s="26" t="str">
        <f aca="false">IFERROR(INDEX('Output Utente'!$E$2:$E$492,MATCH(335,'Output Utente'!$R$2:$R$492,0)),"")</f>
        <v/>
      </c>
    </row>
    <row r="339" customFormat="false" ht="15" hidden="false" customHeight="true" outlineLevel="0" collapsed="false">
      <c r="A339" s="29" t="n">
        <v>336</v>
      </c>
      <c r="B339" s="26" t="str">
        <f aca="false">IFERROR(INDEX('Output Utente'!$A$2:$A$492,MATCH(336,'Output Utente'!$R$2:$R$492,0)),"")</f>
        <v/>
      </c>
      <c r="C339" s="26" t="str">
        <f aca="false">IFERROR(INDEX('Output Utente'!$B$2:$B$492,MATCH(336,'Output Utente'!$R$2:$R$492,0)),"")</f>
        <v/>
      </c>
      <c r="D339" s="26" t="str">
        <f aca="false">IFERROR(INDEX('Output Utente'!$C$2:$C$492,MATCH(336,'Output Utente'!$R$2:$R$492,0)),"")</f>
        <v/>
      </c>
      <c r="E339" s="26" t="str">
        <f aca="false">IFERROR(INDEX('Input Giocatori 2026_27'!$D$3:$D$493,MATCH($B339,'Input Giocatori 2026_27'!$A$3:$A$493,0)),"")</f>
        <v/>
      </c>
      <c r="F339" s="27" t="str">
        <f aca="false">IFERROR(INDEX('Output Utente'!$N$2:$N$492,MATCH(336,'Output Utente'!$R$2:$R$492,0)),"")</f>
        <v/>
      </c>
      <c r="G339" s="26" t="str">
        <f aca="false">IFERROR(INDEX('Output Utente'!$O$2:$O$492,MATCH(336,'Output Utente'!$R$2:$R$492,0)),"")</f>
        <v/>
      </c>
      <c r="H339" s="26" t="str">
        <f aca="false">IFERROR(INDEX('Output Utente'!$P$2:$P$492,MATCH(336,'Output Utente'!$R$2:$R$492,0)),"")</f>
        <v/>
      </c>
      <c r="I339" s="27" t="str">
        <f aca="false">IFERROR(INDEX('Output Utente'!$F$2:$F$492,MATCH(336,'Output Utente'!$R$2:$R$492,0)),"")</f>
        <v/>
      </c>
      <c r="J339" s="27" t="str">
        <f aca="false">IFERROR(INDEX('Output Utente'!$G$2:$G$492,MATCH(336,'Output Utente'!$R$2:$R$492,0)),"")</f>
        <v/>
      </c>
      <c r="K339" s="27" t="str">
        <f aca="false">IFERROR(INDEX('Output Utente'!$H$2:$H$492,MATCH(336,'Output Utente'!$R$2:$R$492,0)),"")</f>
        <v/>
      </c>
      <c r="L339" s="26" t="str">
        <f aca="false">IFERROR(INDEX('Output Utente'!$E$2:$E$492,MATCH(336,'Output Utente'!$R$2:$R$492,0)),"")</f>
        <v/>
      </c>
    </row>
    <row r="340" customFormat="false" ht="15" hidden="false" customHeight="true" outlineLevel="0" collapsed="false">
      <c r="A340" s="29" t="n">
        <v>337</v>
      </c>
      <c r="B340" s="26" t="str">
        <f aca="false">IFERROR(INDEX('Output Utente'!$A$2:$A$492,MATCH(337,'Output Utente'!$R$2:$R$492,0)),"")</f>
        <v/>
      </c>
      <c r="C340" s="26" t="str">
        <f aca="false">IFERROR(INDEX('Output Utente'!$B$2:$B$492,MATCH(337,'Output Utente'!$R$2:$R$492,0)),"")</f>
        <v/>
      </c>
      <c r="D340" s="26" t="str">
        <f aca="false">IFERROR(INDEX('Output Utente'!$C$2:$C$492,MATCH(337,'Output Utente'!$R$2:$R$492,0)),"")</f>
        <v/>
      </c>
      <c r="E340" s="26" t="str">
        <f aca="false">IFERROR(INDEX('Input Giocatori 2026_27'!$D$3:$D$493,MATCH($B340,'Input Giocatori 2026_27'!$A$3:$A$493,0)),"")</f>
        <v/>
      </c>
      <c r="F340" s="27" t="str">
        <f aca="false">IFERROR(INDEX('Output Utente'!$N$2:$N$492,MATCH(337,'Output Utente'!$R$2:$R$492,0)),"")</f>
        <v/>
      </c>
      <c r="G340" s="26" t="str">
        <f aca="false">IFERROR(INDEX('Output Utente'!$O$2:$O$492,MATCH(337,'Output Utente'!$R$2:$R$492,0)),"")</f>
        <v/>
      </c>
      <c r="H340" s="26" t="str">
        <f aca="false">IFERROR(INDEX('Output Utente'!$P$2:$P$492,MATCH(337,'Output Utente'!$R$2:$R$492,0)),"")</f>
        <v/>
      </c>
      <c r="I340" s="27" t="str">
        <f aca="false">IFERROR(INDEX('Output Utente'!$F$2:$F$492,MATCH(337,'Output Utente'!$R$2:$R$492,0)),"")</f>
        <v/>
      </c>
      <c r="J340" s="27" t="str">
        <f aca="false">IFERROR(INDEX('Output Utente'!$G$2:$G$492,MATCH(337,'Output Utente'!$R$2:$R$492,0)),"")</f>
        <v/>
      </c>
      <c r="K340" s="27" t="str">
        <f aca="false">IFERROR(INDEX('Output Utente'!$H$2:$H$492,MATCH(337,'Output Utente'!$R$2:$R$492,0)),"")</f>
        <v/>
      </c>
      <c r="L340" s="26" t="str">
        <f aca="false">IFERROR(INDEX('Output Utente'!$E$2:$E$492,MATCH(337,'Output Utente'!$R$2:$R$492,0)),"")</f>
        <v/>
      </c>
    </row>
    <row r="341" customFormat="false" ht="15" hidden="false" customHeight="true" outlineLevel="0" collapsed="false">
      <c r="A341" s="29" t="n">
        <v>338</v>
      </c>
      <c r="B341" s="26" t="str">
        <f aca="false">IFERROR(INDEX('Output Utente'!$A$2:$A$492,MATCH(338,'Output Utente'!$R$2:$R$492,0)),"")</f>
        <v/>
      </c>
      <c r="C341" s="26" t="str">
        <f aca="false">IFERROR(INDEX('Output Utente'!$B$2:$B$492,MATCH(338,'Output Utente'!$R$2:$R$492,0)),"")</f>
        <v/>
      </c>
      <c r="D341" s="26" t="str">
        <f aca="false">IFERROR(INDEX('Output Utente'!$C$2:$C$492,MATCH(338,'Output Utente'!$R$2:$R$492,0)),"")</f>
        <v/>
      </c>
      <c r="E341" s="26" t="str">
        <f aca="false">IFERROR(INDEX('Input Giocatori 2026_27'!$D$3:$D$493,MATCH($B341,'Input Giocatori 2026_27'!$A$3:$A$493,0)),"")</f>
        <v/>
      </c>
      <c r="F341" s="27" t="str">
        <f aca="false">IFERROR(INDEX('Output Utente'!$N$2:$N$492,MATCH(338,'Output Utente'!$R$2:$R$492,0)),"")</f>
        <v/>
      </c>
      <c r="G341" s="26" t="str">
        <f aca="false">IFERROR(INDEX('Output Utente'!$O$2:$O$492,MATCH(338,'Output Utente'!$R$2:$R$492,0)),"")</f>
        <v/>
      </c>
      <c r="H341" s="26" t="str">
        <f aca="false">IFERROR(INDEX('Output Utente'!$P$2:$P$492,MATCH(338,'Output Utente'!$R$2:$R$492,0)),"")</f>
        <v/>
      </c>
      <c r="I341" s="27" t="str">
        <f aca="false">IFERROR(INDEX('Output Utente'!$F$2:$F$492,MATCH(338,'Output Utente'!$R$2:$R$492,0)),"")</f>
        <v/>
      </c>
      <c r="J341" s="27" t="str">
        <f aca="false">IFERROR(INDEX('Output Utente'!$G$2:$G$492,MATCH(338,'Output Utente'!$R$2:$R$492,0)),"")</f>
        <v/>
      </c>
      <c r="K341" s="27" t="str">
        <f aca="false">IFERROR(INDEX('Output Utente'!$H$2:$H$492,MATCH(338,'Output Utente'!$R$2:$R$492,0)),"")</f>
        <v/>
      </c>
      <c r="L341" s="26" t="str">
        <f aca="false">IFERROR(INDEX('Output Utente'!$E$2:$E$492,MATCH(338,'Output Utente'!$R$2:$R$492,0)),"")</f>
        <v/>
      </c>
    </row>
    <row r="342" customFormat="false" ht="15" hidden="false" customHeight="true" outlineLevel="0" collapsed="false">
      <c r="A342" s="29" t="n">
        <v>339</v>
      </c>
      <c r="B342" s="26" t="str">
        <f aca="false">IFERROR(INDEX('Output Utente'!$A$2:$A$492,MATCH(339,'Output Utente'!$R$2:$R$492,0)),"")</f>
        <v/>
      </c>
      <c r="C342" s="26" t="str">
        <f aca="false">IFERROR(INDEX('Output Utente'!$B$2:$B$492,MATCH(339,'Output Utente'!$R$2:$R$492,0)),"")</f>
        <v/>
      </c>
      <c r="D342" s="26" t="str">
        <f aca="false">IFERROR(INDEX('Output Utente'!$C$2:$C$492,MATCH(339,'Output Utente'!$R$2:$R$492,0)),"")</f>
        <v/>
      </c>
      <c r="E342" s="26" t="str">
        <f aca="false">IFERROR(INDEX('Input Giocatori 2026_27'!$D$3:$D$493,MATCH($B342,'Input Giocatori 2026_27'!$A$3:$A$493,0)),"")</f>
        <v/>
      </c>
      <c r="F342" s="27" t="str">
        <f aca="false">IFERROR(INDEX('Output Utente'!$N$2:$N$492,MATCH(339,'Output Utente'!$R$2:$R$492,0)),"")</f>
        <v/>
      </c>
      <c r="G342" s="26" t="str">
        <f aca="false">IFERROR(INDEX('Output Utente'!$O$2:$O$492,MATCH(339,'Output Utente'!$R$2:$R$492,0)),"")</f>
        <v/>
      </c>
      <c r="H342" s="26" t="str">
        <f aca="false">IFERROR(INDEX('Output Utente'!$P$2:$P$492,MATCH(339,'Output Utente'!$R$2:$R$492,0)),"")</f>
        <v/>
      </c>
      <c r="I342" s="27" t="str">
        <f aca="false">IFERROR(INDEX('Output Utente'!$F$2:$F$492,MATCH(339,'Output Utente'!$R$2:$R$492,0)),"")</f>
        <v/>
      </c>
      <c r="J342" s="27" t="str">
        <f aca="false">IFERROR(INDEX('Output Utente'!$G$2:$G$492,MATCH(339,'Output Utente'!$R$2:$R$492,0)),"")</f>
        <v/>
      </c>
      <c r="K342" s="27" t="str">
        <f aca="false">IFERROR(INDEX('Output Utente'!$H$2:$H$492,MATCH(339,'Output Utente'!$R$2:$R$492,0)),"")</f>
        <v/>
      </c>
      <c r="L342" s="26" t="str">
        <f aca="false">IFERROR(INDEX('Output Utente'!$E$2:$E$492,MATCH(339,'Output Utente'!$R$2:$R$492,0)),"")</f>
        <v/>
      </c>
    </row>
    <row r="343" customFormat="false" ht="15" hidden="false" customHeight="true" outlineLevel="0" collapsed="false">
      <c r="A343" s="29" t="n">
        <v>340</v>
      </c>
      <c r="B343" s="26" t="str">
        <f aca="false">IFERROR(INDEX('Output Utente'!$A$2:$A$492,MATCH(340,'Output Utente'!$R$2:$R$492,0)),"")</f>
        <v/>
      </c>
      <c r="C343" s="26" t="str">
        <f aca="false">IFERROR(INDEX('Output Utente'!$B$2:$B$492,MATCH(340,'Output Utente'!$R$2:$R$492,0)),"")</f>
        <v/>
      </c>
      <c r="D343" s="26" t="str">
        <f aca="false">IFERROR(INDEX('Output Utente'!$C$2:$C$492,MATCH(340,'Output Utente'!$R$2:$R$492,0)),"")</f>
        <v/>
      </c>
      <c r="E343" s="26" t="str">
        <f aca="false">IFERROR(INDEX('Input Giocatori 2026_27'!$D$3:$D$493,MATCH($B343,'Input Giocatori 2026_27'!$A$3:$A$493,0)),"")</f>
        <v/>
      </c>
      <c r="F343" s="27" t="str">
        <f aca="false">IFERROR(INDEX('Output Utente'!$N$2:$N$492,MATCH(340,'Output Utente'!$R$2:$R$492,0)),"")</f>
        <v/>
      </c>
      <c r="G343" s="26" t="str">
        <f aca="false">IFERROR(INDEX('Output Utente'!$O$2:$O$492,MATCH(340,'Output Utente'!$R$2:$R$492,0)),"")</f>
        <v/>
      </c>
      <c r="H343" s="26" t="str">
        <f aca="false">IFERROR(INDEX('Output Utente'!$P$2:$P$492,MATCH(340,'Output Utente'!$R$2:$R$492,0)),"")</f>
        <v/>
      </c>
      <c r="I343" s="27" t="str">
        <f aca="false">IFERROR(INDEX('Output Utente'!$F$2:$F$492,MATCH(340,'Output Utente'!$R$2:$R$492,0)),"")</f>
        <v/>
      </c>
      <c r="J343" s="27" t="str">
        <f aca="false">IFERROR(INDEX('Output Utente'!$G$2:$G$492,MATCH(340,'Output Utente'!$R$2:$R$492,0)),"")</f>
        <v/>
      </c>
      <c r="K343" s="27" t="str">
        <f aca="false">IFERROR(INDEX('Output Utente'!$H$2:$H$492,MATCH(340,'Output Utente'!$R$2:$R$492,0)),"")</f>
        <v/>
      </c>
      <c r="L343" s="26" t="str">
        <f aca="false">IFERROR(INDEX('Output Utente'!$E$2:$E$492,MATCH(340,'Output Utente'!$R$2:$R$492,0)),"")</f>
        <v/>
      </c>
    </row>
    <row r="344" customFormat="false" ht="15" hidden="false" customHeight="true" outlineLevel="0" collapsed="false">
      <c r="A344" s="29" t="n">
        <v>341</v>
      </c>
      <c r="B344" s="26" t="str">
        <f aca="false">IFERROR(INDEX('Output Utente'!$A$2:$A$492,MATCH(341,'Output Utente'!$R$2:$R$492,0)),"")</f>
        <v/>
      </c>
      <c r="C344" s="26" t="str">
        <f aca="false">IFERROR(INDEX('Output Utente'!$B$2:$B$492,MATCH(341,'Output Utente'!$R$2:$R$492,0)),"")</f>
        <v/>
      </c>
      <c r="D344" s="26" t="str">
        <f aca="false">IFERROR(INDEX('Output Utente'!$C$2:$C$492,MATCH(341,'Output Utente'!$R$2:$R$492,0)),"")</f>
        <v/>
      </c>
      <c r="E344" s="26" t="str">
        <f aca="false">IFERROR(INDEX('Input Giocatori 2026_27'!$D$3:$D$493,MATCH($B344,'Input Giocatori 2026_27'!$A$3:$A$493,0)),"")</f>
        <v/>
      </c>
      <c r="F344" s="27" t="str">
        <f aca="false">IFERROR(INDEX('Output Utente'!$N$2:$N$492,MATCH(341,'Output Utente'!$R$2:$R$492,0)),"")</f>
        <v/>
      </c>
      <c r="G344" s="26" t="str">
        <f aca="false">IFERROR(INDEX('Output Utente'!$O$2:$O$492,MATCH(341,'Output Utente'!$R$2:$R$492,0)),"")</f>
        <v/>
      </c>
      <c r="H344" s="26" t="str">
        <f aca="false">IFERROR(INDEX('Output Utente'!$P$2:$P$492,MATCH(341,'Output Utente'!$R$2:$R$492,0)),"")</f>
        <v/>
      </c>
      <c r="I344" s="27" t="str">
        <f aca="false">IFERROR(INDEX('Output Utente'!$F$2:$F$492,MATCH(341,'Output Utente'!$R$2:$R$492,0)),"")</f>
        <v/>
      </c>
      <c r="J344" s="27" t="str">
        <f aca="false">IFERROR(INDEX('Output Utente'!$G$2:$G$492,MATCH(341,'Output Utente'!$R$2:$R$492,0)),"")</f>
        <v/>
      </c>
      <c r="K344" s="27" t="str">
        <f aca="false">IFERROR(INDEX('Output Utente'!$H$2:$H$492,MATCH(341,'Output Utente'!$R$2:$R$492,0)),"")</f>
        <v/>
      </c>
      <c r="L344" s="26" t="str">
        <f aca="false">IFERROR(INDEX('Output Utente'!$E$2:$E$492,MATCH(341,'Output Utente'!$R$2:$R$492,0)),"")</f>
        <v/>
      </c>
    </row>
    <row r="345" customFormat="false" ht="15" hidden="false" customHeight="true" outlineLevel="0" collapsed="false">
      <c r="A345" s="29" t="n">
        <v>342</v>
      </c>
      <c r="B345" s="26" t="str">
        <f aca="false">IFERROR(INDEX('Output Utente'!$A$2:$A$492,MATCH(342,'Output Utente'!$R$2:$R$492,0)),"")</f>
        <v/>
      </c>
      <c r="C345" s="26" t="str">
        <f aca="false">IFERROR(INDEX('Output Utente'!$B$2:$B$492,MATCH(342,'Output Utente'!$R$2:$R$492,0)),"")</f>
        <v/>
      </c>
      <c r="D345" s="26" t="str">
        <f aca="false">IFERROR(INDEX('Output Utente'!$C$2:$C$492,MATCH(342,'Output Utente'!$R$2:$R$492,0)),"")</f>
        <v/>
      </c>
      <c r="E345" s="26" t="str">
        <f aca="false">IFERROR(INDEX('Input Giocatori 2026_27'!$D$3:$D$493,MATCH($B345,'Input Giocatori 2026_27'!$A$3:$A$493,0)),"")</f>
        <v/>
      </c>
      <c r="F345" s="27" t="str">
        <f aca="false">IFERROR(INDEX('Output Utente'!$N$2:$N$492,MATCH(342,'Output Utente'!$R$2:$R$492,0)),"")</f>
        <v/>
      </c>
      <c r="G345" s="26" t="str">
        <f aca="false">IFERROR(INDEX('Output Utente'!$O$2:$O$492,MATCH(342,'Output Utente'!$R$2:$R$492,0)),"")</f>
        <v/>
      </c>
      <c r="H345" s="26" t="str">
        <f aca="false">IFERROR(INDEX('Output Utente'!$P$2:$P$492,MATCH(342,'Output Utente'!$R$2:$R$492,0)),"")</f>
        <v/>
      </c>
      <c r="I345" s="27" t="str">
        <f aca="false">IFERROR(INDEX('Output Utente'!$F$2:$F$492,MATCH(342,'Output Utente'!$R$2:$R$492,0)),"")</f>
        <v/>
      </c>
      <c r="J345" s="27" t="str">
        <f aca="false">IFERROR(INDEX('Output Utente'!$G$2:$G$492,MATCH(342,'Output Utente'!$R$2:$R$492,0)),"")</f>
        <v/>
      </c>
      <c r="K345" s="27" t="str">
        <f aca="false">IFERROR(INDEX('Output Utente'!$H$2:$H$492,MATCH(342,'Output Utente'!$R$2:$R$492,0)),"")</f>
        <v/>
      </c>
      <c r="L345" s="26" t="str">
        <f aca="false">IFERROR(INDEX('Output Utente'!$E$2:$E$492,MATCH(342,'Output Utente'!$R$2:$R$492,0)),"")</f>
        <v/>
      </c>
    </row>
    <row r="346" customFormat="false" ht="15" hidden="false" customHeight="true" outlineLevel="0" collapsed="false">
      <c r="A346" s="29" t="n">
        <v>343</v>
      </c>
      <c r="B346" s="26" t="str">
        <f aca="false">IFERROR(INDEX('Output Utente'!$A$2:$A$492,MATCH(343,'Output Utente'!$R$2:$R$492,0)),"")</f>
        <v/>
      </c>
      <c r="C346" s="26" t="str">
        <f aca="false">IFERROR(INDEX('Output Utente'!$B$2:$B$492,MATCH(343,'Output Utente'!$R$2:$R$492,0)),"")</f>
        <v/>
      </c>
      <c r="D346" s="26" t="str">
        <f aca="false">IFERROR(INDEX('Output Utente'!$C$2:$C$492,MATCH(343,'Output Utente'!$R$2:$R$492,0)),"")</f>
        <v/>
      </c>
      <c r="E346" s="26" t="str">
        <f aca="false">IFERROR(INDEX('Input Giocatori 2026_27'!$D$3:$D$493,MATCH($B346,'Input Giocatori 2026_27'!$A$3:$A$493,0)),"")</f>
        <v/>
      </c>
      <c r="F346" s="27" t="str">
        <f aca="false">IFERROR(INDEX('Output Utente'!$N$2:$N$492,MATCH(343,'Output Utente'!$R$2:$R$492,0)),"")</f>
        <v/>
      </c>
      <c r="G346" s="26" t="str">
        <f aca="false">IFERROR(INDEX('Output Utente'!$O$2:$O$492,MATCH(343,'Output Utente'!$R$2:$R$492,0)),"")</f>
        <v/>
      </c>
      <c r="H346" s="26" t="str">
        <f aca="false">IFERROR(INDEX('Output Utente'!$P$2:$P$492,MATCH(343,'Output Utente'!$R$2:$R$492,0)),"")</f>
        <v/>
      </c>
      <c r="I346" s="27" t="str">
        <f aca="false">IFERROR(INDEX('Output Utente'!$F$2:$F$492,MATCH(343,'Output Utente'!$R$2:$R$492,0)),"")</f>
        <v/>
      </c>
      <c r="J346" s="27" t="str">
        <f aca="false">IFERROR(INDEX('Output Utente'!$G$2:$G$492,MATCH(343,'Output Utente'!$R$2:$R$492,0)),"")</f>
        <v/>
      </c>
      <c r="K346" s="27" t="str">
        <f aca="false">IFERROR(INDEX('Output Utente'!$H$2:$H$492,MATCH(343,'Output Utente'!$R$2:$R$492,0)),"")</f>
        <v/>
      </c>
      <c r="L346" s="26" t="str">
        <f aca="false">IFERROR(INDEX('Output Utente'!$E$2:$E$492,MATCH(343,'Output Utente'!$R$2:$R$492,0)),"")</f>
        <v/>
      </c>
    </row>
    <row r="347" customFormat="false" ht="15" hidden="false" customHeight="true" outlineLevel="0" collapsed="false">
      <c r="A347" s="29" t="n">
        <v>344</v>
      </c>
      <c r="B347" s="26" t="str">
        <f aca="false">IFERROR(INDEX('Output Utente'!$A$2:$A$492,MATCH(344,'Output Utente'!$R$2:$R$492,0)),"")</f>
        <v/>
      </c>
      <c r="C347" s="26" t="str">
        <f aca="false">IFERROR(INDEX('Output Utente'!$B$2:$B$492,MATCH(344,'Output Utente'!$R$2:$R$492,0)),"")</f>
        <v/>
      </c>
      <c r="D347" s="26" t="str">
        <f aca="false">IFERROR(INDEX('Output Utente'!$C$2:$C$492,MATCH(344,'Output Utente'!$R$2:$R$492,0)),"")</f>
        <v/>
      </c>
      <c r="E347" s="26" t="str">
        <f aca="false">IFERROR(INDEX('Input Giocatori 2026_27'!$D$3:$D$493,MATCH($B347,'Input Giocatori 2026_27'!$A$3:$A$493,0)),"")</f>
        <v/>
      </c>
      <c r="F347" s="27" t="str">
        <f aca="false">IFERROR(INDEX('Output Utente'!$N$2:$N$492,MATCH(344,'Output Utente'!$R$2:$R$492,0)),"")</f>
        <v/>
      </c>
      <c r="G347" s="26" t="str">
        <f aca="false">IFERROR(INDEX('Output Utente'!$O$2:$O$492,MATCH(344,'Output Utente'!$R$2:$R$492,0)),"")</f>
        <v/>
      </c>
      <c r="H347" s="26" t="str">
        <f aca="false">IFERROR(INDEX('Output Utente'!$P$2:$P$492,MATCH(344,'Output Utente'!$R$2:$R$492,0)),"")</f>
        <v/>
      </c>
      <c r="I347" s="27" t="str">
        <f aca="false">IFERROR(INDEX('Output Utente'!$F$2:$F$492,MATCH(344,'Output Utente'!$R$2:$R$492,0)),"")</f>
        <v/>
      </c>
      <c r="J347" s="27" t="str">
        <f aca="false">IFERROR(INDEX('Output Utente'!$G$2:$G$492,MATCH(344,'Output Utente'!$R$2:$R$492,0)),"")</f>
        <v/>
      </c>
      <c r="K347" s="27" t="str">
        <f aca="false">IFERROR(INDEX('Output Utente'!$H$2:$H$492,MATCH(344,'Output Utente'!$R$2:$R$492,0)),"")</f>
        <v/>
      </c>
      <c r="L347" s="26" t="str">
        <f aca="false">IFERROR(INDEX('Output Utente'!$E$2:$E$492,MATCH(344,'Output Utente'!$R$2:$R$492,0)),"")</f>
        <v/>
      </c>
    </row>
    <row r="348" customFormat="false" ht="15" hidden="false" customHeight="true" outlineLevel="0" collapsed="false">
      <c r="A348" s="29" t="n">
        <v>345</v>
      </c>
      <c r="B348" s="26" t="str">
        <f aca="false">IFERROR(INDEX('Output Utente'!$A$2:$A$492,MATCH(345,'Output Utente'!$R$2:$R$492,0)),"")</f>
        <v/>
      </c>
      <c r="C348" s="26" t="str">
        <f aca="false">IFERROR(INDEX('Output Utente'!$B$2:$B$492,MATCH(345,'Output Utente'!$R$2:$R$492,0)),"")</f>
        <v/>
      </c>
      <c r="D348" s="26" t="str">
        <f aca="false">IFERROR(INDEX('Output Utente'!$C$2:$C$492,MATCH(345,'Output Utente'!$R$2:$R$492,0)),"")</f>
        <v/>
      </c>
      <c r="E348" s="26" t="str">
        <f aca="false">IFERROR(INDEX('Input Giocatori 2026_27'!$D$3:$D$493,MATCH($B348,'Input Giocatori 2026_27'!$A$3:$A$493,0)),"")</f>
        <v/>
      </c>
      <c r="F348" s="27" t="str">
        <f aca="false">IFERROR(INDEX('Output Utente'!$N$2:$N$492,MATCH(345,'Output Utente'!$R$2:$R$492,0)),"")</f>
        <v/>
      </c>
      <c r="G348" s="26" t="str">
        <f aca="false">IFERROR(INDEX('Output Utente'!$O$2:$O$492,MATCH(345,'Output Utente'!$R$2:$R$492,0)),"")</f>
        <v/>
      </c>
      <c r="H348" s="26" t="str">
        <f aca="false">IFERROR(INDEX('Output Utente'!$P$2:$P$492,MATCH(345,'Output Utente'!$R$2:$R$492,0)),"")</f>
        <v/>
      </c>
      <c r="I348" s="27" t="str">
        <f aca="false">IFERROR(INDEX('Output Utente'!$F$2:$F$492,MATCH(345,'Output Utente'!$R$2:$R$492,0)),"")</f>
        <v/>
      </c>
      <c r="J348" s="27" t="str">
        <f aca="false">IFERROR(INDEX('Output Utente'!$G$2:$G$492,MATCH(345,'Output Utente'!$R$2:$R$492,0)),"")</f>
        <v/>
      </c>
      <c r="K348" s="27" t="str">
        <f aca="false">IFERROR(INDEX('Output Utente'!$H$2:$H$492,MATCH(345,'Output Utente'!$R$2:$R$492,0)),"")</f>
        <v/>
      </c>
      <c r="L348" s="26" t="str">
        <f aca="false">IFERROR(INDEX('Output Utente'!$E$2:$E$492,MATCH(345,'Output Utente'!$R$2:$R$492,0)),"")</f>
        <v/>
      </c>
    </row>
    <row r="349" customFormat="false" ht="15" hidden="false" customHeight="true" outlineLevel="0" collapsed="false">
      <c r="A349" s="29" t="n">
        <v>346</v>
      </c>
      <c r="B349" s="26" t="str">
        <f aca="false">IFERROR(INDEX('Output Utente'!$A$2:$A$492,MATCH(346,'Output Utente'!$R$2:$R$492,0)),"")</f>
        <v/>
      </c>
      <c r="C349" s="26" t="str">
        <f aca="false">IFERROR(INDEX('Output Utente'!$B$2:$B$492,MATCH(346,'Output Utente'!$R$2:$R$492,0)),"")</f>
        <v/>
      </c>
      <c r="D349" s="26" t="str">
        <f aca="false">IFERROR(INDEX('Output Utente'!$C$2:$C$492,MATCH(346,'Output Utente'!$R$2:$R$492,0)),"")</f>
        <v/>
      </c>
      <c r="E349" s="26" t="str">
        <f aca="false">IFERROR(INDEX('Input Giocatori 2026_27'!$D$3:$D$493,MATCH($B349,'Input Giocatori 2026_27'!$A$3:$A$493,0)),"")</f>
        <v/>
      </c>
      <c r="F349" s="27" t="str">
        <f aca="false">IFERROR(INDEX('Output Utente'!$N$2:$N$492,MATCH(346,'Output Utente'!$R$2:$R$492,0)),"")</f>
        <v/>
      </c>
      <c r="G349" s="26" t="str">
        <f aca="false">IFERROR(INDEX('Output Utente'!$O$2:$O$492,MATCH(346,'Output Utente'!$R$2:$R$492,0)),"")</f>
        <v/>
      </c>
      <c r="H349" s="26" t="str">
        <f aca="false">IFERROR(INDEX('Output Utente'!$P$2:$P$492,MATCH(346,'Output Utente'!$R$2:$R$492,0)),"")</f>
        <v/>
      </c>
      <c r="I349" s="27" t="str">
        <f aca="false">IFERROR(INDEX('Output Utente'!$F$2:$F$492,MATCH(346,'Output Utente'!$R$2:$R$492,0)),"")</f>
        <v/>
      </c>
      <c r="J349" s="27" t="str">
        <f aca="false">IFERROR(INDEX('Output Utente'!$G$2:$G$492,MATCH(346,'Output Utente'!$R$2:$R$492,0)),"")</f>
        <v/>
      </c>
      <c r="K349" s="27" t="str">
        <f aca="false">IFERROR(INDEX('Output Utente'!$H$2:$H$492,MATCH(346,'Output Utente'!$R$2:$R$492,0)),"")</f>
        <v/>
      </c>
      <c r="L349" s="26" t="str">
        <f aca="false">IFERROR(INDEX('Output Utente'!$E$2:$E$492,MATCH(346,'Output Utente'!$R$2:$R$492,0)),"")</f>
        <v/>
      </c>
    </row>
    <row r="350" customFormat="false" ht="15" hidden="false" customHeight="true" outlineLevel="0" collapsed="false">
      <c r="A350" s="29" t="n">
        <v>347</v>
      </c>
      <c r="B350" s="26" t="str">
        <f aca="false">IFERROR(INDEX('Output Utente'!$A$2:$A$492,MATCH(347,'Output Utente'!$R$2:$R$492,0)),"")</f>
        <v/>
      </c>
      <c r="C350" s="26" t="str">
        <f aca="false">IFERROR(INDEX('Output Utente'!$B$2:$B$492,MATCH(347,'Output Utente'!$R$2:$R$492,0)),"")</f>
        <v/>
      </c>
      <c r="D350" s="26" t="str">
        <f aca="false">IFERROR(INDEX('Output Utente'!$C$2:$C$492,MATCH(347,'Output Utente'!$R$2:$R$492,0)),"")</f>
        <v/>
      </c>
      <c r="E350" s="26" t="str">
        <f aca="false">IFERROR(INDEX('Input Giocatori 2026_27'!$D$3:$D$493,MATCH($B350,'Input Giocatori 2026_27'!$A$3:$A$493,0)),"")</f>
        <v/>
      </c>
      <c r="F350" s="27" t="str">
        <f aca="false">IFERROR(INDEX('Output Utente'!$N$2:$N$492,MATCH(347,'Output Utente'!$R$2:$R$492,0)),"")</f>
        <v/>
      </c>
      <c r="G350" s="26" t="str">
        <f aca="false">IFERROR(INDEX('Output Utente'!$O$2:$O$492,MATCH(347,'Output Utente'!$R$2:$R$492,0)),"")</f>
        <v/>
      </c>
      <c r="H350" s="26" t="str">
        <f aca="false">IFERROR(INDEX('Output Utente'!$P$2:$P$492,MATCH(347,'Output Utente'!$R$2:$R$492,0)),"")</f>
        <v/>
      </c>
      <c r="I350" s="27" t="str">
        <f aca="false">IFERROR(INDEX('Output Utente'!$F$2:$F$492,MATCH(347,'Output Utente'!$R$2:$R$492,0)),"")</f>
        <v/>
      </c>
      <c r="J350" s="27" t="str">
        <f aca="false">IFERROR(INDEX('Output Utente'!$G$2:$G$492,MATCH(347,'Output Utente'!$R$2:$R$492,0)),"")</f>
        <v/>
      </c>
      <c r="K350" s="27" t="str">
        <f aca="false">IFERROR(INDEX('Output Utente'!$H$2:$H$492,MATCH(347,'Output Utente'!$R$2:$R$492,0)),"")</f>
        <v/>
      </c>
      <c r="L350" s="26" t="str">
        <f aca="false">IFERROR(INDEX('Output Utente'!$E$2:$E$492,MATCH(347,'Output Utente'!$R$2:$R$492,0)),"")</f>
        <v/>
      </c>
    </row>
    <row r="351" customFormat="false" ht="15" hidden="false" customHeight="true" outlineLevel="0" collapsed="false">
      <c r="A351" s="29" t="n">
        <v>348</v>
      </c>
      <c r="B351" s="26" t="str">
        <f aca="false">IFERROR(INDEX('Output Utente'!$A$2:$A$492,MATCH(348,'Output Utente'!$R$2:$R$492,0)),"")</f>
        <v/>
      </c>
      <c r="C351" s="26" t="str">
        <f aca="false">IFERROR(INDEX('Output Utente'!$B$2:$B$492,MATCH(348,'Output Utente'!$R$2:$R$492,0)),"")</f>
        <v/>
      </c>
      <c r="D351" s="26" t="str">
        <f aca="false">IFERROR(INDEX('Output Utente'!$C$2:$C$492,MATCH(348,'Output Utente'!$R$2:$R$492,0)),"")</f>
        <v/>
      </c>
      <c r="E351" s="26" t="str">
        <f aca="false">IFERROR(INDEX('Input Giocatori 2026_27'!$D$3:$D$493,MATCH($B351,'Input Giocatori 2026_27'!$A$3:$A$493,0)),"")</f>
        <v/>
      </c>
      <c r="F351" s="27" t="str">
        <f aca="false">IFERROR(INDEX('Output Utente'!$N$2:$N$492,MATCH(348,'Output Utente'!$R$2:$R$492,0)),"")</f>
        <v/>
      </c>
      <c r="G351" s="26" t="str">
        <f aca="false">IFERROR(INDEX('Output Utente'!$O$2:$O$492,MATCH(348,'Output Utente'!$R$2:$R$492,0)),"")</f>
        <v/>
      </c>
      <c r="H351" s="26" t="str">
        <f aca="false">IFERROR(INDEX('Output Utente'!$P$2:$P$492,MATCH(348,'Output Utente'!$R$2:$R$492,0)),"")</f>
        <v/>
      </c>
      <c r="I351" s="27" t="str">
        <f aca="false">IFERROR(INDEX('Output Utente'!$F$2:$F$492,MATCH(348,'Output Utente'!$R$2:$R$492,0)),"")</f>
        <v/>
      </c>
      <c r="J351" s="27" t="str">
        <f aca="false">IFERROR(INDEX('Output Utente'!$G$2:$G$492,MATCH(348,'Output Utente'!$R$2:$R$492,0)),"")</f>
        <v/>
      </c>
      <c r="K351" s="27" t="str">
        <f aca="false">IFERROR(INDEX('Output Utente'!$H$2:$H$492,MATCH(348,'Output Utente'!$R$2:$R$492,0)),"")</f>
        <v/>
      </c>
      <c r="L351" s="26" t="str">
        <f aca="false">IFERROR(INDEX('Output Utente'!$E$2:$E$492,MATCH(348,'Output Utente'!$R$2:$R$492,0)),"")</f>
        <v/>
      </c>
    </row>
    <row r="352" customFormat="false" ht="15" hidden="false" customHeight="true" outlineLevel="0" collapsed="false">
      <c r="A352" s="29" t="n">
        <v>349</v>
      </c>
      <c r="B352" s="26" t="str">
        <f aca="false">IFERROR(INDEX('Output Utente'!$A$2:$A$492,MATCH(349,'Output Utente'!$R$2:$R$492,0)),"")</f>
        <v/>
      </c>
      <c r="C352" s="26" t="str">
        <f aca="false">IFERROR(INDEX('Output Utente'!$B$2:$B$492,MATCH(349,'Output Utente'!$R$2:$R$492,0)),"")</f>
        <v/>
      </c>
      <c r="D352" s="26" t="str">
        <f aca="false">IFERROR(INDEX('Output Utente'!$C$2:$C$492,MATCH(349,'Output Utente'!$R$2:$R$492,0)),"")</f>
        <v/>
      </c>
      <c r="E352" s="26" t="str">
        <f aca="false">IFERROR(INDEX('Input Giocatori 2026_27'!$D$3:$D$493,MATCH($B352,'Input Giocatori 2026_27'!$A$3:$A$493,0)),"")</f>
        <v/>
      </c>
      <c r="F352" s="27" t="str">
        <f aca="false">IFERROR(INDEX('Output Utente'!$N$2:$N$492,MATCH(349,'Output Utente'!$R$2:$R$492,0)),"")</f>
        <v/>
      </c>
      <c r="G352" s="26" t="str">
        <f aca="false">IFERROR(INDEX('Output Utente'!$O$2:$O$492,MATCH(349,'Output Utente'!$R$2:$R$492,0)),"")</f>
        <v/>
      </c>
      <c r="H352" s="26" t="str">
        <f aca="false">IFERROR(INDEX('Output Utente'!$P$2:$P$492,MATCH(349,'Output Utente'!$R$2:$R$492,0)),"")</f>
        <v/>
      </c>
      <c r="I352" s="27" t="str">
        <f aca="false">IFERROR(INDEX('Output Utente'!$F$2:$F$492,MATCH(349,'Output Utente'!$R$2:$R$492,0)),"")</f>
        <v/>
      </c>
      <c r="J352" s="27" t="str">
        <f aca="false">IFERROR(INDEX('Output Utente'!$G$2:$G$492,MATCH(349,'Output Utente'!$R$2:$R$492,0)),"")</f>
        <v/>
      </c>
      <c r="K352" s="27" t="str">
        <f aca="false">IFERROR(INDEX('Output Utente'!$H$2:$H$492,MATCH(349,'Output Utente'!$R$2:$R$492,0)),"")</f>
        <v/>
      </c>
      <c r="L352" s="26" t="str">
        <f aca="false">IFERROR(INDEX('Output Utente'!$E$2:$E$492,MATCH(349,'Output Utente'!$R$2:$R$492,0)),"")</f>
        <v/>
      </c>
    </row>
    <row r="353" customFormat="false" ht="15" hidden="false" customHeight="true" outlineLevel="0" collapsed="false">
      <c r="A353" s="29" t="n">
        <v>350</v>
      </c>
      <c r="B353" s="26" t="str">
        <f aca="false">IFERROR(INDEX('Output Utente'!$A$2:$A$492,MATCH(350,'Output Utente'!$R$2:$R$492,0)),"")</f>
        <v/>
      </c>
      <c r="C353" s="26" t="str">
        <f aca="false">IFERROR(INDEX('Output Utente'!$B$2:$B$492,MATCH(350,'Output Utente'!$R$2:$R$492,0)),"")</f>
        <v/>
      </c>
      <c r="D353" s="26" t="str">
        <f aca="false">IFERROR(INDEX('Output Utente'!$C$2:$C$492,MATCH(350,'Output Utente'!$R$2:$R$492,0)),"")</f>
        <v/>
      </c>
      <c r="E353" s="26" t="str">
        <f aca="false">IFERROR(INDEX('Input Giocatori 2026_27'!$D$3:$D$493,MATCH($B353,'Input Giocatori 2026_27'!$A$3:$A$493,0)),"")</f>
        <v/>
      </c>
      <c r="F353" s="27" t="str">
        <f aca="false">IFERROR(INDEX('Output Utente'!$N$2:$N$492,MATCH(350,'Output Utente'!$R$2:$R$492,0)),"")</f>
        <v/>
      </c>
      <c r="G353" s="26" t="str">
        <f aca="false">IFERROR(INDEX('Output Utente'!$O$2:$O$492,MATCH(350,'Output Utente'!$R$2:$R$492,0)),"")</f>
        <v/>
      </c>
      <c r="H353" s="26" t="str">
        <f aca="false">IFERROR(INDEX('Output Utente'!$P$2:$P$492,MATCH(350,'Output Utente'!$R$2:$R$492,0)),"")</f>
        <v/>
      </c>
      <c r="I353" s="27" t="str">
        <f aca="false">IFERROR(INDEX('Output Utente'!$F$2:$F$492,MATCH(350,'Output Utente'!$R$2:$R$492,0)),"")</f>
        <v/>
      </c>
      <c r="J353" s="27" t="str">
        <f aca="false">IFERROR(INDEX('Output Utente'!$G$2:$G$492,MATCH(350,'Output Utente'!$R$2:$R$492,0)),"")</f>
        <v/>
      </c>
      <c r="K353" s="27" t="str">
        <f aca="false">IFERROR(INDEX('Output Utente'!$H$2:$H$492,MATCH(350,'Output Utente'!$R$2:$R$492,0)),"")</f>
        <v/>
      </c>
      <c r="L353" s="26" t="str">
        <f aca="false">IFERROR(INDEX('Output Utente'!$E$2:$E$492,MATCH(350,'Output Utente'!$R$2:$R$492,0)),"")</f>
        <v/>
      </c>
    </row>
    <row r="354" customFormat="false" ht="15" hidden="false" customHeight="true" outlineLevel="0" collapsed="false">
      <c r="A354" s="29" t="n">
        <v>351</v>
      </c>
      <c r="B354" s="26" t="str">
        <f aca="false">IFERROR(INDEX('Output Utente'!$A$2:$A$492,MATCH(351,'Output Utente'!$R$2:$R$492,0)),"")</f>
        <v/>
      </c>
      <c r="C354" s="26" t="str">
        <f aca="false">IFERROR(INDEX('Output Utente'!$B$2:$B$492,MATCH(351,'Output Utente'!$R$2:$R$492,0)),"")</f>
        <v/>
      </c>
      <c r="D354" s="26" t="str">
        <f aca="false">IFERROR(INDEX('Output Utente'!$C$2:$C$492,MATCH(351,'Output Utente'!$R$2:$R$492,0)),"")</f>
        <v/>
      </c>
      <c r="E354" s="26" t="str">
        <f aca="false">IFERROR(INDEX('Input Giocatori 2026_27'!$D$3:$D$493,MATCH($B354,'Input Giocatori 2026_27'!$A$3:$A$493,0)),"")</f>
        <v/>
      </c>
      <c r="F354" s="27" t="str">
        <f aca="false">IFERROR(INDEX('Output Utente'!$N$2:$N$492,MATCH(351,'Output Utente'!$R$2:$R$492,0)),"")</f>
        <v/>
      </c>
      <c r="G354" s="26" t="str">
        <f aca="false">IFERROR(INDEX('Output Utente'!$O$2:$O$492,MATCH(351,'Output Utente'!$R$2:$R$492,0)),"")</f>
        <v/>
      </c>
      <c r="H354" s="26" t="str">
        <f aca="false">IFERROR(INDEX('Output Utente'!$P$2:$P$492,MATCH(351,'Output Utente'!$R$2:$R$492,0)),"")</f>
        <v/>
      </c>
      <c r="I354" s="27" t="str">
        <f aca="false">IFERROR(INDEX('Output Utente'!$F$2:$F$492,MATCH(351,'Output Utente'!$R$2:$R$492,0)),"")</f>
        <v/>
      </c>
      <c r="J354" s="27" t="str">
        <f aca="false">IFERROR(INDEX('Output Utente'!$G$2:$G$492,MATCH(351,'Output Utente'!$R$2:$R$492,0)),"")</f>
        <v/>
      </c>
      <c r="K354" s="27" t="str">
        <f aca="false">IFERROR(INDEX('Output Utente'!$H$2:$H$492,MATCH(351,'Output Utente'!$R$2:$R$492,0)),"")</f>
        <v/>
      </c>
      <c r="L354" s="26" t="str">
        <f aca="false">IFERROR(INDEX('Output Utente'!$E$2:$E$492,MATCH(351,'Output Utente'!$R$2:$R$492,0)),"")</f>
        <v/>
      </c>
    </row>
    <row r="355" customFormat="false" ht="15" hidden="false" customHeight="true" outlineLevel="0" collapsed="false">
      <c r="A355" s="29" t="n">
        <v>352</v>
      </c>
      <c r="B355" s="26" t="str">
        <f aca="false">IFERROR(INDEX('Output Utente'!$A$2:$A$492,MATCH(352,'Output Utente'!$R$2:$R$492,0)),"")</f>
        <v/>
      </c>
      <c r="C355" s="26" t="str">
        <f aca="false">IFERROR(INDEX('Output Utente'!$B$2:$B$492,MATCH(352,'Output Utente'!$R$2:$R$492,0)),"")</f>
        <v/>
      </c>
      <c r="D355" s="26" t="str">
        <f aca="false">IFERROR(INDEX('Output Utente'!$C$2:$C$492,MATCH(352,'Output Utente'!$R$2:$R$492,0)),"")</f>
        <v/>
      </c>
      <c r="E355" s="26" t="str">
        <f aca="false">IFERROR(INDEX('Input Giocatori 2026_27'!$D$3:$D$493,MATCH($B355,'Input Giocatori 2026_27'!$A$3:$A$493,0)),"")</f>
        <v/>
      </c>
      <c r="F355" s="27" t="str">
        <f aca="false">IFERROR(INDEX('Output Utente'!$N$2:$N$492,MATCH(352,'Output Utente'!$R$2:$R$492,0)),"")</f>
        <v/>
      </c>
      <c r="G355" s="26" t="str">
        <f aca="false">IFERROR(INDEX('Output Utente'!$O$2:$O$492,MATCH(352,'Output Utente'!$R$2:$R$492,0)),"")</f>
        <v/>
      </c>
      <c r="H355" s="26" t="str">
        <f aca="false">IFERROR(INDEX('Output Utente'!$P$2:$P$492,MATCH(352,'Output Utente'!$R$2:$R$492,0)),"")</f>
        <v/>
      </c>
      <c r="I355" s="27" t="str">
        <f aca="false">IFERROR(INDEX('Output Utente'!$F$2:$F$492,MATCH(352,'Output Utente'!$R$2:$R$492,0)),"")</f>
        <v/>
      </c>
      <c r="J355" s="27" t="str">
        <f aca="false">IFERROR(INDEX('Output Utente'!$G$2:$G$492,MATCH(352,'Output Utente'!$R$2:$R$492,0)),"")</f>
        <v/>
      </c>
      <c r="K355" s="27" t="str">
        <f aca="false">IFERROR(INDEX('Output Utente'!$H$2:$H$492,MATCH(352,'Output Utente'!$R$2:$R$492,0)),"")</f>
        <v/>
      </c>
      <c r="L355" s="26" t="str">
        <f aca="false">IFERROR(INDEX('Output Utente'!$E$2:$E$492,MATCH(352,'Output Utente'!$R$2:$R$492,0)),"")</f>
        <v/>
      </c>
    </row>
    <row r="356" customFormat="false" ht="15" hidden="false" customHeight="true" outlineLevel="0" collapsed="false">
      <c r="A356" s="29" t="n">
        <v>353</v>
      </c>
      <c r="B356" s="26" t="str">
        <f aca="false">IFERROR(INDEX('Output Utente'!$A$2:$A$492,MATCH(353,'Output Utente'!$R$2:$R$492,0)),"")</f>
        <v/>
      </c>
      <c r="C356" s="26" t="str">
        <f aca="false">IFERROR(INDEX('Output Utente'!$B$2:$B$492,MATCH(353,'Output Utente'!$R$2:$R$492,0)),"")</f>
        <v/>
      </c>
      <c r="D356" s="26" t="str">
        <f aca="false">IFERROR(INDEX('Output Utente'!$C$2:$C$492,MATCH(353,'Output Utente'!$R$2:$R$492,0)),"")</f>
        <v/>
      </c>
      <c r="E356" s="26" t="str">
        <f aca="false">IFERROR(INDEX('Input Giocatori 2026_27'!$D$3:$D$493,MATCH($B356,'Input Giocatori 2026_27'!$A$3:$A$493,0)),"")</f>
        <v/>
      </c>
      <c r="F356" s="27" t="str">
        <f aca="false">IFERROR(INDEX('Output Utente'!$N$2:$N$492,MATCH(353,'Output Utente'!$R$2:$R$492,0)),"")</f>
        <v/>
      </c>
      <c r="G356" s="26" t="str">
        <f aca="false">IFERROR(INDEX('Output Utente'!$O$2:$O$492,MATCH(353,'Output Utente'!$R$2:$R$492,0)),"")</f>
        <v/>
      </c>
      <c r="H356" s="26" t="str">
        <f aca="false">IFERROR(INDEX('Output Utente'!$P$2:$P$492,MATCH(353,'Output Utente'!$R$2:$R$492,0)),"")</f>
        <v/>
      </c>
      <c r="I356" s="27" t="str">
        <f aca="false">IFERROR(INDEX('Output Utente'!$F$2:$F$492,MATCH(353,'Output Utente'!$R$2:$R$492,0)),"")</f>
        <v/>
      </c>
      <c r="J356" s="27" t="str">
        <f aca="false">IFERROR(INDEX('Output Utente'!$G$2:$G$492,MATCH(353,'Output Utente'!$R$2:$R$492,0)),"")</f>
        <v/>
      </c>
      <c r="K356" s="27" t="str">
        <f aca="false">IFERROR(INDEX('Output Utente'!$H$2:$H$492,MATCH(353,'Output Utente'!$R$2:$R$492,0)),"")</f>
        <v/>
      </c>
      <c r="L356" s="26" t="str">
        <f aca="false">IFERROR(INDEX('Output Utente'!$E$2:$E$492,MATCH(353,'Output Utente'!$R$2:$R$492,0)),"")</f>
        <v/>
      </c>
    </row>
    <row r="357" customFormat="false" ht="15" hidden="false" customHeight="true" outlineLevel="0" collapsed="false">
      <c r="A357" s="29" t="n">
        <v>354</v>
      </c>
      <c r="B357" s="26" t="str">
        <f aca="false">IFERROR(INDEX('Output Utente'!$A$2:$A$492,MATCH(354,'Output Utente'!$R$2:$R$492,0)),"")</f>
        <v/>
      </c>
      <c r="C357" s="26" t="str">
        <f aca="false">IFERROR(INDEX('Output Utente'!$B$2:$B$492,MATCH(354,'Output Utente'!$R$2:$R$492,0)),"")</f>
        <v/>
      </c>
      <c r="D357" s="26" t="str">
        <f aca="false">IFERROR(INDEX('Output Utente'!$C$2:$C$492,MATCH(354,'Output Utente'!$R$2:$R$492,0)),"")</f>
        <v/>
      </c>
      <c r="E357" s="26" t="str">
        <f aca="false">IFERROR(INDEX('Input Giocatori 2026_27'!$D$3:$D$493,MATCH($B357,'Input Giocatori 2026_27'!$A$3:$A$493,0)),"")</f>
        <v/>
      </c>
      <c r="F357" s="27" t="str">
        <f aca="false">IFERROR(INDEX('Output Utente'!$N$2:$N$492,MATCH(354,'Output Utente'!$R$2:$R$492,0)),"")</f>
        <v/>
      </c>
      <c r="G357" s="26" t="str">
        <f aca="false">IFERROR(INDEX('Output Utente'!$O$2:$O$492,MATCH(354,'Output Utente'!$R$2:$R$492,0)),"")</f>
        <v/>
      </c>
      <c r="H357" s="26" t="str">
        <f aca="false">IFERROR(INDEX('Output Utente'!$P$2:$P$492,MATCH(354,'Output Utente'!$R$2:$R$492,0)),"")</f>
        <v/>
      </c>
      <c r="I357" s="27" t="str">
        <f aca="false">IFERROR(INDEX('Output Utente'!$F$2:$F$492,MATCH(354,'Output Utente'!$R$2:$R$492,0)),"")</f>
        <v/>
      </c>
      <c r="J357" s="27" t="str">
        <f aca="false">IFERROR(INDEX('Output Utente'!$G$2:$G$492,MATCH(354,'Output Utente'!$R$2:$R$492,0)),"")</f>
        <v/>
      </c>
      <c r="K357" s="27" t="str">
        <f aca="false">IFERROR(INDEX('Output Utente'!$H$2:$H$492,MATCH(354,'Output Utente'!$R$2:$R$492,0)),"")</f>
        <v/>
      </c>
      <c r="L357" s="26" t="str">
        <f aca="false">IFERROR(INDEX('Output Utente'!$E$2:$E$492,MATCH(354,'Output Utente'!$R$2:$R$492,0)),"")</f>
        <v/>
      </c>
    </row>
    <row r="358" customFormat="false" ht="15" hidden="false" customHeight="true" outlineLevel="0" collapsed="false">
      <c r="A358" s="29" t="n">
        <v>355</v>
      </c>
      <c r="B358" s="26" t="str">
        <f aca="false">IFERROR(INDEX('Output Utente'!$A$2:$A$492,MATCH(355,'Output Utente'!$R$2:$R$492,0)),"")</f>
        <v/>
      </c>
      <c r="C358" s="26" t="str">
        <f aca="false">IFERROR(INDEX('Output Utente'!$B$2:$B$492,MATCH(355,'Output Utente'!$R$2:$R$492,0)),"")</f>
        <v/>
      </c>
      <c r="D358" s="26" t="str">
        <f aca="false">IFERROR(INDEX('Output Utente'!$C$2:$C$492,MATCH(355,'Output Utente'!$R$2:$R$492,0)),"")</f>
        <v/>
      </c>
      <c r="E358" s="26" t="str">
        <f aca="false">IFERROR(INDEX('Input Giocatori 2026_27'!$D$3:$D$493,MATCH($B358,'Input Giocatori 2026_27'!$A$3:$A$493,0)),"")</f>
        <v/>
      </c>
      <c r="F358" s="27" t="str">
        <f aca="false">IFERROR(INDEX('Output Utente'!$N$2:$N$492,MATCH(355,'Output Utente'!$R$2:$R$492,0)),"")</f>
        <v/>
      </c>
      <c r="G358" s="26" t="str">
        <f aca="false">IFERROR(INDEX('Output Utente'!$O$2:$O$492,MATCH(355,'Output Utente'!$R$2:$R$492,0)),"")</f>
        <v/>
      </c>
      <c r="H358" s="26" t="str">
        <f aca="false">IFERROR(INDEX('Output Utente'!$P$2:$P$492,MATCH(355,'Output Utente'!$R$2:$R$492,0)),"")</f>
        <v/>
      </c>
      <c r="I358" s="27" t="str">
        <f aca="false">IFERROR(INDEX('Output Utente'!$F$2:$F$492,MATCH(355,'Output Utente'!$R$2:$R$492,0)),"")</f>
        <v/>
      </c>
      <c r="J358" s="27" t="str">
        <f aca="false">IFERROR(INDEX('Output Utente'!$G$2:$G$492,MATCH(355,'Output Utente'!$R$2:$R$492,0)),"")</f>
        <v/>
      </c>
      <c r="K358" s="27" t="str">
        <f aca="false">IFERROR(INDEX('Output Utente'!$H$2:$H$492,MATCH(355,'Output Utente'!$R$2:$R$492,0)),"")</f>
        <v/>
      </c>
      <c r="L358" s="26" t="str">
        <f aca="false">IFERROR(INDEX('Output Utente'!$E$2:$E$492,MATCH(355,'Output Utente'!$R$2:$R$492,0)),"")</f>
        <v/>
      </c>
    </row>
    <row r="359" customFormat="false" ht="15" hidden="false" customHeight="true" outlineLevel="0" collapsed="false">
      <c r="A359" s="29" t="n">
        <v>356</v>
      </c>
      <c r="B359" s="26" t="str">
        <f aca="false">IFERROR(INDEX('Output Utente'!$A$2:$A$492,MATCH(356,'Output Utente'!$R$2:$R$492,0)),"")</f>
        <v/>
      </c>
      <c r="C359" s="26" t="str">
        <f aca="false">IFERROR(INDEX('Output Utente'!$B$2:$B$492,MATCH(356,'Output Utente'!$R$2:$R$492,0)),"")</f>
        <v/>
      </c>
      <c r="D359" s="26" t="str">
        <f aca="false">IFERROR(INDEX('Output Utente'!$C$2:$C$492,MATCH(356,'Output Utente'!$R$2:$R$492,0)),"")</f>
        <v/>
      </c>
      <c r="E359" s="26" t="str">
        <f aca="false">IFERROR(INDEX('Input Giocatori 2026_27'!$D$3:$D$493,MATCH($B359,'Input Giocatori 2026_27'!$A$3:$A$493,0)),"")</f>
        <v/>
      </c>
      <c r="F359" s="27" t="str">
        <f aca="false">IFERROR(INDEX('Output Utente'!$N$2:$N$492,MATCH(356,'Output Utente'!$R$2:$R$492,0)),"")</f>
        <v/>
      </c>
      <c r="G359" s="26" t="str">
        <f aca="false">IFERROR(INDEX('Output Utente'!$O$2:$O$492,MATCH(356,'Output Utente'!$R$2:$R$492,0)),"")</f>
        <v/>
      </c>
      <c r="H359" s="26" t="str">
        <f aca="false">IFERROR(INDEX('Output Utente'!$P$2:$P$492,MATCH(356,'Output Utente'!$R$2:$R$492,0)),"")</f>
        <v/>
      </c>
      <c r="I359" s="27" t="str">
        <f aca="false">IFERROR(INDEX('Output Utente'!$F$2:$F$492,MATCH(356,'Output Utente'!$R$2:$R$492,0)),"")</f>
        <v/>
      </c>
      <c r="J359" s="27" t="str">
        <f aca="false">IFERROR(INDEX('Output Utente'!$G$2:$G$492,MATCH(356,'Output Utente'!$R$2:$R$492,0)),"")</f>
        <v/>
      </c>
      <c r="K359" s="27" t="str">
        <f aca="false">IFERROR(INDEX('Output Utente'!$H$2:$H$492,MATCH(356,'Output Utente'!$R$2:$R$492,0)),"")</f>
        <v/>
      </c>
      <c r="L359" s="26" t="str">
        <f aca="false">IFERROR(INDEX('Output Utente'!$E$2:$E$492,MATCH(356,'Output Utente'!$R$2:$R$492,0)),"")</f>
        <v/>
      </c>
    </row>
    <row r="360" customFormat="false" ht="15" hidden="false" customHeight="true" outlineLevel="0" collapsed="false">
      <c r="A360" s="29" t="n">
        <v>357</v>
      </c>
      <c r="B360" s="26" t="str">
        <f aca="false">IFERROR(INDEX('Output Utente'!$A$2:$A$492,MATCH(357,'Output Utente'!$R$2:$R$492,0)),"")</f>
        <v/>
      </c>
      <c r="C360" s="26" t="str">
        <f aca="false">IFERROR(INDEX('Output Utente'!$B$2:$B$492,MATCH(357,'Output Utente'!$R$2:$R$492,0)),"")</f>
        <v/>
      </c>
      <c r="D360" s="26" t="str">
        <f aca="false">IFERROR(INDEX('Output Utente'!$C$2:$C$492,MATCH(357,'Output Utente'!$R$2:$R$492,0)),"")</f>
        <v/>
      </c>
      <c r="E360" s="26" t="str">
        <f aca="false">IFERROR(INDEX('Input Giocatori 2026_27'!$D$3:$D$493,MATCH($B360,'Input Giocatori 2026_27'!$A$3:$A$493,0)),"")</f>
        <v/>
      </c>
      <c r="F360" s="27" t="str">
        <f aca="false">IFERROR(INDEX('Output Utente'!$N$2:$N$492,MATCH(357,'Output Utente'!$R$2:$R$492,0)),"")</f>
        <v/>
      </c>
      <c r="G360" s="26" t="str">
        <f aca="false">IFERROR(INDEX('Output Utente'!$O$2:$O$492,MATCH(357,'Output Utente'!$R$2:$R$492,0)),"")</f>
        <v/>
      </c>
      <c r="H360" s="26" t="str">
        <f aca="false">IFERROR(INDEX('Output Utente'!$P$2:$P$492,MATCH(357,'Output Utente'!$R$2:$R$492,0)),"")</f>
        <v/>
      </c>
      <c r="I360" s="27" t="str">
        <f aca="false">IFERROR(INDEX('Output Utente'!$F$2:$F$492,MATCH(357,'Output Utente'!$R$2:$R$492,0)),"")</f>
        <v/>
      </c>
      <c r="J360" s="27" t="str">
        <f aca="false">IFERROR(INDEX('Output Utente'!$G$2:$G$492,MATCH(357,'Output Utente'!$R$2:$R$492,0)),"")</f>
        <v/>
      </c>
      <c r="K360" s="27" t="str">
        <f aca="false">IFERROR(INDEX('Output Utente'!$H$2:$H$492,MATCH(357,'Output Utente'!$R$2:$R$492,0)),"")</f>
        <v/>
      </c>
      <c r="L360" s="26" t="str">
        <f aca="false">IFERROR(INDEX('Output Utente'!$E$2:$E$492,MATCH(357,'Output Utente'!$R$2:$R$492,0)),"")</f>
        <v/>
      </c>
    </row>
    <row r="361" customFormat="false" ht="15" hidden="false" customHeight="true" outlineLevel="0" collapsed="false">
      <c r="A361" s="29" t="n">
        <v>358</v>
      </c>
      <c r="B361" s="26" t="str">
        <f aca="false">IFERROR(INDEX('Output Utente'!$A$2:$A$492,MATCH(358,'Output Utente'!$R$2:$R$492,0)),"")</f>
        <v/>
      </c>
      <c r="C361" s="26" t="str">
        <f aca="false">IFERROR(INDEX('Output Utente'!$B$2:$B$492,MATCH(358,'Output Utente'!$R$2:$R$492,0)),"")</f>
        <v/>
      </c>
      <c r="D361" s="26" t="str">
        <f aca="false">IFERROR(INDEX('Output Utente'!$C$2:$C$492,MATCH(358,'Output Utente'!$R$2:$R$492,0)),"")</f>
        <v/>
      </c>
      <c r="E361" s="26" t="str">
        <f aca="false">IFERROR(INDEX('Input Giocatori 2026_27'!$D$3:$D$493,MATCH($B361,'Input Giocatori 2026_27'!$A$3:$A$493,0)),"")</f>
        <v/>
      </c>
      <c r="F361" s="27" t="str">
        <f aca="false">IFERROR(INDEX('Output Utente'!$N$2:$N$492,MATCH(358,'Output Utente'!$R$2:$R$492,0)),"")</f>
        <v/>
      </c>
      <c r="G361" s="26" t="str">
        <f aca="false">IFERROR(INDEX('Output Utente'!$O$2:$O$492,MATCH(358,'Output Utente'!$R$2:$R$492,0)),"")</f>
        <v/>
      </c>
      <c r="H361" s="26" t="str">
        <f aca="false">IFERROR(INDEX('Output Utente'!$P$2:$P$492,MATCH(358,'Output Utente'!$R$2:$R$492,0)),"")</f>
        <v/>
      </c>
      <c r="I361" s="27" t="str">
        <f aca="false">IFERROR(INDEX('Output Utente'!$F$2:$F$492,MATCH(358,'Output Utente'!$R$2:$R$492,0)),"")</f>
        <v/>
      </c>
      <c r="J361" s="27" t="str">
        <f aca="false">IFERROR(INDEX('Output Utente'!$G$2:$G$492,MATCH(358,'Output Utente'!$R$2:$R$492,0)),"")</f>
        <v/>
      </c>
      <c r="K361" s="27" t="str">
        <f aca="false">IFERROR(INDEX('Output Utente'!$H$2:$H$492,MATCH(358,'Output Utente'!$R$2:$R$492,0)),"")</f>
        <v/>
      </c>
      <c r="L361" s="26" t="str">
        <f aca="false">IFERROR(INDEX('Output Utente'!$E$2:$E$492,MATCH(358,'Output Utente'!$R$2:$R$492,0)),"")</f>
        <v/>
      </c>
    </row>
    <row r="362" customFormat="false" ht="15" hidden="false" customHeight="true" outlineLevel="0" collapsed="false">
      <c r="A362" s="29" t="n">
        <v>359</v>
      </c>
      <c r="B362" s="26" t="str">
        <f aca="false">IFERROR(INDEX('Output Utente'!$A$2:$A$492,MATCH(359,'Output Utente'!$R$2:$R$492,0)),"")</f>
        <v/>
      </c>
      <c r="C362" s="26" t="str">
        <f aca="false">IFERROR(INDEX('Output Utente'!$B$2:$B$492,MATCH(359,'Output Utente'!$R$2:$R$492,0)),"")</f>
        <v/>
      </c>
      <c r="D362" s="26" t="str">
        <f aca="false">IFERROR(INDEX('Output Utente'!$C$2:$C$492,MATCH(359,'Output Utente'!$R$2:$R$492,0)),"")</f>
        <v/>
      </c>
      <c r="E362" s="26" t="str">
        <f aca="false">IFERROR(INDEX('Input Giocatori 2026_27'!$D$3:$D$493,MATCH($B362,'Input Giocatori 2026_27'!$A$3:$A$493,0)),"")</f>
        <v/>
      </c>
      <c r="F362" s="27" t="str">
        <f aca="false">IFERROR(INDEX('Output Utente'!$N$2:$N$492,MATCH(359,'Output Utente'!$R$2:$R$492,0)),"")</f>
        <v/>
      </c>
      <c r="G362" s="26" t="str">
        <f aca="false">IFERROR(INDEX('Output Utente'!$O$2:$O$492,MATCH(359,'Output Utente'!$R$2:$R$492,0)),"")</f>
        <v/>
      </c>
      <c r="H362" s="26" t="str">
        <f aca="false">IFERROR(INDEX('Output Utente'!$P$2:$P$492,MATCH(359,'Output Utente'!$R$2:$R$492,0)),"")</f>
        <v/>
      </c>
      <c r="I362" s="27" t="str">
        <f aca="false">IFERROR(INDEX('Output Utente'!$F$2:$F$492,MATCH(359,'Output Utente'!$R$2:$R$492,0)),"")</f>
        <v/>
      </c>
      <c r="J362" s="27" t="str">
        <f aca="false">IFERROR(INDEX('Output Utente'!$G$2:$G$492,MATCH(359,'Output Utente'!$R$2:$R$492,0)),"")</f>
        <v/>
      </c>
      <c r="K362" s="27" t="str">
        <f aca="false">IFERROR(INDEX('Output Utente'!$H$2:$H$492,MATCH(359,'Output Utente'!$R$2:$R$492,0)),"")</f>
        <v/>
      </c>
      <c r="L362" s="26" t="str">
        <f aca="false">IFERROR(INDEX('Output Utente'!$E$2:$E$492,MATCH(359,'Output Utente'!$R$2:$R$492,0)),"")</f>
        <v/>
      </c>
    </row>
    <row r="363" customFormat="false" ht="15" hidden="false" customHeight="true" outlineLevel="0" collapsed="false">
      <c r="A363" s="29" t="n">
        <v>360</v>
      </c>
      <c r="B363" s="26" t="str">
        <f aca="false">IFERROR(INDEX('Output Utente'!$A$2:$A$492,MATCH(360,'Output Utente'!$R$2:$R$492,0)),"")</f>
        <v/>
      </c>
      <c r="C363" s="26" t="str">
        <f aca="false">IFERROR(INDEX('Output Utente'!$B$2:$B$492,MATCH(360,'Output Utente'!$R$2:$R$492,0)),"")</f>
        <v/>
      </c>
      <c r="D363" s="26" t="str">
        <f aca="false">IFERROR(INDEX('Output Utente'!$C$2:$C$492,MATCH(360,'Output Utente'!$R$2:$R$492,0)),"")</f>
        <v/>
      </c>
      <c r="E363" s="26" t="str">
        <f aca="false">IFERROR(INDEX('Input Giocatori 2026_27'!$D$3:$D$493,MATCH($B363,'Input Giocatori 2026_27'!$A$3:$A$493,0)),"")</f>
        <v/>
      </c>
      <c r="F363" s="27" t="str">
        <f aca="false">IFERROR(INDEX('Output Utente'!$N$2:$N$492,MATCH(360,'Output Utente'!$R$2:$R$492,0)),"")</f>
        <v/>
      </c>
      <c r="G363" s="26" t="str">
        <f aca="false">IFERROR(INDEX('Output Utente'!$O$2:$O$492,MATCH(360,'Output Utente'!$R$2:$R$492,0)),"")</f>
        <v/>
      </c>
      <c r="H363" s="26" t="str">
        <f aca="false">IFERROR(INDEX('Output Utente'!$P$2:$P$492,MATCH(360,'Output Utente'!$R$2:$R$492,0)),"")</f>
        <v/>
      </c>
      <c r="I363" s="27" t="str">
        <f aca="false">IFERROR(INDEX('Output Utente'!$F$2:$F$492,MATCH(360,'Output Utente'!$R$2:$R$492,0)),"")</f>
        <v/>
      </c>
      <c r="J363" s="27" t="str">
        <f aca="false">IFERROR(INDEX('Output Utente'!$G$2:$G$492,MATCH(360,'Output Utente'!$R$2:$R$492,0)),"")</f>
        <v/>
      </c>
      <c r="K363" s="27" t="str">
        <f aca="false">IFERROR(INDEX('Output Utente'!$H$2:$H$492,MATCH(360,'Output Utente'!$R$2:$R$492,0)),"")</f>
        <v/>
      </c>
      <c r="L363" s="26" t="str">
        <f aca="false">IFERROR(INDEX('Output Utente'!$E$2:$E$492,MATCH(360,'Output Utente'!$R$2:$R$492,0)),"")</f>
        <v/>
      </c>
    </row>
    <row r="364" customFormat="false" ht="15" hidden="false" customHeight="true" outlineLevel="0" collapsed="false">
      <c r="A364" s="29" t="n">
        <v>361</v>
      </c>
      <c r="B364" s="26" t="str">
        <f aca="false">IFERROR(INDEX('Output Utente'!$A$2:$A$492,MATCH(361,'Output Utente'!$R$2:$R$492,0)),"")</f>
        <v/>
      </c>
      <c r="C364" s="26" t="str">
        <f aca="false">IFERROR(INDEX('Output Utente'!$B$2:$B$492,MATCH(361,'Output Utente'!$R$2:$R$492,0)),"")</f>
        <v/>
      </c>
      <c r="D364" s="26" t="str">
        <f aca="false">IFERROR(INDEX('Output Utente'!$C$2:$C$492,MATCH(361,'Output Utente'!$R$2:$R$492,0)),"")</f>
        <v/>
      </c>
      <c r="E364" s="26" t="str">
        <f aca="false">IFERROR(INDEX('Input Giocatori 2026_27'!$D$3:$D$493,MATCH($B364,'Input Giocatori 2026_27'!$A$3:$A$493,0)),"")</f>
        <v/>
      </c>
      <c r="F364" s="27" t="str">
        <f aca="false">IFERROR(INDEX('Output Utente'!$N$2:$N$492,MATCH(361,'Output Utente'!$R$2:$R$492,0)),"")</f>
        <v/>
      </c>
      <c r="G364" s="26" t="str">
        <f aca="false">IFERROR(INDEX('Output Utente'!$O$2:$O$492,MATCH(361,'Output Utente'!$R$2:$R$492,0)),"")</f>
        <v/>
      </c>
      <c r="H364" s="26" t="str">
        <f aca="false">IFERROR(INDEX('Output Utente'!$P$2:$P$492,MATCH(361,'Output Utente'!$R$2:$R$492,0)),"")</f>
        <v/>
      </c>
      <c r="I364" s="27" t="str">
        <f aca="false">IFERROR(INDEX('Output Utente'!$F$2:$F$492,MATCH(361,'Output Utente'!$R$2:$R$492,0)),"")</f>
        <v/>
      </c>
      <c r="J364" s="27" t="str">
        <f aca="false">IFERROR(INDEX('Output Utente'!$G$2:$G$492,MATCH(361,'Output Utente'!$R$2:$R$492,0)),"")</f>
        <v/>
      </c>
      <c r="K364" s="27" t="str">
        <f aca="false">IFERROR(INDEX('Output Utente'!$H$2:$H$492,MATCH(361,'Output Utente'!$R$2:$R$492,0)),"")</f>
        <v/>
      </c>
      <c r="L364" s="26" t="str">
        <f aca="false">IFERROR(INDEX('Output Utente'!$E$2:$E$492,MATCH(361,'Output Utente'!$R$2:$R$492,0)),"")</f>
        <v/>
      </c>
    </row>
    <row r="365" customFormat="false" ht="15" hidden="false" customHeight="true" outlineLevel="0" collapsed="false">
      <c r="A365" s="29" t="n">
        <v>362</v>
      </c>
      <c r="B365" s="26" t="str">
        <f aca="false">IFERROR(INDEX('Output Utente'!$A$2:$A$492,MATCH(362,'Output Utente'!$R$2:$R$492,0)),"")</f>
        <v/>
      </c>
      <c r="C365" s="26" t="str">
        <f aca="false">IFERROR(INDEX('Output Utente'!$B$2:$B$492,MATCH(362,'Output Utente'!$R$2:$R$492,0)),"")</f>
        <v/>
      </c>
      <c r="D365" s="26" t="str">
        <f aca="false">IFERROR(INDEX('Output Utente'!$C$2:$C$492,MATCH(362,'Output Utente'!$R$2:$R$492,0)),"")</f>
        <v/>
      </c>
      <c r="E365" s="26" t="str">
        <f aca="false">IFERROR(INDEX('Input Giocatori 2026_27'!$D$3:$D$493,MATCH($B365,'Input Giocatori 2026_27'!$A$3:$A$493,0)),"")</f>
        <v/>
      </c>
      <c r="F365" s="27" t="str">
        <f aca="false">IFERROR(INDEX('Output Utente'!$N$2:$N$492,MATCH(362,'Output Utente'!$R$2:$R$492,0)),"")</f>
        <v/>
      </c>
      <c r="G365" s="26" t="str">
        <f aca="false">IFERROR(INDEX('Output Utente'!$O$2:$O$492,MATCH(362,'Output Utente'!$R$2:$R$492,0)),"")</f>
        <v/>
      </c>
      <c r="H365" s="26" t="str">
        <f aca="false">IFERROR(INDEX('Output Utente'!$P$2:$P$492,MATCH(362,'Output Utente'!$R$2:$R$492,0)),"")</f>
        <v/>
      </c>
      <c r="I365" s="27" t="str">
        <f aca="false">IFERROR(INDEX('Output Utente'!$F$2:$F$492,MATCH(362,'Output Utente'!$R$2:$R$492,0)),"")</f>
        <v/>
      </c>
      <c r="J365" s="27" t="str">
        <f aca="false">IFERROR(INDEX('Output Utente'!$G$2:$G$492,MATCH(362,'Output Utente'!$R$2:$R$492,0)),"")</f>
        <v/>
      </c>
      <c r="K365" s="27" t="str">
        <f aca="false">IFERROR(INDEX('Output Utente'!$H$2:$H$492,MATCH(362,'Output Utente'!$R$2:$R$492,0)),"")</f>
        <v/>
      </c>
      <c r="L365" s="26" t="str">
        <f aca="false">IFERROR(INDEX('Output Utente'!$E$2:$E$492,MATCH(362,'Output Utente'!$R$2:$R$492,0)),"")</f>
        <v/>
      </c>
    </row>
    <row r="366" customFormat="false" ht="15" hidden="false" customHeight="true" outlineLevel="0" collapsed="false">
      <c r="A366" s="29" t="n">
        <v>363</v>
      </c>
      <c r="B366" s="26" t="str">
        <f aca="false">IFERROR(INDEX('Output Utente'!$A$2:$A$492,MATCH(363,'Output Utente'!$R$2:$R$492,0)),"")</f>
        <v/>
      </c>
      <c r="C366" s="26" t="str">
        <f aca="false">IFERROR(INDEX('Output Utente'!$B$2:$B$492,MATCH(363,'Output Utente'!$R$2:$R$492,0)),"")</f>
        <v/>
      </c>
      <c r="D366" s="26" t="str">
        <f aca="false">IFERROR(INDEX('Output Utente'!$C$2:$C$492,MATCH(363,'Output Utente'!$R$2:$R$492,0)),"")</f>
        <v/>
      </c>
      <c r="E366" s="26" t="str">
        <f aca="false">IFERROR(INDEX('Input Giocatori 2026_27'!$D$3:$D$493,MATCH($B366,'Input Giocatori 2026_27'!$A$3:$A$493,0)),"")</f>
        <v/>
      </c>
      <c r="F366" s="27" t="str">
        <f aca="false">IFERROR(INDEX('Output Utente'!$N$2:$N$492,MATCH(363,'Output Utente'!$R$2:$R$492,0)),"")</f>
        <v/>
      </c>
      <c r="G366" s="26" t="str">
        <f aca="false">IFERROR(INDEX('Output Utente'!$O$2:$O$492,MATCH(363,'Output Utente'!$R$2:$R$492,0)),"")</f>
        <v/>
      </c>
      <c r="H366" s="26" t="str">
        <f aca="false">IFERROR(INDEX('Output Utente'!$P$2:$P$492,MATCH(363,'Output Utente'!$R$2:$R$492,0)),"")</f>
        <v/>
      </c>
      <c r="I366" s="27" t="str">
        <f aca="false">IFERROR(INDEX('Output Utente'!$F$2:$F$492,MATCH(363,'Output Utente'!$R$2:$R$492,0)),"")</f>
        <v/>
      </c>
      <c r="J366" s="27" t="str">
        <f aca="false">IFERROR(INDEX('Output Utente'!$G$2:$G$492,MATCH(363,'Output Utente'!$R$2:$R$492,0)),"")</f>
        <v/>
      </c>
      <c r="K366" s="27" t="str">
        <f aca="false">IFERROR(INDEX('Output Utente'!$H$2:$H$492,MATCH(363,'Output Utente'!$R$2:$R$492,0)),"")</f>
        <v/>
      </c>
      <c r="L366" s="26" t="str">
        <f aca="false">IFERROR(INDEX('Output Utente'!$E$2:$E$492,MATCH(363,'Output Utente'!$R$2:$R$492,0)),"")</f>
        <v/>
      </c>
    </row>
    <row r="367" customFormat="false" ht="15" hidden="false" customHeight="true" outlineLevel="0" collapsed="false">
      <c r="A367" s="29" t="n">
        <v>364</v>
      </c>
      <c r="B367" s="26" t="str">
        <f aca="false">IFERROR(INDEX('Output Utente'!$A$2:$A$492,MATCH(364,'Output Utente'!$R$2:$R$492,0)),"")</f>
        <v/>
      </c>
      <c r="C367" s="26" t="str">
        <f aca="false">IFERROR(INDEX('Output Utente'!$B$2:$B$492,MATCH(364,'Output Utente'!$R$2:$R$492,0)),"")</f>
        <v/>
      </c>
      <c r="D367" s="26" t="str">
        <f aca="false">IFERROR(INDEX('Output Utente'!$C$2:$C$492,MATCH(364,'Output Utente'!$R$2:$R$492,0)),"")</f>
        <v/>
      </c>
      <c r="E367" s="26" t="str">
        <f aca="false">IFERROR(INDEX('Input Giocatori 2026_27'!$D$3:$D$493,MATCH($B367,'Input Giocatori 2026_27'!$A$3:$A$493,0)),"")</f>
        <v/>
      </c>
      <c r="F367" s="27" t="str">
        <f aca="false">IFERROR(INDEX('Output Utente'!$N$2:$N$492,MATCH(364,'Output Utente'!$R$2:$R$492,0)),"")</f>
        <v/>
      </c>
      <c r="G367" s="26" t="str">
        <f aca="false">IFERROR(INDEX('Output Utente'!$O$2:$O$492,MATCH(364,'Output Utente'!$R$2:$R$492,0)),"")</f>
        <v/>
      </c>
      <c r="H367" s="26" t="str">
        <f aca="false">IFERROR(INDEX('Output Utente'!$P$2:$P$492,MATCH(364,'Output Utente'!$R$2:$R$492,0)),"")</f>
        <v/>
      </c>
      <c r="I367" s="27" t="str">
        <f aca="false">IFERROR(INDEX('Output Utente'!$F$2:$F$492,MATCH(364,'Output Utente'!$R$2:$R$492,0)),"")</f>
        <v/>
      </c>
      <c r="J367" s="27" t="str">
        <f aca="false">IFERROR(INDEX('Output Utente'!$G$2:$G$492,MATCH(364,'Output Utente'!$R$2:$R$492,0)),"")</f>
        <v/>
      </c>
      <c r="K367" s="27" t="str">
        <f aca="false">IFERROR(INDEX('Output Utente'!$H$2:$H$492,MATCH(364,'Output Utente'!$R$2:$R$492,0)),"")</f>
        <v/>
      </c>
      <c r="L367" s="26" t="str">
        <f aca="false">IFERROR(INDEX('Output Utente'!$E$2:$E$492,MATCH(364,'Output Utente'!$R$2:$R$492,0)),"")</f>
        <v/>
      </c>
    </row>
    <row r="368" customFormat="false" ht="15" hidden="false" customHeight="true" outlineLevel="0" collapsed="false">
      <c r="A368" s="29" t="n">
        <v>365</v>
      </c>
      <c r="B368" s="26" t="str">
        <f aca="false">IFERROR(INDEX('Output Utente'!$A$2:$A$492,MATCH(365,'Output Utente'!$R$2:$R$492,0)),"")</f>
        <v/>
      </c>
      <c r="C368" s="26" t="str">
        <f aca="false">IFERROR(INDEX('Output Utente'!$B$2:$B$492,MATCH(365,'Output Utente'!$R$2:$R$492,0)),"")</f>
        <v/>
      </c>
      <c r="D368" s="26" t="str">
        <f aca="false">IFERROR(INDEX('Output Utente'!$C$2:$C$492,MATCH(365,'Output Utente'!$R$2:$R$492,0)),"")</f>
        <v/>
      </c>
      <c r="E368" s="26" t="str">
        <f aca="false">IFERROR(INDEX('Input Giocatori 2026_27'!$D$3:$D$493,MATCH($B368,'Input Giocatori 2026_27'!$A$3:$A$493,0)),"")</f>
        <v/>
      </c>
      <c r="F368" s="27" t="str">
        <f aca="false">IFERROR(INDEX('Output Utente'!$N$2:$N$492,MATCH(365,'Output Utente'!$R$2:$R$492,0)),"")</f>
        <v/>
      </c>
      <c r="G368" s="26" t="str">
        <f aca="false">IFERROR(INDEX('Output Utente'!$O$2:$O$492,MATCH(365,'Output Utente'!$R$2:$R$492,0)),"")</f>
        <v/>
      </c>
      <c r="H368" s="26" t="str">
        <f aca="false">IFERROR(INDEX('Output Utente'!$P$2:$P$492,MATCH(365,'Output Utente'!$R$2:$R$492,0)),"")</f>
        <v/>
      </c>
      <c r="I368" s="27" t="str">
        <f aca="false">IFERROR(INDEX('Output Utente'!$F$2:$F$492,MATCH(365,'Output Utente'!$R$2:$R$492,0)),"")</f>
        <v/>
      </c>
      <c r="J368" s="27" t="str">
        <f aca="false">IFERROR(INDEX('Output Utente'!$G$2:$G$492,MATCH(365,'Output Utente'!$R$2:$R$492,0)),"")</f>
        <v/>
      </c>
      <c r="K368" s="27" t="str">
        <f aca="false">IFERROR(INDEX('Output Utente'!$H$2:$H$492,MATCH(365,'Output Utente'!$R$2:$R$492,0)),"")</f>
        <v/>
      </c>
      <c r="L368" s="26" t="str">
        <f aca="false">IFERROR(INDEX('Output Utente'!$E$2:$E$492,MATCH(365,'Output Utente'!$R$2:$R$492,0)),"")</f>
        <v/>
      </c>
    </row>
    <row r="369" customFormat="false" ht="15" hidden="false" customHeight="true" outlineLevel="0" collapsed="false">
      <c r="A369" s="29" t="n">
        <v>366</v>
      </c>
      <c r="B369" s="26" t="str">
        <f aca="false">IFERROR(INDEX('Output Utente'!$A$2:$A$492,MATCH(366,'Output Utente'!$R$2:$R$492,0)),"")</f>
        <v/>
      </c>
      <c r="C369" s="26" t="str">
        <f aca="false">IFERROR(INDEX('Output Utente'!$B$2:$B$492,MATCH(366,'Output Utente'!$R$2:$R$492,0)),"")</f>
        <v/>
      </c>
      <c r="D369" s="26" t="str">
        <f aca="false">IFERROR(INDEX('Output Utente'!$C$2:$C$492,MATCH(366,'Output Utente'!$R$2:$R$492,0)),"")</f>
        <v/>
      </c>
      <c r="E369" s="26" t="str">
        <f aca="false">IFERROR(INDEX('Input Giocatori 2026_27'!$D$3:$D$493,MATCH($B369,'Input Giocatori 2026_27'!$A$3:$A$493,0)),"")</f>
        <v/>
      </c>
      <c r="F369" s="27" t="str">
        <f aca="false">IFERROR(INDEX('Output Utente'!$N$2:$N$492,MATCH(366,'Output Utente'!$R$2:$R$492,0)),"")</f>
        <v/>
      </c>
      <c r="G369" s="26" t="str">
        <f aca="false">IFERROR(INDEX('Output Utente'!$O$2:$O$492,MATCH(366,'Output Utente'!$R$2:$R$492,0)),"")</f>
        <v/>
      </c>
      <c r="H369" s="26" t="str">
        <f aca="false">IFERROR(INDEX('Output Utente'!$P$2:$P$492,MATCH(366,'Output Utente'!$R$2:$R$492,0)),"")</f>
        <v/>
      </c>
      <c r="I369" s="27" t="str">
        <f aca="false">IFERROR(INDEX('Output Utente'!$F$2:$F$492,MATCH(366,'Output Utente'!$R$2:$R$492,0)),"")</f>
        <v/>
      </c>
      <c r="J369" s="27" t="str">
        <f aca="false">IFERROR(INDEX('Output Utente'!$G$2:$G$492,MATCH(366,'Output Utente'!$R$2:$R$492,0)),"")</f>
        <v/>
      </c>
      <c r="K369" s="27" t="str">
        <f aca="false">IFERROR(INDEX('Output Utente'!$H$2:$H$492,MATCH(366,'Output Utente'!$R$2:$R$492,0)),"")</f>
        <v/>
      </c>
      <c r="L369" s="26" t="str">
        <f aca="false">IFERROR(INDEX('Output Utente'!$E$2:$E$492,MATCH(366,'Output Utente'!$R$2:$R$492,0)),"")</f>
        <v/>
      </c>
    </row>
    <row r="370" customFormat="false" ht="15" hidden="false" customHeight="true" outlineLevel="0" collapsed="false">
      <c r="A370" s="29" t="n">
        <v>367</v>
      </c>
      <c r="B370" s="26" t="str">
        <f aca="false">IFERROR(INDEX('Output Utente'!$A$2:$A$492,MATCH(367,'Output Utente'!$R$2:$R$492,0)),"")</f>
        <v/>
      </c>
      <c r="C370" s="26" t="str">
        <f aca="false">IFERROR(INDEX('Output Utente'!$B$2:$B$492,MATCH(367,'Output Utente'!$R$2:$R$492,0)),"")</f>
        <v/>
      </c>
      <c r="D370" s="26" t="str">
        <f aca="false">IFERROR(INDEX('Output Utente'!$C$2:$C$492,MATCH(367,'Output Utente'!$R$2:$R$492,0)),"")</f>
        <v/>
      </c>
      <c r="E370" s="26" t="str">
        <f aca="false">IFERROR(INDEX('Input Giocatori 2026_27'!$D$3:$D$493,MATCH($B370,'Input Giocatori 2026_27'!$A$3:$A$493,0)),"")</f>
        <v/>
      </c>
      <c r="F370" s="27" t="str">
        <f aca="false">IFERROR(INDEX('Output Utente'!$N$2:$N$492,MATCH(367,'Output Utente'!$R$2:$R$492,0)),"")</f>
        <v/>
      </c>
      <c r="G370" s="26" t="str">
        <f aca="false">IFERROR(INDEX('Output Utente'!$O$2:$O$492,MATCH(367,'Output Utente'!$R$2:$R$492,0)),"")</f>
        <v/>
      </c>
      <c r="H370" s="26" t="str">
        <f aca="false">IFERROR(INDEX('Output Utente'!$P$2:$P$492,MATCH(367,'Output Utente'!$R$2:$R$492,0)),"")</f>
        <v/>
      </c>
      <c r="I370" s="27" t="str">
        <f aca="false">IFERROR(INDEX('Output Utente'!$F$2:$F$492,MATCH(367,'Output Utente'!$R$2:$R$492,0)),"")</f>
        <v/>
      </c>
      <c r="J370" s="27" t="str">
        <f aca="false">IFERROR(INDEX('Output Utente'!$G$2:$G$492,MATCH(367,'Output Utente'!$R$2:$R$492,0)),"")</f>
        <v/>
      </c>
      <c r="K370" s="27" t="str">
        <f aca="false">IFERROR(INDEX('Output Utente'!$H$2:$H$492,MATCH(367,'Output Utente'!$R$2:$R$492,0)),"")</f>
        <v/>
      </c>
      <c r="L370" s="26" t="str">
        <f aca="false">IFERROR(INDEX('Output Utente'!$E$2:$E$492,MATCH(367,'Output Utente'!$R$2:$R$492,0)),"")</f>
        <v/>
      </c>
    </row>
    <row r="371" customFormat="false" ht="15" hidden="false" customHeight="true" outlineLevel="0" collapsed="false">
      <c r="A371" s="29" t="n">
        <v>368</v>
      </c>
      <c r="B371" s="26" t="str">
        <f aca="false">IFERROR(INDEX('Output Utente'!$A$2:$A$492,MATCH(368,'Output Utente'!$R$2:$R$492,0)),"")</f>
        <v/>
      </c>
      <c r="C371" s="26" t="str">
        <f aca="false">IFERROR(INDEX('Output Utente'!$B$2:$B$492,MATCH(368,'Output Utente'!$R$2:$R$492,0)),"")</f>
        <v/>
      </c>
      <c r="D371" s="26" t="str">
        <f aca="false">IFERROR(INDEX('Output Utente'!$C$2:$C$492,MATCH(368,'Output Utente'!$R$2:$R$492,0)),"")</f>
        <v/>
      </c>
      <c r="E371" s="26" t="str">
        <f aca="false">IFERROR(INDEX('Input Giocatori 2026_27'!$D$3:$D$493,MATCH($B371,'Input Giocatori 2026_27'!$A$3:$A$493,0)),"")</f>
        <v/>
      </c>
      <c r="F371" s="27" t="str">
        <f aca="false">IFERROR(INDEX('Output Utente'!$N$2:$N$492,MATCH(368,'Output Utente'!$R$2:$R$492,0)),"")</f>
        <v/>
      </c>
      <c r="G371" s="26" t="str">
        <f aca="false">IFERROR(INDEX('Output Utente'!$O$2:$O$492,MATCH(368,'Output Utente'!$R$2:$R$492,0)),"")</f>
        <v/>
      </c>
      <c r="H371" s="26" t="str">
        <f aca="false">IFERROR(INDEX('Output Utente'!$P$2:$P$492,MATCH(368,'Output Utente'!$R$2:$R$492,0)),"")</f>
        <v/>
      </c>
      <c r="I371" s="27" t="str">
        <f aca="false">IFERROR(INDEX('Output Utente'!$F$2:$F$492,MATCH(368,'Output Utente'!$R$2:$R$492,0)),"")</f>
        <v/>
      </c>
      <c r="J371" s="27" t="str">
        <f aca="false">IFERROR(INDEX('Output Utente'!$G$2:$G$492,MATCH(368,'Output Utente'!$R$2:$R$492,0)),"")</f>
        <v/>
      </c>
      <c r="K371" s="27" t="str">
        <f aca="false">IFERROR(INDEX('Output Utente'!$H$2:$H$492,MATCH(368,'Output Utente'!$R$2:$R$492,0)),"")</f>
        <v/>
      </c>
      <c r="L371" s="26" t="str">
        <f aca="false">IFERROR(INDEX('Output Utente'!$E$2:$E$492,MATCH(368,'Output Utente'!$R$2:$R$492,0)),"")</f>
        <v/>
      </c>
    </row>
    <row r="372" customFormat="false" ht="15" hidden="false" customHeight="true" outlineLevel="0" collapsed="false">
      <c r="A372" s="29" t="n">
        <v>369</v>
      </c>
      <c r="B372" s="26" t="str">
        <f aca="false">IFERROR(INDEX('Output Utente'!$A$2:$A$492,MATCH(369,'Output Utente'!$R$2:$R$492,0)),"")</f>
        <v/>
      </c>
      <c r="C372" s="26" t="str">
        <f aca="false">IFERROR(INDEX('Output Utente'!$B$2:$B$492,MATCH(369,'Output Utente'!$R$2:$R$492,0)),"")</f>
        <v/>
      </c>
      <c r="D372" s="26" t="str">
        <f aca="false">IFERROR(INDEX('Output Utente'!$C$2:$C$492,MATCH(369,'Output Utente'!$R$2:$R$492,0)),"")</f>
        <v/>
      </c>
      <c r="E372" s="26" t="str">
        <f aca="false">IFERROR(INDEX('Input Giocatori 2026_27'!$D$3:$D$493,MATCH($B372,'Input Giocatori 2026_27'!$A$3:$A$493,0)),"")</f>
        <v/>
      </c>
      <c r="F372" s="27" t="str">
        <f aca="false">IFERROR(INDEX('Output Utente'!$N$2:$N$492,MATCH(369,'Output Utente'!$R$2:$R$492,0)),"")</f>
        <v/>
      </c>
      <c r="G372" s="26" t="str">
        <f aca="false">IFERROR(INDEX('Output Utente'!$O$2:$O$492,MATCH(369,'Output Utente'!$R$2:$R$492,0)),"")</f>
        <v/>
      </c>
      <c r="H372" s="26" t="str">
        <f aca="false">IFERROR(INDEX('Output Utente'!$P$2:$P$492,MATCH(369,'Output Utente'!$R$2:$R$492,0)),"")</f>
        <v/>
      </c>
      <c r="I372" s="27" t="str">
        <f aca="false">IFERROR(INDEX('Output Utente'!$F$2:$F$492,MATCH(369,'Output Utente'!$R$2:$R$492,0)),"")</f>
        <v/>
      </c>
      <c r="J372" s="27" t="str">
        <f aca="false">IFERROR(INDEX('Output Utente'!$G$2:$G$492,MATCH(369,'Output Utente'!$R$2:$R$492,0)),"")</f>
        <v/>
      </c>
      <c r="K372" s="27" t="str">
        <f aca="false">IFERROR(INDEX('Output Utente'!$H$2:$H$492,MATCH(369,'Output Utente'!$R$2:$R$492,0)),"")</f>
        <v/>
      </c>
      <c r="L372" s="26" t="str">
        <f aca="false">IFERROR(INDEX('Output Utente'!$E$2:$E$492,MATCH(369,'Output Utente'!$R$2:$R$492,0)),"")</f>
        <v/>
      </c>
    </row>
    <row r="373" customFormat="false" ht="15" hidden="false" customHeight="true" outlineLevel="0" collapsed="false">
      <c r="A373" s="29" t="n">
        <v>370</v>
      </c>
      <c r="B373" s="26" t="str">
        <f aca="false">IFERROR(INDEX('Output Utente'!$A$2:$A$492,MATCH(370,'Output Utente'!$R$2:$R$492,0)),"")</f>
        <v/>
      </c>
      <c r="C373" s="26" t="str">
        <f aca="false">IFERROR(INDEX('Output Utente'!$B$2:$B$492,MATCH(370,'Output Utente'!$R$2:$R$492,0)),"")</f>
        <v/>
      </c>
      <c r="D373" s="26" t="str">
        <f aca="false">IFERROR(INDEX('Output Utente'!$C$2:$C$492,MATCH(370,'Output Utente'!$R$2:$R$492,0)),"")</f>
        <v/>
      </c>
      <c r="E373" s="26" t="str">
        <f aca="false">IFERROR(INDEX('Input Giocatori 2026_27'!$D$3:$D$493,MATCH($B373,'Input Giocatori 2026_27'!$A$3:$A$493,0)),"")</f>
        <v/>
      </c>
      <c r="F373" s="27" t="str">
        <f aca="false">IFERROR(INDEX('Output Utente'!$N$2:$N$492,MATCH(370,'Output Utente'!$R$2:$R$492,0)),"")</f>
        <v/>
      </c>
      <c r="G373" s="26" t="str">
        <f aca="false">IFERROR(INDEX('Output Utente'!$O$2:$O$492,MATCH(370,'Output Utente'!$R$2:$R$492,0)),"")</f>
        <v/>
      </c>
      <c r="H373" s="26" t="str">
        <f aca="false">IFERROR(INDEX('Output Utente'!$P$2:$P$492,MATCH(370,'Output Utente'!$R$2:$R$492,0)),"")</f>
        <v/>
      </c>
      <c r="I373" s="27" t="str">
        <f aca="false">IFERROR(INDEX('Output Utente'!$F$2:$F$492,MATCH(370,'Output Utente'!$R$2:$R$492,0)),"")</f>
        <v/>
      </c>
      <c r="J373" s="27" t="str">
        <f aca="false">IFERROR(INDEX('Output Utente'!$G$2:$G$492,MATCH(370,'Output Utente'!$R$2:$R$492,0)),"")</f>
        <v/>
      </c>
      <c r="K373" s="27" t="str">
        <f aca="false">IFERROR(INDEX('Output Utente'!$H$2:$H$492,MATCH(370,'Output Utente'!$R$2:$R$492,0)),"")</f>
        <v/>
      </c>
      <c r="L373" s="26" t="str">
        <f aca="false">IFERROR(INDEX('Output Utente'!$E$2:$E$492,MATCH(370,'Output Utente'!$R$2:$R$492,0)),"")</f>
        <v/>
      </c>
    </row>
    <row r="374" customFormat="false" ht="15" hidden="false" customHeight="true" outlineLevel="0" collapsed="false">
      <c r="A374" s="29" t="n">
        <v>371</v>
      </c>
      <c r="B374" s="26" t="str">
        <f aca="false">IFERROR(INDEX('Output Utente'!$A$2:$A$492,MATCH(371,'Output Utente'!$R$2:$R$492,0)),"")</f>
        <v/>
      </c>
      <c r="C374" s="26" t="str">
        <f aca="false">IFERROR(INDEX('Output Utente'!$B$2:$B$492,MATCH(371,'Output Utente'!$R$2:$R$492,0)),"")</f>
        <v/>
      </c>
      <c r="D374" s="26" t="str">
        <f aca="false">IFERROR(INDEX('Output Utente'!$C$2:$C$492,MATCH(371,'Output Utente'!$R$2:$R$492,0)),"")</f>
        <v/>
      </c>
      <c r="E374" s="26" t="str">
        <f aca="false">IFERROR(INDEX('Input Giocatori 2026_27'!$D$3:$D$493,MATCH($B374,'Input Giocatori 2026_27'!$A$3:$A$493,0)),"")</f>
        <v/>
      </c>
      <c r="F374" s="27" t="str">
        <f aca="false">IFERROR(INDEX('Output Utente'!$N$2:$N$492,MATCH(371,'Output Utente'!$R$2:$R$492,0)),"")</f>
        <v/>
      </c>
      <c r="G374" s="26" t="str">
        <f aca="false">IFERROR(INDEX('Output Utente'!$O$2:$O$492,MATCH(371,'Output Utente'!$R$2:$R$492,0)),"")</f>
        <v/>
      </c>
      <c r="H374" s="26" t="str">
        <f aca="false">IFERROR(INDEX('Output Utente'!$P$2:$P$492,MATCH(371,'Output Utente'!$R$2:$R$492,0)),"")</f>
        <v/>
      </c>
      <c r="I374" s="27" t="str">
        <f aca="false">IFERROR(INDEX('Output Utente'!$F$2:$F$492,MATCH(371,'Output Utente'!$R$2:$R$492,0)),"")</f>
        <v/>
      </c>
      <c r="J374" s="27" t="str">
        <f aca="false">IFERROR(INDEX('Output Utente'!$G$2:$G$492,MATCH(371,'Output Utente'!$R$2:$R$492,0)),"")</f>
        <v/>
      </c>
      <c r="K374" s="27" t="str">
        <f aca="false">IFERROR(INDEX('Output Utente'!$H$2:$H$492,MATCH(371,'Output Utente'!$R$2:$R$492,0)),"")</f>
        <v/>
      </c>
      <c r="L374" s="26" t="str">
        <f aca="false">IFERROR(INDEX('Output Utente'!$E$2:$E$492,MATCH(371,'Output Utente'!$R$2:$R$492,0)),"")</f>
        <v/>
      </c>
    </row>
    <row r="375" customFormat="false" ht="15" hidden="false" customHeight="true" outlineLevel="0" collapsed="false">
      <c r="A375" s="29" t="n">
        <v>372</v>
      </c>
      <c r="B375" s="26" t="str">
        <f aca="false">IFERROR(INDEX('Output Utente'!$A$2:$A$492,MATCH(372,'Output Utente'!$R$2:$R$492,0)),"")</f>
        <v/>
      </c>
      <c r="C375" s="26" t="str">
        <f aca="false">IFERROR(INDEX('Output Utente'!$B$2:$B$492,MATCH(372,'Output Utente'!$R$2:$R$492,0)),"")</f>
        <v/>
      </c>
      <c r="D375" s="26" t="str">
        <f aca="false">IFERROR(INDEX('Output Utente'!$C$2:$C$492,MATCH(372,'Output Utente'!$R$2:$R$492,0)),"")</f>
        <v/>
      </c>
      <c r="E375" s="26" t="str">
        <f aca="false">IFERROR(INDEX('Input Giocatori 2026_27'!$D$3:$D$493,MATCH($B375,'Input Giocatori 2026_27'!$A$3:$A$493,0)),"")</f>
        <v/>
      </c>
      <c r="F375" s="27" t="str">
        <f aca="false">IFERROR(INDEX('Output Utente'!$N$2:$N$492,MATCH(372,'Output Utente'!$R$2:$R$492,0)),"")</f>
        <v/>
      </c>
      <c r="G375" s="26" t="str">
        <f aca="false">IFERROR(INDEX('Output Utente'!$O$2:$O$492,MATCH(372,'Output Utente'!$R$2:$R$492,0)),"")</f>
        <v/>
      </c>
      <c r="H375" s="26" t="str">
        <f aca="false">IFERROR(INDEX('Output Utente'!$P$2:$P$492,MATCH(372,'Output Utente'!$R$2:$R$492,0)),"")</f>
        <v/>
      </c>
      <c r="I375" s="27" t="str">
        <f aca="false">IFERROR(INDEX('Output Utente'!$F$2:$F$492,MATCH(372,'Output Utente'!$R$2:$R$492,0)),"")</f>
        <v/>
      </c>
      <c r="J375" s="27" t="str">
        <f aca="false">IFERROR(INDEX('Output Utente'!$G$2:$G$492,MATCH(372,'Output Utente'!$R$2:$R$492,0)),"")</f>
        <v/>
      </c>
      <c r="K375" s="27" t="str">
        <f aca="false">IFERROR(INDEX('Output Utente'!$H$2:$H$492,MATCH(372,'Output Utente'!$R$2:$R$492,0)),"")</f>
        <v/>
      </c>
      <c r="L375" s="26" t="str">
        <f aca="false">IFERROR(INDEX('Output Utente'!$E$2:$E$492,MATCH(372,'Output Utente'!$R$2:$R$492,0)),"")</f>
        <v/>
      </c>
    </row>
    <row r="376" customFormat="false" ht="15" hidden="false" customHeight="true" outlineLevel="0" collapsed="false">
      <c r="A376" s="29" t="n">
        <v>373</v>
      </c>
      <c r="B376" s="26" t="str">
        <f aca="false">IFERROR(INDEX('Output Utente'!$A$2:$A$492,MATCH(373,'Output Utente'!$R$2:$R$492,0)),"")</f>
        <v/>
      </c>
      <c r="C376" s="26" t="str">
        <f aca="false">IFERROR(INDEX('Output Utente'!$B$2:$B$492,MATCH(373,'Output Utente'!$R$2:$R$492,0)),"")</f>
        <v/>
      </c>
      <c r="D376" s="26" t="str">
        <f aca="false">IFERROR(INDEX('Output Utente'!$C$2:$C$492,MATCH(373,'Output Utente'!$R$2:$R$492,0)),"")</f>
        <v/>
      </c>
      <c r="E376" s="26" t="str">
        <f aca="false">IFERROR(INDEX('Input Giocatori 2026_27'!$D$3:$D$493,MATCH($B376,'Input Giocatori 2026_27'!$A$3:$A$493,0)),"")</f>
        <v/>
      </c>
      <c r="F376" s="27" t="str">
        <f aca="false">IFERROR(INDEX('Output Utente'!$N$2:$N$492,MATCH(373,'Output Utente'!$R$2:$R$492,0)),"")</f>
        <v/>
      </c>
      <c r="G376" s="26" t="str">
        <f aca="false">IFERROR(INDEX('Output Utente'!$O$2:$O$492,MATCH(373,'Output Utente'!$R$2:$R$492,0)),"")</f>
        <v/>
      </c>
      <c r="H376" s="26" t="str">
        <f aca="false">IFERROR(INDEX('Output Utente'!$P$2:$P$492,MATCH(373,'Output Utente'!$R$2:$R$492,0)),"")</f>
        <v/>
      </c>
      <c r="I376" s="27" t="str">
        <f aca="false">IFERROR(INDEX('Output Utente'!$F$2:$F$492,MATCH(373,'Output Utente'!$R$2:$R$492,0)),"")</f>
        <v/>
      </c>
      <c r="J376" s="27" t="str">
        <f aca="false">IFERROR(INDEX('Output Utente'!$G$2:$G$492,MATCH(373,'Output Utente'!$R$2:$R$492,0)),"")</f>
        <v/>
      </c>
      <c r="K376" s="27" t="str">
        <f aca="false">IFERROR(INDEX('Output Utente'!$H$2:$H$492,MATCH(373,'Output Utente'!$R$2:$R$492,0)),"")</f>
        <v/>
      </c>
      <c r="L376" s="26" t="str">
        <f aca="false">IFERROR(INDEX('Output Utente'!$E$2:$E$492,MATCH(373,'Output Utente'!$R$2:$R$492,0)),"")</f>
        <v/>
      </c>
    </row>
    <row r="377" customFormat="false" ht="15" hidden="false" customHeight="true" outlineLevel="0" collapsed="false">
      <c r="A377" s="29" t="n">
        <v>374</v>
      </c>
      <c r="B377" s="26" t="str">
        <f aca="false">IFERROR(INDEX('Output Utente'!$A$2:$A$492,MATCH(374,'Output Utente'!$R$2:$R$492,0)),"")</f>
        <v/>
      </c>
      <c r="C377" s="26" t="str">
        <f aca="false">IFERROR(INDEX('Output Utente'!$B$2:$B$492,MATCH(374,'Output Utente'!$R$2:$R$492,0)),"")</f>
        <v/>
      </c>
      <c r="D377" s="26" t="str">
        <f aca="false">IFERROR(INDEX('Output Utente'!$C$2:$C$492,MATCH(374,'Output Utente'!$R$2:$R$492,0)),"")</f>
        <v/>
      </c>
      <c r="E377" s="26" t="str">
        <f aca="false">IFERROR(INDEX('Input Giocatori 2026_27'!$D$3:$D$493,MATCH($B377,'Input Giocatori 2026_27'!$A$3:$A$493,0)),"")</f>
        <v/>
      </c>
      <c r="F377" s="27" t="str">
        <f aca="false">IFERROR(INDEX('Output Utente'!$N$2:$N$492,MATCH(374,'Output Utente'!$R$2:$R$492,0)),"")</f>
        <v/>
      </c>
      <c r="G377" s="26" t="str">
        <f aca="false">IFERROR(INDEX('Output Utente'!$O$2:$O$492,MATCH(374,'Output Utente'!$R$2:$R$492,0)),"")</f>
        <v/>
      </c>
      <c r="H377" s="26" t="str">
        <f aca="false">IFERROR(INDEX('Output Utente'!$P$2:$P$492,MATCH(374,'Output Utente'!$R$2:$R$492,0)),"")</f>
        <v/>
      </c>
      <c r="I377" s="27" t="str">
        <f aca="false">IFERROR(INDEX('Output Utente'!$F$2:$F$492,MATCH(374,'Output Utente'!$R$2:$R$492,0)),"")</f>
        <v/>
      </c>
      <c r="J377" s="27" t="str">
        <f aca="false">IFERROR(INDEX('Output Utente'!$G$2:$G$492,MATCH(374,'Output Utente'!$R$2:$R$492,0)),"")</f>
        <v/>
      </c>
      <c r="K377" s="27" t="str">
        <f aca="false">IFERROR(INDEX('Output Utente'!$H$2:$H$492,MATCH(374,'Output Utente'!$R$2:$R$492,0)),"")</f>
        <v/>
      </c>
      <c r="L377" s="26" t="str">
        <f aca="false">IFERROR(INDEX('Output Utente'!$E$2:$E$492,MATCH(374,'Output Utente'!$R$2:$R$492,0)),"")</f>
        <v/>
      </c>
    </row>
    <row r="378" customFormat="false" ht="15" hidden="false" customHeight="true" outlineLevel="0" collapsed="false">
      <c r="A378" s="29" t="n">
        <v>375</v>
      </c>
      <c r="B378" s="26" t="str">
        <f aca="false">IFERROR(INDEX('Output Utente'!$A$2:$A$492,MATCH(375,'Output Utente'!$R$2:$R$492,0)),"")</f>
        <v/>
      </c>
      <c r="C378" s="26" t="str">
        <f aca="false">IFERROR(INDEX('Output Utente'!$B$2:$B$492,MATCH(375,'Output Utente'!$R$2:$R$492,0)),"")</f>
        <v/>
      </c>
      <c r="D378" s="26" t="str">
        <f aca="false">IFERROR(INDEX('Output Utente'!$C$2:$C$492,MATCH(375,'Output Utente'!$R$2:$R$492,0)),"")</f>
        <v/>
      </c>
      <c r="E378" s="26" t="str">
        <f aca="false">IFERROR(INDEX('Input Giocatori 2026_27'!$D$3:$D$493,MATCH($B378,'Input Giocatori 2026_27'!$A$3:$A$493,0)),"")</f>
        <v/>
      </c>
      <c r="F378" s="27" t="str">
        <f aca="false">IFERROR(INDEX('Output Utente'!$N$2:$N$492,MATCH(375,'Output Utente'!$R$2:$R$492,0)),"")</f>
        <v/>
      </c>
      <c r="G378" s="26" t="str">
        <f aca="false">IFERROR(INDEX('Output Utente'!$O$2:$O$492,MATCH(375,'Output Utente'!$R$2:$R$492,0)),"")</f>
        <v/>
      </c>
      <c r="H378" s="26" t="str">
        <f aca="false">IFERROR(INDEX('Output Utente'!$P$2:$P$492,MATCH(375,'Output Utente'!$R$2:$R$492,0)),"")</f>
        <v/>
      </c>
      <c r="I378" s="27" t="str">
        <f aca="false">IFERROR(INDEX('Output Utente'!$F$2:$F$492,MATCH(375,'Output Utente'!$R$2:$R$492,0)),"")</f>
        <v/>
      </c>
      <c r="J378" s="27" t="str">
        <f aca="false">IFERROR(INDEX('Output Utente'!$G$2:$G$492,MATCH(375,'Output Utente'!$R$2:$R$492,0)),"")</f>
        <v/>
      </c>
      <c r="K378" s="27" t="str">
        <f aca="false">IFERROR(INDEX('Output Utente'!$H$2:$H$492,MATCH(375,'Output Utente'!$R$2:$R$492,0)),"")</f>
        <v/>
      </c>
      <c r="L378" s="26" t="str">
        <f aca="false">IFERROR(INDEX('Output Utente'!$E$2:$E$492,MATCH(375,'Output Utente'!$R$2:$R$492,0)),"")</f>
        <v/>
      </c>
    </row>
    <row r="379" customFormat="false" ht="15" hidden="false" customHeight="true" outlineLevel="0" collapsed="false">
      <c r="A379" s="29" t="n">
        <v>376</v>
      </c>
      <c r="B379" s="26" t="str">
        <f aca="false">IFERROR(INDEX('Output Utente'!$A$2:$A$492,MATCH(376,'Output Utente'!$R$2:$R$492,0)),"")</f>
        <v/>
      </c>
      <c r="C379" s="26" t="str">
        <f aca="false">IFERROR(INDEX('Output Utente'!$B$2:$B$492,MATCH(376,'Output Utente'!$R$2:$R$492,0)),"")</f>
        <v/>
      </c>
      <c r="D379" s="26" t="str">
        <f aca="false">IFERROR(INDEX('Output Utente'!$C$2:$C$492,MATCH(376,'Output Utente'!$R$2:$R$492,0)),"")</f>
        <v/>
      </c>
      <c r="E379" s="26" t="str">
        <f aca="false">IFERROR(INDEX('Input Giocatori 2026_27'!$D$3:$D$493,MATCH($B379,'Input Giocatori 2026_27'!$A$3:$A$493,0)),"")</f>
        <v/>
      </c>
      <c r="F379" s="27" t="str">
        <f aca="false">IFERROR(INDEX('Output Utente'!$N$2:$N$492,MATCH(376,'Output Utente'!$R$2:$R$492,0)),"")</f>
        <v/>
      </c>
      <c r="G379" s="26" t="str">
        <f aca="false">IFERROR(INDEX('Output Utente'!$O$2:$O$492,MATCH(376,'Output Utente'!$R$2:$R$492,0)),"")</f>
        <v/>
      </c>
      <c r="H379" s="26" t="str">
        <f aca="false">IFERROR(INDEX('Output Utente'!$P$2:$P$492,MATCH(376,'Output Utente'!$R$2:$R$492,0)),"")</f>
        <v/>
      </c>
      <c r="I379" s="27" t="str">
        <f aca="false">IFERROR(INDEX('Output Utente'!$F$2:$F$492,MATCH(376,'Output Utente'!$R$2:$R$492,0)),"")</f>
        <v/>
      </c>
      <c r="J379" s="27" t="str">
        <f aca="false">IFERROR(INDEX('Output Utente'!$G$2:$G$492,MATCH(376,'Output Utente'!$R$2:$R$492,0)),"")</f>
        <v/>
      </c>
      <c r="K379" s="27" t="str">
        <f aca="false">IFERROR(INDEX('Output Utente'!$H$2:$H$492,MATCH(376,'Output Utente'!$R$2:$R$492,0)),"")</f>
        <v/>
      </c>
      <c r="L379" s="26" t="str">
        <f aca="false">IFERROR(INDEX('Output Utente'!$E$2:$E$492,MATCH(376,'Output Utente'!$R$2:$R$492,0)),"")</f>
        <v/>
      </c>
    </row>
    <row r="380" customFormat="false" ht="15" hidden="false" customHeight="true" outlineLevel="0" collapsed="false">
      <c r="A380" s="29" t="n">
        <v>377</v>
      </c>
      <c r="B380" s="26" t="str">
        <f aca="false">IFERROR(INDEX('Output Utente'!$A$2:$A$492,MATCH(377,'Output Utente'!$R$2:$R$492,0)),"")</f>
        <v/>
      </c>
      <c r="C380" s="26" t="str">
        <f aca="false">IFERROR(INDEX('Output Utente'!$B$2:$B$492,MATCH(377,'Output Utente'!$R$2:$R$492,0)),"")</f>
        <v/>
      </c>
      <c r="D380" s="26" t="str">
        <f aca="false">IFERROR(INDEX('Output Utente'!$C$2:$C$492,MATCH(377,'Output Utente'!$R$2:$R$492,0)),"")</f>
        <v/>
      </c>
      <c r="E380" s="26" t="str">
        <f aca="false">IFERROR(INDEX('Input Giocatori 2026_27'!$D$3:$D$493,MATCH($B380,'Input Giocatori 2026_27'!$A$3:$A$493,0)),"")</f>
        <v/>
      </c>
      <c r="F380" s="27" t="str">
        <f aca="false">IFERROR(INDEX('Output Utente'!$N$2:$N$492,MATCH(377,'Output Utente'!$R$2:$R$492,0)),"")</f>
        <v/>
      </c>
      <c r="G380" s="26" t="str">
        <f aca="false">IFERROR(INDEX('Output Utente'!$O$2:$O$492,MATCH(377,'Output Utente'!$R$2:$R$492,0)),"")</f>
        <v/>
      </c>
      <c r="H380" s="26" t="str">
        <f aca="false">IFERROR(INDEX('Output Utente'!$P$2:$P$492,MATCH(377,'Output Utente'!$R$2:$R$492,0)),"")</f>
        <v/>
      </c>
      <c r="I380" s="27" t="str">
        <f aca="false">IFERROR(INDEX('Output Utente'!$F$2:$F$492,MATCH(377,'Output Utente'!$R$2:$R$492,0)),"")</f>
        <v/>
      </c>
      <c r="J380" s="27" t="str">
        <f aca="false">IFERROR(INDEX('Output Utente'!$G$2:$G$492,MATCH(377,'Output Utente'!$R$2:$R$492,0)),"")</f>
        <v/>
      </c>
      <c r="K380" s="27" t="str">
        <f aca="false">IFERROR(INDEX('Output Utente'!$H$2:$H$492,MATCH(377,'Output Utente'!$R$2:$R$492,0)),"")</f>
        <v/>
      </c>
      <c r="L380" s="26" t="str">
        <f aca="false">IFERROR(INDEX('Output Utente'!$E$2:$E$492,MATCH(377,'Output Utente'!$R$2:$R$492,0)),"")</f>
        <v/>
      </c>
    </row>
    <row r="381" customFormat="false" ht="15" hidden="false" customHeight="true" outlineLevel="0" collapsed="false">
      <c r="A381" s="29" t="n">
        <v>378</v>
      </c>
      <c r="B381" s="26" t="str">
        <f aca="false">IFERROR(INDEX('Output Utente'!$A$2:$A$492,MATCH(378,'Output Utente'!$R$2:$R$492,0)),"")</f>
        <v/>
      </c>
      <c r="C381" s="26" t="str">
        <f aca="false">IFERROR(INDEX('Output Utente'!$B$2:$B$492,MATCH(378,'Output Utente'!$R$2:$R$492,0)),"")</f>
        <v/>
      </c>
      <c r="D381" s="26" t="str">
        <f aca="false">IFERROR(INDEX('Output Utente'!$C$2:$C$492,MATCH(378,'Output Utente'!$R$2:$R$492,0)),"")</f>
        <v/>
      </c>
      <c r="E381" s="26" t="str">
        <f aca="false">IFERROR(INDEX('Input Giocatori 2026_27'!$D$3:$D$493,MATCH($B381,'Input Giocatori 2026_27'!$A$3:$A$493,0)),"")</f>
        <v/>
      </c>
      <c r="F381" s="27" t="str">
        <f aca="false">IFERROR(INDEX('Output Utente'!$N$2:$N$492,MATCH(378,'Output Utente'!$R$2:$R$492,0)),"")</f>
        <v/>
      </c>
      <c r="G381" s="26" t="str">
        <f aca="false">IFERROR(INDEX('Output Utente'!$O$2:$O$492,MATCH(378,'Output Utente'!$R$2:$R$492,0)),"")</f>
        <v/>
      </c>
      <c r="H381" s="26" t="str">
        <f aca="false">IFERROR(INDEX('Output Utente'!$P$2:$P$492,MATCH(378,'Output Utente'!$R$2:$R$492,0)),"")</f>
        <v/>
      </c>
      <c r="I381" s="27" t="str">
        <f aca="false">IFERROR(INDEX('Output Utente'!$F$2:$F$492,MATCH(378,'Output Utente'!$R$2:$R$492,0)),"")</f>
        <v/>
      </c>
      <c r="J381" s="27" t="str">
        <f aca="false">IFERROR(INDEX('Output Utente'!$G$2:$G$492,MATCH(378,'Output Utente'!$R$2:$R$492,0)),"")</f>
        <v/>
      </c>
      <c r="K381" s="27" t="str">
        <f aca="false">IFERROR(INDEX('Output Utente'!$H$2:$H$492,MATCH(378,'Output Utente'!$R$2:$R$492,0)),"")</f>
        <v/>
      </c>
      <c r="L381" s="26" t="str">
        <f aca="false">IFERROR(INDEX('Output Utente'!$E$2:$E$492,MATCH(378,'Output Utente'!$R$2:$R$492,0)),"")</f>
        <v/>
      </c>
    </row>
    <row r="382" customFormat="false" ht="15" hidden="false" customHeight="true" outlineLevel="0" collapsed="false">
      <c r="A382" s="29" t="n">
        <v>379</v>
      </c>
      <c r="B382" s="26" t="str">
        <f aca="false">IFERROR(INDEX('Output Utente'!$A$2:$A$492,MATCH(379,'Output Utente'!$R$2:$R$492,0)),"")</f>
        <v/>
      </c>
      <c r="C382" s="26" t="str">
        <f aca="false">IFERROR(INDEX('Output Utente'!$B$2:$B$492,MATCH(379,'Output Utente'!$R$2:$R$492,0)),"")</f>
        <v/>
      </c>
      <c r="D382" s="26" t="str">
        <f aca="false">IFERROR(INDEX('Output Utente'!$C$2:$C$492,MATCH(379,'Output Utente'!$R$2:$R$492,0)),"")</f>
        <v/>
      </c>
      <c r="E382" s="26" t="str">
        <f aca="false">IFERROR(INDEX('Input Giocatori 2026_27'!$D$3:$D$493,MATCH($B382,'Input Giocatori 2026_27'!$A$3:$A$493,0)),"")</f>
        <v/>
      </c>
      <c r="F382" s="27" t="str">
        <f aca="false">IFERROR(INDEX('Output Utente'!$N$2:$N$492,MATCH(379,'Output Utente'!$R$2:$R$492,0)),"")</f>
        <v/>
      </c>
      <c r="G382" s="26" t="str">
        <f aca="false">IFERROR(INDEX('Output Utente'!$O$2:$O$492,MATCH(379,'Output Utente'!$R$2:$R$492,0)),"")</f>
        <v/>
      </c>
      <c r="H382" s="26" t="str">
        <f aca="false">IFERROR(INDEX('Output Utente'!$P$2:$P$492,MATCH(379,'Output Utente'!$R$2:$R$492,0)),"")</f>
        <v/>
      </c>
      <c r="I382" s="27" t="str">
        <f aca="false">IFERROR(INDEX('Output Utente'!$F$2:$F$492,MATCH(379,'Output Utente'!$R$2:$R$492,0)),"")</f>
        <v/>
      </c>
      <c r="J382" s="27" t="str">
        <f aca="false">IFERROR(INDEX('Output Utente'!$G$2:$G$492,MATCH(379,'Output Utente'!$R$2:$R$492,0)),"")</f>
        <v/>
      </c>
      <c r="K382" s="27" t="str">
        <f aca="false">IFERROR(INDEX('Output Utente'!$H$2:$H$492,MATCH(379,'Output Utente'!$R$2:$R$492,0)),"")</f>
        <v/>
      </c>
      <c r="L382" s="26" t="str">
        <f aca="false">IFERROR(INDEX('Output Utente'!$E$2:$E$492,MATCH(379,'Output Utente'!$R$2:$R$492,0)),"")</f>
        <v/>
      </c>
    </row>
    <row r="383" customFormat="false" ht="15" hidden="false" customHeight="true" outlineLevel="0" collapsed="false">
      <c r="A383" s="29" t="n">
        <v>380</v>
      </c>
      <c r="B383" s="26" t="str">
        <f aca="false">IFERROR(INDEX('Output Utente'!$A$2:$A$492,MATCH(380,'Output Utente'!$R$2:$R$492,0)),"")</f>
        <v/>
      </c>
      <c r="C383" s="26" t="str">
        <f aca="false">IFERROR(INDEX('Output Utente'!$B$2:$B$492,MATCH(380,'Output Utente'!$R$2:$R$492,0)),"")</f>
        <v/>
      </c>
      <c r="D383" s="26" t="str">
        <f aca="false">IFERROR(INDEX('Output Utente'!$C$2:$C$492,MATCH(380,'Output Utente'!$R$2:$R$492,0)),"")</f>
        <v/>
      </c>
      <c r="E383" s="26" t="str">
        <f aca="false">IFERROR(INDEX('Input Giocatori 2026_27'!$D$3:$D$493,MATCH($B383,'Input Giocatori 2026_27'!$A$3:$A$493,0)),"")</f>
        <v/>
      </c>
      <c r="F383" s="27" t="str">
        <f aca="false">IFERROR(INDEX('Output Utente'!$N$2:$N$492,MATCH(380,'Output Utente'!$R$2:$R$492,0)),"")</f>
        <v/>
      </c>
      <c r="G383" s="26" t="str">
        <f aca="false">IFERROR(INDEX('Output Utente'!$O$2:$O$492,MATCH(380,'Output Utente'!$R$2:$R$492,0)),"")</f>
        <v/>
      </c>
      <c r="H383" s="26" t="str">
        <f aca="false">IFERROR(INDEX('Output Utente'!$P$2:$P$492,MATCH(380,'Output Utente'!$R$2:$R$492,0)),"")</f>
        <v/>
      </c>
      <c r="I383" s="27" t="str">
        <f aca="false">IFERROR(INDEX('Output Utente'!$F$2:$F$492,MATCH(380,'Output Utente'!$R$2:$R$492,0)),"")</f>
        <v/>
      </c>
      <c r="J383" s="27" t="str">
        <f aca="false">IFERROR(INDEX('Output Utente'!$G$2:$G$492,MATCH(380,'Output Utente'!$R$2:$R$492,0)),"")</f>
        <v/>
      </c>
      <c r="K383" s="27" t="str">
        <f aca="false">IFERROR(INDEX('Output Utente'!$H$2:$H$492,MATCH(380,'Output Utente'!$R$2:$R$492,0)),"")</f>
        <v/>
      </c>
      <c r="L383" s="26" t="str">
        <f aca="false">IFERROR(INDEX('Output Utente'!$E$2:$E$492,MATCH(380,'Output Utente'!$R$2:$R$492,0)),"")</f>
        <v/>
      </c>
    </row>
    <row r="384" customFormat="false" ht="15" hidden="false" customHeight="true" outlineLevel="0" collapsed="false">
      <c r="A384" s="29" t="n">
        <v>381</v>
      </c>
      <c r="B384" s="26" t="str">
        <f aca="false">IFERROR(INDEX('Output Utente'!$A$2:$A$492,MATCH(381,'Output Utente'!$R$2:$R$492,0)),"")</f>
        <v/>
      </c>
      <c r="C384" s="26" t="str">
        <f aca="false">IFERROR(INDEX('Output Utente'!$B$2:$B$492,MATCH(381,'Output Utente'!$R$2:$R$492,0)),"")</f>
        <v/>
      </c>
      <c r="D384" s="26" t="str">
        <f aca="false">IFERROR(INDEX('Output Utente'!$C$2:$C$492,MATCH(381,'Output Utente'!$R$2:$R$492,0)),"")</f>
        <v/>
      </c>
      <c r="E384" s="26" t="str">
        <f aca="false">IFERROR(INDEX('Input Giocatori 2026_27'!$D$3:$D$493,MATCH($B384,'Input Giocatori 2026_27'!$A$3:$A$493,0)),"")</f>
        <v/>
      </c>
      <c r="F384" s="27" t="str">
        <f aca="false">IFERROR(INDEX('Output Utente'!$N$2:$N$492,MATCH(381,'Output Utente'!$R$2:$R$492,0)),"")</f>
        <v/>
      </c>
      <c r="G384" s="26" t="str">
        <f aca="false">IFERROR(INDEX('Output Utente'!$O$2:$O$492,MATCH(381,'Output Utente'!$R$2:$R$492,0)),"")</f>
        <v/>
      </c>
      <c r="H384" s="26" t="str">
        <f aca="false">IFERROR(INDEX('Output Utente'!$P$2:$P$492,MATCH(381,'Output Utente'!$R$2:$R$492,0)),"")</f>
        <v/>
      </c>
      <c r="I384" s="27" t="str">
        <f aca="false">IFERROR(INDEX('Output Utente'!$F$2:$F$492,MATCH(381,'Output Utente'!$R$2:$R$492,0)),"")</f>
        <v/>
      </c>
      <c r="J384" s="27" t="str">
        <f aca="false">IFERROR(INDEX('Output Utente'!$G$2:$G$492,MATCH(381,'Output Utente'!$R$2:$R$492,0)),"")</f>
        <v/>
      </c>
      <c r="K384" s="27" t="str">
        <f aca="false">IFERROR(INDEX('Output Utente'!$H$2:$H$492,MATCH(381,'Output Utente'!$R$2:$R$492,0)),"")</f>
        <v/>
      </c>
      <c r="L384" s="26" t="str">
        <f aca="false">IFERROR(INDEX('Output Utente'!$E$2:$E$492,MATCH(381,'Output Utente'!$R$2:$R$492,0)),"")</f>
        <v/>
      </c>
    </row>
    <row r="385" customFormat="false" ht="15" hidden="false" customHeight="true" outlineLevel="0" collapsed="false">
      <c r="A385" s="29" t="n">
        <v>382</v>
      </c>
      <c r="B385" s="26" t="str">
        <f aca="false">IFERROR(INDEX('Output Utente'!$A$2:$A$492,MATCH(382,'Output Utente'!$R$2:$R$492,0)),"")</f>
        <v/>
      </c>
      <c r="C385" s="26" t="str">
        <f aca="false">IFERROR(INDEX('Output Utente'!$B$2:$B$492,MATCH(382,'Output Utente'!$R$2:$R$492,0)),"")</f>
        <v/>
      </c>
      <c r="D385" s="26" t="str">
        <f aca="false">IFERROR(INDEX('Output Utente'!$C$2:$C$492,MATCH(382,'Output Utente'!$R$2:$R$492,0)),"")</f>
        <v/>
      </c>
      <c r="E385" s="26" t="str">
        <f aca="false">IFERROR(INDEX('Input Giocatori 2026_27'!$D$3:$D$493,MATCH($B385,'Input Giocatori 2026_27'!$A$3:$A$493,0)),"")</f>
        <v/>
      </c>
      <c r="F385" s="27" t="str">
        <f aca="false">IFERROR(INDEX('Output Utente'!$N$2:$N$492,MATCH(382,'Output Utente'!$R$2:$R$492,0)),"")</f>
        <v/>
      </c>
      <c r="G385" s="26" t="str">
        <f aca="false">IFERROR(INDEX('Output Utente'!$O$2:$O$492,MATCH(382,'Output Utente'!$R$2:$R$492,0)),"")</f>
        <v/>
      </c>
      <c r="H385" s="26" t="str">
        <f aca="false">IFERROR(INDEX('Output Utente'!$P$2:$P$492,MATCH(382,'Output Utente'!$R$2:$R$492,0)),"")</f>
        <v/>
      </c>
      <c r="I385" s="27" t="str">
        <f aca="false">IFERROR(INDEX('Output Utente'!$F$2:$F$492,MATCH(382,'Output Utente'!$R$2:$R$492,0)),"")</f>
        <v/>
      </c>
      <c r="J385" s="27" t="str">
        <f aca="false">IFERROR(INDEX('Output Utente'!$G$2:$G$492,MATCH(382,'Output Utente'!$R$2:$R$492,0)),"")</f>
        <v/>
      </c>
      <c r="K385" s="27" t="str">
        <f aca="false">IFERROR(INDEX('Output Utente'!$H$2:$H$492,MATCH(382,'Output Utente'!$R$2:$R$492,0)),"")</f>
        <v/>
      </c>
      <c r="L385" s="26" t="str">
        <f aca="false">IFERROR(INDEX('Output Utente'!$E$2:$E$492,MATCH(382,'Output Utente'!$R$2:$R$492,0)),"")</f>
        <v/>
      </c>
    </row>
    <row r="386" customFormat="false" ht="15" hidden="false" customHeight="true" outlineLevel="0" collapsed="false">
      <c r="A386" s="29" t="n">
        <v>383</v>
      </c>
      <c r="B386" s="26" t="str">
        <f aca="false">IFERROR(INDEX('Output Utente'!$A$2:$A$492,MATCH(383,'Output Utente'!$R$2:$R$492,0)),"")</f>
        <v/>
      </c>
      <c r="C386" s="26" t="str">
        <f aca="false">IFERROR(INDEX('Output Utente'!$B$2:$B$492,MATCH(383,'Output Utente'!$R$2:$R$492,0)),"")</f>
        <v/>
      </c>
      <c r="D386" s="26" t="str">
        <f aca="false">IFERROR(INDEX('Output Utente'!$C$2:$C$492,MATCH(383,'Output Utente'!$R$2:$R$492,0)),"")</f>
        <v/>
      </c>
      <c r="E386" s="26" t="str">
        <f aca="false">IFERROR(INDEX('Input Giocatori 2026_27'!$D$3:$D$493,MATCH($B386,'Input Giocatori 2026_27'!$A$3:$A$493,0)),"")</f>
        <v/>
      </c>
      <c r="F386" s="27" t="str">
        <f aca="false">IFERROR(INDEX('Output Utente'!$N$2:$N$492,MATCH(383,'Output Utente'!$R$2:$R$492,0)),"")</f>
        <v/>
      </c>
      <c r="G386" s="26" t="str">
        <f aca="false">IFERROR(INDEX('Output Utente'!$O$2:$O$492,MATCH(383,'Output Utente'!$R$2:$R$492,0)),"")</f>
        <v/>
      </c>
      <c r="H386" s="26" t="str">
        <f aca="false">IFERROR(INDEX('Output Utente'!$P$2:$P$492,MATCH(383,'Output Utente'!$R$2:$R$492,0)),"")</f>
        <v/>
      </c>
      <c r="I386" s="27" t="str">
        <f aca="false">IFERROR(INDEX('Output Utente'!$F$2:$F$492,MATCH(383,'Output Utente'!$R$2:$R$492,0)),"")</f>
        <v/>
      </c>
      <c r="J386" s="27" t="str">
        <f aca="false">IFERROR(INDEX('Output Utente'!$G$2:$G$492,MATCH(383,'Output Utente'!$R$2:$R$492,0)),"")</f>
        <v/>
      </c>
      <c r="K386" s="27" t="str">
        <f aca="false">IFERROR(INDEX('Output Utente'!$H$2:$H$492,MATCH(383,'Output Utente'!$R$2:$R$492,0)),"")</f>
        <v/>
      </c>
      <c r="L386" s="26" t="str">
        <f aca="false">IFERROR(INDEX('Output Utente'!$E$2:$E$492,MATCH(383,'Output Utente'!$R$2:$R$492,0)),"")</f>
        <v/>
      </c>
    </row>
    <row r="387" customFormat="false" ht="15" hidden="false" customHeight="true" outlineLevel="0" collapsed="false">
      <c r="A387" s="29" t="n">
        <v>384</v>
      </c>
      <c r="B387" s="26" t="str">
        <f aca="false">IFERROR(INDEX('Output Utente'!$A$2:$A$492,MATCH(384,'Output Utente'!$R$2:$R$492,0)),"")</f>
        <v/>
      </c>
      <c r="C387" s="26" t="str">
        <f aca="false">IFERROR(INDEX('Output Utente'!$B$2:$B$492,MATCH(384,'Output Utente'!$R$2:$R$492,0)),"")</f>
        <v/>
      </c>
      <c r="D387" s="26" t="str">
        <f aca="false">IFERROR(INDEX('Output Utente'!$C$2:$C$492,MATCH(384,'Output Utente'!$R$2:$R$492,0)),"")</f>
        <v/>
      </c>
      <c r="E387" s="26" t="str">
        <f aca="false">IFERROR(INDEX('Input Giocatori 2026_27'!$D$3:$D$493,MATCH($B387,'Input Giocatori 2026_27'!$A$3:$A$493,0)),"")</f>
        <v/>
      </c>
      <c r="F387" s="27" t="str">
        <f aca="false">IFERROR(INDEX('Output Utente'!$N$2:$N$492,MATCH(384,'Output Utente'!$R$2:$R$492,0)),"")</f>
        <v/>
      </c>
      <c r="G387" s="26" t="str">
        <f aca="false">IFERROR(INDEX('Output Utente'!$O$2:$O$492,MATCH(384,'Output Utente'!$R$2:$R$492,0)),"")</f>
        <v/>
      </c>
      <c r="H387" s="26" t="str">
        <f aca="false">IFERROR(INDEX('Output Utente'!$P$2:$P$492,MATCH(384,'Output Utente'!$R$2:$R$492,0)),"")</f>
        <v/>
      </c>
      <c r="I387" s="27" t="str">
        <f aca="false">IFERROR(INDEX('Output Utente'!$F$2:$F$492,MATCH(384,'Output Utente'!$R$2:$R$492,0)),"")</f>
        <v/>
      </c>
      <c r="J387" s="27" t="str">
        <f aca="false">IFERROR(INDEX('Output Utente'!$G$2:$G$492,MATCH(384,'Output Utente'!$R$2:$R$492,0)),"")</f>
        <v/>
      </c>
      <c r="K387" s="27" t="str">
        <f aca="false">IFERROR(INDEX('Output Utente'!$H$2:$H$492,MATCH(384,'Output Utente'!$R$2:$R$492,0)),"")</f>
        <v/>
      </c>
      <c r="L387" s="26" t="str">
        <f aca="false">IFERROR(INDEX('Output Utente'!$E$2:$E$492,MATCH(384,'Output Utente'!$R$2:$R$492,0)),"")</f>
        <v/>
      </c>
    </row>
    <row r="388" customFormat="false" ht="15" hidden="false" customHeight="true" outlineLevel="0" collapsed="false">
      <c r="A388" s="29" t="n">
        <v>385</v>
      </c>
      <c r="B388" s="26" t="str">
        <f aca="false">IFERROR(INDEX('Output Utente'!$A$2:$A$492,MATCH(385,'Output Utente'!$R$2:$R$492,0)),"")</f>
        <v/>
      </c>
      <c r="C388" s="26" t="str">
        <f aca="false">IFERROR(INDEX('Output Utente'!$B$2:$B$492,MATCH(385,'Output Utente'!$R$2:$R$492,0)),"")</f>
        <v/>
      </c>
      <c r="D388" s="26" t="str">
        <f aca="false">IFERROR(INDEX('Output Utente'!$C$2:$C$492,MATCH(385,'Output Utente'!$R$2:$R$492,0)),"")</f>
        <v/>
      </c>
      <c r="E388" s="26" t="str">
        <f aca="false">IFERROR(INDEX('Input Giocatori 2026_27'!$D$3:$D$493,MATCH($B388,'Input Giocatori 2026_27'!$A$3:$A$493,0)),"")</f>
        <v/>
      </c>
      <c r="F388" s="27" t="str">
        <f aca="false">IFERROR(INDEX('Output Utente'!$N$2:$N$492,MATCH(385,'Output Utente'!$R$2:$R$492,0)),"")</f>
        <v/>
      </c>
      <c r="G388" s="26" t="str">
        <f aca="false">IFERROR(INDEX('Output Utente'!$O$2:$O$492,MATCH(385,'Output Utente'!$R$2:$R$492,0)),"")</f>
        <v/>
      </c>
      <c r="H388" s="26" t="str">
        <f aca="false">IFERROR(INDEX('Output Utente'!$P$2:$P$492,MATCH(385,'Output Utente'!$R$2:$R$492,0)),"")</f>
        <v/>
      </c>
      <c r="I388" s="27" t="str">
        <f aca="false">IFERROR(INDEX('Output Utente'!$F$2:$F$492,MATCH(385,'Output Utente'!$R$2:$R$492,0)),"")</f>
        <v/>
      </c>
      <c r="J388" s="27" t="str">
        <f aca="false">IFERROR(INDEX('Output Utente'!$G$2:$G$492,MATCH(385,'Output Utente'!$R$2:$R$492,0)),"")</f>
        <v/>
      </c>
      <c r="K388" s="27" t="str">
        <f aca="false">IFERROR(INDEX('Output Utente'!$H$2:$H$492,MATCH(385,'Output Utente'!$R$2:$R$492,0)),"")</f>
        <v/>
      </c>
      <c r="L388" s="26" t="str">
        <f aca="false">IFERROR(INDEX('Output Utente'!$E$2:$E$492,MATCH(385,'Output Utente'!$R$2:$R$492,0)),"")</f>
        <v/>
      </c>
    </row>
    <row r="389" customFormat="false" ht="15" hidden="false" customHeight="true" outlineLevel="0" collapsed="false">
      <c r="A389" s="29" t="n">
        <v>386</v>
      </c>
      <c r="B389" s="26" t="str">
        <f aca="false">IFERROR(INDEX('Output Utente'!$A$2:$A$492,MATCH(386,'Output Utente'!$R$2:$R$492,0)),"")</f>
        <v/>
      </c>
      <c r="C389" s="26" t="str">
        <f aca="false">IFERROR(INDEX('Output Utente'!$B$2:$B$492,MATCH(386,'Output Utente'!$R$2:$R$492,0)),"")</f>
        <v/>
      </c>
      <c r="D389" s="26" t="str">
        <f aca="false">IFERROR(INDEX('Output Utente'!$C$2:$C$492,MATCH(386,'Output Utente'!$R$2:$R$492,0)),"")</f>
        <v/>
      </c>
      <c r="E389" s="26" t="str">
        <f aca="false">IFERROR(INDEX('Input Giocatori 2026_27'!$D$3:$D$493,MATCH($B389,'Input Giocatori 2026_27'!$A$3:$A$493,0)),"")</f>
        <v/>
      </c>
      <c r="F389" s="27" t="str">
        <f aca="false">IFERROR(INDEX('Output Utente'!$N$2:$N$492,MATCH(386,'Output Utente'!$R$2:$R$492,0)),"")</f>
        <v/>
      </c>
      <c r="G389" s="26" t="str">
        <f aca="false">IFERROR(INDEX('Output Utente'!$O$2:$O$492,MATCH(386,'Output Utente'!$R$2:$R$492,0)),"")</f>
        <v/>
      </c>
      <c r="H389" s="26" t="str">
        <f aca="false">IFERROR(INDEX('Output Utente'!$P$2:$P$492,MATCH(386,'Output Utente'!$R$2:$R$492,0)),"")</f>
        <v/>
      </c>
      <c r="I389" s="27" t="str">
        <f aca="false">IFERROR(INDEX('Output Utente'!$F$2:$F$492,MATCH(386,'Output Utente'!$R$2:$R$492,0)),"")</f>
        <v/>
      </c>
      <c r="J389" s="27" t="str">
        <f aca="false">IFERROR(INDEX('Output Utente'!$G$2:$G$492,MATCH(386,'Output Utente'!$R$2:$R$492,0)),"")</f>
        <v/>
      </c>
      <c r="K389" s="27" t="str">
        <f aca="false">IFERROR(INDEX('Output Utente'!$H$2:$H$492,MATCH(386,'Output Utente'!$R$2:$R$492,0)),"")</f>
        <v/>
      </c>
      <c r="L389" s="26" t="str">
        <f aca="false">IFERROR(INDEX('Output Utente'!$E$2:$E$492,MATCH(386,'Output Utente'!$R$2:$R$492,0)),"")</f>
        <v/>
      </c>
    </row>
    <row r="390" customFormat="false" ht="15" hidden="false" customHeight="true" outlineLevel="0" collapsed="false">
      <c r="A390" s="29" t="n">
        <v>387</v>
      </c>
      <c r="B390" s="26" t="str">
        <f aca="false">IFERROR(INDEX('Output Utente'!$A$2:$A$492,MATCH(387,'Output Utente'!$R$2:$R$492,0)),"")</f>
        <v/>
      </c>
      <c r="C390" s="26" t="str">
        <f aca="false">IFERROR(INDEX('Output Utente'!$B$2:$B$492,MATCH(387,'Output Utente'!$R$2:$R$492,0)),"")</f>
        <v/>
      </c>
      <c r="D390" s="26" t="str">
        <f aca="false">IFERROR(INDEX('Output Utente'!$C$2:$C$492,MATCH(387,'Output Utente'!$R$2:$R$492,0)),"")</f>
        <v/>
      </c>
      <c r="E390" s="26" t="str">
        <f aca="false">IFERROR(INDEX('Input Giocatori 2026_27'!$D$3:$D$493,MATCH($B390,'Input Giocatori 2026_27'!$A$3:$A$493,0)),"")</f>
        <v/>
      </c>
      <c r="F390" s="27" t="str">
        <f aca="false">IFERROR(INDEX('Output Utente'!$N$2:$N$492,MATCH(387,'Output Utente'!$R$2:$R$492,0)),"")</f>
        <v/>
      </c>
      <c r="G390" s="26" t="str">
        <f aca="false">IFERROR(INDEX('Output Utente'!$O$2:$O$492,MATCH(387,'Output Utente'!$R$2:$R$492,0)),"")</f>
        <v/>
      </c>
      <c r="H390" s="26" t="str">
        <f aca="false">IFERROR(INDEX('Output Utente'!$P$2:$P$492,MATCH(387,'Output Utente'!$R$2:$R$492,0)),"")</f>
        <v/>
      </c>
      <c r="I390" s="27" t="str">
        <f aca="false">IFERROR(INDEX('Output Utente'!$F$2:$F$492,MATCH(387,'Output Utente'!$R$2:$R$492,0)),"")</f>
        <v/>
      </c>
      <c r="J390" s="27" t="str">
        <f aca="false">IFERROR(INDEX('Output Utente'!$G$2:$G$492,MATCH(387,'Output Utente'!$R$2:$R$492,0)),"")</f>
        <v/>
      </c>
      <c r="K390" s="27" t="str">
        <f aca="false">IFERROR(INDEX('Output Utente'!$H$2:$H$492,MATCH(387,'Output Utente'!$R$2:$R$492,0)),"")</f>
        <v/>
      </c>
      <c r="L390" s="26" t="str">
        <f aca="false">IFERROR(INDEX('Output Utente'!$E$2:$E$492,MATCH(387,'Output Utente'!$R$2:$R$492,0)),"")</f>
        <v/>
      </c>
    </row>
    <row r="391" customFormat="false" ht="15" hidden="false" customHeight="true" outlineLevel="0" collapsed="false">
      <c r="A391" s="29" t="n">
        <v>388</v>
      </c>
      <c r="B391" s="26" t="str">
        <f aca="false">IFERROR(INDEX('Output Utente'!$A$2:$A$492,MATCH(388,'Output Utente'!$R$2:$R$492,0)),"")</f>
        <v/>
      </c>
      <c r="C391" s="26" t="str">
        <f aca="false">IFERROR(INDEX('Output Utente'!$B$2:$B$492,MATCH(388,'Output Utente'!$R$2:$R$492,0)),"")</f>
        <v/>
      </c>
      <c r="D391" s="26" t="str">
        <f aca="false">IFERROR(INDEX('Output Utente'!$C$2:$C$492,MATCH(388,'Output Utente'!$R$2:$R$492,0)),"")</f>
        <v/>
      </c>
      <c r="E391" s="26" t="str">
        <f aca="false">IFERROR(INDEX('Input Giocatori 2026_27'!$D$3:$D$493,MATCH($B391,'Input Giocatori 2026_27'!$A$3:$A$493,0)),"")</f>
        <v/>
      </c>
      <c r="F391" s="27" t="str">
        <f aca="false">IFERROR(INDEX('Output Utente'!$N$2:$N$492,MATCH(388,'Output Utente'!$R$2:$R$492,0)),"")</f>
        <v/>
      </c>
      <c r="G391" s="26" t="str">
        <f aca="false">IFERROR(INDEX('Output Utente'!$O$2:$O$492,MATCH(388,'Output Utente'!$R$2:$R$492,0)),"")</f>
        <v/>
      </c>
      <c r="H391" s="26" t="str">
        <f aca="false">IFERROR(INDEX('Output Utente'!$P$2:$P$492,MATCH(388,'Output Utente'!$R$2:$R$492,0)),"")</f>
        <v/>
      </c>
      <c r="I391" s="27" t="str">
        <f aca="false">IFERROR(INDEX('Output Utente'!$F$2:$F$492,MATCH(388,'Output Utente'!$R$2:$R$492,0)),"")</f>
        <v/>
      </c>
      <c r="J391" s="27" t="str">
        <f aca="false">IFERROR(INDEX('Output Utente'!$G$2:$G$492,MATCH(388,'Output Utente'!$R$2:$R$492,0)),"")</f>
        <v/>
      </c>
      <c r="K391" s="27" t="str">
        <f aca="false">IFERROR(INDEX('Output Utente'!$H$2:$H$492,MATCH(388,'Output Utente'!$R$2:$R$492,0)),"")</f>
        <v/>
      </c>
      <c r="L391" s="26" t="str">
        <f aca="false">IFERROR(INDEX('Output Utente'!$E$2:$E$492,MATCH(388,'Output Utente'!$R$2:$R$492,0)),"")</f>
        <v/>
      </c>
    </row>
    <row r="392" customFormat="false" ht="15" hidden="false" customHeight="true" outlineLevel="0" collapsed="false">
      <c r="A392" s="29" t="n">
        <v>389</v>
      </c>
      <c r="B392" s="26" t="str">
        <f aca="false">IFERROR(INDEX('Output Utente'!$A$2:$A$492,MATCH(389,'Output Utente'!$R$2:$R$492,0)),"")</f>
        <v/>
      </c>
      <c r="C392" s="26" t="str">
        <f aca="false">IFERROR(INDEX('Output Utente'!$B$2:$B$492,MATCH(389,'Output Utente'!$R$2:$R$492,0)),"")</f>
        <v/>
      </c>
      <c r="D392" s="26" t="str">
        <f aca="false">IFERROR(INDEX('Output Utente'!$C$2:$C$492,MATCH(389,'Output Utente'!$R$2:$R$492,0)),"")</f>
        <v/>
      </c>
      <c r="E392" s="26" t="str">
        <f aca="false">IFERROR(INDEX('Input Giocatori 2026_27'!$D$3:$D$493,MATCH($B392,'Input Giocatori 2026_27'!$A$3:$A$493,0)),"")</f>
        <v/>
      </c>
      <c r="F392" s="27" t="str">
        <f aca="false">IFERROR(INDEX('Output Utente'!$N$2:$N$492,MATCH(389,'Output Utente'!$R$2:$R$492,0)),"")</f>
        <v/>
      </c>
      <c r="G392" s="26" t="str">
        <f aca="false">IFERROR(INDEX('Output Utente'!$O$2:$O$492,MATCH(389,'Output Utente'!$R$2:$R$492,0)),"")</f>
        <v/>
      </c>
      <c r="H392" s="26" t="str">
        <f aca="false">IFERROR(INDEX('Output Utente'!$P$2:$P$492,MATCH(389,'Output Utente'!$R$2:$R$492,0)),"")</f>
        <v/>
      </c>
      <c r="I392" s="27" t="str">
        <f aca="false">IFERROR(INDEX('Output Utente'!$F$2:$F$492,MATCH(389,'Output Utente'!$R$2:$R$492,0)),"")</f>
        <v/>
      </c>
      <c r="J392" s="27" t="str">
        <f aca="false">IFERROR(INDEX('Output Utente'!$G$2:$G$492,MATCH(389,'Output Utente'!$R$2:$R$492,0)),"")</f>
        <v/>
      </c>
      <c r="K392" s="27" t="str">
        <f aca="false">IFERROR(INDEX('Output Utente'!$H$2:$H$492,MATCH(389,'Output Utente'!$R$2:$R$492,0)),"")</f>
        <v/>
      </c>
      <c r="L392" s="26" t="str">
        <f aca="false">IFERROR(INDEX('Output Utente'!$E$2:$E$492,MATCH(389,'Output Utente'!$R$2:$R$492,0)),"")</f>
        <v/>
      </c>
    </row>
    <row r="393" customFormat="false" ht="15" hidden="false" customHeight="true" outlineLevel="0" collapsed="false">
      <c r="A393" s="29" t="n">
        <v>390</v>
      </c>
      <c r="B393" s="26" t="str">
        <f aca="false">IFERROR(INDEX('Output Utente'!$A$2:$A$492,MATCH(390,'Output Utente'!$R$2:$R$492,0)),"")</f>
        <v/>
      </c>
      <c r="C393" s="26" t="str">
        <f aca="false">IFERROR(INDEX('Output Utente'!$B$2:$B$492,MATCH(390,'Output Utente'!$R$2:$R$492,0)),"")</f>
        <v/>
      </c>
      <c r="D393" s="26" t="str">
        <f aca="false">IFERROR(INDEX('Output Utente'!$C$2:$C$492,MATCH(390,'Output Utente'!$R$2:$R$492,0)),"")</f>
        <v/>
      </c>
      <c r="E393" s="26" t="str">
        <f aca="false">IFERROR(INDEX('Input Giocatori 2026_27'!$D$3:$D$493,MATCH($B393,'Input Giocatori 2026_27'!$A$3:$A$493,0)),"")</f>
        <v/>
      </c>
      <c r="F393" s="27" t="str">
        <f aca="false">IFERROR(INDEX('Output Utente'!$N$2:$N$492,MATCH(390,'Output Utente'!$R$2:$R$492,0)),"")</f>
        <v/>
      </c>
      <c r="G393" s="26" t="str">
        <f aca="false">IFERROR(INDEX('Output Utente'!$O$2:$O$492,MATCH(390,'Output Utente'!$R$2:$R$492,0)),"")</f>
        <v/>
      </c>
      <c r="H393" s="26" t="str">
        <f aca="false">IFERROR(INDEX('Output Utente'!$P$2:$P$492,MATCH(390,'Output Utente'!$R$2:$R$492,0)),"")</f>
        <v/>
      </c>
      <c r="I393" s="27" t="str">
        <f aca="false">IFERROR(INDEX('Output Utente'!$F$2:$F$492,MATCH(390,'Output Utente'!$R$2:$R$492,0)),"")</f>
        <v/>
      </c>
      <c r="J393" s="27" t="str">
        <f aca="false">IFERROR(INDEX('Output Utente'!$G$2:$G$492,MATCH(390,'Output Utente'!$R$2:$R$492,0)),"")</f>
        <v/>
      </c>
      <c r="K393" s="27" t="str">
        <f aca="false">IFERROR(INDEX('Output Utente'!$H$2:$H$492,MATCH(390,'Output Utente'!$R$2:$R$492,0)),"")</f>
        <v/>
      </c>
      <c r="L393" s="26" t="str">
        <f aca="false">IFERROR(INDEX('Output Utente'!$E$2:$E$492,MATCH(390,'Output Utente'!$R$2:$R$492,0)),"")</f>
        <v/>
      </c>
    </row>
    <row r="394" customFormat="false" ht="15" hidden="false" customHeight="true" outlineLevel="0" collapsed="false">
      <c r="A394" s="29" t="n">
        <v>391</v>
      </c>
      <c r="B394" s="26" t="str">
        <f aca="false">IFERROR(INDEX('Output Utente'!$A$2:$A$492,MATCH(391,'Output Utente'!$R$2:$R$492,0)),"")</f>
        <v/>
      </c>
      <c r="C394" s="26" t="str">
        <f aca="false">IFERROR(INDEX('Output Utente'!$B$2:$B$492,MATCH(391,'Output Utente'!$R$2:$R$492,0)),"")</f>
        <v/>
      </c>
      <c r="D394" s="26" t="str">
        <f aca="false">IFERROR(INDEX('Output Utente'!$C$2:$C$492,MATCH(391,'Output Utente'!$R$2:$R$492,0)),"")</f>
        <v/>
      </c>
      <c r="E394" s="26" t="str">
        <f aca="false">IFERROR(INDEX('Input Giocatori 2026_27'!$D$3:$D$493,MATCH($B394,'Input Giocatori 2026_27'!$A$3:$A$493,0)),"")</f>
        <v/>
      </c>
      <c r="F394" s="27" t="str">
        <f aca="false">IFERROR(INDEX('Output Utente'!$N$2:$N$492,MATCH(391,'Output Utente'!$R$2:$R$492,0)),"")</f>
        <v/>
      </c>
      <c r="G394" s="26" t="str">
        <f aca="false">IFERROR(INDEX('Output Utente'!$O$2:$O$492,MATCH(391,'Output Utente'!$R$2:$R$492,0)),"")</f>
        <v/>
      </c>
      <c r="H394" s="26" t="str">
        <f aca="false">IFERROR(INDEX('Output Utente'!$P$2:$P$492,MATCH(391,'Output Utente'!$R$2:$R$492,0)),"")</f>
        <v/>
      </c>
      <c r="I394" s="27" t="str">
        <f aca="false">IFERROR(INDEX('Output Utente'!$F$2:$F$492,MATCH(391,'Output Utente'!$R$2:$R$492,0)),"")</f>
        <v/>
      </c>
      <c r="J394" s="27" t="str">
        <f aca="false">IFERROR(INDEX('Output Utente'!$G$2:$G$492,MATCH(391,'Output Utente'!$R$2:$R$492,0)),"")</f>
        <v/>
      </c>
      <c r="K394" s="27" t="str">
        <f aca="false">IFERROR(INDEX('Output Utente'!$H$2:$H$492,MATCH(391,'Output Utente'!$R$2:$R$492,0)),"")</f>
        <v/>
      </c>
      <c r="L394" s="26" t="str">
        <f aca="false">IFERROR(INDEX('Output Utente'!$E$2:$E$492,MATCH(391,'Output Utente'!$R$2:$R$492,0)),"")</f>
        <v/>
      </c>
    </row>
    <row r="395" customFormat="false" ht="15" hidden="false" customHeight="true" outlineLevel="0" collapsed="false">
      <c r="A395" s="29" t="n">
        <v>392</v>
      </c>
      <c r="B395" s="26" t="str">
        <f aca="false">IFERROR(INDEX('Output Utente'!$A$2:$A$492,MATCH(392,'Output Utente'!$R$2:$R$492,0)),"")</f>
        <v/>
      </c>
      <c r="C395" s="26" t="str">
        <f aca="false">IFERROR(INDEX('Output Utente'!$B$2:$B$492,MATCH(392,'Output Utente'!$R$2:$R$492,0)),"")</f>
        <v/>
      </c>
      <c r="D395" s="26" t="str">
        <f aca="false">IFERROR(INDEX('Output Utente'!$C$2:$C$492,MATCH(392,'Output Utente'!$R$2:$R$492,0)),"")</f>
        <v/>
      </c>
      <c r="E395" s="26" t="str">
        <f aca="false">IFERROR(INDEX('Input Giocatori 2026_27'!$D$3:$D$493,MATCH($B395,'Input Giocatori 2026_27'!$A$3:$A$493,0)),"")</f>
        <v/>
      </c>
      <c r="F395" s="27" t="str">
        <f aca="false">IFERROR(INDEX('Output Utente'!$N$2:$N$492,MATCH(392,'Output Utente'!$R$2:$R$492,0)),"")</f>
        <v/>
      </c>
      <c r="G395" s="26" t="str">
        <f aca="false">IFERROR(INDEX('Output Utente'!$O$2:$O$492,MATCH(392,'Output Utente'!$R$2:$R$492,0)),"")</f>
        <v/>
      </c>
      <c r="H395" s="26" t="str">
        <f aca="false">IFERROR(INDEX('Output Utente'!$P$2:$P$492,MATCH(392,'Output Utente'!$R$2:$R$492,0)),"")</f>
        <v/>
      </c>
      <c r="I395" s="27" t="str">
        <f aca="false">IFERROR(INDEX('Output Utente'!$F$2:$F$492,MATCH(392,'Output Utente'!$R$2:$R$492,0)),"")</f>
        <v/>
      </c>
      <c r="J395" s="27" t="str">
        <f aca="false">IFERROR(INDEX('Output Utente'!$G$2:$G$492,MATCH(392,'Output Utente'!$R$2:$R$492,0)),"")</f>
        <v/>
      </c>
      <c r="K395" s="27" t="str">
        <f aca="false">IFERROR(INDEX('Output Utente'!$H$2:$H$492,MATCH(392,'Output Utente'!$R$2:$R$492,0)),"")</f>
        <v/>
      </c>
      <c r="L395" s="26" t="str">
        <f aca="false">IFERROR(INDEX('Output Utente'!$E$2:$E$492,MATCH(392,'Output Utente'!$R$2:$R$492,0)),"")</f>
        <v/>
      </c>
    </row>
    <row r="396" customFormat="false" ht="15" hidden="false" customHeight="true" outlineLevel="0" collapsed="false">
      <c r="A396" s="29" t="n">
        <v>393</v>
      </c>
      <c r="B396" s="26" t="str">
        <f aca="false">IFERROR(INDEX('Output Utente'!$A$2:$A$492,MATCH(393,'Output Utente'!$R$2:$R$492,0)),"")</f>
        <v/>
      </c>
      <c r="C396" s="26" t="str">
        <f aca="false">IFERROR(INDEX('Output Utente'!$B$2:$B$492,MATCH(393,'Output Utente'!$R$2:$R$492,0)),"")</f>
        <v/>
      </c>
      <c r="D396" s="26" t="str">
        <f aca="false">IFERROR(INDEX('Output Utente'!$C$2:$C$492,MATCH(393,'Output Utente'!$R$2:$R$492,0)),"")</f>
        <v/>
      </c>
      <c r="E396" s="26" t="str">
        <f aca="false">IFERROR(INDEX('Input Giocatori 2026_27'!$D$3:$D$493,MATCH($B396,'Input Giocatori 2026_27'!$A$3:$A$493,0)),"")</f>
        <v/>
      </c>
      <c r="F396" s="27" t="str">
        <f aca="false">IFERROR(INDEX('Output Utente'!$N$2:$N$492,MATCH(393,'Output Utente'!$R$2:$R$492,0)),"")</f>
        <v/>
      </c>
      <c r="G396" s="26" t="str">
        <f aca="false">IFERROR(INDEX('Output Utente'!$O$2:$O$492,MATCH(393,'Output Utente'!$R$2:$R$492,0)),"")</f>
        <v/>
      </c>
      <c r="H396" s="26" t="str">
        <f aca="false">IFERROR(INDEX('Output Utente'!$P$2:$P$492,MATCH(393,'Output Utente'!$R$2:$R$492,0)),"")</f>
        <v/>
      </c>
      <c r="I396" s="27" t="str">
        <f aca="false">IFERROR(INDEX('Output Utente'!$F$2:$F$492,MATCH(393,'Output Utente'!$R$2:$R$492,0)),"")</f>
        <v/>
      </c>
      <c r="J396" s="27" t="str">
        <f aca="false">IFERROR(INDEX('Output Utente'!$G$2:$G$492,MATCH(393,'Output Utente'!$R$2:$R$492,0)),"")</f>
        <v/>
      </c>
      <c r="K396" s="27" t="str">
        <f aca="false">IFERROR(INDEX('Output Utente'!$H$2:$H$492,MATCH(393,'Output Utente'!$R$2:$R$492,0)),"")</f>
        <v/>
      </c>
      <c r="L396" s="26" t="str">
        <f aca="false">IFERROR(INDEX('Output Utente'!$E$2:$E$492,MATCH(393,'Output Utente'!$R$2:$R$492,0)),"")</f>
        <v/>
      </c>
    </row>
    <row r="397" customFormat="false" ht="15" hidden="false" customHeight="true" outlineLevel="0" collapsed="false">
      <c r="A397" s="29" t="n">
        <v>394</v>
      </c>
      <c r="B397" s="26" t="str">
        <f aca="false">IFERROR(INDEX('Output Utente'!$A$2:$A$492,MATCH(394,'Output Utente'!$R$2:$R$492,0)),"")</f>
        <v/>
      </c>
      <c r="C397" s="26" t="str">
        <f aca="false">IFERROR(INDEX('Output Utente'!$B$2:$B$492,MATCH(394,'Output Utente'!$R$2:$R$492,0)),"")</f>
        <v/>
      </c>
      <c r="D397" s="26" t="str">
        <f aca="false">IFERROR(INDEX('Output Utente'!$C$2:$C$492,MATCH(394,'Output Utente'!$R$2:$R$492,0)),"")</f>
        <v/>
      </c>
      <c r="E397" s="26" t="str">
        <f aca="false">IFERROR(INDEX('Input Giocatori 2026_27'!$D$3:$D$493,MATCH($B397,'Input Giocatori 2026_27'!$A$3:$A$493,0)),"")</f>
        <v/>
      </c>
      <c r="F397" s="27" t="str">
        <f aca="false">IFERROR(INDEX('Output Utente'!$N$2:$N$492,MATCH(394,'Output Utente'!$R$2:$R$492,0)),"")</f>
        <v/>
      </c>
      <c r="G397" s="26" t="str">
        <f aca="false">IFERROR(INDEX('Output Utente'!$O$2:$O$492,MATCH(394,'Output Utente'!$R$2:$R$492,0)),"")</f>
        <v/>
      </c>
      <c r="H397" s="26" t="str">
        <f aca="false">IFERROR(INDEX('Output Utente'!$P$2:$P$492,MATCH(394,'Output Utente'!$R$2:$R$492,0)),"")</f>
        <v/>
      </c>
      <c r="I397" s="27" t="str">
        <f aca="false">IFERROR(INDEX('Output Utente'!$F$2:$F$492,MATCH(394,'Output Utente'!$R$2:$R$492,0)),"")</f>
        <v/>
      </c>
      <c r="J397" s="27" t="str">
        <f aca="false">IFERROR(INDEX('Output Utente'!$G$2:$G$492,MATCH(394,'Output Utente'!$R$2:$R$492,0)),"")</f>
        <v/>
      </c>
      <c r="K397" s="27" t="str">
        <f aca="false">IFERROR(INDEX('Output Utente'!$H$2:$H$492,MATCH(394,'Output Utente'!$R$2:$R$492,0)),"")</f>
        <v/>
      </c>
      <c r="L397" s="26" t="str">
        <f aca="false">IFERROR(INDEX('Output Utente'!$E$2:$E$492,MATCH(394,'Output Utente'!$R$2:$R$492,0)),"")</f>
        <v/>
      </c>
    </row>
    <row r="398" customFormat="false" ht="15" hidden="false" customHeight="true" outlineLevel="0" collapsed="false">
      <c r="A398" s="29" t="n">
        <v>395</v>
      </c>
      <c r="B398" s="26" t="str">
        <f aca="false">IFERROR(INDEX('Output Utente'!$A$2:$A$492,MATCH(395,'Output Utente'!$R$2:$R$492,0)),"")</f>
        <v/>
      </c>
      <c r="C398" s="26" t="str">
        <f aca="false">IFERROR(INDEX('Output Utente'!$B$2:$B$492,MATCH(395,'Output Utente'!$R$2:$R$492,0)),"")</f>
        <v/>
      </c>
      <c r="D398" s="26" t="str">
        <f aca="false">IFERROR(INDEX('Output Utente'!$C$2:$C$492,MATCH(395,'Output Utente'!$R$2:$R$492,0)),"")</f>
        <v/>
      </c>
      <c r="E398" s="26" t="str">
        <f aca="false">IFERROR(INDEX('Input Giocatori 2026_27'!$D$3:$D$493,MATCH($B398,'Input Giocatori 2026_27'!$A$3:$A$493,0)),"")</f>
        <v/>
      </c>
      <c r="F398" s="27" t="str">
        <f aca="false">IFERROR(INDEX('Output Utente'!$N$2:$N$492,MATCH(395,'Output Utente'!$R$2:$R$492,0)),"")</f>
        <v/>
      </c>
      <c r="G398" s="26" t="str">
        <f aca="false">IFERROR(INDEX('Output Utente'!$O$2:$O$492,MATCH(395,'Output Utente'!$R$2:$R$492,0)),"")</f>
        <v/>
      </c>
      <c r="H398" s="26" t="str">
        <f aca="false">IFERROR(INDEX('Output Utente'!$P$2:$P$492,MATCH(395,'Output Utente'!$R$2:$R$492,0)),"")</f>
        <v/>
      </c>
      <c r="I398" s="27" t="str">
        <f aca="false">IFERROR(INDEX('Output Utente'!$F$2:$F$492,MATCH(395,'Output Utente'!$R$2:$R$492,0)),"")</f>
        <v/>
      </c>
      <c r="J398" s="27" t="str">
        <f aca="false">IFERROR(INDEX('Output Utente'!$G$2:$G$492,MATCH(395,'Output Utente'!$R$2:$R$492,0)),"")</f>
        <v/>
      </c>
      <c r="K398" s="27" t="str">
        <f aca="false">IFERROR(INDEX('Output Utente'!$H$2:$H$492,MATCH(395,'Output Utente'!$R$2:$R$492,0)),"")</f>
        <v/>
      </c>
      <c r="L398" s="26" t="str">
        <f aca="false">IFERROR(INDEX('Output Utente'!$E$2:$E$492,MATCH(395,'Output Utente'!$R$2:$R$492,0)),"")</f>
        <v/>
      </c>
    </row>
    <row r="399" customFormat="false" ht="15" hidden="false" customHeight="true" outlineLevel="0" collapsed="false">
      <c r="A399" s="29" t="n">
        <v>396</v>
      </c>
      <c r="B399" s="26" t="str">
        <f aca="false">IFERROR(INDEX('Output Utente'!$A$2:$A$492,MATCH(396,'Output Utente'!$R$2:$R$492,0)),"")</f>
        <v/>
      </c>
      <c r="C399" s="26" t="str">
        <f aca="false">IFERROR(INDEX('Output Utente'!$B$2:$B$492,MATCH(396,'Output Utente'!$R$2:$R$492,0)),"")</f>
        <v/>
      </c>
      <c r="D399" s="26" t="str">
        <f aca="false">IFERROR(INDEX('Output Utente'!$C$2:$C$492,MATCH(396,'Output Utente'!$R$2:$R$492,0)),"")</f>
        <v/>
      </c>
      <c r="E399" s="26" t="str">
        <f aca="false">IFERROR(INDEX('Input Giocatori 2026_27'!$D$3:$D$493,MATCH($B399,'Input Giocatori 2026_27'!$A$3:$A$493,0)),"")</f>
        <v/>
      </c>
      <c r="F399" s="27" t="str">
        <f aca="false">IFERROR(INDEX('Output Utente'!$N$2:$N$492,MATCH(396,'Output Utente'!$R$2:$R$492,0)),"")</f>
        <v/>
      </c>
      <c r="G399" s="26" t="str">
        <f aca="false">IFERROR(INDEX('Output Utente'!$O$2:$O$492,MATCH(396,'Output Utente'!$R$2:$R$492,0)),"")</f>
        <v/>
      </c>
      <c r="H399" s="26" t="str">
        <f aca="false">IFERROR(INDEX('Output Utente'!$P$2:$P$492,MATCH(396,'Output Utente'!$R$2:$R$492,0)),"")</f>
        <v/>
      </c>
      <c r="I399" s="27" t="str">
        <f aca="false">IFERROR(INDEX('Output Utente'!$F$2:$F$492,MATCH(396,'Output Utente'!$R$2:$R$492,0)),"")</f>
        <v/>
      </c>
      <c r="J399" s="27" t="str">
        <f aca="false">IFERROR(INDEX('Output Utente'!$G$2:$G$492,MATCH(396,'Output Utente'!$R$2:$R$492,0)),"")</f>
        <v/>
      </c>
      <c r="K399" s="27" t="str">
        <f aca="false">IFERROR(INDEX('Output Utente'!$H$2:$H$492,MATCH(396,'Output Utente'!$R$2:$R$492,0)),"")</f>
        <v/>
      </c>
      <c r="L399" s="26" t="str">
        <f aca="false">IFERROR(INDEX('Output Utente'!$E$2:$E$492,MATCH(396,'Output Utente'!$R$2:$R$492,0)),"")</f>
        <v/>
      </c>
    </row>
    <row r="400" customFormat="false" ht="15" hidden="false" customHeight="true" outlineLevel="0" collapsed="false">
      <c r="A400" s="29" t="n">
        <v>397</v>
      </c>
      <c r="B400" s="26" t="str">
        <f aca="false">IFERROR(INDEX('Output Utente'!$A$2:$A$492,MATCH(397,'Output Utente'!$R$2:$R$492,0)),"")</f>
        <v/>
      </c>
      <c r="C400" s="26" t="str">
        <f aca="false">IFERROR(INDEX('Output Utente'!$B$2:$B$492,MATCH(397,'Output Utente'!$R$2:$R$492,0)),"")</f>
        <v/>
      </c>
      <c r="D400" s="26" t="str">
        <f aca="false">IFERROR(INDEX('Output Utente'!$C$2:$C$492,MATCH(397,'Output Utente'!$R$2:$R$492,0)),"")</f>
        <v/>
      </c>
      <c r="E400" s="26" t="str">
        <f aca="false">IFERROR(INDEX('Input Giocatori 2026_27'!$D$3:$D$493,MATCH($B400,'Input Giocatori 2026_27'!$A$3:$A$493,0)),"")</f>
        <v/>
      </c>
      <c r="F400" s="27" t="str">
        <f aca="false">IFERROR(INDEX('Output Utente'!$N$2:$N$492,MATCH(397,'Output Utente'!$R$2:$R$492,0)),"")</f>
        <v/>
      </c>
      <c r="G400" s="26" t="str">
        <f aca="false">IFERROR(INDEX('Output Utente'!$O$2:$O$492,MATCH(397,'Output Utente'!$R$2:$R$492,0)),"")</f>
        <v/>
      </c>
      <c r="H400" s="26" t="str">
        <f aca="false">IFERROR(INDEX('Output Utente'!$P$2:$P$492,MATCH(397,'Output Utente'!$R$2:$R$492,0)),"")</f>
        <v/>
      </c>
      <c r="I400" s="27" t="str">
        <f aca="false">IFERROR(INDEX('Output Utente'!$F$2:$F$492,MATCH(397,'Output Utente'!$R$2:$R$492,0)),"")</f>
        <v/>
      </c>
      <c r="J400" s="27" t="str">
        <f aca="false">IFERROR(INDEX('Output Utente'!$G$2:$G$492,MATCH(397,'Output Utente'!$R$2:$R$492,0)),"")</f>
        <v/>
      </c>
      <c r="K400" s="27" t="str">
        <f aca="false">IFERROR(INDEX('Output Utente'!$H$2:$H$492,MATCH(397,'Output Utente'!$R$2:$R$492,0)),"")</f>
        <v/>
      </c>
      <c r="L400" s="26" t="str">
        <f aca="false">IFERROR(INDEX('Output Utente'!$E$2:$E$492,MATCH(397,'Output Utente'!$R$2:$R$492,0)),"")</f>
        <v/>
      </c>
    </row>
    <row r="401" customFormat="false" ht="15" hidden="false" customHeight="true" outlineLevel="0" collapsed="false">
      <c r="A401" s="29" t="n">
        <v>398</v>
      </c>
      <c r="B401" s="26" t="str">
        <f aca="false">IFERROR(INDEX('Output Utente'!$A$2:$A$492,MATCH(398,'Output Utente'!$R$2:$R$492,0)),"")</f>
        <v/>
      </c>
      <c r="C401" s="26" t="str">
        <f aca="false">IFERROR(INDEX('Output Utente'!$B$2:$B$492,MATCH(398,'Output Utente'!$R$2:$R$492,0)),"")</f>
        <v/>
      </c>
      <c r="D401" s="26" t="str">
        <f aca="false">IFERROR(INDEX('Output Utente'!$C$2:$C$492,MATCH(398,'Output Utente'!$R$2:$R$492,0)),"")</f>
        <v/>
      </c>
      <c r="E401" s="26" t="str">
        <f aca="false">IFERROR(INDEX('Input Giocatori 2026_27'!$D$3:$D$493,MATCH($B401,'Input Giocatori 2026_27'!$A$3:$A$493,0)),"")</f>
        <v/>
      </c>
      <c r="F401" s="27" t="str">
        <f aca="false">IFERROR(INDEX('Output Utente'!$N$2:$N$492,MATCH(398,'Output Utente'!$R$2:$R$492,0)),"")</f>
        <v/>
      </c>
      <c r="G401" s="26" t="str">
        <f aca="false">IFERROR(INDEX('Output Utente'!$O$2:$O$492,MATCH(398,'Output Utente'!$R$2:$R$492,0)),"")</f>
        <v/>
      </c>
      <c r="H401" s="26" t="str">
        <f aca="false">IFERROR(INDEX('Output Utente'!$P$2:$P$492,MATCH(398,'Output Utente'!$R$2:$R$492,0)),"")</f>
        <v/>
      </c>
      <c r="I401" s="27" t="str">
        <f aca="false">IFERROR(INDEX('Output Utente'!$F$2:$F$492,MATCH(398,'Output Utente'!$R$2:$R$492,0)),"")</f>
        <v/>
      </c>
      <c r="J401" s="27" t="str">
        <f aca="false">IFERROR(INDEX('Output Utente'!$G$2:$G$492,MATCH(398,'Output Utente'!$R$2:$R$492,0)),"")</f>
        <v/>
      </c>
      <c r="K401" s="27" t="str">
        <f aca="false">IFERROR(INDEX('Output Utente'!$H$2:$H$492,MATCH(398,'Output Utente'!$R$2:$R$492,0)),"")</f>
        <v/>
      </c>
      <c r="L401" s="26" t="str">
        <f aca="false">IFERROR(INDEX('Output Utente'!$E$2:$E$492,MATCH(398,'Output Utente'!$R$2:$R$492,0)),"")</f>
        <v/>
      </c>
    </row>
    <row r="402" customFormat="false" ht="15" hidden="false" customHeight="true" outlineLevel="0" collapsed="false">
      <c r="A402" s="29" t="n">
        <v>399</v>
      </c>
      <c r="B402" s="26" t="str">
        <f aca="false">IFERROR(INDEX('Output Utente'!$A$2:$A$492,MATCH(399,'Output Utente'!$R$2:$R$492,0)),"")</f>
        <v/>
      </c>
      <c r="C402" s="26" t="str">
        <f aca="false">IFERROR(INDEX('Output Utente'!$B$2:$B$492,MATCH(399,'Output Utente'!$R$2:$R$492,0)),"")</f>
        <v/>
      </c>
      <c r="D402" s="26" t="str">
        <f aca="false">IFERROR(INDEX('Output Utente'!$C$2:$C$492,MATCH(399,'Output Utente'!$R$2:$R$492,0)),"")</f>
        <v/>
      </c>
      <c r="E402" s="26" t="str">
        <f aca="false">IFERROR(INDEX('Input Giocatori 2026_27'!$D$3:$D$493,MATCH($B402,'Input Giocatori 2026_27'!$A$3:$A$493,0)),"")</f>
        <v/>
      </c>
      <c r="F402" s="27" t="str">
        <f aca="false">IFERROR(INDEX('Output Utente'!$N$2:$N$492,MATCH(399,'Output Utente'!$R$2:$R$492,0)),"")</f>
        <v/>
      </c>
      <c r="G402" s="26" t="str">
        <f aca="false">IFERROR(INDEX('Output Utente'!$O$2:$O$492,MATCH(399,'Output Utente'!$R$2:$R$492,0)),"")</f>
        <v/>
      </c>
      <c r="H402" s="26" t="str">
        <f aca="false">IFERROR(INDEX('Output Utente'!$P$2:$P$492,MATCH(399,'Output Utente'!$R$2:$R$492,0)),"")</f>
        <v/>
      </c>
      <c r="I402" s="27" t="str">
        <f aca="false">IFERROR(INDEX('Output Utente'!$F$2:$F$492,MATCH(399,'Output Utente'!$R$2:$R$492,0)),"")</f>
        <v/>
      </c>
      <c r="J402" s="27" t="str">
        <f aca="false">IFERROR(INDEX('Output Utente'!$G$2:$G$492,MATCH(399,'Output Utente'!$R$2:$R$492,0)),"")</f>
        <v/>
      </c>
      <c r="K402" s="27" t="str">
        <f aca="false">IFERROR(INDEX('Output Utente'!$H$2:$H$492,MATCH(399,'Output Utente'!$R$2:$R$492,0)),"")</f>
        <v/>
      </c>
      <c r="L402" s="26" t="str">
        <f aca="false">IFERROR(INDEX('Output Utente'!$E$2:$E$492,MATCH(399,'Output Utente'!$R$2:$R$492,0)),"")</f>
        <v/>
      </c>
    </row>
    <row r="403" customFormat="false" ht="15" hidden="false" customHeight="true" outlineLevel="0" collapsed="false">
      <c r="A403" s="29" t="n">
        <v>400</v>
      </c>
      <c r="B403" s="26" t="str">
        <f aca="false">IFERROR(INDEX('Output Utente'!$A$2:$A$492,MATCH(400,'Output Utente'!$R$2:$R$492,0)),"")</f>
        <v/>
      </c>
      <c r="C403" s="26" t="str">
        <f aca="false">IFERROR(INDEX('Output Utente'!$B$2:$B$492,MATCH(400,'Output Utente'!$R$2:$R$492,0)),"")</f>
        <v/>
      </c>
      <c r="D403" s="26" t="str">
        <f aca="false">IFERROR(INDEX('Output Utente'!$C$2:$C$492,MATCH(400,'Output Utente'!$R$2:$R$492,0)),"")</f>
        <v/>
      </c>
      <c r="E403" s="26" t="str">
        <f aca="false">IFERROR(INDEX('Input Giocatori 2026_27'!$D$3:$D$493,MATCH($B403,'Input Giocatori 2026_27'!$A$3:$A$493,0)),"")</f>
        <v/>
      </c>
      <c r="F403" s="27" t="str">
        <f aca="false">IFERROR(INDEX('Output Utente'!$N$2:$N$492,MATCH(400,'Output Utente'!$R$2:$R$492,0)),"")</f>
        <v/>
      </c>
      <c r="G403" s="26" t="str">
        <f aca="false">IFERROR(INDEX('Output Utente'!$O$2:$O$492,MATCH(400,'Output Utente'!$R$2:$R$492,0)),"")</f>
        <v/>
      </c>
      <c r="H403" s="26" t="str">
        <f aca="false">IFERROR(INDEX('Output Utente'!$P$2:$P$492,MATCH(400,'Output Utente'!$R$2:$R$492,0)),"")</f>
        <v/>
      </c>
      <c r="I403" s="27" t="str">
        <f aca="false">IFERROR(INDEX('Output Utente'!$F$2:$F$492,MATCH(400,'Output Utente'!$R$2:$R$492,0)),"")</f>
        <v/>
      </c>
      <c r="J403" s="27" t="str">
        <f aca="false">IFERROR(INDEX('Output Utente'!$G$2:$G$492,MATCH(400,'Output Utente'!$R$2:$R$492,0)),"")</f>
        <v/>
      </c>
      <c r="K403" s="27" t="str">
        <f aca="false">IFERROR(INDEX('Output Utente'!$H$2:$H$492,MATCH(400,'Output Utente'!$R$2:$R$492,0)),"")</f>
        <v/>
      </c>
      <c r="L403" s="26" t="str">
        <f aca="false">IFERROR(INDEX('Output Utente'!$E$2:$E$492,MATCH(400,'Output Utente'!$R$2:$R$492,0)),"")</f>
        <v/>
      </c>
    </row>
    <row r="404" customFormat="false" ht="15" hidden="false" customHeight="true" outlineLevel="0" collapsed="false">
      <c r="A404" s="29" t="n">
        <v>401</v>
      </c>
      <c r="B404" s="26" t="str">
        <f aca="false">IFERROR(INDEX('Output Utente'!$A$2:$A$492,MATCH(401,'Output Utente'!$R$2:$R$492,0)),"")</f>
        <v/>
      </c>
      <c r="C404" s="26" t="str">
        <f aca="false">IFERROR(INDEX('Output Utente'!$B$2:$B$492,MATCH(401,'Output Utente'!$R$2:$R$492,0)),"")</f>
        <v/>
      </c>
      <c r="D404" s="26" t="str">
        <f aca="false">IFERROR(INDEX('Output Utente'!$C$2:$C$492,MATCH(401,'Output Utente'!$R$2:$R$492,0)),"")</f>
        <v/>
      </c>
      <c r="E404" s="26" t="str">
        <f aca="false">IFERROR(INDEX('Input Giocatori 2026_27'!$D$3:$D$493,MATCH($B404,'Input Giocatori 2026_27'!$A$3:$A$493,0)),"")</f>
        <v/>
      </c>
      <c r="F404" s="27" t="str">
        <f aca="false">IFERROR(INDEX('Output Utente'!$N$2:$N$492,MATCH(401,'Output Utente'!$R$2:$R$492,0)),"")</f>
        <v/>
      </c>
      <c r="G404" s="26" t="str">
        <f aca="false">IFERROR(INDEX('Output Utente'!$O$2:$O$492,MATCH(401,'Output Utente'!$R$2:$R$492,0)),"")</f>
        <v/>
      </c>
      <c r="H404" s="26" t="str">
        <f aca="false">IFERROR(INDEX('Output Utente'!$P$2:$P$492,MATCH(401,'Output Utente'!$R$2:$R$492,0)),"")</f>
        <v/>
      </c>
      <c r="I404" s="27" t="str">
        <f aca="false">IFERROR(INDEX('Output Utente'!$F$2:$F$492,MATCH(401,'Output Utente'!$R$2:$R$492,0)),"")</f>
        <v/>
      </c>
      <c r="J404" s="27" t="str">
        <f aca="false">IFERROR(INDEX('Output Utente'!$G$2:$G$492,MATCH(401,'Output Utente'!$R$2:$R$492,0)),"")</f>
        <v/>
      </c>
      <c r="K404" s="27" t="str">
        <f aca="false">IFERROR(INDEX('Output Utente'!$H$2:$H$492,MATCH(401,'Output Utente'!$R$2:$R$492,0)),"")</f>
        <v/>
      </c>
      <c r="L404" s="26" t="str">
        <f aca="false">IFERROR(INDEX('Output Utente'!$E$2:$E$492,MATCH(401,'Output Utente'!$R$2:$R$492,0)),"")</f>
        <v/>
      </c>
    </row>
    <row r="405" customFormat="false" ht="15" hidden="false" customHeight="true" outlineLevel="0" collapsed="false">
      <c r="A405" s="29" t="n">
        <v>402</v>
      </c>
      <c r="B405" s="26" t="str">
        <f aca="false">IFERROR(INDEX('Output Utente'!$A$2:$A$492,MATCH(402,'Output Utente'!$R$2:$R$492,0)),"")</f>
        <v/>
      </c>
      <c r="C405" s="26" t="str">
        <f aca="false">IFERROR(INDEX('Output Utente'!$B$2:$B$492,MATCH(402,'Output Utente'!$R$2:$R$492,0)),"")</f>
        <v/>
      </c>
      <c r="D405" s="26" t="str">
        <f aca="false">IFERROR(INDEX('Output Utente'!$C$2:$C$492,MATCH(402,'Output Utente'!$R$2:$R$492,0)),"")</f>
        <v/>
      </c>
      <c r="E405" s="26" t="str">
        <f aca="false">IFERROR(INDEX('Input Giocatori 2026_27'!$D$3:$D$493,MATCH($B405,'Input Giocatori 2026_27'!$A$3:$A$493,0)),"")</f>
        <v/>
      </c>
      <c r="F405" s="27" t="str">
        <f aca="false">IFERROR(INDEX('Output Utente'!$N$2:$N$492,MATCH(402,'Output Utente'!$R$2:$R$492,0)),"")</f>
        <v/>
      </c>
      <c r="G405" s="26" t="str">
        <f aca="false">IFERROR(INDEX('Output Utente'!$O$2:$O$492,MATCH(402,'Output Utente'!$R$2:$R$492,0)),"")</f>
        <v/>
      </c>
      <c r="H405" s="26" t="str">
        <f aca="false">IFERROR(INDEX('Output Utente'!$P$2:$P$492,MATCH(402,'Output Utente'!$R$2:$R$492,0)),"")</f>
        <v/>
      </c>
      <c r="I405" s="27" t="str">
        <f aca="false">IFERROR(INDEX('Output Utente'!$F$2:$F$492,MATCH(402,'Output Utente'!$R$2:$R$492,0)),"")</f>
        <v/>
      </c>
      <c r="J405" s="27" t="str">
        <f aca="false">IFERROR(INDEX('Output Utente'!$G$2:$G$492,MATCH(402,'Output Utente'!$R$2:$R$492,0)),"")</f>
        <v/>
      </c>
      <c r="K405" s="27" t="str">
        <f aca="false">IFERROR(INDEX('Output Utente'!$H$2:$H$492,MATCH(402,'Output Utente'!$R$2:$R$492,0)),"")</f>
        <v/>
      </c>
      <c r="L405" s="26" t="str">
        <f aca="false">IFERROR(INDEX('Output Utente'!$E$2:$E$492,MATCH(402,'Output Utente'!$R$2:$R$492,0)),"")</f>
        <v/>
      </c>
    </row>
    <row r="406" customFormat="false" ht="15" hidden="false" customHeight="true" outlineLevel="0" collapsed="false">
      <c r="A406" s="29" t="n">
        <v>403</v>
      </c>
      <c r="B406" s="26" t="str">
        <f aca="false">IFERROR(INDEX('Output Utente'!$A$2:$A$492,MATCH(403,'Output Utente'!$R$2:$R$492,0)),"")</f>
        <v/>
      </c>
      <c r="C406" s="26" t="str">
        <f aca="false">IFERROR(INDEX('Output Utente'!$B$2:$B$492,MATCH(403,'Output Utente'!$R$2:$R$492,0)),"")</f>
        <v/>
      </c>
      <c r="D406" s="26" t="str">
        <f aca="false">IFERROR(INDEX('Output Utente'!$C$2:$C$492,MATCH(403,'Output Utente'!$R$2:$R$492,0)),"")</f>
        <v/>
      </c>
      <c r="E406" s="26" t="str">
        <f aca="false">IFERROR(INDEX('Input Giocatori 2026_27'!$D$3:$D$493,MATCH($B406,'Input Giocatori 2026_27'!$A$3:$A$493,0)),"")</f>
        <v/>
      </c>
      <c r="F406" s="27" t="str">
        <f aca="false">IFERROR(INDEX('Output Utente'!$N$2:$N$492,MATCH(403,'Output Utente'!$R$2:$R$492,0)),"")</f>
        <v/>
      </c>
      <c r="G406" s="26" t="str">
        <f aca="false">IFERROR(INDEX('Output Utente'!$O$2:$O$492,MATCH(403,'Output Utente'!$R$2:$R$492,0)),"")</f>
        <v/>
      </c>
      <c r="H406" s="26" t="str">
        <f aca="false">IFERROR(INDEX('Output Utente'!$P$2:$P$492,MATCH(403,'Output Utente'!$R$2:$R$492,0)),"")</f>
        <v/>
      </c>
      <c r="I406" s="27" t="str">
        <f aca="false">IFERROR(INDEX('Output Utente'!$F$2:$F$492,MATCH(403,'Output Utente'!$R$2:$R$492,0)),"")</f>
        <v/>
      </c>
      <c r="J406" s="27" t="str">
        <f aca="false">IFERROR(INDEX('Output Utente'!$G$2:$G$492,MATCH(403,'Output Utente'!$R$2:$R$492,0)),"")</f>
        <v/>
      </c>
      <c r="K406" s="27" t="str">
        <f aca="false">IFERROR(INDEX('Output Utente'!$H$2:$H$492,MATCH(403,'Output Utente'!$R$2:$R$492,0)),"")</f>
        <v/>
      </c>
      <c r="L406" s="26" t="str">
        <f aca="false">IFERROR(INDEX('Output Utente'!$E$2:$E$492,MATCH(403,'Output Utente'!$R$2:$R$492,0)),"")</f>
        <v/>
      </c>
    </row>
    <row r="407" customFormat="false" ht="15" hidden="false" customHeight="true" outlineLevel="0" collapsed="false">
      <c r="A407" s="29" t="n">
        <v>404</v>
      </c>
      <c r="B407" s="26" t="str">
        <f aca="false">IFERROR(INDEX('Output Utente'!$A$2:$A$492,MATCH(404,'Output Utente'!$R$2:$R$492,0)),"")</f>
        <v/>
      </c>
      <c r="C407" s="26" t="str">
        <f aca="false">IFERROR(INDEX('Output Utente'!$B$2:$B$492,MATCH(404,'Output Utente'!$R$2:$R$492,0)),"")</f>
        <v/>
      </c>
      <c r="D407" s="26" t="str">
        <f aca="false">IFERROR(INDEX('Output Utente'!$C$2:$C$492,MATCH(404,'Output Utente'!$R$2:$R$492,0)),"")</f>
        <v/>
      </c>
      <c r="E407" s="26" t="str">
        <f aca="false">IFERROR(INDEX('Input Giocatori 2026_27'!$D$3:$D$493,MATCH($B407,'Input Giocatori 2026_27'!$A$3:$A$493,0)),"")</f>
        <v/>
      </c>
      <c r="F407" s="27" t="str">
        <f aca="false">IFERROR(INDEX('Output Utente'!$N$2:$N$492,MATCH(404,'Output Utente'!$R$2:$R$492,0)),"")</f>
        <v/>
      </c>
      <c r="G407" s="26" t="str">
        <f aca="false">IFERROR(INDEX('Output Utente'!$O$2:$O$492,MATCH(404,'Output Utente'!$R$2:$R$492,0)),"")</f>
        <v/>
      </c>
      <c r="H407" s="26" t="str">
        <f aca="false">IFERROR(INDEX('Output Utente'!$P$2:$P$492,MATCH(404,'Output Utente'!$R$2:$R$492,0)),"")</f>
        <v/>
      </c>
      <c r="I407" s="27" t="str">
        <f aca="false">IFERROR(INDEX('Output Utente'!$F$2:$F$492,MATCH(404,'Output Utente'!$R$2:$R$492,0)),"")</f>
        <v/>
      </c>
      <c r="J407" s="27" t="str">
        <f aca="false">IFERROR(INDEX('Output Utente'!$G$2:$G$492,MATCH(404,'Output Utente'!$R$2:$R$492,0)),"")</f>
        <v/>
      </c>
      <c r="K407" s="27" t="str">
        <f aca="false">IFERROR(INDEX('Output Utente'!$H$2:$H$492,MATCH(404,'Output Utente'!$R$2:$R$492,0)),"")</f>
        <v/>
      </c>
      <c r="L407" s="26" t="str">
        <f aca="false">IFERROR(INDEX('Output Utente'!$E$2:$E$492,MATCH(404,'Output Utente'!$R$2:$R$492,0)),"")</f>
        <v/>
      </c>
    </row>
    <row r="408" customFormat="false" ht="15" hidden="false" customHeight="true" outlineLevel="0" collapsed="false">
      <c r="A408" s="29" t="n">
        <v>405</v>
      </c>
      <c r="B408" s="26" t="str">
        <f aca="false">IFERROR(INDEX('Output Utente'!$A$2:$A$492,MATCH(405,'Output Utente'!$R$2:$R$492,0)),"")</f>
        <v/>
      </c>
      <c r="C408" s="26" t="str">
        <f aca="false">IFERROR(INDEX('Output Utente'!$B$2:$B$492,MATCH(405,'Output Utente'!$R$2:$R$492,0)),"")</f>
        <v/>
      </c>
      <c r="D408" s="26" t="str">
        <f aca="false">IFERROR(INDEX('Output Utente'!$C$2:$C$492,MATCH(405,'Output Utente'!$R$2:$R$492,0)),"")</f>
        <v/>
      </c>
      <c r="E408" s="26" t="str">
        <f aca="false">IFERROR(INDEX('Input Giocatori 2026_27'!$D$3:$D$493,MATCH($B408,'Input Giocatori 2026_27'!$A$3:$A$493,0)),"")</f>
        <v/>
      </c>
      <c r="F408" s="27" t="str">
        <f aca="false">IFERROR(INDEX('Output Utente'!$N$2:$N$492,MATCH(405,'Output Utente'!$R$2:$R$492,0)),"")</f>
        <v/>
      </c>
      <c r="G408" s="26" t="str">
        <f aca="false">IFERROR(INDEX('Output Utente'!$O$2:$O$492,MATCH(405,'Output Utente'!$R$2:$R$492,0)),"")</f>
        <v/>
      </c>
      <c r="H408" s="26" t="str">
        <f aca="false">IFERROR(INDEX('Output Utente'!$P$2:$P$492,MATCH(405,'Output Utente'!$R$2:$R$492,0)),"")</f>
        <v/>
      </c>
      <c r="I408" s="27" t="str">
        <f aca="false">IFERROR(INDEX('Output Utente'!$F$2:$F$492,MATCH(405,'Output Utente'!$R$2:$R$492,0)),"")</f>
        <v/>
      </c>
      <c r="J408" s="27" t="str">
        <f aca="false">IFERROR(INDEX('Output Utente'!$G$2:$G$492,MATCH(405,'Output Utente'!$R$2:$R$492,0)),"")</f>
        <v/>
      </c>
      <c r="K408" s="27" t="str">
        <f aca="false">IFERROR(INDEX('Output Utente'!$H$2:$H$492,MATCH(405,'Output Utente'!$R$2:$R$492,0)),"")</f>
        <v/>
      </c>
      <c r="L408" s="26" t="str">
        <f aca="false">IFERROR(INDEX('Output Utente'!$E$2:$E$492,MATCH(405,'Output Utente'!$R$2:$R$492,0)),"")</f>
        <v/>
      </c>
    </row>
    <row r="409" customFormat="false" ht="15" hidden="false" customHeight="true" outlineLevel="0" collapsed="false">
      <c r="A409" s="29" t="n">
        <v>406</v>
      </c>
      <c r="B409" s="26" t="str">
        <f aca="false">IFERROR(INDEX('Output Utente'!$A$2:$A$492,MATCH(406,'Output Utente'!$R$2:$R$492,0)),"")</f>
        <v/>
      </c>
      <c r="C409" s="26" t="str">
        <f aca="false">IFERROR(INDEX('Output Utente'!$B$2:$B$492,MATCH(406,'Output Utente'!$R$2:$R$492,0)),"")</f>
        <v/>
      </c>
      <c r="D409" s="26" t="str">
        <f aca="false">IFERROR(INDEX('Output Utente'!$C$2:$C$492,MATCH(406,'Output Utente'!$R$2:$R$492,0)),"")</f>
        <v/>
      </c>
      <c r="E409" s="26" t="str">
        <f aca="false">IFERROR(INDEX('Input Giocatori 2026_27'!$D$3:$D$493,MATCH($B409,'Input Giocatori 2026_27'!$A$3:$A$493,0)),"")</f>
        <v/>
      </c>
      <c r="F409" s="27" t="str">
        <f aca="false">IFERROR(INDEX('Output Utente'!$N$2:$N$492,MATCH(406,'Output Utente'!$R$2:$R$492,0)),"")</f>
        <v/>
      </c>
      <c r="G409" s="26" t="str">
        <f aca="false">IFERROR(INDEX('Output Utente'!$O$2:$O$492,MATCH(406,'Output Utente'!$R$2:$R$492,0)),"")</f>
        <v/>
      </c>
      <c r="H409" s="26" t="str">
        <f aca="false">IFERROR(INDEX('Output Utente'!$P$2:$P$492,MATCH(406,'Output Utente'!$R$2:$R$492,0)),"")</f>
        <v/>
      </c>
      <c r="I409" s="27" t="str">
        <f aca="false">IFERROR(INDEX('Output Utente'!$F$2:$F$492,MATCH(406,'Output Utente'!$R$2:$R$492,0)),"")</f>
        <v/>
      </c>
      <c r="J409" s="27" t="str">
        <f aca="false">IFERROR(INDEX('Output Utente'!$G$2:$G$492,MATCH(406,'Output Utente'!$R$2:$R$492,0)),"")</f>
        <v/>
      </c>
      <c r="K409" s="27" t="str">
        <f aca="false">IFERROR(INDEX('Output Utente'!$H$2:$H$492,MATCH(406,'Output Utente'!$R$2:$R$492,0)),"")</f>
        <v/>
      </c>
      <c r="L409" s="26" t="str">
        <f aca="false">IFERROR(INDEX('Output Utente'!$E$2:$E$492,MATCH(406,'Output Utente'!$R$2:$R$492,0)),"")</f>
        <v/>
      </c>
    </row>
    <row r="410" customFormat="false" ht="15" hidden="false" customHeight="true" outlineLevel="0" collapsed="false">
      <c r="A410" s="29" t="n">
        <v>407</v>
      </c>
      <c r="B410" s="26" t="str">
        <f aca="false">IFERROR(INDEX('Output Utente'!$A$2:$A$492,MATCH(407,'Output Utente'!$R$2:$R$492,0)),"")</f>
        <v/>
      </c>
      <c r="C410" s="26" t="str">
        <f aca="false">IFERROR(INDEX('Output Utente'!$B$2:$B$492,MATCH(407,'Output Utente'!$R$2:$R$492,0)),"")</f>
        <v/>
      </c>
      <c r="D410" s="26" t="str">
        <f aca="false">IFERROR(INDEX('Output Utente'!$C$2:$C$492,MATCH(407,'Output Utente'!$R$2:$R$492,0)),"")</f>
        <v/>
      </c>
      <c r="E410" s="26" t="str">
        <f aca="false">IFERROR(INDEX('Input Giocatori 2026_27'!$D$3:$D$493,MATCH($B410,'Input Giocatori 2026_27'!$A$3:$A$493,0)),"")</f>
        <v/>
      </c>
      <c r="F410" s="27" t="str">
        <f aca="false">IFERROR(INDEX('Output Utente'!$N$2:$N$492,MATCH(407,'Output Utente'!$R$2:$R$492,0)),"")</f>
        <v/>
      </c>
      <c r="G410" s="26" t="str">
        <f aca="false">IFERROR(INDEX('Output Utente'!$O$2:$O$492,MATCH(407,'Output Utente'!$R$2:$R$492,0)),"")</f>
        <v/>
      </c>
      <c r="H410" s="26" t="str">
        <f aca="false">IFERROR(INDEX('Output Utente'!$P$2:$P$492,MATCH(407,'Output Utente'!$R$2:$R$492,0)),"")</f>
        <v/>
      </c>
      <c r="I410" s="27" t="str">
        <f aca="false">IFERROR(INDEX('Output Utente'!$F$2:$F$492,MATCH(407,'Output Utente'!$R$2:$R$492,0)),"")</f>
        <v/>
      </c>
      <c r="J410" s="27" t="str">
        <f aca="false">IFERROR(INDEX('Output Utente'!$G$2:$G$492,MATCH(407,'Output Utente'!$R$2:$R$492,0)),"")</f>
        <v/>
      </c>
      <c r="K410" s="27" t="str">
        <f aca="false">IFERROR(INDEX('Output Utente'!$H$2:$H$492,MATCH(407,'Output Utente'!$R$2:$R$492,0)),"")</f>
        <v/>
      </c>
      <c r="L410" s="26" t="str">
        <f aca="false">IFERROR(INDEX('Output Utente'!$E$2:$E$492,MATCH(407,'Output Utente'!$R$2:$R$492,0)),"")</f>
        <v/>
      </c>
    </row>
    <row r="411" customFormat="false" ht="15" hidden="false" customHeight="true" outlineLevel="0" collapsed="false">
      <c r="A411" s="29" t="n">
        <v>408</v>
      </c>
      <c r="B411" s="26" t="str">
        <f aca="false">IFERROR(INDEX('Output Utente'!$A$2:$A$492,MATCH(408,'Output Utente'!$R$2:$R$492,0)),"")</f>
        <v/>
      </c>
      <c r="C411" s="26" t="str">
        <f aca="false">IFERROR(INDEX('Output Utente'!$B$2:$B$492,MATCH(408,'Output Utente'!$R$2:$R$492,0)),"")</f>
        <v/>
      </c>
      <c r="D411" s="26" t="str">
        <f aca="false">IFERROR(INDEX('Output Utente'!$C$2:$C$492,MATCH(408,'Output Utente'!$R$2:$R$492,0)),"")</f>
        <v/>
      </c>
      <c r="E411" s="26" t="str">
        <f aca="false">IFERROR(INDEX('Input Giocatori 2026_27'!$D$3:$D$493,MATCH($B411,'Input Giocatori 2026_27'!$A$3:$A$493,0)),"")</f>
        <v/>
      </c>
      <c r="F411" s="27" t="str">
        <f aca="false">IFERROR(INDEX('Output Utente'!$N$2:$N$492,MATCH(408,'Output Utente'!$R$2:$R$492,0)),"")</f>
        <v/>
      </c>
      <c r="G411" s="26" t="str">
        <f aca="false">IFERROR(INDEX('Output Utente'!$O$2:$O$492,MATCH(408,'Output Utente'!$R$2:$R$492,0)),"")</f>
        <v/>
      </c>
      <c r="H411" s="26" t="str">
        <f aca="false">IFERROR(INDEX('Output Utente'!$P$2:$P$492,MATCH(408,'Output Utente'!$R$2:$R$492,0)),"")</f>
        <v/>
      </c>
      <c r="I411" s="27" t="str">
        <f aca="false">IFERROR(INDEX('Output Utente'!$F$2:$F$492,MATCH(408,'Output Utente'!$R$2:$R$492,0)),"")</f>
        <v/>
      </c>
      <c r="J411" s="27" t="str">
        <f aca="false">IFERROR(INDEX('Output Utente'!$G$2:$G$492,MATCH(408,'Output Utente'!$R$2:$R$492,0)),"")</f>
        <v/>
      </c>
      <c r="K411" s="27" t="str">
        <f aca="false">IFERROR(INDEX('Output Utente'!$H$2:$H$492,MATCH(408,'Output Utente'!$R$2:$R$492,0)),"")</f>
        <v/>
      </c>
      <c r="L411" s="26" t="str">
        <f aca="false">IFERROR(INDEX('Output Utente'!$E$2:$E$492,MATCH(408,'Output Utente'!$R$2:$R$492,0)),"")</f>
        <v/>
      </c>
    </row>
    <row r="412" customFormat="false" ht="15" hidden="false" customHeight="true" outlineLevel="0" collapsed="false">
      <c r="A412" s="29" t="n">
        <v>409</v>
      </c>
      <c r="B412" s="26" t="str">
        <f aca="false">IFERROR(INDEX('Output Utente'!$A$2:$A$492,MATCH(409,'Output Utente'!$R$2:$R$492,0)),"")</f>
        <v/>
      </c>
      <c r="C412" s="26" t="str">
        <f aca="false">IFERROR(INDEX('Output Utente'!$B$2:$B$492,MATCH(409,'Output Utente'!$R$2:$R$492,0)),"")</f>
        <v/>
      </c>
      <c r="D412" s="26" t="str">
        <f aca="false">IFERROR(INDEX('Output Utente'!$C$2:$C$492,MATCH(409,'Output Utente'!$R$2:$R$492,0)),"")</f>
        <v/>
      </c>
      <c r="E412" s="26" t="str">
        <f aca="false">IFERROR(INDEX('Input Giocatori 2026_27'!$D$3:$D$493,MATCH($B412,'Input Giocatori 2026_27'!$A$3:$A$493,0)),"")</f>
        <v/>
      </c>
      <c r="F412" s="27" t="str">
        <f aca="false">IFERROR(INDEX('Output Utente'!$N$2:$N$492,MATCH(409,'Output Utente'!$R$2:$R$492,0)),"")</f>
        <v/>
      </c>
      <c r="G412" s="26" t="str">
        <f aca="false">IFERROR(INDEX('Output Utente'!$O$2:$O$492,MATCH(409,'Output Utente'!$R$2:$R$492,0)),"")</f>
        <v/>
      </c>
      <c r="H412" s="26" t="str">
        <f aca="false">IFERROR(INDEX('Output Utente'!$P$2:$P$492,MATCH(409,'Output Utente'!$R$2:$R$492,0)),"")</f>
        <v/>
      </c>
      <c r="I412" s="27" t="str">
        <f aca="false">IFERROR(INDEX('Output Utente'!$F$2:$F$492,MATCH(409,'Output Utente'!$R$2:$R$492,0)),"")</f>
        <v/>
      </c>
      <c r="J412" s="27" t="str">
        <f aca="false">IFERROR(INDEX('Output Utente'!$G$2:$G$492,MATCH(409,'Output Utente'!$R$2:$R$492,0)),"")</f>
        <v/>
      </c>
      <c r="K412" s="27" t="str">
        <f aca="false">IFERROR(INDEX('Output Utente'!$H$2:$H$492,MATCH(409,'Output Utente'!$R$2:$R$492,0)),"")</f>
        <v/>
      </c>
      <c r="L412" s="26" t="str">
        <f aca="false">IFERROR(INDEX('Output Utente'!$E$2:$E$492,MATCH(409,'Output Utente'!$R$2:$R$492,0)),"")</f>
        <v/>
      </c>
    </row>
    <row r="413" customFormat="false" ht="15" hidden="false" customHeight="true" outlineLevel="0" collapsed="false">
      <c r="A413" s="29" t="n">
        <v>410</v>
      </c>
      <c r="B413" s="26" t="str">
        <f aca="false">IFERROR(INDEX('Output Utente'!$A$2:$A$492,MATCH(410,'Output Utente'!$R$2:$R$492,0)),"")</f>
        <v/>
      </c>
      <c r="C413" s="26" t="str">
        <f aca="false">IFERROR(INDEX('Output Utente'!$B$2:$B$492,MATCH(410,'Output Utente'!$R$2:$R$492,0)),"")</f>
        <v/>
      </c>
      <c r="D413" s="26" t="str">
        <f aca="false">IFERROR(INDEX('Output Utente'!$C$2:$C$492,MATCH(410,'Output Utente'!$R$2:$R$492,0)),"")</f>
        <v/>
      </c>
      <c r="E413" s="26" t="str">
        <f aca="false">IFERROR(INDEX('Input Giocatori 2026_27'!$D$3:$D$493,MATCH($B413,'Input Giocatori 2026_27'!$A$3:$A$493,0)),"")</f>
        <v/>
      </c>
      <c r="F413" s="27" t="str">
        <f aca="false">IFERROR(INDEX('Output Utente'!$N$2:$N$492,MATCH(410,'Output Utente'!$R$2:$R$492,0)),"")</f>
        <v/>
      </c>
      <c r="G413" s="26" t="str">
        <f aca="false">IFERROR(INDEX('Output Utente'!$O$2:$O$492,MATCH(410,'Output Utente'!$R$2:$R$492,0)),"")</f>
        <v/>
      </c>
      <c r="H413" s="26" t="str">
        <f aca="false">IFERROR(INDEX('Output Utente'!$P$2:$P$492,MATCH(410,'Output Utente'!$R$2:$R$492,0)),"")</f>
        <v/>
      </c>
      <c r="I413" s="27" t="str">
        <f aca="false">IFERROR(INDEX('Output Utente'!$F$2:$F$492,MATCH(410,'Output Utente'!$R$2:$R$492,0)),"")</f>
        <v/>
      </c>
      <c r="J413" s="27" t="str">
        <f aca="false">IFERROR(INDEX('Output Utente'!$G$2:$G$492,MATCH(410,'Output Utente'!$R$2:$R$492,0)),"")</f>
        <v/>
      </c>
      <c r="K413" s="27" t="str">
        <f aca="false">IFERROR(INDEX('Output Utente'!$H$2:$H$492,MATCH(410,'Output Utente'!$R$2:$R$492,0)),"")</f>
        <v/>
      </c>
      <c r="L413" s="26" t="str">
        <f aca="false">IFERROR(INDEX('Output Utente'!$E$2:$E$492,MATCH(410,'Output Utente'!$R$2:$R$492,0)),"")</f>
        <v/>
      </c>
    </row>
    <row r="414" customFormat="false" ht="15" hidden="false" customHeight="true" outlineLevel="0" collapsed="false">
      <c r="A414" s="29" t="n">
        <v>411</v>
      </c>
      <c r="B414" s="26" t="str">
        <f aca="false">IFERROR(INDEX('Output Utente'!$A$2:$A$492,MATCH(411,'Output Utente'!$R$2:$R$492,0)),"")</f>
        <v/>
      </c>
      <c r="C414" s="26" t="str">
        <f aca="false">IFERROR(INDEX('Output Utente'!$B$2:$B$492,MATCH(411,'Output Utente'!$R$2:$R$492,0)),"")</f>
        <v/>
      </c>
      <c r="D414" s="26" t="str">
        <f aca="false">IFERROR(INDEX('Output Utente'!$C$2:$C$492,MATCH(411,'Output Utente'!$R$2:$R$492,0)),"")</f>
        <v/>
      </c>
      <c r="E414" s="26" t="str">
        <f aca="false">IFERROR(INDEX('Input Giocatori 2026_27'!$D$3:$D$493,MATCH($B414,'Input Giocatori 2026_27'!$A$3:$A$493,0)),"")</f>
        <v/>
      </c>
      <c r="F414" s="27" t="str">
        <f aca="false">IFERROR(INDEX('Output Utente'!$N$2:$N$492,MATCH(411,'Output Utente'!$R$2:$R$492,0)),"")</f>
        <v/>
      </c>
      <c r="G414" s="26" t="str">
        <f aca="false">IFERROR(INDEX('Output Utente'!$O$2:$O$492,MATCH(411,'Output Utente'!$R$2:$R$492,0)),"")</f>
        <v/>
      </c>
      <c r="H414" s="26" t="str">
        <f aca="false">IFERROR(INDEX('Output Utente'!$P$2:$P$492,MATCH(411,'Output Utente'!$R$2:$R$492,0)),"")</f>
        <v/>
      </c>
      <c r="I414" s="27" t="str">
        <f aca="false">IFERROR(INDEX('Output Utente'!$F$2:$F$492,MATCH(411,'Output Utente'!$R$2:$R$492,0)),"")</f>
        <v/>
      </c>
      <c r="J414" s="27" t="str">
        <f aca="false">IFERROR(INDEX('Output Utente'!$G$2:$G$492,MATCH(411,'Output Utente'!$R$2:$R$492,0)),"")</f>
        <v/>
      </c>
      <c r="K414" s="27" t="str">
        <f aca="false">IFERROR(INDEX('Output Utente'!$H$2:$H$492,MATCH(411,'Output Utente'!$R$2:$R$492,0)),"")</f>
        <v/>
      </c>
      <c r="L414" s="26" t="str">
        <f aca="false">IFERROR(INDEX('Output Utente'!$E$2:$E$492,MATCH(411,'Output Utente'!$R$2:$R$492,0)),"")</f>
        <v/>
      </c>
    </row>
    <row r="415" customFormat="false" ht="15" hidden="false" customHeight="true" outlineLevel="0" collapsed="false">
      <c r="A415" s="29" t="n">
        <v>412</v>
      </c>
      <c r="B415" s="26" t="str">
        <f aca="false">IFERROR(INDEX('Output Utente'!$A$2:$A$492,MATCH(412,'Output Utente'!$R$2:$R$492,0)),"")</f>
        <v/>
      </c>
      <c r="C415" s="26" t="str">
        <f aca="false">IFERROR(INDEX('Output Utente'!$B$2:$B$492,MATCH(412,'Output Utente'!$R$2:$R$492,0)),"")</f>
        <v/>
      </c>
      <c r="D415" s="26" t="str">
        <f aca="false">IFERROR(INDEX('Output Utente'!$C$2:$C$492,MATCH(412,'Output Utente'!$R$2:$R$492,0)),"")</f>
        <v/>
      </c>
      <c r="E415" s="26" t="str">
        <f aca="false">IFERROR(INDEX('Input Giocatori 2026_27'!$D$3:$D$493,MATCH($B415,'Input Giocatori 2026_27'!$A$3:$A$493,0)),"")</f>
        <v/>
      </c>
      <c r="F415" s="27" t="str">
        <f aca="false">IFERROR(INDEX('Output Utente'!$N$2:$N$492,MATCH(412,'Output Utente'!$R$2:$R$492,0)),"")</f>
        <v/>
      </c>
      <c r="G415" s="26" t="str">
        <f aca="false">IFERROR(INDEX('Output Utente'!$O$2:$O$492,MATCH(412,'Output Utente'!$R$2:$R$492,0)),"")</f>
        <v/>
      </c>
      <c r="H415" s="26" t="str">
        <f aca="false">IFERROR(INDEX('Output Utente'!$P$2:$P$492,MATCH(412,'Output Utente'!$R$2:$R$492,0)),"")</f>
        <v/>
      </c>
      <c r="I415" s="27" t="str">
        <f aca="false">IFERROR(INDEX('Output Utente'!$F$2:$F$492,MATCH(412,'Output Utente'!$R$2:$R$492,0)),"")</f>
        <v/>
      </c>
      <c r="J415" s="27" t="str">
        <f aca="false">IFERROR(INDEX('Output Utente'!$G$2:$G$492,MATCH(412,'Output Utente'!$R$2:$R$492,0)),"")</f>
        <v/>
      </c>
      <c r="K415" s="27" t="str">
        <f aca="false">IFERROR(INDEX('Output Utente'!$H$2:$H$492,MATCH(412,'Output Utente'!$R$2:$R$492,0)),"")</f>
        <v/>
      </c>
      <c r="L415" s="26" t="str">
        <f aca="false">IFERROR(INDEX('Output Utente'!$E$2:$E$492,MATCH(412,'Output Utente'!$R$2:$R$492,0)),"")</f>
        <v/>
      </c>
    </row>
    <row r="416" customFormat="false" ht="15" hidden="false" customHeight="true" outlineLevel="0" collapsed="false">
      <c r="A416" s="29" t="n">
        <v>413</v>
      </c>
      <c r="B416" s="26" t="str">
        <f aca="false">IFERROR(INDEX('Output Utente'!$A$2:$A$492,MATCH(413,'Output Utente'!$R$2:$R$492,0)),"")</f>
        <v/>
      </c>
      <c r="C416" s="26" t="str">
        <f aca="false">IFERROR(INDEX('Output Utente'!$B$2:$B$492,MATCH(413,'Output Utente'!$R$2:$R$492,0)),"")</f>
        <v/>
      </c>
      <c r="D416" s="26" t="str">
        <f aca="false">IFERROR(INDEX('Output Utente'!$C$2:$C$492,MATCH(413,'Output Utente'!$R$2:$R$492,0)),"")</f>
        <v/>
      </c>
      <c r="E416" s="26" t="str">
        <f aca="false">IFERROR(INDEX('Input Giocatori 2026_27'!$D$3:$D$493,MATCH($B416,'Input Giocatori 2026_27'!$A$3:$A$493,0)),"")</f>
        <v/>
      </c>
      <c r="F416" s="27" t="str">
        <f aca="false">IFERROR(INDEX('Output Utente'!$N$2:$N$492,MATCH(413,'Output Utente'!$R$2:$R$492,0)),"")</f>
        <v/>
      </c>
      <c r="G416" s="26" t="str">
        <f aca="false">IFERROR(INDEX('Output Utente'!$O$2:$O$492,MATCH(413,'Output Utente'!$R$2:$R$492,0)),"")</f>
        <v/>
      </c>
      <c r="H416" s="26" t="str">
        <f aca="false">IFERROR(INDEX('Output Utente'!$P$2:$P$492,MATCH(413,'Output Utente'!$R$2:$R$492,0)),"")</f>
        <v/>
      </c>
      <c r="I416" s="27" t="str">
        <f aca="false">IFERROR(INDEX('Output Utente'!$F$2:$F$492,MATCH(413,'Output Utente'!$R$2:$R$492,0)),"")</f>
        <v/>
      </c>
      <c r="J416" s="27" t="str">
        <f aca="false">IFERROR(INDEX('Output Utente'!$G$2:$G$492,MATCH(413,'Output Utente'!$R$2:$R$492,0)),"")</f>
        <v/>
      </c>
      <c r="K416" s="27" t="str">
        <f aca="false">IFERROR(INDEX('Output Utente'!$H$2:$H$492,MATCH(413,'Output Utente'!$R$2:$R$492,0)),"")</f>
        <v/>
      </c>
      <c r="L416" s="26" t="str">
        <f aca="false">IFERROR(INDEX('Output Utente'!$E$2:$E$492,MATCH(413,'Output Utente'!$R$2:$R$492,0)),"")</f>
        <v/>
      </c>
    </row>
    <row r="417" customFormat="false" ht="15" hidden="false" customHeight="true" outlineLevel="0" collapsed="false">
      <c r="A417" s="29" t="n">
        <v>414</v>
      </c>
      <c r="B417" s="26" t="str">
        <f aca="false">IFERROR(INDEX('Output Utente'!$A$2:$A$492,MATCH(414,'Output Utente'!$R$2:$R$492,0)),"")</f>
        <v/>
      </c>
      <c r="C417" s="26" t="str">
        <f aca="false">IFERROR(INDEX('Output Utente'!$B$2:$B$492,MATCH(414,'Output Utente'!$R$2:$R$492,0)),"")</f>
        <v/>
      </c>
      <c r="D417" s="26" t="str">
        <f aca="false">IFERROR(INDEX('Output Utente'!$C$2:$C$492,MATCH(414,'Output Utente'!$R$2:$R$492,0)),"")</f>
        <v/>
      </c>
      <c r="E417" s="26" t="str">
        <f aca="false">IFERROR(INDEX('Input Giocatori 2026_27'!$D$3:$D$493,MATCH($B417,'Input Giocatori 2026_27'!$A$3:$A$493,0)),"")</f>
        <v/>
      </c>
      <c r="F417" s="27" t="str">
        <f aca="false">IFERROR(INDEX('Output Utente'!$N$2:$N$492,MATCH(414,'Output Utente'!$R$2:$R$492,0)),"")</f>
        <v/>
      </c>
      <c r="G417" s="26" t="str">
        <f aca="false">IFERROR(INDEX('Output Utente'!$O$2:$O$492,MATCH(414,'Output Utente'!$R$2:$R$492,0)),"")</f>
        <v/>
      </c>
      <c r="H417" s="26" t="str">
        <f aca="false">IFERROR(INDEX('Output Utente'!$P$2:$P$492,MATCH(414,'Output Utente'!$R$2:$R$492,0)),"")</f>
        <v/>
      </c>
      <c r="I417" s="27" t="str">
        <f aca="false">IFERROR(INDEX('Output Utente'!$F$2:$F$492,MATCH(414,'Output Utente'!$R$2:$R$492,0)),"")</f>
        <v/>
      </c>
      <c r="J417" s="27" t="str">
        <f aca="false">IFERROR(INDEX('Output Utente'!$G$2:$G$492,MATCH(414,'Output Utente'!$R$2:$R$492,0)),"")</f>
        <v/>
      </c>
      <c r="K417" s="27" t="str">
        <f aca="false">IFERROR(INDEX('Output Utente'!$H$2:$H$492,MATCH(414,'Output Utente'!$R$2:$R$492,0)),"")</f>
        <v/>
      </c>
      <c r="L417" s="26" t="str">
        <f aca="false">IFERROR(INDEX('Output Utente'!$E$2:$E$492,MATCH(414,'Output Utente'!$R$2:$R$492,0)),"")</f>
        <v/>
      </c>
    </row>
    <row r="418" customFormat="false" ht="15" hidden="false" customHeight="true" outlineLevel="0" collapsed="false">
      <c r="A418" s="29" t="n">
        <v>415</v>
      </c>
      <c r="B418" s="26" t="str">
        <f aca="false">IFERROR(INDEX('Output Utente'!$A$2:$A$492,MATCH(415,'Output Utente'!$R$2:$R$492,0)),"")</f>
        <v/>
      </c>
      <c r="C418" s="26" t="str">
        <f aca="false">IFERROR(INDEX('Output Utente'!$B$2:$B$492,MATCH(415,'Output Utente'!$R$2:$R$492,0)),"")</f>
        <v/>
      </c>
      <c r="D418" s="26" t="str">
        <f aca="false">IFERROR(INDEX('Output Utente'!$C$2:$C$492,MATCH(415,'Output Utente'!$R$2:$R$492,0)),"")</f>
        <v/>
      </c>
      <c r="E418" s="26" t="str">
        <f aca="false">IFERROR(INDEX('Input Giocatori 2026_27'!$D$3:$D$493,MATCH($B418,'Input Giocatori 2026_27'!$A$3:$A$493,0)),"")</f>
        <v/>
      </c>
      <c r="F418" s="27" t="str">
        <f aca="false">IFERROR(INDEX('Output Utente'!$N$2:$N$492,MATCH(415,'Output Utente'!$R$2:$R$492,0)),"")</f>
        <v/>
      </c>
      <c r="G418" s="26" t="str">
        <f aca="false">IFERROR(INDEX('Output Utente'!$O$2:$O$492,MATCH(415,'Output Utente'!$R$2:$R$492,0)),"")</f>
        <v/>
      </c>
      <c r="H418" s="26" t="str">
        <f aca="false">IFERROR(INDEX('Output Utente'!$P$2:$P$492,MATCH(415,'Output Utente'!$R$2:$R$492,0)),"")</f>
        <v/>
      </c>
      <c r="I418" s="27" t="str">
        <f aca="false">IFERROR(INDEX('Output Utente'!$F$2:$F$492,MATCH(415,'Output Utente'!$R$2:$R$492,0)),"")</f>
        <v/>
      </c>
      <c r="J418" s="27" t="str">
        <f aca="false">IFERROR(INDEX('Output Utente'!$G$2:$G$492,MATCH(415,'Output Utente'!$R$2:$R$492,0)),"")</f>
        <v/>
      </c>
      <c r="K418" s="27" t="str">
        <f aca="false">IFERROR(INDEX('Output Utente'!$H$2:$H$492,MATCH(415,'Output Utente'!$R$2:$R$492,0)),"")</f>
        <v/>
      </c>
      <c r="L418" s="26" t="str">
        <f aca="false">IFERROR(INDEX('Output Utente'!$E$2:$E$492,MATCH(415,'Output Utente'!$R$2:$R$492,0)),"")</f>
        <v/>
      </c>
    </row>
    <row r="419" customFormat="false" ht="15" hidden="false" customHeight="true" outlineLevel="0" collapsed="false">
      <c r="A419" s="29" t="n">
        <v>416</v>
      </c>
      <c r="B419" s="26" t="str">
        <f aca="false">IFERROR(INDEX('Output Utente'!$A$2:$A$492,MATCH(416,'Output Utente'!$R$2:$R$492,0)),"")</f>
        <v/>
      </c>
      <c r="C419" s="26" t="str">
        <f aca="false">IFERROR(INDEX('Output Utente'!$B$2:$B$492,MATCH(416,'Output Utente'!$R$2:$R$492,0)),"")</f>
        <v/>
      </c>
      <c r="D419" s="26" t="str">
        <f aca="false">IFERROR(INDEX('Output Utente'!$C$2:$C$492,MATCH(416,'Output Utente'!$R$2:$R$492,0)),"")</f>
        <v/>
      </c>
      <c r="E419" s="26" t="str">
        <f aca="false">IFERROR(INDEX('Input Giocatori 2026_27'!$D$3:$D$493,MATCH($B419,'Input Giocatori 2026_27'!$A$3:$A$493,0)),"")</f>
        <v/>
      </c>
      <c r="F419" s="27" t="str">
        <f aca="false">IFERROR(INDEX('Output Utente'!$N$2:$N$492,MATCH(416,'Output Utente'!$R$2:$R$492,0)),"")</f>
        <v/>
      </c>
      <c r="G419" s="26" t="str">
        <f aca="false">IFERROR(INDEX('Output Utente'!$O$2:$O$492,MATCH(416,'Output Utente'!$R$2:$R$492,0)),"")</f>
        <v/>
      </c>
      <c r="H419" s="26" t="str">
        <f aca="false">IFERROR(INDEX('Output Utente'!$P$2:$P$492,MATCH(416,'Output Utente'!$R$2:$R$492,0)),"")</f>
        <v/>
      </c>
      <c r="I419" s="27" t="str">
        <f aca="false">IFERROR(INDEX('Output Utente'!$F$2:$F$492,MATCH(416,'Output Utente'!$R$2:$R$492,0)),"")</f>
        <v/>
      </c>
      <c r="J419" s="27" t="str">
        <f aca="false">IFERROR(INDEX('Output Utente'!$G$2:$G$492,MATCH(416,'Output Utente'!$R$2:$R$492,0)),"")</f>
        <v/>
      </c>
      <c r="K419" s="27" t="str">
        <f aca="false">IFERROR(INDEX('Output Utente'!$H$2:$H$492,MATCH(416,'Output Utente'!$R$2:$R$492,0)),"")</f>
        <v/>
      </c>
      <c r="L419" s="26" t="str">
        <f aca="false">IFERROR(INDEX('Output Utente'!$E$2:$E$492,MATCH(416,'Output Utente'!$R$2:$R$492,0)),"")</f>
        <v/>
      </c>
    </row>
    <row r="420" customFormat="false" ht="15" hidden="false" customHeight="true" outlineLevel="0" collapsed="false">
      <c r="A420" s="29" t="n">
        <v>417</v>
      </c>
      <c r="B420" s="26" t="str">
        <f aca="false">IFERROR(INDEX('Output Utente'!$A$2:$A$492,MATCH(417,'Output Utente'!$R$2:$R$492,0)),"")</f>
        <v/>
      </c>
      <c r="C420" s="26" t="str">
        <f aca="false">IFERROR(INDEX('Output Utente'!$B$2:$B$492,MATCH(417,'Output Utente'!$R$2:$R$492,0)),"")</f>
        <v/>
      </c>
      <c r="D420" s="26" t="str">
        <f aca="false">IFERROR(INDEX('Output Utente'!$C$2:$C$492,MATCH(417,'Output Utente'!$R$2:$R$492,0)),"")</f>
        <v/>
      </c>
      <c r="E420" s="26" t="str">
        <f aca="false">IFERROR(INDEX('Input Giocatori 2026_27'!$D$3:$D$493,MATCH($B420,'Input Giocatori 2026_27'!$A$3:$A$493,0)),"")</f>
        <v/>
      </c>
      <c r="F420" s="27" t="str">
        <f aca="false">IFERROR(INDEX('Output Utente'!$N$2:$N$492,MATCH(417,'Output Utente'!$R$2:$R$492,0)),"")</f>
        <v/>
      </c>
      <c r="G420" s="26" t="str">
        <f aca="false">IFERROR(INDEX('Output Utente'!$O$2:$O$492,MATCH(417,'Output Utente'!$R$2:$R$492,0)),"")</f>
        <v/>
      </c>
      <c r="H420" s="26" t="str">
        <f aca="false">IFERROR(INDEX('Output Utente'!$P$2:$P$492,MATCH(417,'Output Utente'!$R$2:$R$492,0)),"")</f>
        <v/>
      </c>
      <c r="I420" s="27" t="str">
        <f aca="false">IFERROR(INDEX('Output Utente'!$F$2:$F$492,MATCH(417,'Output Utente'!$R$2:$R$492,0)),"")</f>
        <v/>
      </c>
      <c r="J420" s="27" t="str">
        <f aca="false">IFERROR(INDEX('Output Utente'!$G$2:$G$492,MATCH(417,'Output Utente'!$R$2:$R$492,0)),"")</f>
        <v/>
      </c>
      <c r="K420" s="27" t="str">
        <f aca="false">IFERROR(INDEX('Output Utente'!$H$2:$H$492,MATCH(417,'Output Utente'!$R$2:$R$492,0)),"")</f>
        <v/>
      </c>
      <c r="L420" s="26" t="str">
        <f aca="false">IFERROR(INDEX('Output Utente'!$E$2:$E$492,MATCH(417,'Output Utente'!$R$2:$R$492,0)),"")</f>
        <v/>
      </c>
    </row>
    <row r="421" customFormat="false" ht="15" hidden="false" customHeight="true" outlineLevel="0" collapsed="false">
      <c r="A421" s="29" t="n">
        <v>418</v>
      </c>
      <c r="B421" s="26" t="str">
        <f aca="false">IFERROR(INDEX('Output Utente'!$A$2:$A$492,MATCH(418,'Output Utente'!$R$2:$R$492,0)),"")</f>
        <v/>
      </c>
      <c r="C421" s="26" t="str">
        <f aca="false">IFERROR(INDEX('Output Utente'!$B$2:$B$492,MATCH(418,'Output Utente'!$R$2:$R$492,0)),"")</f>
        <v/>
      </c>
      <c r="D421" s="26" t="str">
        <f aca="false">IFERROR(INDEX('Output Utente'!$C$2:$C$492,MATCH(418,'Output Utente'!$R$2:$R$492,0)),"")</f>
        <v/>
      </c>
      <c r="E421" s="26" t="str">
        <f aca="false">IFERROR(INDEX('Input Giocatori 2026_27'!$D$3:$D$493,MATCH($B421,'Input Giocatori 2026_27'!$A$3:$A$493,0)),"")</f>
        <v/>
      </c>
      <c r="F421" s="27" t="str">
        <f aca="false">IFERROR(INDEX('Output Utente'!$N$2:$N$492,MATCH(418,'Output Utente'!$R$2:$R$492,0)),"")</f>
        <v/>
      </c>
      <c r="G421" s="26" t="str">
        <f aca="false">IFERROR(INDEX('Output Utente'!$O$2:$O$492,MATCH(418,'Output Utente'!$R$2:$R$492,0)),"")</f>
        <v/>
      </c>
      <c r="H421" s="26" t="str">
        <f aca="false">IFERROR(INDEX('Output Utente'!$P$2:$P$492,MATCH(418,'Output Utente'!$R$2:$R$492,0)),"")</f>
        <v/>
      </c>
      <c r="I421" s="27" t="str">
        <f aca="false">IFERROR(INDEX('Output Utente'!$F$2:$F$492,MATCH(418,'Output Utente'!$R$2:$R$492,0)),"")</f>
        <v/>
      </c>
      <c r="J421" s="27" t="str">
        <f aca="false">IFERROR(INDEX('Output Utente'!$G$2:$G$492,MATCH(418,'Output Utente'!$R$2:$R$492,0)),"")</f>
        <v/>
      </c>
      <c r="K421" s="27" t="str">
        <f aca="false">IFERROR(INDEX('Output Utente'!$H$2:$H$492,MATCH(418,'Output Utente'!$R$2:$R$492,0)),"")</f>
        <v/>
      </c>
      <c r="L421" s="26" t="str">
        <f aca="false">IFERROR(INDEX('Output Utente'!$E$2:$E$492,MATCH(418,'Output Utente'!$R$2:$R$492,0)),"")</f>
        <v/>
      </c>
    </row>
    <row r="422" customFormat="false" ht="15" hidden="false" customHeight="true" outlineLevel="0" collapsed="false">
      <c r="A422" s="29" t="n">
        <v>419</v>
      </c>
      <c r="B422" s="26" t="str">
        <f aca="false">IFERROR(INDEX('Output Utente'!$A$2:$A$492,MATCH(419,'Output Utente'!$R$2:$R$492,0)),"")</f>
        <v/>
      </c>
      <c r="C422" s="26" t="str">
        <f aca="false">IFERROR(INDEX('Output Utente'!$B$2:$B$492,MATCH(419,'Output Utente'!$R$2:$R$492,0)),"")</f>
        <v/>
      </c>
      <c r="D422" s="26" t="str">
        <f aca="false">IFERROR(INDEX('Output Utente'!$C$2:$C$492,MATCH(419,'Output Utente'!$R$2:$R$492,0)),"")</f>
        <v/>
      </c>
      <c r="E422" s="26" t="str">
        <f aca="false">IFERROR(INDEX('Input Giocatori 2026_27'!$D$3:$D$493,MATCH($B422,'Input Giocatori 2026_27'!$A$3:$A$493,0)),"")</f>
        <v/>
      </c>
      <c r="F422" s="27" t="str">
        <f aca="false">IFERROR(INDEX('Output Utente'!$N$2:$N$492,MATCH(419,'Output Utente'!$R$2:$R$492,0)),"")</f>
        <v/>
      </c>
      <c r="G422" s="26" t="str">
        <f aca="false">IFERROR(INDEX('Output Utente'!$O$2:$O$492,MATCH(419,'Output Utente'!$R$2:$R$492,0)),"")</f>
        <v/>
      </c>
      <c r="H422" s="26" t="str">
        <f aca="false">IFERROR(INDEX('Output Utente'!$P$2:$P$492,MATCH(419,'Output Utente'!$R$2:$R$492,0)),"")</f>
        <v/>
      </c>
      <c r="I422" s="27" t="str">
        <f aca="false">IFERROR(INDEX('Output Utente'!$F$2:$F$492,MATCH(419,'Output Utente'!$R$2:$R$492,0)),"")</f>
        <v/>
      </c>
      <c r="J422" s="27" t="str">
        <f aca="false">IFERROR(INDEX('Output Utente'!$G$2:$G$492,MATCH(419,'Output Utente'!$R$2:$R$492,0)),"")</f>
        <v/>
      </c>
      <c r="K422" s="27" t="str">
        <f aca="false">IFERROR(INDEX('Output Utente'!$H$2:$H$492,MATCH(419,'Output Utente'!$R$2:$R$492,0)),"")</f>
        <v/>
      </c>
      <c r="L422" s="26" t="str">
        <f aca="false">IFERROR(INDEX('Output Utente'!$E$2:$E$492,MATCH(419,'Output Utente'!$R$2:$R$492,0)),"")</f>
        <v/>
      </c>
    </row>
    <row r="423" customFormat="false" ht="15" hidden="false" customHeight="true" outlineLevel="0" collapsed="false">
      <c r="A423" s="29" t="n">
        <v>420</v>
      </c>
      <c r="B423" s="26" t="str">
        <f aca="false">IFERROR(INDEX('Output Utente'!$A$2:$A$492,MATCH(420,'Output Utente'!$R$2:$R$492,0)),"")</f>
        <v/>
      </c>
      <c r="C423" s="26" t="str">
        <f aca="false">IFERROR(INDEX('Output Utente'!$B$2:$B$492,MATCH(420,'Output Utente'!$R$2:$R$492,0)),"")</f>
        <v/>
      </c>
      <c r="D423" s="26" t="str">
        <f aca="false">IFERROR(INDEX('Output Utente'!$C$2:$C$492,MATCH(420,'Output Utente'!$R$2:$R$492,0)),"")</f>
        <v/>
      </c>
      <c r="E423" s="26" t="str">
        <f aca="false">IFERROR(INDEX('Input Giocatori 2026_27'!$D$3:$D$493,MATCH($B423,'Input Giocatori 2026_27'!$A$3:$A$493,0)),"")</f>
        <v/>
      </c>
      <c r="F423" s="27" t="str">
        <f aca="false">IFERROR(INDEX('Output Utente'!$N$2:$N$492,MATCH(420,'Output Utente'!$R$2:$R$492,0)),"")</f>
        <v/>
      </c>
      <c r="G423" s="26" t="str">
        <f aca="false">IFERROR(INDEX('Output Utente'!$O$2:$O$492,MATCH(420,'Output Utente'!$R$2:$R$492,0)),"")</f>
        <v/>
      </c>
      <c r="H423" s="26" t="str">
        <f aca="false">IFERROR(INDEX('Output Utente'!$P$2:$P$492,MATCH(420,'Output Utente'!$R$2:$R$492,0)),"")</f>
        <v/>
      </c>
      <c r="I423" s="27" t="str">
        <f aca="false">IFERROR(INDEX('Output Utente'!$F$2:$F$492,MATCH(420,'Output Utente'!$R$2:$R$492,0)),"")</f>
        <v/>
      </c>
      <c r="J423" s="27" t="str">
        <f aca="false">IFERROR(INDEX('Output Utente'!$G$2:$G$492,MATCH(420,'Output Utente'!$R$2:$R$492,0)),"")</f>
        <v/>
      </c>
      <c r="K423" s="27" t="str">
        <f aca="false">IFERROR(INDEX('Output Utente'!$H$2:$H$492,MATCH(420,'Output Utente'!$R$2:$R$492,0)),"")</f>
        <v/>
      </c>
      <c r="L423" s="26" t="str">
        <f aca="false">IFERROR(INDEX('Output Utente'!$E$2:$E$492,MATCH(420,'Output Utente'!$R$2:$R$492,0)),"")</f>
        <v/>
      </c>
    </row>
    <row r="424" customFormat="false" ht="15" hidden="false" customHeight="true" outlineLevel="0" collapsed="false">
      <c r="A424" s="29" t="n">
        <v>421</v>
      </c>
      <c r="B424" s="26" t="str">
        <f aca="false">IFERROR(INDEX('Output Utente'!$A$2:$A$492,MATCH(421,'Output Utente'!$R$2:$R$492,0)),"")</f>
        <v/>
      </c>
      <c r="C424" s="26" t="str">
        <f aca="false">IFERROR(INDEX('Output Utente'!$B$2:$B$492,MATCH(421,'Output Utente'!$R$2:$R$492,0)),"")</f>
        <v/>
      </c>
      <c r="D424" s="26" t="str">
        <f aca="false">IFERROR(INDEX('Output Utente'!$C$2:$C$492,MATCH(421,'Output Utente'!$R$2:$R$492,0)),"")</f>
        <v/>
      </c>
      <c r="E424" s="26" t="str">
        <f aca="false">IFERROR(INDEX('Input Giocatori 2026_27'!$D$3:$D$493,MATCH($B424,'Input Giocatori 2026_27'!$A$3:$A$493,0)),"")</f>
        <v/>
      </c>
      <c r="F424" s="27" t="str">
        <f aca="false">IFERROR(INDEX('Output Utente'!$N$2:$N$492,MATCH(421,'Output Utente'!$R$2:$R$492,0)),"")</f>
        <v/>
      </c>
      <c r="G424" s="26" t="str">
        <f aca="false">IFERROR(INDEX('Output Utente'!$O$2:$O$492,MATCH(421,'Output Utente'!$R$2:$R$492,0)),"")</f>
        <v/>
      </c>
      <c r="H424" s="26" t="str">
        <f aca="false">IFERROR(INDEX('Output Utente'!$P$2:$P$492,MATCH(421,'Output Utente'!$R$2:$R$492,0)),"")</f>
        <v/>
      </c>
      <c r="I424" s="27" t="str">
        <f aca="false">IFERROR(INDEX('Output Utente'!$F$2:$F$492,MATCH(421,'Output Utente'!$R$2:$R$492,0)),"")</f>
        <v/>
      </c>
      <c r="J424" s="27" t="str">
        <f aca="false">IFERROR(INDEX('Output Utente'!$G$2:$G$492,MATCH(421,'Output Utente'!$R$2:$R$492,0)),"")</f>
        <v/>
      </c>
      <c r="K424" s="27" t="str">
        <f aca="false">IFERROR(INDEX('Output Utente'!$H$2:$H$492,MATCH(421,'Output Utente'!$R$2:$R$492,0)),"")</f>
        <v/>
      </c>
      <c r="L424" s="26" t="str">
        <f aca="false">IFERROR(INDEX('Output Utente'!$E$2:$E$492,MATCH(421,'Output Utente'!$R$2:$R$492,0)),"")</f>
        <v/>
      </c>
    </row>
    <row r="425" customFormat="false" ht="15" hidden="false" customHeight="true" outlineLevel="0" collapsed="false">
      <c r="A425" s="29" t="n">
        <v>422</v>
      </c>
      <c r="B425" s="26" t="str">
        <f aca="false">IFERROR(INDEX('Output Utente'!$A$2:$A$492,MATCH(422,'Output Utente'!$R$2:$R$492,0)),"")</f>
        <v/>
      </c>
      <c r="C425" s="26" t="str">
        <f aca="false">IFERROR(INDEX('Output Utente'!$B$2:$B$492,MATCH(422,'Output Utente'!$R$2:$R$492,0)),"")</f>
        <v/>
      </c>
      <c r="D425" s="26" t="str">
        <f aca="false">IFERROR(INDEX('Output Utente'!$C$2:$C$492,MATCH(422,'Output Utente'!$R$2:$R$492,0)),"")</f>
        <v/>
      </c>
      <c r="E425" s="26" t="str">
        <f aca="false">IFERROR(INDEX('Input Giocatori 2026_27'!$D$3:$D$493,MATCH($B425,'Input Giocatori 2026_27'!$A$3:$A$493,0)),"")</f>
        <v/>
      </c>
      <c r="F425" s="27" t="str">
        <f aca="false">IFERROR(INDEX('Output Utente'!$N$2:$N$492,MATCH(422,'Output Utente'!$R$2:$R$492,0)),"")</f>
        <v/>
      </c>
      <c r="G425" s="26" t="str">
        <f aca="false">IFERROR(INDEX('Output Utente'!$O$2:$O$492,MATCH(422,'Output Utente'!$R$2:$R$492,0)),"")</f>
        <v/>
      </c>
      <c r="H425" s="26" t="str">
        <f aca="false">IFERROR(INDEX('Output Utente'!$P$2:$P$492,MATCH(422,'Output Utente'!$R$2:$R$492,0)),"")</f>
        <v/>
      </c>
      <c r="I425" s="27" t="str">
        <f aca="false">IFERROR(INDEX('Output Utente'!$F$2:$F$492,MATCH(422,'Output Utente'!$R$2:$R$492,0)),"")</f>
        <v/>
      </c>
      <c r="J425" s="27" t="str">
        <f aca="false">IFERROR(INDEX('Output Utente'!$G$2:$G$492,MATCH(422,'Output Utente'!$R$2:$R$492,0)),"")</f>
        <v/>
      </c>
      <c r="K425" s="27" t="str">
        <f aca="false">IFERROR(INDEX('Output Utente'!$H$2:$H$492,MATCH(422,'Output Utente'!$R$2:$R$492,0)),"")</f>
        <v/>
      </c>
      <c r="L425" s="26" t="str">
        <f aca="false">IFERROR(INDEX('Output Utente'!$E$2:$E$492,MATCH(422,'Output Utente'!$R$2:$R$492,0)),"")</f>
        <v/>
      </c>
    </row>
    <row r="426" customFormat="false" ht="15" hidden="false" customHeight="true" outlineLevel="0" collapsed="false">
      <c r="A426" s="29" t="n">
        <v>423</v>
      </c>
      <c r="B426" s="26" t="str">
        <f aca="false">IFERROR(INDEX('Output Utente'!$A$2:$A$492,MATCH(423,'Output Utente'!$R$2:$R$492,0)),"")</f>
        <v/>
      </c>
      <c r="C426" s="26" t="str">
        <f aca="false">IFERROR(INDEX('Output Utente'!$B$2:$B$492,MATCH(423,'Output Utente'!$R$2:$R$492,0)),"")</f>
        <v/>
      </c>
      <c r="D426" s="26" t="str">
        <f aca="false">IFERROR(INDEX('Output Utente'!$C$2:$C$492,MATCH(423,'Output Utente'!$R$2:$R$492,0)),"")</f>
        <v/>
      </c>
      <c r="E426" s="26" t="str">
        <f aca="false">IFERROR(INDEX('Input Giocatori 2026_27'!$D$3:$D$493,MATCH($B426,'Input Giocatori 2026_27'!$A$3:$A$493,0)),"")</f>
        <v/>
      </c>
      <c r="F426" s="27" t="str">
        <f aca="false">IFERROR(INDEX('Output Utente'!$N$2:$N$492,MATCH(423,'Output Utente'!$R$2:$R$492,0)),"")</f>
        <v/>
      </c>
      <c r="G426" s="26" t="str">
        <f aca="false">IFERROR(INDEX('Output Utente'!$O$2:$O$492,MATCH(423,'Output Utente'!$R$2:$R$492,0)),"")</f>
        <v/>
      </c>
      <c r="H426" s="26" t="str">
        <f aca="false">IFERROR(INDEX('Output Utente'!$P$2:$P$492,MATCH(423,'Output Utente'!$R$2:$R$492,0)),"")</f>
        <v/>
      </c>
      <c r="I426" s="27" t="str">
        <f aca="false">IFERROR(INDEX('Output Utente'!$F$2:$F$492,MATCH(423,'Output Utente'!$R$2:$R$492,0)),"")</f>
        <v/>
      </c>
      <c r="J426" s="27" t="str">
        <f aca="false">IFERROR(INDEX('Output Utente'!$G$2:$G$492,MATCH(423,'Output Utente'!$R$2:$R$492,0)),"")</f>
        <v/>
      </c>
      <c r="K426" s="27" t="str">
        <f aca="false">IFERROR(INDEX('Output Utente'!$H$2:$H$492,MATCH(423,'Output Utente'!$R$2:$R$492,0)),"")</f>
        <v/>
      </c>
      <c r="L426" s="26" t="str">
        <f aca="false">IFERROR(INDEX('Output Utente'!$E$2:$E$492,MATCH(423,'Output Utente'!$R$2:$R$492,0)),"")</f>
        <v/>
      </c>
    </row>
    <row r="427" customFormat="false" ht="15" hidden="false" customHeight="true" outlineLevel="0" collapsed="false">
      <c r="A427" s="29" t="n">
        <v>424</v>
      </c>
      <c r="B427" s="26" t="str">
        <f aca="false">IFERROR(INDEX('Output Utente'!$A$2:$A$492,MATCH(424,'Output Utente'!$R$2:$R$492,0)),"")</f>
        <v/>
      </c>
      <c r="C427" s="26" t="str">
        <f aca="false">IFERROR(INDEX('Output Utente'!$B$2:$B$492,MATCH(424,'Output Utente'!$R$2:$R$492,0)),"")</f>
        <v/>
      </c>
      <c r="D427" s="26" t="str">
        <f aca="false">IFERROR(INDEX('Output Utente'!$C$2:$C$492,MATCH(424,'Output Utente'!$R$2:$R$492,0)),"")</f>
        <v/>
      </c>
      <c r="E427" s="26" t="str">
        <f aca="false">IFERROR(INDEX('Input Giocatori 2026_27'!$D$3:$D$493,MATCH($B427,'Input Giocatori 2026_27'!$A$3:$A$493,0)),"")</f>
        <v/>
      </c>
      <c r="F427" s="27" t="str">
        <f aca="false">IFERROR(INDEX('Output Utente'!$N$2:$N$492,MATCH(424,'Output Utente'!$R$2:$R$492,0)),"")</f>
        <v/>
      </c>
      <c r="G427" s="26" t="str">
        <f aca="false">IFERROR(INDEX('Output Utente'!$O$2:$O$492,MATCH(424,'Output Utente'!$R$2:$R$492,0)),"")</f>
        <v/>
      </c>
      <c r="H427" s="26" t="str">
        <f aca="false">IFERROR(INDEX('Output Utente'!$P$2:$P$492,MATCH(424,'Output Utente'!$R$2:$R$492,0)),"")</f>
        <v/>
      </c>
      <c r="I427" s="27" t="str">
        <f aca="false">IFERROR(INDEX('Output Utente'!$F$2:$F$492,MATCH(424,'Output Utente'!$R$2:$R$492,0)),"")</f>
        <v/>
      </c>
      <c r="J427" s="27" t="str">
        <f aca="false">IFERROR(INDEX('Output Utente'!$G$2:$G$492,MATCH(424,'Output Utente'!$R$2:$R$492,0)),"")</f>
        <v/>
      </c>
      <c r="K427" s="27" t="str">
        <f aca="false">IFERROR(INDEX('Output Utente'!$H$2:$H$492,MATCH(424,'Output Utente'!$R$2:$R$492,0)),"")</f>
        <v/>
      </c>
      <c r="L427" s="26" t="str">
        <f aca="false">IFERROR(INDEX('Output Utente'!$E$2:$E$492,MATCH(424,'Output Utente'!$R$2:$R$492,0)),"")</f>
        <v/>
      </c>
    </row>
    <row r="428" customFormat="false" ht="15" hidden="false" customHeight="true" outlineLevel="0" collapsed="false">
      <c r="A428" s="29" t="n">
        <v>425</v>
      </c>
      <c r="B428" s="26" t="str">
        <f aca="false">IFERROR(INDEX('Output Utente'!$A$2:$A$492,MATCH(425,'Output Utente'!$R$2:$R$492,0)),"")</f>
        <v/>
      </c>
      <c r="C428" s="26" t="str">
        <f aca="false">IFERROR(INDEX('Output Utente'!$B$2:$B$492,MATCH(425,'Output Utente'!$R$2:$R$492,0)),"")</f>
        <v/>
      </c>
      <c r="D428" s="26" t="str">
        <f aca="false">IFERROR(INDEX('Output Utente'!$C$2:$C$492,MATCH(425,'Output Utente'!$R$2:$R$492,0)),"")</f>
        <v/>
      </c>
      <c r="E428" s="26" t="str">
        <f aca="false">IFERROR(INDEX('Input Giocatori 2026_27'!$D$3:$D$493,MATCH($B428,'Input Giocatori 2026_27'!$A$3:$A$493,0)),"")</f>
        <v/>
      </c>
      <c r="F428" s="27" t="str">
        <f aca="false">IFERROR(INDEX('Output Utente'!$N$2:$N$492,MATCH(425,'Output Utente'!$R$2:$R$492,0)),"")</f>
        <v/>
      </c>
      <c r="G428" s="26" t="str">
        <f aca="false">IFERROR(INDEX('Output Utente'!$O$2:$O$492,MATCH(425,'Output Utente'!$R$2:$R$492,0)),"")</f>
        <v/>
      </c>
      <c r="H428" s="26" t="str">
        <f aca="false">IFERROR(INDEX('Output Utente'!$P$2:$P$492,MATCH(425,'Output Utente'!$R$2:$R$492,0)),"")</f>
        <v/>
      </c>
      <c r="I428" s="27" t="str">
        <f aca="false">IFERROR(INDEX('Output Utente'!$F$2:$F$492,MATCH(425,'Output Utente'!$R$2:$R$492,0)),"")</f>
        <v/>
      </c>
      <c r="J428" s="27" t="str">
        <f aca="false">IFERROR(INDEX('Output Utente'!$G$2:$G$492,MATCH(425,'Output Utente'!$R$2:$R$492,0)),"")</f>
        <v/>
      </c>
      <c r="K428" s="27" t="str">
        <f aca="false">IFERROR(INDEX('Output Utente'!$H$2:$H$492,MATCH(425,'Output Utente'!$R$2:$R$492,0)),"")</f>
        <v/>
      </c>
      <c r="L428" s="26" t="str">
        <f aca="false">IFERROR(INDEX('Output Utente'!$E$2:$E$492,MATCH(425,'Output Utente'!$R$2:$R$492,0)),"")</f>
        <v/>
      </c>
    </row>
    <row r="429" customFormat="false" ht="15" hidden="false" customHeight="true" outlineLevel="0" collapsed="false">
      <c r="A429" s="29" t="n">
        <v>426</v>
      </c>
      <c r="B429" s="26" t="str">
        <f aca="false">IFERROR(INDEX('Output Utente'!$A$2:$A$492,MATCH(426,'Output Utente'!$R$2:$R$492,0)),"")</f>
        <v/>
      </c>
      <c r="C429" s="26" t="str">
        <f aca="false">IFERROR(INDEX('Output Utente'!$B$2:$B$492,MATCH(426,'Output Utente'!$R$2:$R$492,0)),"")</f>
        <v/>
      </c>
      <c r="D429" s="26" t="str">
        <f aca="false">IFERROR(INDEX('Output Utente'!$C$2:$C$492,MATCH(426,'Output Utente'!$R$2:$R$492,0)),"")</f>
        <v/>
      </c>
      <c r="E429" s="26" t="str">
        <f aca="false">IFERROR(INDEX('Input Giocatori 2026_27'!$D$3:$D$493,MATCH($B429,'Input Giocatori 2026_27'!$A$3:$A$493,0)),"")</f>
        <v/>
      </c>
      <c r="F429" s="27" t="str">
        <f aca="false">IFERROR(INDEX('Output Utente'!$N$2:$N$492,MATCH(426,'Output Utente'!$R$2:$R$492,0)),"")</f>
        <v/>
      </c>
      <c r="G429" s="26" t="str">
        <f aca="false">IFERROR(INDEX('Output Utente'!$O$2:$O$492,MATCH(426,'Output Utente'!$R$2:$R$492,0)),"")</f>
        <v/>
      </c>
      <c r="H429" s="26" t="str">
        <f aca="false">IFERROR(INDEX('Output Utente'!$P$2:$P$492,MATCH(426,'Output Utente'!$R$2:$R$492,0)),"")</f>
        <v/>
      </c>
      <c r="I429" s="27" t="str">
        <f aca="false">IFERROR(INDEX('Output Utente'!$F$2:$F$492,MATCH(426,'Output Utente'!$R$2:$R$492,0)),"")</f>
        <v/>
      </c>
      <c r="J429" s="27" t="str">
        <f aca="false">IFERROR(INDEX('Output Utente'!$G$2:$G$492,MATCH(426,'Output Utente'!$R$2:$R$492,0)),"")</f>
        <v/>
      </c>
      <c r="K429" s="27" t="str">
        <f aca="false">IFERROR(INDEX('Output Utente'!$H$2:$H$492,MATCH(426,'Output Utente'!$R$2:$R$492,0)),"")</f>
        <v/>
      </c>
      <c r="L429" s="26" t="str">
        <f aca="false">IFERROR(INDEX('Output Utente'!$E$2:$E$492,MATCH(426,'Output Utente'!$R$2:$R$492,0)),"")</f>
        <v/>
      </c>
    </row>
    <row r="430" customFormat="false" ht="15" hidden="false" customHeight="true" outlineLevel="0" collapsed="false">
      <c r="A430" s="29" t="n">
        <v>427</v>
      </c>
      <c r="B430" s="26" t="str">
        <f aca="false">IFERROR(INDEX('Output Utente'!$A$2:$A$492,MATCH(427,'Output Utente'!$R$2:$R$492,0)),"")</f>
        <v/>
      </c>
      <c r="C430" s="26" t="str">
        <f aca="false">IFERROR(INDEX('Output Utente'!$B$2:$B$492,MATCH(427,'Output Utente'!$R$2:$R$492,0)),"")</f>
        <v/>
      </c>
      <c r="D430" s="26" t="str">
        <f aca="false">IFERROR(INDEX('Output Utente'!$C$2:$C$492,MATCH(427,'Output Utente'!$R$2:$R$492,0)),"")</f>
        <v/>
      </c>
      <c r="E430" s="26" t="str">
        <f aca="false">IFERROR(INDEX('Input Giocatori 2026_27'!$D$3:$D$493,MATCH($B430,'Input Giocatori 2026_27'!$A$3:$A$493,0)),"")</f>
        <v/>
      </c>
      <c r="F430" s="27" t="str">
        <f aca="false">IFERROR(INDEX('Output Utente'!$N$2:$N$492,MATCH(427,'Output Utente'!$R$2:$R$492,0)),"")</f>
        <v/>
      </c>
      <c r="G430" s="26" t="str">
        <f aca="false">IFERROR(INDEX('Output Utente'!$O$2:$O$492,MATCH(427,'Output Utente'!$R$2:$R$492,0)),"")</f>
        <v/>
      </c>
      <c r="H430" s="26" t="str">
        <f aca="false">IFERROR(INDEX('Output Utente'!$P$2:$P$492,MATCH(427,'Output Utente'!$R$2:$R$492,0)),"")</f>
        <v/>
      </c>
      <c r="I430" s="27" t="str">
        <f aca="false">IFERROR(INDEX('Output Utente'!$F$2:$F$492,MATCH(427,'Output Utente'!$R$2:$R$492,0)),"")</f>
        <v/>
      </c>
      <c r="J430" s="27" t="str">
        <f aca="false">IFERROR(INDEX('Output Utente'!$G$2:$G$492,MATCH(427,'Output Utente'!$R$2:$R$492,0)),"")</f>
        <v/>
      </c>
      <c r="K430" s="27" t="str">
        <f aca="false">IFERROR(INDEX('Output Utente'!$H$2:$H$492,MATCH(427,'Output Utente'!$R$2:$R$492,0)),"")</f>
        <v/>
      </c>
      <c r="L430" s="26" t="str">
        <f aca="false">IFERROR(INDEX('Output Utente'!$E$2:$E$492,MATCH(427,'Output Utente'!$R$2:$R$492,0)),"")</f>
        <v/>
      </c>
    </row>
    <row r="431" customFormat="false" ht="15" hidden="false" customHeight="true" outlineLevel="0" collapsed="false">
      <c r="A431" s="29" t="n">
        <v>428</v>
      </c>
      <c r="B431" s="26" t="str">
        <f aca="false">IFERROR(INDEX('Output Utente'!$A$2:$A$492,MATCH(428,'Output Utente'!$R$2:$R$492,0)),"")</f>
        <v/>
      </c>
      <c r="C431" s="26" t="str">
        <f aca="false">IFERROR(INDEX('Output Utente'!$B$2:$B$492,MATCH(428,'Output Utente'!$R$2:$R$492,0)),"")</f>
        <v/>
      </c>
      <c r="D431" s="26" t="str">
        <f aca="false">IFERROR(INDEX('Output Utente'!$C$2:$C$492,MATCH(428,'Output Utente'!$R$2:$R$492,0)),"")</f>
        <v/>
      </c>
      <c r="E431" s="26" t="str">
        <f aca="false">IFERROR(INDEX('Input Giocatori 2026_27'!$D$3:$D$493,MATCH($B431,'Input Giocatori 2026_27'!$A$3:$A$493,0)),"")</f>
        <v/>
      </c>
      <c r="F431" s="27" t="str">
        <f aca="false">IFERROR(INDEX('Output Utente'!$N$2:$N$492,MATCH(428,'Output Utente'!$R$2:$R$492,0)),"")</f>
        <v/>
      </c>
      <c r="G431" s="26" t="str">
        <f aca="false">IFERROR(INDEX('Output Utente'!$O$2:$O$492,MATCH(428,'Output Utente'!$R$2:$R$492,0)),"")</f>
        <v/>
      </c>
      <c r="H431" s="26" t="str">
        <f aca="false">IFERROR(INDEX('Output Utente'!$P$2:$P$492,MATCH(428,'Output Utente'!$R$2:$R$492,0)),"")</f>
        <v/>
      </c>
      <c r="I431" s="27" t="str">
        <f aca="false">IFERROR(INDEX('Output Utente'!$F$2:$F$492,MATCH(428,'Output Utente'!$R$2:$R$492,0)),"")</f>
        <v/>
      </c>
      <c r="J431" s="27" t="str">
        <f aca="false">IFERROR(INDEX('Output Utente'!$G$2:$G$492,MATCH(428,'Output Utente'!$R$2:$R$492,0)),"")</f>
        <v/>
      </c>
      <c r="K431" s="27" t="str">
        <f aca="false">IFERROR(INDEX('Output Utente'!$H$2:$H$492,MATCH(428,'Output Utente'!$R$2:$R$492,0)),"")</f>
        <v/>
      </c>
      <c r="L431" s="26" t="str">
        <f aca="false">IFERROR(INDEX('Output Utente'!$E$2:$E$492,MATCH(428,'Output Utente'!$R$2:$R$492,0)),"")</f>
        <v/>
      </c>
    </row>
    <row r="432" customFormat="false" ht="15" hidden="false" customHeight="true" outlineLevel="0" collapsed="false">
      <c r="A432" s="29" t="n">
        <v>429</v>
      </c>
      <c r="B432" s="26" t="str">
        <f aca="false">IFERROR(INDEX('Output Utente'!$A$2:$A$492,MATCH(429,'Output Utente'!$R$2:$R$492,0)),"")</f>
        <v/>
      </c>
      <c r="C432" s="26" t="str">
        <f aca="false">IFERROR(INDEX('Output Utente'!$B$2:$B$492,MATCH(429,'Output Utente'!$R$2:$R$492,0)),"")</f>
        <v/>
      </c>
      <c r="D432" s="26" t="str">
        <f aca="false">IFERROR(INDEX('Output Utente'!$C$2:$C$492,MATCH(429,'Output Utente'!$R$2:$R$492,0)),"")</f>
        <v/>
      </c>
      <c r="E432" s="26" t="str">
        <f aca="false">IFERROR(INDEX('Input Giocatori 2026_27'!$D$3:$D$493,MATCH($B432,'Input Giocatori 2026_27'!$A$3:$A$493,0)),"")</f>
        <v/>
      </c>
      <c r="F432" s="27" t="str">
        <f aca="false">IFERROR(INDEX('Output Utente'!$N$2:$N$492,MATCH(429,'Output Utente'!$R$2:$R$492,0)),"")</f>
        <v/>
      </c>
      <c r="G432" s="26" t="str">
        <f aca="false">IFERROR(INDEX('Output Utente'!$O$2:$O$492,MATCH(429,'Output Utente'!$R$2:$R$492,0)),"")</f>
        <v/>
      </c>
      <c r="H432" s="26" t="str">
        <f aca="false">IFERROR(INDEX('Output Utente'!$P$2:$P$492,MATCH(429,'Output Utente'!$R$2:$R$492,0)),"")</f>
        <v/>
      </c>
      <c r="I432" s="27" t="str">
        <f aca="false">IFERROR(INDEX('Output Utente'!$F$2:$F$492,MATCH(429,'Output Utente'!$R$2:$R$492,0)),"")</f>
        <v/>
      </c>
      <c r="J432" s="27" t="str">
        <f aca="false">IFERROR(INDEX('Output Utente'!$G$2:$G$492,MATCH(429,'Output Utente'!$R$2:$R$492,0)),"")</f>
        <v/>
      </c>
      <c r="K432" s="27" t="str">
        <f aca="false">IFERROR(INDEX('Output Utente'!$H$2:$H$492,MATCH(429,'Output Utente'!$R$2:$R$492,0)),"")</f>
        <v/>
      </c>
      <c r="L432" s="26" t="str">
        <f aca="false">IFERROR(INDEX('Output Utente'!$E$2:$E$492,MATCH(429,'Output Utente'!$R$2:$R$492,0)),"")</f>
        <v/>
      </c>
    </row>
    <row r="433" customFormat="false" ht="15" hidden="false" customHeight="true" outlineLevel="0" collapsed="false">
      <c r="A433" s="29" t="n">
        <v>430</v>
      </c>
      <c r="B433" s="26" t="str">
        <f aca="false">IFERROR(INDEX('Output Utente'!$A$2:$A$492,MATCH(430,'Output Utente'!$R$2:$R$492,0)),"")</f>
        <v/>
      </c>
      <c r="C433" s="26" t="str">
        <f aca="false">IFERROR(INDEX('Output Utente'!$B$2:$B$492,MATCH(430,'Output Utente'!$R$2:$R$492,0)),"")</f>
        <v/>
      </c>
      <c r="D433" s="26" t="str">
        <f aca="false">IFERROR(INDEX('Output Utente'!$C$2:$C$492,MATCH(430,'Output Utente'!$R$2:$R$492,0)),"")</f>
        <v/>
      </c>
      <c r="E433" s="26" t="str">
        <f aca="false">IFERROR(INDEX('Input Giocatori 2026_27'!$D$3:$D$493,MATCH($B433,'Input Giocatori 2026_27'!$A$3:$A$493,0)),"")</f>
        <v/>
      </c>
      <c r="F433" s="27" t="str">
        <f aca="false">IFERROR(INDEX('Output Utente'!$N$2:$N$492,MATCH(430,'Output Utente'!$R$2:$R$492,0)),"")</f>
        <v/>
      </c>
      <c r="G433" s="26" t="str">
        <f aca="false">IFERROR(INDEX('Output Utente'!$O$2:$O$492,MATCH(430,'Output Utente'!$R$2:$R$492,0)),"")</f>
        <v/>
      </c>
      <c r="H433" s="26" t="str">
        <f aca="false">IFERROR(INDEX('Output Utente'!$P$2:$P$492,MATCH(430,'Output Utente'!$R$2:$R$492,0)),"")</f>
        <v/>
      </c>
      <c r="I433" s="27" t="str">
        <f aca="false">IFERROR(INDEX('Output Utente'!$F$2:$F$492,MATCH(430,'Output Utente'!$R$2:$R$492,0)),"")</f>
        <v/>
      </c>
      <c r="J433" s="27" t="str">
        <f aca="false">IFERROR(INDEX('Output Utente'!$G$2:$G$492,MATCH(430,'Output Utente'!$R$2:$R$492,0)),"")</f>
        <v/>
      </c>
      <c r="K433" s="27" t="str">
        <f aca="false">IFERROR(INDEX('Output Utente'!$H$2:$H$492,MATCH(430,'Output Utente'!$R$2:$R$492,0)),"")</f>
        <v/>
      </c>
      <c r="L433" s="26" t="str">
        <f aca="false">IFERROR(INDEX('Output Utente'!$E$2:$E$492,MATCH(430,'Output Utente'!$R$2:$R$492,0)),"")</f>
        <v/>
      </c>
    </row>
    <row r="434" customFormat="false" ht="15" hidden="false" customHeight="true" outlineLevel="0" collapsed="false">
      <c r="A434" s="29" t="n">
        <v>431</v>
      </c>
      <c r="B434" s="26" t="str">
        <f aca="false">IFERROR(INDEX('Output Utente'!$A$2:$A$492,MATCH(431,'Output Utente'!$R$2:$R$492,0)),"")</f>
        <v/>
      </c>
      <c r="C434" s="26" t="str">
        <f aca="false">IFERROR(INDEX('Output Utente'!$B$2:$B$492,MATCH(431,'Output Utente'!$R$2:$R$492,0)),"")</f>
        <v/>
      </c>
      <c r="D434" s="26" t="str">
        <f aca="false">IFERROR(INDEX('Output Utente'!$C$2:$C$492,MATCH(431,'Output Utente'!$R$2:$R$492,0)),"")</f>
        <v/>
      </c>
      <c r="E434" s="26" t="str">
        <f aca="false">IFERROR(INDEX('Input Giocatori 2026_27'!$D$3:$D$493,MATCH($B434,'Input Giocatori 2026_27'!$A$3:$A$493,0)),"")</f>
        <v/>
      </c>
      <c r="F434" s="27" t="str">
        <f aca="false">IFERROR(INDEX('Output Utente'!$N$2:$N$492,MATCH(431,'Output Utente'!$R$2:$R$492,0)),"")</f>
        <v/>
      </c>
      <c r="G434" s="26" t="str">
        <f aca="false">IFERROR(INDEX('Output Utente'!$O$2:$O$492,MATCH(431,'Output Utente'!$R$2:$R$492,0)),"")</f>
        <v/>
      </c>
      <c r="H434" s="26" t="str">
        <f aca="false">IFERROR(INDEX('Output Utente'!$P$2:$P$492,MATCH(431,'Output Utente'!$R$2:$R$492,0)),"")</f>
        <v/>
      </c>
      <c r="I434" s="27" t="str">
        <f aca="false">IFERROR(INDEX('Output Utente'!$F$2:$F$492,MATCH(431,'Output Utente'!$R$2:$R$492,0)),"")</f>
        <v/>
      </c>
      <c r="J434" s="27" t="str">
        <f aca="false">IFERROR(INDEX('Output Utente'!$G$2:$G$492,MATCH(431,'Output Utente'!$R$2:$R$492,0)),"")</f>
        <v/>
      </c>
      <c r="K434" s="27" t="str">
        <f aca="false">IFERROR(INDEX('Output Utente'!$H$2:$H$492,MATCH(431,'Output Utente'!$R$2:$R$492,0)),"")</f>
        <v/>
      </c>
      <c r="L434" s="26" t="str">
        <f aca="false">IFERROR(INDEX('Output Utente'!$E$2:$E$492,MATCH(431,'Output Utente'!$R$2:$R$492,0)),"")</f>
        <v/>
      </c>
    </row>
    <row r="435" customFormat="false" ht="15" hidden="false" customHeight="true" outlineLevel="0" collapsed="false">
      <c r="A435" s="29" t="n">
        <v>432</v>
      </c>
      <c r="B435" s="26" t="str">
        <f aca="false">IFERROR(INDEX('Output Utente'!$A$2:$A$492,MATCH(432,'Output Utente'!$R$2:$R$492,0)),"")</f>
        <v/>
      </c>
      <c r="C435" s="26" t="str">
        <f aca="false">IFERROR(INDEX('Output Utente'!$B$2:$B$492,MATCH(432,'Output Utente'!$R$2:$R$492,0)),"")</f>
        <v/>
      </c>
      <c r="D435" s="26" t="str">
        <f aca="false">IFERROR(INDEX('Output Utente'!$C$2:$C$492,MATCH(432,'Output Utente'!$R$2:$R$492,0)),"")</f>
        <v/>
      </c>
      <c r="E435" s="26" t="str">
        <f aca="false">IFERROR(INDEX('Input Giocatori 2026_27'!$D$3:$D$493,MATCH($B435,'Input Giocatori 2026_27'!$A$3:$A$493,0)),"")</f>
        <v/>
      </c>
      <c r="F435" s="27" t="str">
        <f aca="false">IFERROR(INDEX('Output Utente'!$N$2:$N$492,MATCH(432,'Output Utente'!$R$2:$R$492,0)),"")</f>
        <v/>
      </c>
      <c r="G435" s="26" t="str">
        <f aca="false">IFERROR(INDEX('Output Utente'!$O$2:$O$492,MATCH(432,'Output Utente'!$R$2:$R$492,0)),"")</f>
        <v/>
      </c>
      <c r="H435" s="26" t="str">
        <f aca="false">IFERROR(INDEX('Output Utente'!$P$2:$P$492,MATCH(432,'Output Utente'!$R$2:$R$492,0)),"")</f>
        <v/>
      </c>
      <c r="I435" s="27" t="str">
        <f aca="false">IFERROR(INDEX('Output Utente'!$F$2:$F$492,MATCH(432,'Output Utente'!$R$2:$R$492,0)),"")</f>
        <v/>
      </c>
      <c r="J435" s="27" t="str">
        <f aca="false">IFERROR(INDEX('Output Utente'!$G$2:$G$492,MATCH(432,'Output Utente'!$R$2:$R$492,0)),"")</f>
        <v/>
      </c>
      <c r="K435" s="27" t="str">
        <f aca="false">IFERROR(INDEX('Output Utente'!$H$2:$H$492,MATCH(432,'Output Utente'!$R$2:$R$492,0)),"")</f>
        <v/>
      </c>
      <c r="L435" s="26" t="str">
        <f aca="false">IFERROR(INDEX('Output Utente'!$E$2:$E$492,MATCH(432,'Output Utente'!$R$2:$R$492,0)),"")</f>
        <v/>
      </c>
    </row>
    <row r="436" customFormat="false" ht="15" hidden="false" customHeight="true" outlineLevel="0" collapsed="false">
      <c r="A436" s="29" t="n">
        <v>433</v>
      </c>
      <c r="B436" s="26" t="str">
        <f aca="false">IFERROR(INDEX('Output Utente'!$A$2:$A$492,MATCH(433,'Output Utente'!$R$2:$R$492,0)),"")</f>
        <v/>
      </c>
      <c r="C436" s="26" t="str">
        <f aca="false">IFERROR(INDEX('Output Utente'!$B$2:$B$492,MATCH(433,'Output Utente'!$R$2:$R$492,0)),"")</f>
        <v/>
      </c>
      <c r="D436" s="26" t="str">
        <f aca="false">IFERROR(INDEX('Output Utente'!$C$2:$C$492,MATCH(433,'Output Utente'!$R$2:$R$492,0)),"")</f>
        <v/>
      </c>
      <c r="E436" s="26" t="str">
        <f aca="false">IFERROR(INDEX('Input Giocatori 2026_27'!$D$3:$D$493,MATCH($B436,'Input Giocatori 2026_27'!$A$3:$A$493,0)),"")</f>
        <v/>
      </c>
      <c r="F436" s="27" t="str">
        <f aca="false">IFERROR(INDEX('Output Utente'!$N$2:$N$492,MATCH(433,'Output Utente'!$R$2:$R$492,0)),"")</f>
        <v/>
      </c>
      <c r="G436" s="26" t="str">
        <f aca="false">IFERROR(INDEX('Output Utente'!$O$2:$O$492,MATCH(433,'Output Utente'!$R$2:$R$492,0)),"")</f>
        <v/>
      </c>
      <c r="H436" s="26" t="str">
        <f aca="false">IFERROR(INDEX('Output Utente'!$P$2:$P$492,MATCH(433,'Output Utente'!$R$2:$R$492,0)),"")</f>
        <v/>
      </c>
      <c r="I436" s="27" t="str">
        <f aca="false">IFERROR(INDEX('Output Utente'!$F$2:$F$492,MATCH(433,'Output Utente'!$R$2:$R$492,0)),"")</f>
        <v/>
      </c>
      <c r="J436" s="27" t="str">
        <f aca="false">IFERROR(INDEX('Output Utente'!$G$2:$G$492,MATCH(433,'Output Utente'!$R$2:$R$492,0)),"")</f>
        <v/>
      </c>
      <c r="K436" s="27" t="str">
        <f aca="false">IFERROR(INDEX('Output Utente'!$H$2:$H$492,MATCH(433,'Output Utente'!$R$2:$R$492,0)),"")</f>
        <v/>
      </c>
      <c r="L436" s="26" t="str">
        <f aca="false">IFERROR(INDEX('Output Utente'!$E$2:$E$492,MATCH(433,'Output Utente'!$R$2:$R$492,0)),"")</f>
        <v/>
      </c>
    </row>
    <row r="437" customFormat="false" ht="15" hidden="false" customHeight="true" outlineLevel="0" collapsed="false">
      <c r="A437" s="29" t="n">
        <v>434</v>
      </c>
      <c r="B437" s="26" t="str">
        <f aca="false">IFERROR(INDEX('Output Utente'!$A$2:$A$492,MATCH(434,'Output Utente'!$R$2:$R$492,0)),"")</f>
        <v/>
      </c>
      <c r="C437" s="26" t="str">
        <f aca="false">IFERROR(INDEX('Output Utente'!$B$2:$B$492,MATCH(434,'Output Utente'!$R$2:$R$492,0)),"")</f>
        <v/>
      </c>
      <c r="D437" s="26" t="str">
        <f aca="false">IFERROR(INDEX('Output Utente'!$C$2:$C$492,MATCH(434,'Output Utente'!$R$2:$R$492,0)),"")</f>
        <v/>
      </c>
      <c r="E437" s="26" t="str">
        <f aca="false">IFERROR(INDEX('Input Giocatori 2026_27'!$D$3:$D$493,MATCH($B437,'Input Giocatori 2026_27'!$A$3:$A$493,0)),"")</f>
        <v/>
      </c>
      <c r="F437" s="27" t="str">
        <f aca="false">IFERROR(INDEX('Output Utente'!$N$2:$N$492,MATCH(434,'Output Utente'!$R$2:$R$492,0)),"")</f>
        <v/>
      </c>
      <c r="G437" s="26" t="str">
        <f aca="false">IFERROR(INDEX('Output Utente'!$O$2:$O$492,MATCH(434,'Output Utente'!$R$2:$R$492,0)),"")</f>
        <v/>
      </c>
      <c r="H437" s="26" t="str">
        <f aca="false">IFERROR(INDEX('Output Utente'!$P$2:$P$492,MATCH(434,'Output Utente'!$R$2:$R$492,0)),"")</f>
        <v/>
      </c>
      <c r="I437" s="27" t="str">
        <f aca="false">IFERROR(INDEX('Output Utente'!$F$2:$F$492,MATCH(434,'Output Utente'!$R$2:$R$492,0)),"")</f>
        <v/>
      </c>
      <c r="J437" s="27" t="str">
        <f aca="false">IFERROR(INDEX('Output Utente'!$G$2:$G$492,MATCH(434,'Output Utente'!$R$2:$R$492,0)),"")</f>
        <v/>
      </c>
      <c r="K437" s="27" t="str">
        <f aca="false">IFERROR(INDEX('Output Utente'!$H$2:$H$492,MATCH(434,'Output Utente'!$R$2:$R$492,0)),"")</f>
        <v/>
      </c>
      <c r="L437" s="26" t="str">
        <f aca="false">IFERROR(INDEX('Output Utente'!$E$2:$E$492,MATCH(434,'Output Utente'!$R$2:$R$492,0)),"")</f>
        <v/>
      </c>
    </row>
    <row r="438" customFormat="false" ht="15" hidden="false" customHeight="true" outlineLevel="0" collapsed="false">
      <c r="A438" s="29" t="n">
        <v>435</v>
      </c>
      <c r="B438" s="26" t="str">
        <f aca="false">IFERROR(INDEX('Output Utente'!$A$2:$A$492,MATCH(435,'Output Utente'!$R$2:$R$492,0)),"")</f>
        <v/>
      </c>
      <c r="C438" s="26" t="str">
        <f aca="false">IFERROR(INDEX('Output Utente'!$B$2:$B$492,MATCH(435,'Output Utente'!$R$2:$R$492,0)),"")</f>
        <v/>
      </c>
      <c r="D438" s="26" t="str">
        <f aca="false">IFERROR(INDEX('Output Utente'!$C$2:$C$492,MATCH(435,'Output Utente'!$R$2:$R$492,0)),"")</f>
        <v/>
      </c>
      <c r="E438" s="26" t="str">
        <f aca="false">IFERROR(INDEX('Input Giocatori 2026_27'!$D$3:$D$493,MATCH($B438,'Input Giocatori 2026_27'!$A$3:$A$493,0)),"")</f>
        <v/>
      </c>
      <c r="F438" s="27" t="str">
        <f aca="false">IFERROR(INDEX('Output Utente'!$N$2:$N$492,MATCH(435,'Output Utente'!$R$2:$R$492,0)),"")</f>
        <v/>
      </c>
      <c r="G438" s="26" t="str">
        <f aca="false">IFERROR(INDEX('Output Utente'!$O$2:$O$492,MATCH(435,'Output Utente'!$R$2:$R$492,0)),"")</f>
        <v/>
      </c>
      <c r="H438" s="26" t="str">
        <f aca="false">IFERROR(INDEX('Output Utente'!$P$2:$P$492,MATCH(435,'Output Utente'!$R$2:$R$492,0)),"")</f>
        <v/>
      </c>
      <c r="I438" s="27" t="str">
        <f aca="false">IFERROR(INDEX('Output Utente'!$F$2:$F$492,MATCH(435,'Output Utente'!$R$2:$R$492,0)),"")</f>
        <v/>
      </c>
      <c r="J438" s="27" t="str">
        <f aca="false">IFERROR(INDEX('Output Utente'!$G$2:$G$492,MATCH(435,'Output Utente'!$R$2:$R$492,0)),"")</f>
        <v/>
      </c>
      <c r="K438" s="27" t="str">
        <f aca="false">IFERROR(INDEX('Output Utente'!$H$2:$H$492,MATCH(435,'Output Utente'!$R$2:$R$492,0)),"")</f>
        <v/>
      </c>
      <c r="L438" s="26" t="str">
        <f aca="false">IFERROR(INDEX('Output Utente'!$E$2:$E$492,MATCH(435,'Output Utente'!$R$2:$R$492,0)),"")</f>
        <v/>
      </c>
    </row>
    <row r="439" customFormat="false" ht="15" hidden="false" customHeight="true" outlineLevel="0" collapsed="false">
      <c r="A439" s="29" t="n">
        <v>436</v>
      </c>
      <c r="B439" s="26" t="str">
        <f aca="false">IFERROR(INDEX('Output Utente'!$A$2:$A$492,MATCH(436,'Output Utente'!$R$2:$R$492,0)),"")</f>
        <v/>
      </c>
      <c r="C439" s="26" t="str">
        <f aca="false">IFERROR(INDEX('Output Utente'!$B$2:$B$492,MATCH(436,'Output Utente'!$R$2:$R$492,0)),"")</f>
        <v/>
      </c>
      <c r="D439" s="26" t="str">
        <f aca="false">IFERROR(INDEX('Output Utente'!$C$2:$C$492,MATCH(436,'Output Utente'!$R$2:$R$492,0)),"")</f>
        <v/>
      </c>
      <c r="E439" s="26" t="str">
        <f aca="false">IFERROR(INDEX('Input Giocatori 2026_27'!$D$3:$D$493,MATCH($B439,'Input Giocatori 2026_27'!$A$3:$A$493,0)),"")</f>
        <v/>
      </c>
      <c r="F439" s="27" t="str">
        <f aca="false">IFERROR(INDEX('Output Utente'!$N$2:$N$492,MATCH(436,'Output Utente'!$R$2:$R$492,0)),"")</f>
        <v/>
      </c>
      <c r="G439" s="26" t="str">
        <f aca="false">IFERROR(INDEX('Output Utente'!$O$2:$O$492,MATCH(436,'Output Utente'!$R$2:$R$492,0)),"")</f>
        <v/>
      </c>
      <c r="H439" s="26" t="str">
        <f aca="false">IFERROR(INDEX('Output Utente'!$P$2:$P$492,MATCH(436,'Output Utente'!$R$2:$R$492,0)),"")</f>
        <v/>
      </c>
      <c r="I439" s="27" t="str">
        <f aca="false">IFERROR(INDEX('Output Utente'!$F$2:$F$492,MATCH(436,'Output Utente'!$R$2:$R$492,0)),"")</f>
        <v/>
      </c>
      <c r="J439" s="27" t="str">
        <f aca="false">IFERROR(INDEX('Output Utente'!$G$2:$G$492,MATCH(436,'Output Utente'!$R$2:$R$492,0)),"")</f>
        <v/>
      </c>
      <c r="K439" s="27" t="str">
        <f aca="false">IFERROR(INDEX('Output Utente'!$H$2:$H$492,MATCH(436,'Output Utente'!$R$2:$R$492,0)),"")</f>
        <v/>
      </c>
      <c r="L439" s="26" t="str">
        <f aca="false">IFERROR(INDEX('Output Utente'!$E$2:$E$492,MATCH(436,'Output Utente'!$R$2:$R$492,0)),"")</f>
        <v/>
      </c>
    </row>
    <row r="440" customFormat="false" ht="15" hidden="false" customHeight="true" outlineLevel="0" collapsed="false">
      <c r="A440" s="29" t="n">
        <v>437</v>
      </c>
      <c r="B440" s="26" t="str">
        <f aca="false">IFERROR(INDEX('Output Utente'!$A$2:$A$492,MATCH(437,'Output Utente'!$R$2:$R$492,0)),"")</f>
        <v/>
      </c>
      <c r="C440" s="26" t="str">
        <f aca="false">IFERROR(INDEX('Output Utente'!$B$2:$B$492,MATCH(437,'Output Utente'!$R$2:$R$492,0)),"")</f>
        <v/>
      </c>
      <c r="D440" s="26" t="str">
        <f aca="false">IFERROR(INDEX('Output Utente'!$C$2:$C$492,MATCH(437,'Output Utente'!$R$2:$R$492,0)),"")</f>
        <v/>
      </c>
      <c r="E440" s="26" t="str">
        <f aca="false">IFERROR(INDEX('Input Giocatori 2026_27'!$D$3:$D$493,MATCH($B440,'Input Giocatori 2026_27'!$A$3:$A$493,0)),"")</f>
        <v/>
      </c>
      <c r="F440" s="27" t="str">
        <f aca="false">IFERROR(INDEX('Output Utente'!$N$2:$N$492,MATCH(437,'Output Utente'!$R$2:$R$492,0)),"")</f>
        <v/>
      </c>
      <c r="G440" s="26" t="str">
        <f aca="false">IFERROR(INDEX('Output Utente'!$O$2:$O$492,MATCH(437,'Output Utente'!$R$2:$R$492,0)),"")</f>
        <v/>
      </c>
      <c r="H440" s="26" t="str">
        <f aca="false">IFERROR(INDEX('Output Utente'!$P$2:$P$492,MATCH(437,'Output Utente'!$R$2:$R$492,0)),"")</f>
        <v/>
      </c>
      <c r="I440" s="27" t="str">
        <f aca="false">IFERROR(INDEX('Output Utente'!$F$2:$F$492,MATCH(437,'Output Utente'!$R$2:$R$492,0)),"")</f>
        <v/>
      </c>
      <c r="J440" s="27" t="str">
        <f aca="false">IFERROR(INDEX('Output Utente'!$G$2:$G$492,MATCH(437,'Output Utente'!$R$2:$R$492,0)),"")</f>
        <v/>
      </c>
      <c r="K440" s="27" t="str">
        <f aca="false">IFERROR(INDEX('Output Utente'!$H$2:$H$492,MATCH(437,'Output Utente'!$R$2:$R$492,0)),"")</f>
        <v/>
      </c>
      <c r="L440" s="26" t="str">
        <f aca="false">IFERROR(INDEX('Output Utente'!$E$2:$E$492,MATCH(437,'Output Utente'!$R$2:$R$492,0)),"")</f>
        <v/>
      </c>
    </row>
    <row r="441" customFormat="false" ht="15" hidden="false" customHeight="true" outlineLevel="0" collapsed="false">
      <c r="A441" s="29" t="n">
        <v>438</v>
      </c>
      <c r="B441" s="26" t="str">
        <f aca="false">IFERROR(INDEX('Output Utente'!$A$2:$A$492,MATCH(438,'Output Utente'!$R$2:$R$492,0)),"")</f>
        <v/>
      </c>
      <c r="C441" s="26" t="str">
        <f aca="false">IFERROR(INDEX('Output Utente'!$B$2:$B$492,MATCH(438,'Output Utente'!$R$2:$R$492,0)),"")</f>
        <v/>
      </c>
      <c r="D441" s="26" t="str">
        <f aca="false">IFERROR(INDEX('Output Utente'!$C$2:$C$492,MATCH(438,'Output Utente'!$R$2:$R$492,0)),"")</f>
        <v/>
      </c>
      <c r="E441" s="26" t="str">
        <f aca="false">IFERROR(INDEX('Input Giocatori 2026_27'!$D$3:$D$493,MATCH($B441,'Input Giocatori 2026_27'!$A$3:$A$493,0)),"")</f>
        <v/>
      </c>
      <c r="F441" s="27" t="str">
        <f aca="false">IFERROR(INDEX('Output Utente'!$N$2:$N$492,MATCH(438,'Output Utente'!$R$2:$R$492,0)),"")</f>
        <v/>
      </c>
      <c r="G441" s="26" t="str">
        <f aca="false">IFERROR(INDEX('Output Utente'!$O$2:$O$492,MATCH(438,'Output Utente'!$R$2:$R$492,0)),"")</f>
        <v/>
      </c>
      <c r="H441" s="26" t="str">
        <f aca="false">IFERROR(INDEX('Output Utente'!$P$2:$P$492,MATCH(438,'Output Utente'!$R$2:$R$492,0)),"")</f>
        <v/>
      </c>
      <c r="I441" s="27" t="str">
        <f aca="false">IFERROR(INDEX('Output Utente'!$F$2:$F$492,MATCH(438,'Output Utente'!$R$2:$R$492,0)),"")</f>
        <v/>
      </c>
      <c r="J441" s="27" t="str">
        <f aca="false">IFERROR(INDEX('Output Utente'!$G$2:$G$492,MATCH(438,'Output Utente'!$R$2:$R$492,0)),"")</f>
        <v/>
      </c>
      <c r="K441" s="27" t="str">
        <f aca="false">IFERROR(INDEX('Output Utente'!$H$2:$H$492,MATCH(438,'Output Utente'!$R$2:$R$492,0)),"")</f>
        <v/>
      </c>
      <c r="L441" s="26" t="str">
        <f aca="false">IFERROR(INDEX('Output Utente'!$E$2:$E$492,MATCH(438,'Output Utente'!$R$2:$R$492,0)),"")</f>
        <v/>
      </c>
    </row>
    <row r="442" customFormat="false" ht="15" hidden="false" customHeight="true" outlineLevel="0" collapsed="false">
      <c r="A442" s="29" t="n">
        <v>439</v>
      </c>
      <c r="B442" s="26" t="str">
        <f aca="false">IFERROR(INDEX('Output Utente'!$A$2:$A$492,MATCH(439,'Output Utente'!$R$2:$R$492,0)),"")</f>
        <v/>
      </c>
      <c r="C442" s="26" t="str">
        <f aca="false">IFERROR(INDEX('Output Utente'!$B$2:$B$492,MATCH(439,'Output Utente'!$R$2:$R$492,0)),"")</f>
        <v/>
      </c>
      <c r="D442" s="26" t="str">
        <f aca="false">IFERROR(INDEX('Output Utente'!$C$2:$C$492,MATCH(439,'Output Utente'!$R$2:$R$492,0)),"")</f>
        <v/>
      </c>
      <c r="E442" s="26" t="str">
        <f aca="false">IFERROR(INDEX('Input Giocatori 2026_27'!$D$3:$D$493,MATCH($B442,'Input Giocatori 2026_27'!$A$3:$A$493,0)),"")</f>
        <v/>
      </c>
      <c r="F442" s="27" t="str">
        <f aca="false">IFERROR(INDEX('Output Utente'!$N$2:$N$492,MATCH(439,'Output Utente'!$R$2:$R$492,0)),"")</f>
        <v/>
      </c>
      <c r="G442" s="26" t="str">
        <f aca="false">IFERROR(INDEX('Output Utente'!$O$2:$O$492,MATCH(439,'Output Utente'!$R$2:$R$492,0)),"")</f>
        <v/>
      </c>
      <c r="H442" s="26" t="str">
        <f aca="false">IFERROR(INDEX('Output Utente'!$P$2:$P$492,MATCH(439,'Output Utente'!$R$2:$R$492,0)),"")</f>
        <v/>
      </c>
      <c r="I442" s="27" t="str">
        <f aca="false">IFERROR(INDEX('Output Utente'!$F$2:$F$492,MATCH(439,'Output Utente'!$R$2:$R$492,0)),"")</f>
        <v/>
      </c>
      <c r="J442" s="27" t="str">
        <f aca="false">IFERROR(INDEX('Output Utente'!$G$2:$G$492,MATCH(439,'Output Utente'!$R$2:$R$492,0)),"")</f>
        <v/>
      </c>
      <c r="K442" s="27" t="str">
        <f aca="false">IFERROR(INDEX('Output Utente'!$H$2:$H$492,MATCH(439,'Output Utente'!$R$2:$R$492,0)),"")</f>
        <v/>
      </c>
      <c r="L442" s="26" t="str">
        <f aca="false">IFERROR(INDEX('Output Utente'!$E$2:$E$492,MATCH(439,'Output Utente'!$R$2:$R$492,0)),"")</f>
        <v/>
      </c>
    </row>
    <row r="443" customFormat="false" ht="15" hidden="false" customHeight="true" outlineLevel="0" collapsed="false">
      <c r="A443" s="29" t="n">
        <v>440</v>
      </c>
      <c r="B443" s="26" t="str">
        <f aca="false">IFERROR(INDEX('Output Utente'!$A$2:$A$492,MATCH(440,'Output Utente'!$R$2:$R$492,0)),"")</f>
        <v/>
      </c>
      <c r="C443" s="26" t="str">
        <f aca="false">IFERROR(INDEX('Output Utente'!$B$2:$B$492,MATCH(440,'Output Utente'!$R$2:$R$492,0)),"")</f>
        <v/>
      </c>
      <c r="D443" s="26" t="str">
        <f aca="false">IFERROR(INDEX('Output Utente'!$C$2:$C$492,MATCH(440,'Output Utente'!$R$2:$R$492,0)),"")</f>
        <v/>
      </c>
      <c r="E443" s="26" t="str">
        <f aca="false">IFERROR(INDEX('Input Giocatori 2026_27'!$D$3:$D$493,MATCH($B443,'Input Giocatori 2026_27'!$A$3:$A$493,0)),"")</f>
        <v/>
      </c>
      <c r="F443" s="27" t="str">
        <f aca="false">IFERROR(INDEX('Output Utente'!$N$2:$N$492,MATCH(440,'Output Utente'!$R$2:$R$492,0)),"")</f>
        <v/>
      </c>
      <c r="G443" s="26" t="str">
        <f aca="false">IFERROR(INDEX('Output Utente'!$O$2:$O$492,MATCH(440,'Output Utente'!$R$2:$R$492,0)),"")</f>
        <v/>
      </c>
      <c r="H443" s="26" t="str">
        <f aca="false">IFERROR(INDEX('Output Utente'!$P$2:$P$492,MATCH(440,'Output Utente'!$R$2:$R$492,0)),"")</f>
        <v/>
      </c>
      <c r="I443" s="27" t="str">
        <f aca="false">IFERROR(INDEX('Output Utente'!$F$2:$F$492,MATCH(440,'Output Utente'!$R$2:$R$492,0)),"")</f>
        <v/>
      </c>
      <c r="J443" s="27" t="str">
        <f aca="false">IFERROR(INDEX('Output Utente'!$G$2:$G$492,MATCH(440,'Output Utente'!$R$2:$R$492,0)),"")</f>
        <v/>
      </c>
      <c r="K443" s="27" t="str">
        <f aca="false">IFERROR(INDEX('Output Utente'!$H$2:$H$492,MATCH(440,'Output Utente'!$R$2:$R$492,0)),"")</f>
        <v/>
      </c>
      <c r="L443" s="26" t="str">
        <f aca="false">IFERROR(INDEX('Output Utente'!$E$2:$E$492,MATCH(440,'Output Utente'!$R$2:$R$492,0)),"")</f>
        <v/>
      </c>
    </row>
    <row r="444" customFormat="false" ht="15" hidden="false" customHeight="true" outlineLevel="0" collapsed="false">
      <c r="A444" s="29" t="n">
        <v>441</v>
      </c>
      <c r="B444" s="26" t="str">
        <f aca="false">IFERROR(INDEX('Output Utente'!$A$2:$A$492,MATCH(441,'Output Utente'!$R$2:$R$492,0)),"")</f>
        <v/>
      </c>
      <c r="C444" s="26" t="str">
        <f aca="false">IFERROR(INDEX('Output Utente'!$B$2:$B$492,MATCH(441,'Output Utente'!$R$2:$R$492,0)),"")</f>
        <v/>
      </c>
      <c r="D444" s="26" t="str">
        <f aca="false">IFERROR(INDEX('Output Utente'!$C$2:$C$492,MATCH(441,'Output Utente'!$R$2:$R$492,0)),"")</f>
        <v/>
      </c>
      <c r="E444" s="26" t="str">
        <f aca="false">IFERROR(INDEX('Input Giocatori 2026_27'!$D$3:$D$493,MATCH($B444,'Input Giocatori 2026_27'!$A$3:$A$493,0)),"")</f>
        <v/>
      </c>
      <c r="F444" s="27" t="str">
        <f aca="false">IFERROR(INDEX('Output Utente'!$N$2:$N$492,MATCH(441,'Output Utente'!$R$2:$R$492,0)),"")</f>
        <v/>
      </c>
      <c r="G444" s="26" t="str">
        <f aca="false">IFERROR(INDEX('Output Utente'!$O$2:$O$492,MATCH(441,'Output Utente'!$R$2:$R$492,0)),"")</f>
        <v/>
      </c>
      <c r="H444" s="26" t="str">
        <f aca="false">IFERROR(INDEX('Output Utente'!$P$2:$P$492,MATCH(441,'Output Utente'!$R$2:$R$492,0)),"")</f>
        <v/>
      </c>
      <c r="I444" s="27" t="str">
        <f aca="false">IFERROR(INDEX('Output Utente'!$F$2:$F$492,MATCH(441,'Output Utente'!$R$2:$R$492,0)),"")</f>
        <v/>
      </c>
      <c r="J444" s="27" t="str">
        <f aca="false">IFERROR(INDEX('Output Utente'!$G$2:$G$492,MATCH(441,'Output Utente'!$R$2:$R$492,0)),"")</f>
        <v/>
      </c>
      <c r="K444" s="27" t="str">
        <f aca="false">IFERROR(INDEX('Output Utente'!$H$2:$H$492,MATCH(441,'Output Utente'!$R$2:$R$492,0)),"")</f>
        <v/>
      </c>
      <c r="L444" s="26" t="str">
        <f aca="false">IFERROR(INDEX('Output Utente'!$E$2:$E$492,MATCH(441,'Output Utente'!$R$2:$R$492,0)),"")</f>
        <v/>
      </c>
    </row>
    <row r="445" customFormat="false" ht="15" hidden="false" customHeight="true" outlineLevel="0" collapsed="false">
      <c r="A445" s="29" t="n">
        <v>442</v>
      </c>
      <c r="B445" s="26" t="str">
        <f aca="false">IFERROR(INDEX('Output Utente'!$A$2:$A$492,MATCH(442,'Output Utente'!$R$2:$R$492,0)),"")</f>
        <v/>
      </c>
      <c r="C445" s="26" t="str">
        <f aca="false">IFERROR(INDEX('Output Utente'!$B$2:$B$492,MATCH(442,'Output Utente'!$R$2:$R$492,0)),"")</f>
        <v/>
      </c>
      <c r="D445" s="26" t="str">
        <f aca="false">IFERROR(INDEX('Output Utente'!$C$2:$C$492,MATCH(442,'Output Utente'!$R$2:$R$492,0)),"")</f>
        <v/>
      </c>
      <c r="E445" s="26" t="str">
        <f aca="false">IFERROR(INDEX('Input Giocatori 2026_27'!$D$3:$D$493,MATCH($B445,'Input Giocatori 2026_27'!$A$3:$A$493,0)),"")</f>
        <v/>
      </c>
      <c r="F445" s="27" t="str">
        <f aca="false">IFERROR(INDEX('Output Utente'!$N$2:$N$492,MATCH(442,'Output Utente'!$R$2:$R$492,0)),"")</f>
        <v/>
      </c>
      <c r="G445" s="26" t="str">
        <f aca="false">IFERROR(INDEX('Output Utente'!$O$2:$O$492,MATCH(442,'Output Utente'!$R$2:$R$492,0)),"")</f>
        <v/>
      </c>
      <c r="H445" s="26" t="str">
        <f aca="false">IFERROR(INDEX('Output Utente'!$P$2:$P$492,MATCH(442,'Output Utente'!$R$2:$R$492,0)),"")</f>
        <v/>
      </c>
      <c r="I445" s="27" t="str">
        <f aca="false">IFERROR(INDEX('Output Utente'!$F$2:$F$492,MATCH(442,'Output Utente'!$R$2:$R$492,0)),"")</f>
        <v/>
      </c>
      <c r="J445" s="27" t="str">
        <f aca="false">IFERROR(INDEX('Output Utente'!$G$2:$G$492,MATCH(442,'Output Utente'!$R$2:$R$492,0)),"")</f>
        <v/>
      </c>
      <c r="K445" s="27" t="str">
        <f aca="false">IFERROR(INDEX('Output Utente'!$H$2:$H$492,MATCH(442,'Output Utente'!$R$2:$R$492,0)),"")</f>
        <v/>
      </c>
      <c r="L445" s="26" t="str">
        <f aca="false">IFERROR(INDEX('Output Utente'!$E$2:$E$492,MATCH(442,'Output Utente'!$R$2:$R$492,0)),"")</f>
        <v/>
      </c>
    </row>
    <row r="446" customFormat="false" ht="15" hidden="false" customHeight="true" outlineLevel="0" collapsed="false">
      <c r="A446" s="29" t="n">
        <v>443</v>
      </c>
      <c r="B446" s="26" t="str">
        <f aca="false">IFERROR(INDEX('Output Utente'!$A$2:$A$492,MATCH(443,'Output Utente'!$R$2:$R$492,0)),"")</f>
        <v/>
      </c>
      <c r="C446" s="26" t="str">
        <f aca="false">IFERROR(INDEX('Output Utente'!$B$2:$B$492,MATCH(443,'Output Utente'!$R$2:$R$492,0)),"")</f>
        <v/>
      </c>
      <c r="D446" s="26" t="str">
        <f aca="false">IFERROR(INDEX('Output Utente'!$C$2:$C$492,MATCH(443,'Output Utente'!$R$2:$R$492,0)),"")</f>
        <v/>
      </c>
      <c r="E446" s="26" t="str">
        <f aca="false">IFERROR(INDEX('Input Giocatori 2026_27'!$D$3:$D$493,MATCH($B446,'Input Giocatori 2026_27'!$A$3:$A$493,0)),"")</f>
        <v/>
      </c>
      <c r="F446" s="27" t="str">
        <f aca="false">IFERROR(INDEX('Output Utente'!$N$2:$N$492,MATCH(443,'Output Utente'!$R$2:$R$492,0)),"")</f>
        <v/>
      </c>
      <c r="G446" s="26" t="str">
        <f aca="false">IFERROR(INDEX('Output Utente'!$O$2:$O$492,MATCH(443,'Output Utente'!$R$2:$R$492,0)),"")</f>
        <v/>
      </c>
      <c r="H446" s="26" t="str">
        <f aca="false">IFERROR(INDEX('Output Utente'!$P$2:$P$492,MATCH(443,'Output Utente'!$R$2:$R$492,0)),"")</f>
        <v/>
      </c>
      <c r="I446" s="27" t="str">
        <f aca="false">IFERROR(INDEX('Output Utente'!$F$2:$F$492,MATCH(443,'Output Utente'!$R$2:$R$492,0)),"")</f>
        <v/>
      </c>
      <c r="J446" s="27" t="str">
        <f aca="false">IFERROR(INDEX('Output Utente'!$G$2:$G$492,MATCH(443,'Output Utente'!$R$2:$R$492,0)),"")</f>
        <v/>
      </c>
      <c r="K446" s="27" t="str">
        <f aca="false">IFERROR(INDEX('Output Utente'!$H$2:$H$492,MATCH(443,'Output Utente'!$R$2:$R$492,0)),"")</f>
        <v/>
      </c>
      <c r="L446" s="26" t="str">
        <f aca="false">IFERROR(INDEX('Output Utente'!$E$2:$E$492,MATCH(443,'Output Utente'!$R$2:$R$492,0)),"")</f>
        <v/>
      </c>
    </row>
    <row r="447" customFormat="false" ht="15" hidden="false" customHeight="true" outlineLevel="0" collapsed="false">
      <c r="A447" s="29" t="n">
        <v>444</v>
      </c>
      <c r="B447" s="26" t="str">
        <f aca="false">IFERROR(INDEX('Output Utente'!$A$2:$A$492,MATCH(444,'Output Utente'!$R$2:$R$492,0)),"")</f>
        <v/>
      </c>
      <c r="C447" s="26" t="str">
        <f aca="false">IFERROR(INDEX('Output Utente'!$B$2:$B$492,MATCH(444,'Output Utente'!$R$2:$R$492,0)),"")</f>
        <v/>
      </c>
      <c r="D447" s="26" t="str">
        <f aca="false">IFERROR(INDEX('Output Utente'!$C$2:$C$492,MATCH(444,'Output Utente'!$R$2:$R$492,0)),"")</f>
        <v/>
      </c>
      <c r="E447" s="26" t="str">
        <f aca="false">IFERROR(INDEX('Input Giocatori 2026_27'!$D$3:$D$493,MATCH($B447,'Input Giocatori 2026_27'!$A$3:$A$493,0)),"")</f>
        <v/>
      </c>
      <c r="F447" s="27" t="str">
        <f aca="false">IFERROR(INDEX('Output Utente'!$N$2:$N$492,MATCH(444,'Output Utente'!$R$2:$R$492,0)),"")</f>
        <v/>
      </c>
      <c r="G447" s="26" t="str">
        <f aca="false">IFERROR(INDEX('Output Utente'!$O$2:$O$492,MATCH(444,'Output Utente'!$R$2:$R$492,0)),"")</f>
        <v/>
      </c>
      <c r="H447" s="26" t="str">
        <f aca="false">IFERROR(INDEX('Output Utente'!$P$2:$P$492,MATCH(444,'Output Utente'!$R$2:$R$492,0)),"")</f>
        <v/>
      </c>
      <c r="I447" s="27" t="str">
        <f aca="false">IFERROR(INDEX('Output Utente'!$F$2:$F$492,MATCH(444,'Output Utente'!$R$2:$R$492,0)),"")</f>
        <v/>
      </c>
      <c r="J447" s="27" t="str">
        <f aca="false">IFERROR(INDEX('Output Utente'!$G$2:$G$492,MATCH(444,'Output Utente'!$R$2:$R$492,0)),"")</f>
        <v/>
      </c>
      <c r="K447" s="27" t="str">
        <f aca="false">IFERROR(INDEX('Output Utente'!$H$2:$H$492,MATCH(444,'Output Utente'!$R$2:$R$492,0)),"")</f>
        <v/>
      </c>
      <c r="L447" s="26" t="str">
        <f aca="false">IFERROR(INDEX('Output Utente'!$E$2:$E$492,MATCH(444,'Output Utente'!$R$2:$R$492,0)),"")</f>
        <v/>
      </c>
    </row>
    <row r="448" customFormat="false" ht="15" hidden="false" customHeight="true" outlineLevel="0" collapsed="false">
      <c r="A448" s="29" t="n">
        <v>445</v>
      </c>
      <c r="B448" s="26" t="str">
        <f aca="false">IFERROR(INDEX('Output Utente'!$A$2:$A$492,MATCH(445,'Output Utente'!$R$2:$R$492,0)),"")</f>
        <v/>
      </c>
      <c r="C448" s="26" t="str">
        <f aca="false">IFERROR(INDEX('Output Utente'!$B$2:$B$492,MATCH(445,'Output Utente'!$R$2:$R$492,0)),"")</f>
        <v/>
      </c>
      <c r="D448" s="26" t="str">
        <f aca="false">IFERROR(INDEX('Output Utente'!$C$2:$C$492,MATCH(445,'Output Utente'!$R$2:$R$492,0)),"")</f>
        <v/>
      </c>
      <c r="E448" s="26" t="str">
        <f aca="false">IFERROR(INDEX('Input Giocatori 2026_27'!$D$3:$D$493,MATCH($B448,'Input Giocatori 2026_27'!$A$3:$A$493,0)),"")</f>
        <v/>
      </c>
      <c r="F448" s="27" t="str">
        <f aca="false">IFERROR(INDEX('Output Utente'!$N$2:$N$492,MATCH(445,'Output Utente'!$R$2:$R$492,0)),"")</f>
        <v/>
      </c>
      <c r="G448" s="26" t="str">
        <f aca="false">IFERROR(INDEX('Output Utente'!$O$2:$O$492,MATCH(445,'Output Utente'!$R$2:$R$492,0)),"")</f>
        <v/>
      </c>
      <c r="H448" s="26" t="str">
        <f aca="false">IFERROR(INDEX('Output Utente'!$P$2:$P$492,MATCH(445,'Output Utente'!$R$2:$R$492,0)),"")</f>
        <v/>
      </c>
      <c r="I448" s="27" t="str">
        <f aca="false">IFERROR(INDEX('Output Utente'!$F$2:$F$492,MATCH(445,'Output Utente'!$R$2:$R$492,0)),"")</f>
        <v/>
      </c>
      <c r="J448" s="27" t="str">
        <f aca="false">IFERROR(INDEX('Output Utente'!$G$2:$G$492,MATCH(445,'Output Utente'!$R$2:$R$492,0)),"")</f>
        <v/>
      </c>
      <c r="K448" s="27" t="str">
        <f aca="false">IFERROR(INDEX('Output Utente'!$H$2:$H$492,MATCH(445,'Output Utente'!$R$2:$R$492,0)),"")</f>
        <v/>
      </c>
      <c r="L448" s="26" t="str">
        <f aca="false">IFERROR(INDEX('Output Utente'!$E$2:$E$492,MATCH(445,'Output Utente'!$R$2:$R$492,0)),"")</f>
        <v/>
      </c>
    </row>
    <row r="449" customFormat="false" ht="15" hidden="false" customHeight="true" outlineLevel="0" collapsed="false">
      <c r="A449" s="29" t="n">
        <v>446</v>
      </c>
      <c r="B449" s="26" t="str">
        <f aca="false">IFERROR(INDEX('Output Utente'!$A$2:$A$492,MATCH(446,'Output Utente'!$R$2:$R$492,0)),"")</f>
        <v/>
      </c>
      <c r="C449" s="26" t="str">
        <f aca="false">IFERROR(INDEX('Output Utente'!$B$2:$B$492,MATCH(446,'Output Utente'!$R$2:$R$492,0)),"")</f>
        <v/>
      </c>
      <c r="D449" s="26" t="str">
        <f aca="false">IFERROR(INDEX('Output Utente'!$C$2:$C$492,MATCH(446,'Output Utente'!$R$2:$R$492,0)),"")</f>
        <v/>
      </c>
      <c r="E449" s="26" t="str">
        <f aca="false">IFERROR(INDEX('Input Giocatori 2026_27'!$D$3:$D$493,MATCH($B449,'Input Giocatori 2026_27'!$A$3:$A$493,0)),"")</f>
        <v/>
      </c>
      <c r="F449" s="27" t="str">
        <f aca="false">IFERROR(INDEX('Output Utente'!$N$2:$N$492,MATCH(446,'Output Utente'!$R$2:$R$492,0)),"")</f>
        <v/>
      </c>
      <c r="G449" s="26" t="str">
        <f aca="false">IFERROR(INDEX('Output Utente'!$O$2:$O$492,MATCH(446,'Output Utente'!$R$2:$R$492,0)),"")</f>
        <v/>
      </c>
      <c r="H449" s="26" t="str">
        <f aca="false">IFERROR(INDEX('Output Utente'!$P$2:$P$492,MATCH(446,'Output Utente'!$R$2:$R$492,0)),"")</f>
        <v/>
      </c>
      <c r="I449" s="27" t="str">
        <f aca="false">IFERROR(INDEX('Output Utente'!$F$2:$F$492,MATCH(446,'Output Utente'!$R$2:$R$492,0)),"")</f>
        <v/>
      </c>
      <c r="J449" s="27" t="str">
        <f aca="false">IFERROR(INDEX('Output Utente'!$G$2:$G$492,MATCH(446,'Output Utente'!$R$2:$R$492,0)),"")</f>
        <v/>
      </c>
      <c r="K449" s="27" t="str">
        <f aca="false">IFERROR(INDEX('Output Utente'!$H$2:$H$492,MATCH(446,'Output Utente'!$R$2:$R$492,0)),"")</f>
        <v/>
      </c>
      <c r="L449" s="26" t="str">
        <f aca="false">IFERROR(INDEX('Output Utente'!$E$2:$E$492,MATCH(446,'Output Utente'!$R$2:$R$492,0)),"")</f>
        <v/>
      </c>
    </row>
    <row r="450" customFormat="false" ht="15" hidden="false" customHeight="true" outlineLevel="0" collapsed="false">
      <c r="A450" s="29" t="n">
        <v>447</v>
      </c>
      <c r="B450" s="26" t="str">
        <f aca="false">IFERROR(INDEX('Output Utente'!$A$2:$A$492,MATCH(447,'Output Utente'!$R$2:$R$492,0)),"")</f>
        <v/>
      </c>
      <c r="C450" s="26" t="str">
        <f aca="false">IFERROR(INDEX('Output Utente'!$B$2:$B$492,MATCH(447,'Output Utente'!$R$2:$R$492,0)),"")</f>
        <v/>
      </c>
      <c r="D450" s="26" t="str">
        <f aca="false">IFERROR(INDEX('Output Utente'!$C$2:$C$492,MATCH(447,'Output Utente'!$R$2:$R$492,0)),"")</f>
        <v/>
      </c>
      <c r="E450" s="26" t="str">
        <f aca="false">IFERROR(INDEX('Input Giocatori 2026_27'!$D$3:$D$493,MATCH($B450,'Input Giocatori 2026_27'!$A$3:$A$493,0)),"")</f>
        <v/>
      </c>
      <c r="F450" s="27" t="str">
        <f aca="false">IFERROR(INDEX('Output Utente'!$N$2:$N$492,MATCH(447,'Output Utente'!$R$2:$R$492,0)),"")</f>
        <v/>
      </c>
      <c r="G450" s="26" t="str">
        <f aca="false">IFERROR(INDEX('Output Utente'!$O$2:$O$492,MATCH(447,'Output Utente'!$R$2:$R$492,0)),"")</f>
        <v/>
      </c>
      <c r="H450" s="26" t="str">
        <f aca="false">IFERROR(INDEX('Output Utente'!$P$2:$P$492,MATCH(447,'Output Utente'!$R$2:$R$492,0)),"")</f>
        <v/>
      </c>
      <c r="I450" s="27" t="str">
        <f aca="false">IFERROR(INDEX('Output Utente'!$F$2:$F$492,MATCH(447,'Output Utente'!$R$2:$R$492,0)),"")</f>
        <v/>
      </c>
      <c r="J450" s="27" t="str">
        <f aca="false">IFERROR(INDEX('Output Utente'!$G$2:$G$492,MATCH(447,'Output Utente'!$R$2:$R$492,0)),"")</f>
        <v/>
      </c>
      <c r="K450" s="27" t="str">
        <f aca="false">IFERROR(INDEX('Output Utente'!$H$2:$H$492,MATCH(447,'Output Utente'!$R$2:$R$492,0)),"")</f>
        <v/>
      </c>
      <c r="L450" s="26" t="str">
        <f aca="false">IFERROR(INDEX('Output Utente'!$E$2:$E$492,MATCH(447,'Output Utente'!$R$2:$R$492,0)),"")</f>
        <v/>
      </c>
    </row>
    <row r="451" customFormat="false" ht="15" hidden="false" customHeight="true" outlineLevel="0" collapsed="false">
      <c r="A451" s="29" t="n">
        <v>448</v>
      </c>
      <c r="B451" s="26" t="str">
        <f aca="false">IFERROR(INDEX('Output Utente'!$A$2:$A$492,MATCH(448,'Output Utente'!$R$2:$R$492,0)),"")</f>
        <v/>
      </c>
      <c r="C451" s="26" t="str">
        <f aca="false">IFERROR(INDEX('Output Utente'!$B$2:$B$492,MATCH(448,'Output Utente'!$R$2:$R$492,0)),"")</f>
        <v/>
      </c>
      <c r="D451" s="26" t="str">
        <f aca="false">IFERROR(INDEX('Output Utente'!$C$2:$C$492,MATCH(448,'Output Utente'!$R$2:$R$492,0)),"")</f>
        <v/>
      </c>
      <c r="E451" s="26" t="str">
        <f aca="false">IFERROR(INDEX('Input Giocatori 2026_27'!$D$3:$D$493,MATCH($B451,'Input Giocatori 2026_27'!$A$3:$A$493,0)),"")</f>
        <v/>
      </c>
      <c r="F451" s="27" t="str">
        <f aca="false">IFERROR(INDEX('Output Utente'!$N$2:$N$492,MATCH(448,'Output Utente'!$R$2:$R$492,0)),"")</f>
        <v/>
      </c>
      <c r="G451" s="26" t="str">
        <f aca="false">IFERROR(INDEX('Output Utente'!$O$2:$O$492,MATCH(448,'Output Utente'!$R$2:$R$492,0)),"")</f>
        <v/>
      </c>
      <c r="H451" s="26" t="str">
        <f aca="false">IFERROR(INDEX('Output Utente'!$P$2:$P$492,MATCH(448,'Output Utente'!$R$2:$R$492,0)),"")</f>
        <v/>
      </c>
      <c r="I451" s="27" t="str">
        <f aca="false">IFERROR(INDEX('Output Utente'!$F$2:$F$492,MATCH(448,'Output Utente'!$R$2:$R$492,0)),"")</f>
        <v/>
      </c>
      <c r="J451" s="27" t="str">
        <f aca="false">IFERROR(INDEX('Output Utente'!$G$2:$G$492,MATCH(448,'Output Utente'!$R$2:$R$492,0)),"")</f>
        <v/>
      </c>
      <c r="K451" s="27" t="str">
        <f aca="false">IFERROR(INDEX('Output Utente'!$H$2:$H$492,MATCH(448,'Output Utente'!$R$2:$R$492,0)),"")</f>
        <v/>
      </c>
      <c r="L451" s="26" t="str">
        <f aca="false">IFERROR(INDEX('Output Utente'!$E$2:$E$492,MATCH(448,'Output Utente'!$R$2:$R$492,0)),"")</f>
        <v/>
      </c>
    </row>
    <row r="452" customFormat="false" ht="15" hidden="false" customHeight="true" outlineLevel="0" collapsed="false">
      <c r="A452" s="29" t="n">
        <v>449</v>
      </c>
      <c r="B452" s="26" t="str">
        <f aca="false">IFERROR(INDEX('Output Utente'!$A$2:$A$492,MATCH(449,'Output Utente'!$R$2:$R$492,0)),"")</f>
        <v/>
      </c>
      <c r="C452" s="26" t="str">
        <f aca="false">IFERROR(INDEX('Output Utente'!$B$2:$B$492,MATCH(449,'Output Utente'!$R$2:$R$492,0)),"")</f>
        <v/>
      </c>
      <c r="D452" s="26" t="str">
        <f aca="false">IFERROR(INDEX('Output Utente'!$C$2:$C$492,MATCH(449,'Output Utente'!$R$2:$R$492,0)),"")</f>
        <v/>
      </c>
      <c r="E452" s="26" t="str">
        <f aca="false">IFERROR(INDEX('Input Giocatori 2026_27'!$D$3:$D$493,MATCH($B452,'Input Giocatori 2026_27'!$A$3:$A$493,0)),"")</f>
        <v/>
      </c>
      <c r="F452" s="27" t="str">
        <f aca="false">IFERROR(INDEX('Output Utente'!$N$2:$N$492,MATCH(449,'Output Utente'!$R$2:$R$492,0)),"")</f>
        <v/>
      </c>
      <c r="G452" s="26" t="str">
        <f aca="false">IFERROR(INDEX('Output Utente'!$O$2:$O$492,MATCH(449,'Output Utente'!$R$2:$R$492,0)),"")</f>
        <v/>
      </c>
      <c r="H452" s="26" t="str">
        <f aca="false">IFERROR(INDEX('Output Utente'!$P$2:$P$492,MATCH(449,'Output Utente'!$R$2:$R$492,0)),"")</f>
        <v/>
      </c>
      <c r="I452" s="27" t="str">
        <f aca="false">IFERROR(INDEX('Output Utente'!$F$2:$F$492,MATCH(449,'Output Utente'!$R$2:$R$492,0)),"")</f>
        <v/>
      </c>
      <c r="J452" s="27" t="str">
        <f aca="false">IFERROR(INDEX('Output Utente'!$G$2:$G$492,MATCH(449,'Output Utente'!$R$2:$R$492,0)),"")</f>
        <v/>
      </c>
      <c r="K452" s="27" t="str">
        <f aca="false">IFERROR(INDEX('Output Utente'!$H$2:$H$492,MATCH(449,'Output Utente'!$R$2:$R$492,0)),"")</f>
        <v/>
      </c>
      <c r="L452" s="26" t="str">
        <f aca="false">IFERROR(INDEX('Output Utente'!$E$2:$E$492,MATCH(449,'Output Utente'!$R$2:$R$492,0)),"")</f>
        <v/>
      </c>
    </row>
    <row r="453" customFormat="false" ht="15" hidden="false" customHeight="true" outlineLevel="0" collapsed="false">
      <c r="A453" s="29" t="n">
        <v>450</v>
      </c>
      <c r="B453" s="26" t="str">
        <f aca="false">IFERROR(INDEX('Output Utente'!$A$2:$A$492,MATCH(450,'Output Utente'!$R$2:$R$492,0)),"")</f>
        <v/>
      </c>
      <c r="C453" s="26" t="str">
        <f aca="false">IFERROR(INDEX('Output Utente'!$B$2:$B$492,MATCH(450,'Output Utente'!$R$2:$R$492,0)),"")</f>
        <v/>
      </c>
      <c r="D453" s="26" t="str">
        <f aca="false">IFERROR(INDEX('Output Utente'!$C$2:$C$492,MATCH(450,'Output Utente'!$R$2:$R$492,0)),"")</f>
        <v/>
      </c>
      <c r="E453" s="26" t="str">
        <f aca="false">IFERROR(INDEX('Input Giocatori 2026_27'!$D$3:$D$493,MATCH($B453,'Input Giocatori 2026_27'!$A$3:$A$493,0)),"")</f>
        <v/>
      </c>
      <c r="F453" s="27" t="str">
        <f aca="false">IFERROR(INDEX('Output Utente'!$N$2:$N$492,MATCH(450,'Output Utente'!$R$2:$R$492,0)),"")</f>
        <v/>
      </c>
      <c r="G453" s="26" t="str">
        <f aca="false">IFERROR(INDEX('Output Utente'!$O$2:$O$492,MATCH(450,'Output Utente'!$R$2:$R$492,0)),"")</f>
        <v/>
      </c>
      <c r="H453" s="26" t="str">
        <f aca="false">IFERROR(INDEX('Output Utente'!$P$2:$P$492,MATCH(450,'Output Utente'!$R$2:$R$492,0)),"")</f>
        <v/>
      </c>
      <c r="I453" s="27" t="str">
        <f aca="false">IFERROR(INDEX('Output Utente'!$F$2:$F$492,MATCH(450,'Output Utente'!$R$2:$R$492,0)),"")</f>
        <v/>
      </c>
      <c r="J453" s="27" t="str">
        <f aca="false">IFERROR(INDEX('Output Utente'!$G$2:$G$492,MATCH(450,'Output Utente'!$R$2:$R$492,0)),"")</f>
        <v/>
      </c>
      <c r="K453" s="27" t="str">
        <f aca="false">IFERROR(INDEX('Output Utente'!$H$2:$H$492,MATCH(450,'Output Utente'!$R$2:$R$492,0)),"")</f>
        <v/>
      </c>
      <c r="L453" s="26" t="str">
        <f aca="false">IFERROR(INDEX('Output Utente'!$E$2:$E$492,MATCH(450,'Output Utente'!$R$2:$R$492,0)),"")</f>
        <v/>
      </c>
    </row>
    <row r="454" customFormat="false" ht="15" hidden="false" customHeight="true" outlineLevel="0" collapsed="false">
      <c r="A454" s="29" t="n">
        <v>451</v>
      </c>
      <c r="B454" s="26" t="str">
        <f aca="false">IFERROR(INDEX('Output Utente'!$A$2:$A$492,MATCH(451,'Output Utente'!$R$2:$R$492,0)),"")</f>
        <v/>
      </c>
      <c r="C454" s="26" t="str">
        <f aca="false">IFERROR(INDEX('Output Utente'!$B$2:$B$492,MATCH(451,'Output Utente'!$R$2:$R$492,0)),"")</f>
        <v/>
      </c>
      <c r="D454" s="26" t="str">
        <f aca="false">IFERROR(INDEX('Output Utente'!$C$2:$C$492,MATCH(451,'Output Utente'!$R$2:$R$492,0)),"")</f>
        <v/>
      </c>
      <c r="E454" s="26" t="str">
        <f aca="false">IFERROR(INDEX('Input Giocatori 2026_27'!$D$3:$D$493,MATCH($B454,'Input Giocatori 2026_27'!$A$3:$A$493,0)),"")</f>
        <v/>
      </c>
      <c r="F454" s="27" t="str">
        <f aca="false">IFERROR(INDEX('Output Utente'!$N$2:$N$492,MATCH(451,'Output Utente'!$R$2:$R$492,0)),"")</f>
        <v/>
      </c>
      <c r="G454" s="26" t="str">
        <f aca="false">IFERROR(INDEX('Output Utente'!$O$2:$O$492,MATCH(451,'Output Utente'!$R$2:$R$492,0)),"")</f>
        <v/>
      </c>
      <c r="H454" s="26" t="str">
        <f aca="false">IFERROR(INDEX('Output Utente'!$P$2:$P$492,MATCH(451,'Output Utente'!$R$2:$R$492,0)),"")</f>
        <v/>
      </c>
      <c r="I454" s="27" t="str">
        <f aca="false">IFERROR(INDEX('Output Utente'!$F$2:$F$492,MATCH(451,'Output Utente'!$R$2:$R$492,0)),"")</f>
        <v/>
      </c>
      <c r="J454" s="27" t="str">
        <f aca="false">IFERROR(INDEX('Output Utente'!$G$2:$G$492,MATCH(451,'Output Utente'!$R$2:$R$492,0)),"")</f>
        <v/>
      </c>
      <c r="K454" s="27" t="str">
        <f aca="false">IFERROR(INDEX('Output Utente'!$H$2:$H$492,MATCH(451,'Output Utente'!$R$2:$R$492,0)),"")</f>
        <v/>
      </c>
      <c r="L454" s="26" t="str">
        <f aca="false">IFERROR(INDEX('Output Utente'!$E$2:$E$492,MATCH(451,'Output Utente'!$R$2:$R$492,0)),"")</f>
        <v/>
      </c>
    </row>
    <row r="455" customFormat="false" ht="15" hidden="false" customHeight="true" outlineLevel="0" collapsed="false">
      <c r="A455" s="29" t="n">
        <v>452</v>
      </c>
      <c r="B455" s="26" t="str">
        <f aca="false">IFERROR(INDEX('Output Utente'!$A$2:$A$492,MATCH(452,'Output Utente'!$R$2:$R$492,0)),"")</f>
        <v/>
      </c>
      <c r="C455" s="26" t="str">
        <f aca="false">IFERROR(INDEX('Output Utente'!$B$2:$B$492,MATCH(452,'Output Utente'!$R$2:$R$492,0)),"")</f>
        <v/>
      </c>
      <c r="D455" s="26" t="str">
        <f aca="false">IFERROR(INDEX('Output Utente'!$C$2:$C$492,MATCH(452,'Output Utente'!$R$2:$R$492,0)),"")</f>
        <v/>
      </c>
      <c r="E455" s="26" t="str">
        <f aca="false">IFERROR(INDEX('Input Giocatori 2026_27'!$D$3:$D$493,MATCH($B455,'Input Giocatori 2026_27'!$A$3:$A$493,0)),"")</f>
        <v/>
      </c>
      <c r="F455" s="27" t="str">
        <f aca="false">IFERROR(INDEX('Output Utente'!$N$2:$N$492,MATCH(452,'Output Utente'!$R$2:$R$492,0)),"")</f>
        <v/>
      </c>
      <c r="G455" s="26" t="str">
        <f aca="false">IFERROR(INDEX('Output Utente'!$O$2:$O$492,MATCH(452,'Output Utente'!$R$2:$R$492,0)),"")</f>
        <v/>
      </c>
      <c r="H455" s="26" t="str">
        <f aca="false">IFERROR(INDEX('Output Utente'!$P$2:$P$492,MATCH(452,'Output Utente'!$R$2:$R$492,0)),"")</f>
        <v/>
      </c>
      <c r="I455" s="27" t="str">
        <f aca="false">IFERROR(INDEX('Output Utente'!$F$2:$F$492,MATCH(452,'Output Utente'!$R$2:$R$492,0)),"")</f>
        <v/>
      </c>
      <c r="J455" s="27" t="str">
        <f aca="false">IFERROR(INDEX('Output Utente'!$G$2:$G$492,MATCH(452,'Output Utente'!$R$2:$R$492,0)),"")</f>
        <v/>
      </c>
      <c r="K455" s="27" t="str">
        <f aca="false">IFERROR(INDEX('Output Utente'!$H$2:$H$492,MATCH(452,'Output Utente'!$R$2:$R$492,0)),"")</f>
        <v/>
      </c>
      <c r="L455" s="26" t="str">
        <f aca="false">IFERROR(INDEX('Output Utente'!$E$2:$E$492,MATCH(452,'Output Utente'!$R$2:$R$492,0)),"")</f>
        <v/>
      </c>
    </row>
    <row r="456" customFormat="false" ht="15" hidden="false" customHeight="true" outlineLevel="0" collapsed="false">
      <c r="A456" s="29" t="n">
        <v>453</v>
      </c>
      <c r="B456" s="26" t="str">
        <f aca="false">IFERROR(INDEX('Output Utente'!$A$2:$A$492,MATCH(453,'Output Utente'!$R$2:$R$492,0)),"")</f>
        <v/>
      </c>
      <c r="C456" s="26" t="str">
        <f aca="false">IFERROR(INDEX('Output Utente'!$B$2:$B$492,MATCH(453,'Output Utente'!$R$2:$R$492,0)),"")</f>
        <v/>
      </c>
      <c r="D456" s="26" t="str">
        <f aca="false">IFERROR(INDEX('Output Utente'!$C$2:$C$492,MATCH(453,'Output Utente'!$R$2:$R$492,0)),"")</f>
        <v/>
      </c>
      <c r="E456" s="26" t="str">
        <f aca="false">IFERROR(INDEX('Input Giocatori 2026_27'!$D$3:$D$493,MATCH($B456,'Input Giocatori 2026_27'!$A$3:$A$493,0)),"")</f>
        <v/>
      </c>
      <c r="F456" s="27" t="str">
        <f aca="false">IFERROR(INDEX('Output Utente'!$N$2:$N$492,MATCH(453,'Output Utente'!$R$2:$R$492,0)),"")</f>
        <v/>
      </c>
      <c r="G456" s="26" t="str">
        <f aca="false">IFERROR(INDEX('Output Utente'!$O$2:$O$492,MATCH(453,'Output Utente'!$R$2:$R$492,0)),"")</f>
        <v/>
      </c>
      <c r="H456" s="26" t="str">
        <f aca="false">IFERROR(INDEX('Output Utente'!$P$2:$P$492,MATCH(453,'Output Utente'!$R$2:$R$492,0)),"")</f>
        <v/>
      </c>
      <c r="I456" s="27" t="str">
        <f aca="false">IFERROR(INDEX('Output Utente'!$F$2:$F$492,MATCH(453,'Output Utente'!$R$2:$R$492,0)),"")</f>
        <v/>
      </c>
      <c r="J456" s="27" t="str">
        <f aca="false">IFERROR(INDEX('Output Utente'!$G$2:$G$492,MATCH(453,'Output Utente'!$R$2:$R$492,0)),"")</f>
        <v/>
      </c>
      <c r="K456" s="27" t="str">
        <f aca="false">IFERROR(INDEX('Output Utente'!$H$2:$H$492,MATCH(453,'Output Utente'!$R$2:$R$492,0)),"")</f>
        <v/>
      </c>
      <c r="L456" s="26" t="str">
        <f aca="false">IFERROR(INDEX('Output Utente'!$E$2:$E$492,MATCH(453,'Output Utente'!$R$2:$R$492,0)),"")</f>
        <v/>
      </c>
    </row>
    <row r="457" customFormat="false" ht="15" hidden="false" customHeight="true" outlineLevel="0" collapsed="false">
      <c r="A457" s="29" t="n">
        <v>454</v>
      </c>
      <c r="B457" s="26" t="str">
        <f aca="false">IFERROR(INDEX('Output Utente'!$A$2:$A$492,MATCH(454,'Output Utente'!$R$2:$R$492,0)),"")</f>
        <v/>
      </c>
      <c r="C457" s="26" t="str">
        <f aca="false">IFERROR(INDEX('Output Utente'!$B$2:$B$492,MATCH(454,'Output Utente'!$R$2:$R$492,0)),"")</f>
        <v/>
      </c>
      <c r="D457" s="26" t="str">
        <f aca="false">IFERROR(INDEX('Output Utente'!$C$2:$C$492,MATCH(454,'Output Utente'!$R$2:$R$492,0)),"")</f>
        <v/>
      </c>
      <c r="E457" s="26" t="str">
        <f aca="false">IFERROR(INDEX('Input Giocatori 2026_27'!$D$3:$D$493,MATCH($B457,'Input Giocatori 2026_27'!$A$3:$A$493,0)),"")</f>
        <v/>
      </c>
      <c r="F457" s="27" t="str">
        <f aca="false">IFERROR(INDEX('Output Utente'!$N$2:$N$492,MATCH(454,'Output Utente'!$R$2:$R$492,0)),"")</f>
        <v/>
      </c>
      <c r="G457" s="26" t="str">
        <f aca="false">IFERROR(INDEX('Output Utente'!$O$2:$O$492,MATCH(454,'Output Utente'!$R$2:$R$492,0)),"")</f>
        <v/>
      </c>
      <c r="H457" s="26" t="str">
        <f aca="false">IFERROR(INDEX('Output Utente'!$P$2:$P$492,MATCH(454,'Output Utente'!$R$2:$R$492,0)),"")</f>
        <v/>
      </c>
      <c r="I457" s="27" t="str">
        <f aca="false">IFERROR(INDEX('Output Utente'!$F$2:$F$492,MATCH(454,'Output Utente'!$R$2:$R$492,0)),"")</f>
        <v/>
      </c>
      <c r="J457" s="27" t="str">
        <f aca="false">IFERROR(INDEX('Output Utente'!$G$2:$G$492,MATCH(454,'Output Utente'!$R$2:$R$492,0)),"")</f>
        <v/>
      </c>
      <c r="K457" s="27" t="str">
        <f aca="false">IFERROR(INDEX('Output Utente'!$H$2:$H$492,MATCH(454,'Output Utente'!$R$2:$R$492,0)),"")</f>
        <v/>
      </c>
      <c r="L457" s="26" t="str">
        <f aca="false">IFERROR(INDEX('Output Utente'!$E$2:$E$492,MATCH(454,'Output Utente'!$R$2:$R$492,0)),"")</f>
        <v/>
      </c>
    </row>
    <row r="458" customFormat="false" ht="15" hidden="false" customHeight="true" outlineLevel="0" collapsed="false">
      <c r="A458" s="29" t="n">
        <v>455</v>
      </c>
      <c r="B458" s="26" t="str">
        <f aca="false">IFERROR(INDEX('Output Utente'!$A$2:$A$492,MATCH(455,'Output Utente'!$R$2:$R$492,0)),"")</f>
        <v/>
      </c>
      <c r="C458" s="26" t="str">
        <f aca="false">IFERROR(INDEX('Output Utente'!$B$2:$B$492,MATCH(455,'Output Utente'!$R$2:$R$492,0)),"")</f>
        <v/>
      </c>
      <c r="D458" s="26" t="str">
        <f aca="false">IFERROR(INDEX('Output Utente'!$C$2:$C$492,MATCH(455,'Output Utente'!$R$2:$R$492,0)),"")</f>
        <v/>
      </c>
      <c r="E458" s="26" t="str">
        <f aca="false">IFERROR(INDEX('Input Giocatori 2026_27'!$D$3:$D$493,MATCH($B458,'Input Giocatori 2026_27'!$A$3:$A$493,0)),"")</f>
        <v/>
      </c>
      <c r="F458" s="27" t="str">
        <f aca="false">IFERROR(INDEX('Output Utente'!$N$2:$N$492,MATCH(455,'Output Utente'!$R$2:$R$492,0)),"")</f>
        <v/>
      </c>
      <c r="G458" s="26" t="str">
        <f aca="false">IFERROR(INDEX('Output Utente'!$O$2:$O$492,MATCH(455,'Output Utente'!$R$2:$R$492,0)),"")</f>
        <v/>
      </c>
      <c r="H458" s="26" t="str">
        <f aca="false">IFERROR(INDEX('Output Utente'!$P$2:$P$492,MATCH(455,'Output Utente'!$R$2:$R$492,0)),"")</f>
        <v/>
      </c>
      <c r="I458" s="27" t="str">
        <f aca="false">IFERROR(INDEX('Output Utente'!$F$2:$F$492,MATCH(455,'Output Utente'!$R$2:$R$492,0)),"")</f>
        <v/>
      </c>
      <c r="J458" s="27" t="str">
        <f aca="false">IFERROR(INDEX('Output Utente'!$G$2:$G$492,MATCH(455,'Output Utente'!$R$2:$R$492,0)),"")</f>
        <v/>
      </c>
      <c r="K458" s="27" t="str">
        <f aca="false">IFERROR(INDEX('Output Utente'!$H$2:$H$492,MATCH(455,'Output Utente'!$R$2:$R$492,0)),"")</f>
        <v/>
      </c>
      <c r="L458" s="26" t="str">
        <f aca="false">IFERROR(INDEX('Output Utente'!$E$2:$E$492,MATCH(455,'Output Utente'!$R$2:$R$492,0)),"")</f>
        <v/>
      </c>
    </row>
    <row r="459" customFormat="false" ht="15" hidden="false" customHeight="true" outlineLevel="0" collapsed="false">
      <c r="A459" s="29" t="n">
        <v>456</v>
      </c>
      <c r="B459" s="26" t="str">
        <f aca="false">IFERROR(INDEX('Output Utente'!$A$2:$A$492,MATCH(456,'Output Utente'!$R$2:$R$492,0)),"")</f>
        <v/>
      </c>
      <c r="C459" s="26" t="str">
        <f aca="false">IFERROR(INDEX('Output Utente'!$B$2:$B$492,MATCH(456,'Output Utente'!$R$2:$R$492,0)),"")</f>
        <v/>
      </c>
      <c r="D459" s="26" t="str">
        <f aca="false">IFERROR(INDEX('Output Utente'!$C$2:$C$492,MATCH(456,'Output Utente'!$R$2:$R$492,0)),"")</f>
        <v/>
      </c>
      <c r="E459" s="26" t="str">
        <f aca="false">IFERROR(INDEX('Input Giocatori 2026_27'!$D$3:$D$493,MATCH($B459,'Input Giocatori 2026_27'!$A$3:$A$493,0)),"")</f>
        <v/>
      </c>
      <c r="F459" s="27" t="str">
        <f aca="false">IFERROR(INDEX('Output Utente'!$N$2:$N$492,MATCH(456,'Output Utente'!$R$2:$R$492,0)),"")</f>
        <v/>
      </c>
      <c r="G459" s="26" t="str">
        <f aca="false">IFERROR(INDEX('Output Utente'!$O$2:$O$492,MATCH(456,'Output Utente'!$R$2:$R$492,0)),"")</f>
        <v/>
      </c>
      <c r="H459" s="26" t="str">
        <f aca="false">IFERROR(INDEX('Output Utente'!$P$2:$P$492,MATCH(456,'Output Utente'!$R$2:$R$492,0)),"")</f>
        <v/>
      </c>
      <c r="I459" s="27" t="str">
        <f aca="false">IFERROR(INDEX('Output Utente'!$F$2:$F$492,MATCH(456,'Output Utente'!$R$2:$R$492,0)),"")</f>
        <v/>
      </c>
      <c r="J459" s="27" t="str">
        <f aca="false">IFERROR(INDEX('Output Utente'!$G$2:$G$492,MATCH(456,'Output Utente'!$R$2:$R$492,0)),"")</f>
        <v/>
      </c>
      <c r="K459" s="27" t="str">
        <f aca="false">IFERROR(INDEX('Output Utente'!$H$2:$H$492,MATCH(456,'Output Utente'!$R$2:$R$492,0)),"")</f>
        <v/>
      </c>
      <c r="L459" s="26" t="str">
        <f aca="false">IFERROR(INDEX('Output Utente'!$E$2:$E$492,MATCH(456,'Output Utente'!$R$2:$R$492,0)),"")</f>
        <v/>
      </c>
    </row>
    <row r="460" customFormat="false" ht="15" hidden="false" customHeight="true" outlineLevel="0" collapsed="false">
      <c r="A460" s="29" t="n">
        <v>457</v>
      </c>
      <c r="B460" s="26" t="str">
        <f aca="false">IFERROR(INDEX('Output Utente'!$A$2:$A$492,MATCH(457,'Output Utente'!$R$2:$R$492,0)),"")</f>
        <v/>
      </c>
      <c r="C460" s="26" t="str">
        <f aca="false">IFERROR(INDEX('Output Utente'!$B$2:$B$492,MATCH(457,'Output Utente'!$R$2:$R$492,0)),"")</f>
        <v/>
      </c>
      <c r="D460" s="26" t="str">
        <f aca="false">IFERROR(INDEX('Output Utente'!$C$2:$C$492,MATCH(457,'Output Utente'!$R$2:$R$492,0)),"")</f>
        <v/>
      </c>
      <c r="E460" s="26" t="str">
        <f aca="false">IFERROR(INDEX('Input Giocatori 2026_27'!$D$3:$D$493,MATCH($B460,'Input Giocatori 2026_27'!$A$3:$A$493,0)),"")</f>
        <v/>
      </c>
      <c r="F460" s="27" t="str">
        <f aca="false">IFERROR(INDEX('Output Utente'!$N$2:$N$492,MATCH(457,'Output Utente'!$R$2:$R$492,0)),"")</f>
        <v/>
      </c>
      <c r="G460" s="26" t="str">
        <f aca="false">IFERROR(INDEX('Output Utente'!$O$2:$O$492,MATCH(457,'Output Utente'!$R$2:$R$492,0)),"")</f>
        <v/>
      </c>
      <c r="H460" s="26" t="str">
        <f aca="false">IFERROR(INDEX('Output Utente'!$P$2:$P$492,MATCH(457,'Output Utente'!$R$2:$R$492,0)),"")</f>
        <v/>
      </c>
      <c r="I460" s="27" t="str">
        <f aca="false">IFERROR(INDEX('Output Utente'!$F$2:$F$492,MATCH(457,'Output Utente'!$R$2:$R$492,0)),"")</f>
        <v/>
      </c>
      <c r="J460" s="27" t="str">
        <f aca="false">IFERROR(INDEX('Output Utente'!$G$2:$G$492,MATCH(457,'Output Utente'!$R$2:$R$492,0)),"")</f>
        <v/>
      </c>
      <c r="K460" s="27" t="str">
        <f aca="false">IFERROR(INDEX('Output Utente'!$H$2:$H$492,MATCH(457,'Output Utente'!$R$2:$R$492,0)),"")</f>
        <v/>
      </c>
      <c r="L460" s="26" t="str">
        <f aca="false">IFERROR(INDEX('Output Utente'!$E$2:$E$492,MATCH(457,'Output Utente'!$R$2:$R$492,0)),"")</f>
        <v/>
      </c>
    </row>
    <row r="461" customFormat="false" ht="15" hidden="false" customHeight="true" outlineLevel="0" collapsed="false">
      <c r="A461" s="29" t="n">
        <v>458</v>
      </c>
      <c r="B461" s="26" t="str">
        <f aca="false">IFERROR(INDEX('Output Utente'!$A$2:$A$492,MATCH(458,'Output Utente'!$R$2:$R$492,0)),"")</f>
        <v/>
      </c>
      <c r="C461" s="26" t="str">
        <f aca="false">IFERROR(INDEX('Output Utente'!$B$2:$B$492,MATCH(458,'Output Utente'!$R$2:$R$492,0)),"")</f>
        <v/>
      </c>
      <c r="D461" s="26" t="str">
        <f aca="false">IFERROR(INDEX('Output Utente'!$C$2:$C$492,MATCH(458,'Output Utente'!$R$2:$R$492,0)),"")</f>
        <v/>
      </c>
      <c r="E461" s="26" t="str">
        <f aca="false">IFERROR(INDEX('Input Giocatori 2026_27'!$D$3:$D$493,MATCH($B461,'Input Giocatori 2026_27'!$A$3:$A$493,0)),"")</f>
        <v/>
      </c>
      <c r="F461" s="27" t="str">
        <f aca="false">IFERROR(INDEX('Output Utente'!$N$2:$N$492,MATCH(458,'Output Utente'!$R$2:$R$492,0)),"")</f>
        <v/>
      </c>
      <c r="G461" s="26" t="str">
        <f aca="false">IFERROR(INDEX('Output Utente'!$O$2:$O$492,MATCH(458,'Output Utente'!$R$2:$R$492,0)),"")</f>
        <v/>
      </c>
      <c r="H461" s="26" t="str">
        <f aca="false">IFERROR(INDEX('Output Utente'!$P$2:$P$492,MATCH(458,'Output Utente'!$R$2:$R$492,0)),"")</f>
        <v/>
      </c>
      <c r="I461" s="27" t="str">
        <f aca="false">IFERROR(INDEX('Output Utente'!$F$2:$F$492,MATCH(458,'Output Utente'!$R$2:$R$492,0)),"")</f>
        <v/>
      </c>
      <c r="J461" s="27" t="str">
        <f aca="false">IFERROR(INDEX('Output Utente'!$G$2:$G$492,MATCH(458,'Output Utente'!$R$2:$R$492,0)),"")</f>
        <v/>
      </c>
      <c r="K461" s="27" t="str">
        <f aca="false">IFERROR(INDEX('Output Utente'!$H$2:$H$492,MATCH(458,'Output Utente'!$R$2:$R$492,0)),"")</f>
        <v/>
      </c>
      <c r="L461" s="26" t="str">
        <f aca="false">IFERROR(INDEX('Output Utente'!$E$2:$E$492,MATCH(458,'Output Utente'!$R$2:$R$492,0)),"")</f>
        <v/>
      </c>
    </row>
    <row r="462" customFormat="false" ht="15" hidden="false" customHeight="true" outlineLevel="0" collapsed="false">
      <c r="A462" s="29" t="n">
        <v>459</v>
      </c>
      <c r="B462" s="26" t="str">
        <f aca="false">IFERROR(INDEX('Output Utente'!$A$2:$A$492,MATCH(459,'Output Utente'!$R$2:$R$492,0)),"")</f>
        <v/>
      </c>
      <c r="C462" s="26" t="str">
        <f aca="false">IFERROR(INDEX('Output Utente'!$B$2:$B$492,MATCH(459,'Output Utente'!$R$2:$R$492,0)),"")</f>
        <v/>
      </c>
      <c r="D462" s="26" t="str">
        <f aca="false">IFERROR(INDEX('Output Utente'!$C$2:$C$492,MATCH(459,'Output Utente'!$R$2:$R$492,0)),"")</f>
        <v/>
      </c>
      <c r="E462" s="26" t="str">
        <f aca="false">IFERROR(INDEX('Input Giocatori 2026_27'!$D$3:$D$493,MATCH($B462,'Input Giocatori 2026_27'!$A$3:$A$493,0)),"")</f>
        <v/>
      </c>
      <c r="F462" s="27" t="str">
        <f aca="false">IFERROR(INDEX('Output Utente'!$N$2:$N$492,MATCH(459,'Output Utente'!$R$2:$R$492,0)),"")</f>
        <v/>
      </c>
      <c r="G462" s="26" t="str">
        <f aca="false">IFERROR(INDEX('Output Utente'!$O$2:$O$492,MATCH(459,'Output Utente'!$R$2:$R$492,0)),"")</f>
        <v/>
      </c>
      <c r="H462" s="26" t="str">
        <f aca="false">IFERROR(INDEX('Output Utente'!$P$2:$P$492,MATCH(459,'Output Utente'!$R$2:$R$492,0)),"")</f>
        <v/>
      </c>
      <c r="I462" s="27" t="str">
        <f aca="false">IFERROR(INDEX('Output Utente'!$F$2:$F$492,MATCH(459,'Output Utente'!$R$2:$R$492,0)),"")</f>
        <v/>
      </c>
      <c r="J462" s="27" t="str">
        <f aca="false">IFERROR(INDEX('Output Utente'!$G$2:$G$492,MATCH(459,'Output Utente'!$R$2:$R$492,0)),"")</f>
        <v/>
      </c>
      <c r="K462" s="27" t="str">
        <f aca="false">IFERROR(INDEX('Output Utente'!$H$2:$H$492,MATCH(459,'Output Utente'!$R$2:$R$492,0)),"")</f>
        <v/>
      </c>
      <c r="L462" s="26" t="str">
        <f aca="false">IFERROR(INDEX('Output Utente'!$E$2:$E$492,MATCH(459,'Output Utente'!$R$2:$R$492,0)),"")</f>
        <v/>
      </c>
    </row>
    <row r="463" customFormat="false" ht="15" hidden="false" customHeight="true" outlineLevel="0" collapsed="false">
      <c r="A463" s="29" t="n">
        <v>460</v>
      </c>
      <c r="B463" s="26" t="str">
        <f aca="false">IFERROR(INDEX('Output Utente'!$A$2:$A$492,MATCH(460,'Output Utente'!$R$2:$R$492,0)),"")</f>
        <v/>
      </c>
      <c r="C463" s="26" t="str">
        <f aca="false">IFERROR(INDEX('Output Utente'!$B$2:$B$492,MATCH(460,'Output Utente'!$R$2:$R$492,0)),"")</f>
        <v/>
      </c>
      <c r="D463" s="26" t="str">
        <f aca="false">IFERROR(INDEX('Output Utente'!$C$2:$C$492,MATCH(460,'Output Utente'!$R$2:$R$492,0)),"")</f>
        <v/>
      </c>
      <c r="E463" s="26" t="str">
        <f aca="false">IFERROR(INDEX('Input Giocatori 2026_27'!$D$3:$D$493,MATCH($B463,'Input Giocatori 2026_27'!$A$3:$A$493,0)),"")</f>
        <v/>
      </c>
      <c r="F463" s="27" t="str">
        <f aca="false">IFERROR(INDEX('Output Utente'!$N$2:$N$492,MATCH(460,'Output Utente'!$R$2:$R$492,0)),"")</f>
        <v/>
      </c>
      <c r="G463" s="26" t="str">
        <f aca="false">IFERROR(INDEX('Output Utente'!$O$2:$O$492,MATCH(460,'Output Utente'!$R$2:$R$492,0)),"")</f>
        <v/>
      </c>
      <c r="H463" s="26" t="str">
        <f aca="false">IFERROR(INDEX('Output Utente'!$P$2:$P$492,MATCH(460,'Output Utente'!$R$2:$R$492,0)),"")</f>
        <v/>
      </c>
      <c r="I463" s="27" t="str">
        <f aca="false">IFERROR(INDEX('Output Utente'!$F$2:$F$492,MATCH(460,'Output Utente'!$R$2:$R$492,0)),"")</f>
        <v/>
      </c>
      <c r="J463" s="27" t="str">
        <f aca="false">IFERROR(INDEX('Output Utente'!$G$2:$G$492,MATCH(460,'Output Utente'!$R$2:$R$492,0)),"")</f>
        <v/>
      </c>
      <c r="K463" s="27" t="str">
        <f aca="false">IFERROR(INDEX('Output Utente'!$H$2:$H$492,MATCH(460,'Output Utente'!$R$2:$R$492,0)),"")</f>
        <v/>
      </c>
      <c r="L463" s="26" t="str">
        <f aca="false">IFERROR(INDEX('Output Utente'!$E$2:$E$492,MATCH(460,'Output Utente'!$R$2:$R$492,0)),"")</f>
        <v/>
      </c>
    </row>
    <row r="464" customFormat="false" ht="15" hidden="false" customHeight="true" outlineLevel="0" collapsed="false">
      <c r="A464" s="29" t="n">
        <v>461</v>
      </c>
      <c r="B464" s="26" t="str">
        <f aca="false">IFERROR(INDEX('Output Utente'!$A$2:$A$492,MATCH(461,'Output Utente'!$R$2:$R$492,0)),"")</f>
        <v/>
      </c>
      <c r="C464" s="26" t="str">
        <f aca="false">IFERROR(INDEX('Output Utente'!$B$2:$B$492,MATCH(461,'Output Utente'!$R$2:$R$492,0)),"")</f>
        <v/>
      </c>
      <c r="D464" s="26" t="str">
        <f aca="false">IFERROR(INDEX('Output Utente'!$C$2:$C$492,MATCH(461,'Output Utente'!$R$2:$R$492,0)),"")</f>
        <v/>
      </c>
      <c r="E464" s="26" t="str">
        <f aca="false">IFERROR(INDEX('Input Giocatori 2026_27'!$D$3:$D$493,MATCH($B464,'Input Giocatori 2026_27'!$A$3:$A$493,0)),"")</f>
        <v/>
      </c>
      <c r="F464" s="27" t="str">
        <f aca="false">IFERROR(INDEX('Output Utente'!$N$2:$N$492,MATCH(461,'Output Utente'!$R$2:$R$492,0)),"")</f>
        <v/>
      </c>
      <c r="G464" s="26" t="str">
        <f aca="false">IFERROR(INDEX('Output Utente'!$O$2:$O$492,MATCH(461,'Output Utente'!$R$2:$R$492,0)),"")</f>
        <v/>
      </c>
      <c r="H464" s="26" t="str">
        <f aca="false">IFERROR(INDEX('Output Utente'!$P$2:$P$492,MATCH(461,'Output Utente'!$R$2:$R$492,0)),"")</f>
        <v/>
      </c>
      <c r="I464" s="27" t="str">
        <f aca="false">IFERROR(INDEX('Output Utente'!$F$2:$F$492,MATCH(461,'Output Utente'!$R$2:$R$492,0)),"")</f>
        <v/>
      </c>
      <c r="J464" s="27" t="str">
        <f aca="false">IFERROR(INDEX('Output Utente'!$G$2:$G$492,MATCH(461,'Output Utente'!$R$2:$R$492,0)),"")</f>
        <v/>
      </c>
      <c r="K464" s="27" t="str">
        <f aca="false">IFERROR(INDEX('Output Utente'!$H$2:$H$492,MATCH(461,'Output Utente'!$R$2:$R$492,0)),"")</f>
        <v/>
      </c>
      <c r="L464" s="26" t="str">
        <f aca="false">IFERROR(INDEX('Output Utente'!$E$2:$E$492,MATCH(461,'Output Utente'!$R$2:$R$492,0)),"")</f>
        <v/>
      </c>
    </row>
    <row r="465" customFormat="false" ht="15" hidden="false" customHeight="true" outlineLevel="0" collapsed="false">
      <c r="A465" s="29" t="n">
        <v>462</v>
      </c>
      <c r="B465" s="26" t="str">
        <f aca="false">IFERROR(INDEX('Output Utente'!$A$2:$A$492,MATCH(462,'Output Utente'!$R$2:$R$492,0)),"")</f>
        <v/>
      </c>
      <c r="C465" s="26" t="str">
        <f aca="false">IFERROR(INDEX('Output Utente'!$B$2:$B$492,MATCH(462,'Output Utente'!$R$2:$R$492,0)),"")</f>
        <v/>
      </c>
      <c r="D465" s="26" t="str">
        <f aca="false">IFERROR(INDEX('Output Utente'!$C$2:$C$492,MATCH(462,'Output Utente'!$R$2:$R$492,0)),"")</f>
        <v/>
      </c>
      <c r="E465" s="26" t="str">
        <f aca="false">IFERROR(INDEX('Input Giocatori 2026_27'!$D$3:$D$493,MATCH($B465,'Input Giocatori 2026_27'!$A$3:$A$493,0)),"")</f>
        <v/>
      </c>
      <c r="F465" s="27" t="str">
        <f aca="false">IFERROR(INDEX('Output Utente'!$N$2:$N$492,MATCH(462,'Output Utente'!$R$2:$R$492,0)),"")</f>
        <v/>
      </c>
      <c r="G465" s="26" t="str">
        <f aca="false">IFERROR(INDEX('Output Utente'!$O$2:$O$492,MATCH(462,'Output Utente'!$R$2:$R$492,0)),"")</f>
        <v/>
      </c>
      <c r="H465" s="26" t="str">
        <f aca="false">IFERROR(INDEX('Output Utente'!$P$2:$P$492,MATCH(462,'Output Utente'!$R$2:$R$492,0)),"")</f>
        <v/>
      </c>
      <c r="I465" s="27" t="str">
        <f aca="false">IFERROR(INDEX('Output Utente'!$F$2:$F$492,MATCH(462,'Output Utente'!$R$2:$R$492,0)),"")</f>
        <v/>
      </c>
      <c r="J465" s="27" t="str">
        <f aca="false">IFERROR(INDEX('Output Utente'!$G$2:$G$492,MATCH(462,'Output Utente'!$R$2:$R$492,0)),"")</f>
        <v/>
      </c>
      <c r="K465" s="27" t="str">
        <f aca="false">IFERROR(INDEX('Output Utente'!$H$2:$H$492,MATCH(462,'Output Utente'!$R$2:$R$492,0)),"")</f>
        <v/>
      </c>
      <c r="L465" s="26" t="str">
        <f aca="false">IFERROR(INDEX('Output Utente'!$E$2:$E$492,MATCH(462,'Output Utente'!$R$2:$R$492,0)),"")</f>
        <v/>
      </c>
    </row>
    <row r="466" customFormat="false" ht="15" hidden="false" customHeight="true" outlineLevel="0" collapsed="false">
      <c r="A466" s="29" t="n">
        <v>463</v>
      </c>
      <c r="B466" s="26" t="str">
        <f aca="false">IFERROR(INDEX('Output Utente'!$A$2:$A$492,MATCH(463,'Output Utente'!$R$2:$R$492,0)),"")</f>
        <v/>
      </c>
      <c r="C466" s="26" t="str">
        <f aca="false">IFERROR(INDEX('Output Utente'!$B$2:$B$492,MATCH(463,'Output Utente'!$R$2:$R$492,0)),"")</f>
        <v/>
      </c>
      <c r="D466" s="26" t="str">
        <f aca="false">IFERROR(INDEX('Output Utente'!$C$2:$C$492,MATCH(463,'Output Utente'!$R$2:$R$492,0)),"")</f>
        <v/>
      </c>
      <c r="E466" s="26" t="str">
        <f aca="false">IFERROR(INDEX('Input Giocatori 2026_27'!$D$3:$D$493,MATCH($B466,'Input Giocatori 2026_27'!$A$3:$A$493,0)),"")</f>
        <v/>
      </c>
      <c r="F466" s="27" t="str">
        <f aca="false">IFERROR(INDEX('Output Utente'!$N$2:$N$492,MATCH(463,'Output Utente'!$R$2:$R$492,0)),"")</f>
        <v/>
      </c>
      <c r="G466" s="26" t="str">
        <f aca="false">IFERROR(INDEX('Output Utente'!$O$2:$O$492,MATCH(463,'Output Utente'!$R$2:$R$492,0)),"")</f>
        <v/>
      </c>
      <c r="H466" s="26" t="str">
        <f aca="false">IFERROR(INDEX('Output Utente'!$P$2:$P$492,MATCH(463,'Output Utente'!$R$2:$R$492,0)),"")</f>
        <v/>
      </c>
      <c r="I466" s="27" t="str">
        <f aca="false">IFERROR(INDEX('Output Utente'!$F$2:$F$492,MATCH(463,'Output Utente'!$R$2:$R$492,0)),"")</f>
        <v/>
      </c>
      <c r="J466" s="27" t="str">
        <f aca="false">IFERROR(INDEX('Output Utente'!$G$2:$G$492,MATCH(463,'Output Utente'!$R$2:$R$492,0)),"")</f>
        <v/>
      </c>
      <c r="K466" s="27" t="str">
        <f aca="false">IFERROR(INDEX('Output Utente'!$H$2:$H$492,MATCH(463,'Output Utente'!$R$2:$R$492,0)),"")</f>
        <v/>
      </c>
      <c r="L466" s="26" t="str">
        <f aca="false">IFERROR(INDEX('Output Utente'!$E$2:$E$492,MATCH(463,'Output Utente'!$R$2:$R$492,0)),"")</f>
        <v/>
      </c>
    </row>
    <row r="467" customFormat="false" ht="15" hidden="false" customHeight="true" outlineLevel="0" collapsed="false">
      <c r="A467" s="29" t="n">
        <v>464</v>
      </c>
      <c r="B467" s="26" t="str">
        <f aca="false">IFERROR(INDEX('Output Utente'!$A$2:$A$492,MATCH(464,'Output Utente'!$R$2:$R$492,0)),"")</f>
        <v/>
      </c>
      <c r="C467" s="26" t="str">
        <f aca="false">IFERROR(INDEX('Output Utente'!$B$2:$B$492,MATCH(464,'Output Utente'!$R$2:$R$492,0)),"")</f>
        <v/>
      </c>
      <c r="D467" s="26" t="str">
        <f aca="false">IFERROR(INDEX('Output Utente'!$C$2:$C$492,MATCH(464,'Output Utente'!$R$2:$R$492,0)),"")</f>
        <v/>
      </c>
      <c r="E467" s="26" t="str">
        <f aca="false">IFERROR(INDEX('Input Giocatori 2026_27'!$D$3:$D$493,MATCH($B467,'Input Giocatori 2026_27'!$A$3:$A$493,0)),"")</f>
        <v/>
      </c>
      <c r="F467" s="27" t="str">
        <f aca="false">IFERROR(INDEX('Output Utente'!$N$2:$N$492,MATCH(464,'Output Utente'!$R$2:$R$492,0)),"")</f>
        <v/>
      </c>
      <c r="G467" s="26" t="str">
        <f aca="false">IFERROR(INDEX('Output Utente'!$O$2:$O$492,MATCH(464,'Output Utente'!$R$2:$R$492,0)),"")</f>
        <v/>
      </c>
      <c r="H467" s="26" t="str">
        <f aca="false">IFERROR(INDEX('Output Utente'!$P$2:$P$492,MATCH(464,'Output Utente'!$R$2:$R$492,0)),"")</f>
        <v/>
      </c>
      <c r="I467" s="27" t="str">
        <f aca="false">IFERROR(INDEX('Output Utente'!$F$2:$F$492,MATCH(464,'Output Utente'!$R$2:$R$492,0)),"")</f>
        <v/>
      </c>
      <c r="J467" s="27" t="str">
        <f aca="false">IFERROR(INDEX('Output Utente'!$G$2:$G$492,MATCH(464,'Output Utente'!$R$2:$R$492,0)),"")</f>
        <v/>
      </c>
      <c r="K467" s="27" t="str">
        <f aca="false">IFERROR(INDEX('Output Utente'!$H$2:$H$492,MATCH(464,'Output Utente'!$R$2:$R$492,0)),"")</f>
        <v/>
      </c>
      <c r="L467" s="26" t="str">
        <f aca="false">IFERROR(INDEX('Output Utente'!$E$2:$E$492,MATCH(464,'Output Utente'!$R$2:$R$492,0)),"")</f>
        <v/>
      </c>
    </row>
    <row r="468" customFormat="false" ht="15" hidden="false" customHeight="true" outlineLevel="0" collapsed="false">
      <c r="A468" s="29" t="n">
        <v>465</v>
      </c>
      <c r="B468" s="26" t="str">
        <f aca="false">IFERROR(INDEX('Output Utente'!$A$2:$A$492,MATCH(465,'Output Utente'!$R$2:$R$492,0)),"")</f>
        <v/>
      </c>
      <c r="C468" s="26" t="str">
        <f aca="false">IFERROR(INDEX('Output Utente'!$B$2:$B$492,MATCH(465,'Output Utente'!$R$2:$R$492,0)),"")</f>
        <v/>
      </c>
      <c r="D468" s="26" t="str">
        <f aca="false">IFERROR(INDEX('Output Utente'!$C$2:$C$492,MATCH(465,'Output Utente'!$R$2:$R$492,0)),"")</f>
        <v/>
      </c>
      <c r="E468" s="26" t="str">
        <f aca="false">IFERROR(INDEX('Input Giocatori 2026_27'!$D$3:$D$493,MATCH($B468,'Input Giocatori 2026_27'!$A$3:$A$493,0)),"")</f>
        <v/>
      </c>
      <c r="F468" s="27" t="str">
        <f aca="false">IFERROR(INDEX('Output Utente'!$N$2:$N$492,MATCH(465,'Output Utente'!$R$2:$R$492,0)),"")</f>
        <v/>
      </c>
      <c r="G468" s="26" t="str">
        <f aca="false">IFERROR(INDEX('Output Utente'!$O$2:$O$492,MATCH(465,'Output Utente'!$R$2:$R$492,0)),"")</f>
        <v/>
      </c>
      <c r="H468" s="26" t="str">
        <f aca="false">IFERROR(INDEX('Output Utente'!$P$2:$P$492,MATCH(465,'Output Utente'!$R$2:$R$492,0)),"")</f>
        <v/>
      </c>
      <c r="I468" s="27" t="str">
        <f aca="false">IFERROR(INDEX('Output Utente'!$F$2:$F$492,MATCH(465,'Output Utente'!$R$2:$R$492,0)),"")</f>
        <v/>
      </c>
      <c r="J468" s="27" t="str">
        <f aca="false">IFERROR(INDEX('Output Utente'!$G$2:$G$492,MATCH(465,'Output Utente'!$R$2:$R$492,0)),"")</f>
        <v/>
      </c>
      <c r="K468" s="27" t="str">
        <f aca="false">IFERROR(INDEX('Output Utente'!$H$2:$H$492,MATCH(465,'Output Utente'!$R$2:$R$492,0)),"")</f>
        <v/>
      </c>
      <c r="L468" s="26" t="str">
        <f aca="false">IFERROR(INDEX('Output Utente'!$E$2:$E$492,MATCH(465,'Output Utente'!$R$2:$R$492,0)),"")</f>
        <v/>
      </c>
    </row>
    <row r="469" customFormat="false" ht="15" hidden="false" customHeight="true" outlineLevel="0" collapsed="false">
      <c r="A469" s="29" t="n">
        <v>466</v>
      </c>
      <c r="B469" s="26" t="str">
        <f aca="false">IFERROR(INDEX('Output Utente'!$A$2:$A$492,MATCH(466,'Output Utente'!$R$2:$R$492,0)),"")</f>
        <v/>
      </c>
      <c r="C469" s="26" t="str">
        <f aca="false">IFERROR(INDEX('Output Utente'!$B$2:$B$492,MATCH(466,'Output Utente'!$R$2:$R$492,0)),"")</f>
        <v/>
      </c>
      <c r="D469" s="26" t="str">
        <f aca="false">IFERROR(INDEX('Output Utente'!$C$2:$C$492,MATCH(466,'Output Utente'!$R$2:$R$492,0)),"")</f>
        <v/>
      </c>
      <c r="E469" s="26" t="str">
        <f aca="false">IFERROR(INDEX('Input Giocatori 2026_27'!$D$3:$D$493,MATCH($B469,'Input Giocatori 2026_27'!$A$3:$A$493,0)),"")</f>
        <v/>
      </c>
      <c r="F469" s="27" t="str">
        <f aca="false">IFERROR(INDEX('Output Utente'!$N$2:$N$492,MATCH(466,'Output Utente'!$R$2:$R$492,0)),"")</f>
        <v/>
      </c>
      <c r="G469" s="26" t="str">
        <f aca="false">IFERROR(INDEX('Output Utente'!$O$2:$O$492,MATCH(466,'Output Utente'!$R$2:$R$492,0)),"")</f>
        <v/>
      </c>
      <c r="H469" s="26" t="str">
        <f aca="false">IFERROR(INDEX('Output Utente'!$P$2:$P$492,MATCH(466,'Output Utente'!$R$2:$R$492,0)),"")</f>
        <v/>
      </c>
      <c r="I469" s="27" t="str">
        <f aca="false">IFERROR(INDEX('Output Utente'!$F$2:$F$492,MATCH(466,'Output Utente'!$R$2:$R$492,0)),"")</f>
        <v/>
      </c>
      <c r="J469" s="27" t="str">
        <f aca="false">IFERROR(INDEX('Output Utente'!$G$2:$G$492,MATCH(466,'Output Utente'!$R$2:$R$492,0)),"")</f>
        <v/>
      </c>
      <c r="K469" s="27" t="str">
        <f aca="false">IFERROR(INDEX('Output Utente'!$H$2:$H$492,MATCH(466,'Output Utente'!$R$2:$R$492,0)),"")</f>
        <v/>
      </c>
      <c r="L469" s="26" t="str">
        <f aca="false">IFERROR(INDEX('Output Utente'!$E$2:$E$492,MATCH(466,'Output Utente'!$R$2:$R$492,0)),"")</f>
        <v/>
      </c>
    </row>
    <row r="470" customFormat="false" ht="15" hidden="false" customHeight="true" outlineLevel="0" collapsed="false">
      <c r="A470" s="29" t="n">
        <v>467</v>
      </c>
      <c r="B470" s="26" t="str">
        <f aca="false">IFERROR(INDEX('Output Utente'!$A$2:$A$492,MATCH(467,'Output Utente'!$R$2:$R$492,0)),"")</f>
        <v/>
      </c>
      <c r="C470" s="26" t="str">
        <f aca="false">IFERROR(INDEX('Output Utente'!$B$2:$B$492,MATCH(467,'Output Utente'!$R$2:$R$492,0)),"")</f>
        <v/>
      </c>
      <c r="D470" s="26" t="str">
        <f aca="false">IFERROR(INDEX('Output Utente'!$C$2:$C$492,MATCH(467,'Output Utente'!$R$2:$R$492,0)),"")</f>
        <v/>
      </c>
      <c r="E470" s="26" t="str">
        <f aca="false">IFERROR(INDEX('Input Giocatori 2026_27'!$D$3:$D$493,MATCH($B470,'Input Giocatori 2026_27'!$A$3:$A$493,0)),"")</f>
        <v/>
      </c>
      <c r="F470" s="27" t="str">
        <f aca="false">IFERROR(INDEX('Output Utente'!$N$2:$N$492,MATCH(467,'Output Utente'!$R$2:$R$492,0)),"")</f>
        <v/>
      </c>
      <c r="G470" s="26" t="str">
        <f aca="false">IFERROR(INDEX('Output Utente'!$O$2:$O$492,MATCH(467,'Output Utente'!$R$2:$R$492,0)),"")</f>
        <v/>
      </c>
      <c r="H470" s="26" t="str">
        <f aca="false">IFERROR(INDEX('Output Utente'!$P$2:$P$492,MATCH(467,'Output Utente'!$R$2:$R$492,0)),"")</f>
        <v/>
      </c>
      <c r="I470" s="27" t="str">
        <f aca="false">IFERROR(INDEX('Output Utente'!$F$2:$F$492,MATCH(467,'Output Utente'!$R$2:$R$492,0)),"")</f>
        <v/>
      </c>
      <c r="J470" s="27" t="str">
        <f aca="false">IFERROR(INDEX('Output Utente'!$G$2:$G$492,MATCH(467,'Output Utente'!$R$2:$R$492,0)),"")</f>
        <v/>
      </c>
      <c r="K470" s="27" t="str">
        <f aca="false">IFERROR(INDEX('Output Utente'!$H$2:$H$492,MATCH(467,'Output Utente'!$R$2:$R$492,0)),"")</f>
        <v/>
      </c>
      <c r="L470" s="26" t="str">
        <f aca="false">IFERROR(INDEX('Output Utente'!$E$2:$E$492,MATCH(467,'Output Utente'!$R$2:$R$492,0)),"")</f>
        <v/>
      </c>
    </row>
    <row r="471" customFormat="false" ht="15" hidden="false" customHeight="true" outlineLevel="0" collapsed="false">
      <c r="A471" s="29" t="n">
        <v>468</v>
      </c>
      <c r="B471" s="26" t="str">
        <f aca="false">IFERROR(INDEX('Output Utente'!$A$2:$A$492,MATCH(468,'Output Utente'!$R$2:$R$492,0)),"")</f>
        <v/>
      </c>
      <c r="C471" s="26" t="str">
        <f aca="false">IFERROR(INDEX('Output Utente'!$B$2:$B$492,MATCH(468,'Output Utente'!$R$2:$R$492,0)),"")</f>
        <v/>
      </c>
      <c r="D471" s="26" t="str">
        <f aca="false">IFERROR(INDEX('Output Utente'!$C$2:$C$492,MATCH(468,'Output Utente'!$R$2:$R$492,0)),"")</f>
        <v/>
      </c>
      <c r="E471" s="26" t="str">
        <f aca="false">IFERROR(INDEX('Input Giocatori 2026_27'!$D$3:$D$493,MATCH($B471,'Input Giocatori 2026_27'!$A$3:$A$493,0)),"")</f>
        <v/>
      </c>
      <c r="F471" s="27" t="str">
        <f aca="false">IFERROR(INDEX('Output Utente'!$N$2:$N$492,MATCH(468,'Output Utente'!$R$2:$R$492,0)),"")</f>
        <v/>
      </c>
      <c r="G471" s="26" t="str">
        <f aca="false">IFERROR(INDEX('Output Utente'!$O$2:$O$492,MATCH(468,'Output Utente'!$R$2:$R$492,0)),"")</f>
        <v/>
      </c>
      <c r="H471" s="26" t="str">
        <f aca="false">IFERROR(INDEX('Output Utente'!$P$2:$P$492,MATCH(468,'Output Utente'!$R$2:$R$492,0)),"")</f>
        <v/>
      </c>
      <c r="I471" s="27" t="str">
        <f aca="false">IFERROR(INDEX('Output Utente'!$F$2:$F$492,MATCH(468,'Output Utente'!$R$2:$R$492,0)),"")</f>
        <v/>
      </c>
      <c r="J471" s="27" t="str">
        <f aca="false">IFERROR(INDEX('Output Utente'!$G$2:$G$492,MATCH(468,'Output Utente'!$R$2:$R$492,0)),"")</f>
        <v/>
      </c>
      <c r="K471" s="27" t="str">
        <f aca="false">IFERROR(INDEX('Output Utente'!$H$2:$H$492,MATCH(468,'Output Utente'!$R$2:$R$492,0)),"")</f>
        <v/>
      </c>
      <c r="L471" s="26" t="str">
        <f aca="false">IFERROR(INDEX('Output Utente'!$E$2:$E$492,MATCH(468,'Output Utente'!$R$2:$R$492,0)),"")</f>
        <v/>
      </c>
    </row>
    <row r="472" customFormat="false" ht="15" hidden="false" customHeight="true" outlineLevel="0" collapsed="false">
      <c r="A472" s="29" t="n">
        <v>469</v>
      </c>
      <c r="B472" s="26" t="str">
        <f aca="false">IFERROR(INDEX('Output Utente'!$A$2:$A$492,MATCH(469,'Output Utente'!$R$2:$R$492,0)),"")</f>
        <v/>
      </c>
      <c r="C472" s="26" t="str">
        <f aca="false">IFERROR(INDEX('Output Utente'!$B$2:$B$492,MATCH(469,'Output Utente'!$R$2:$R$492,0)),"")</f>
        <v/>
      </c>
      <c r="D472" s="26" t="str">
        <f aca="false">IFERROR(INDEX('Output Utente'!$C$2:$C$492,MATCH(469,'Output Utente'!$R$2:$R$492,0)),"")</f>
        <v/>
      </c>
      <c r="E472" s="26" t="str">
        <f aca="false">IFERROR(INDEX('Input Giocatori 2026_27'!$D$3:$D$493,MATCH($B472,'Input Giocatori 2026_27'!$A$3:$A$493,0)),"")</f>
        <v/>
      </c>
      <c r="F472" s="27" t="str">
        <f aca="false">IFERROR(INDEX('Output Utente'!$N$2:$N$492,MATCH(469,'Output Utente'!$R$2:$R$492,0)),"")</f>
        <v/>
      </c>
      <c r="G472" s="26" t="str">
        <f aca="false">IFERROR(INDEX('Output Utente'!$O$2:$O$492,MATCH(469,'Output Utente'!$R$2:$R$492,0)),"")</f>
        <v/>
      </c>
      <c r="H472" s="26" t="str">
        <f aca="false">IFERROR(INDEX('Output Utente'!$P$2:$P$492,MATCH(469,'Output Utente'!$R$2:$R$492,0)),"")</f>
        <v/>
      </c>
      <c r="I472" s="27" t="str">
        <f aca="false">IFERROR(INDEX('Output Utente'!$F$2:$F$492,MATCH(469,'Output Utente'!$R$2:$R$492,0)),"")</f>
        <v/>
      </c>
      <c r="J472" s="27" t="str">
        <f aca="false">IFERROR(INDEX('Output Utente'!$G$2:$G$492,MATCH(469,'Output Utente'!$R$2:$R$492,0)),"")</f>
        <v/>
      </c>
      <c r="K472" s="27" t="str">
        <f aca="false">IFERROR(INDEX('Output Utente'!$H$2:$H$492,MATCH(469,'Output Utente'!$R$2:$R$492,0)),"")</f>
        <v/>
      </c>
      <c r="L472" s="26" t="str">
        <f aca="false">IFERROR(INDEX('Output Utente'!$E$2:$E$492,MATCH(469,'Output Utente'!$R$2:$R$492,0)),"")</f>
        <v/>
      </c>
    </row>
    <row r="473" customFormat="false" ht="15" hidden="false" customHeight="true" outlineLevel="0" collapsed="false">
      <c r="A473" s="29" t="n">
        <v>470</v>
      </c>
      <c r="B473" s="26" t="str">
        <f aca="false">IFERROR(INDEX('Output Utente'!$A$2:$A$492,MATCH(470,'Output Utente'!$R$2:$R$492,0)),"")</f>
        <v/>
      </c>
      <c r="C473" s="26" t="str">
        <f aca="false">IFERROR(INDEX('Output Utente'!$B$2:$B$492,MATCH(470,'Output Utente'!$R$2:$R$492,0)),"")</f>
        <v/>
      </c>
      <c r="D473" s="26" t="str">
        <f aca="false">IFERROR(INDEX('Output Utente'!$C$2:$C$492,MATCH(470,'Output Utente'!$R$2:$R$492,0)),"")</f>
        <v/>
      </c>
      <c r="E473" s="26" t="str">
        <f aca="false">IFERROR(INDEX('Input Giocatori 2026_27'!$D$3:$D$493,MATCH($B473,'Input Giocatori 2026_27'!$A$3:$A$493,0)),"")</f>
        <v/>
      </c>
      <c r="F473" s="27" t="str">
        <f aca="false">IFERROR(INDEX('Output Utente'!$N$2:$N$492,MATCH(470,'Output Utente'!$R$2:$R$492,0)),"")</f>
        <v/>
      </c>
      <c r="G473" s="26" t="str">
        <f aca="false">IFERROR(INDEX('Output Utente'!$O$2:$O$492,MATCH(470,'Output Utente'!$R$2:$R$492,0)),"")</f>
        <v/>
      </c>
      <c r="H473" s="26" t="str">
        <f aca="false">IFERROR(INDEX('Output Utente'!$P$2:$P$492,MATCH(470,'Output Utente'!$R$2:$R$492,0)),"")</f>
        <v/>
      </c>
      <c r="I473" s="27" t="str">
        <f aca="false">IFERROR(INDEX('Output Utente'!$F$2:$F$492,MATCH(470,'Output Utente'!$R$2:$R$492,0)),"")</f>
        <v/>
      </c>
      <c r="J473" s="27" t="str">
        <f aca="false">IFERROR(INDEX('Output Utente'!$G$2:$G$492,MATCH(470,'Output Utente'!$R$2:$R$492,0)),"")</f>
        <v/>
      </c>
      <c r="K473" s="27" t="str">
        <f aca="false">IFERROR(INDEX('Output Utente'!$H$2:$H$492,MATCH(470,'Output Utente'!$R$2:$R$492,0)),"")</f>
        <v/>
      </c>
      <c r="L473" s="26" t="str">
        <f aca="false">IFERROR(INDEX('Output Utente'!$E$2:$E$492,MATCH(470,'Output Utente'!$R$2:$R$492,0)),"")</f>
        <v/>
      </c>
    </row>
    <row r="474" customFormat="false" ht="15" hidden="false" customHeight="true" outlineLevel="0" collapsed="false">
      <c r="A474" s="29" t="n">
        <v>471</v>
      </c>
      <c r="B474" s="26" t="str">
        <f aca="false">IFERROR(INDEX('Output Utente'!$A$2:$A$492,MATCH(471,'Output Utente'!$R$2:$R$492,0)),"")</f>
        <v/>
      </c>
      <c r="C474" s="26" t="str">
        <f aca="false">IFERROR(INDEX('Output Utente'!$B$2:$B$492,MATCH(471,'Output Utente'!$R$2:$R$492,0)),"")</f>
        <v/>
      </c>
      <c r="D474" s="26" t="str">
        <f aca="false">IFERROR(INDEX('Output Utente'!$C$2:$C$492,MATCH(471,'Output Utente'!$R$2:$R$492,0)),"")</f>
        <v/>
      </c>
      <c r="E474" s="26" t="str">
        <f aca="false">IFERROR(INDEX('Input Giocatori 2026_27'!$D$3:$D$493,MATCH($B474,'Input Giocatori 2026_27'!$A$3:$A$493,0)),"")</f>
        <v/>
      </c>
      <c r="F474" s="27" t="str">
        <f aca="false">IFERROR(INDEX('Output Utente'!$N$2:$N$492,MATCH(471,'Output Utente'!$R$2:$R$492,0)),"")</f>
        <v/>
      </c>
      <c r="G474" s="26" t="str">
        <f aca="false">IFERROR(INDEX('Output Utente'!$O$2:$O$492,MATCH(471,'Output Utente'!$R$2:$R$492,0)),"")</f>
        <v/>
      </c>
      <c r="H474" s="26" t="str">
        <f aca="false">IFERROR(INDEX('Output Utente'!$P$2:$P$492,MATCH(471,'Output Utente'!$R$2:$R$492,0)),"")</f>
        <v/>
      </c>
      <c r="I474" s="27" t="str">
        <f aca="false">IFERROR(INDEX('Output Utente'!$F$2:$F$492,MATCH(471,'Output Utente'!$R$2:$R$492,0)),"")</f>
        <v/>
      </c>
      <c r="J474" s="27" t="str">
        <f aca="false">IFERROR(INDEX('Output Utente'!$G$2:$G$492,MATCH(471,'Output Utente'!$R$2:$R$492,0)),"")</f>
        <v/>
      </c>
      <c r="K474" s="27" t="str">
        <f aca="false">IFERROR(INDEX('Output Utente'!$H$2:$H$492,MATCH(471,'Output Utente'!$R$2:$R$492,0)),"")</f>
        <v/>
      </c>
      <c r="L474" s="26" t="str">
        <f aca="false">IFERROR(INDEX('Output Utente'!$E$2:$E$492,MATCH(471,'Output Utente'!$R$2:$R$492,0)),"")</f>
        <v/>
      </c>
    </row>
    <row r="475" customFormat="false" ht="15" hidden="false" customHeight="true" outlineLevel="0" collapsed="false">
      <c r="A475" s="29" t="n">
        <v>472</v>
      </c>
      <c r="B475" s="26" t="str">
        <f aca="false">IFERROR(INDEX('Output Utente'!$A$2:$A$492,MATCH(472,'Output Utente'!$R$2:$R$492,0)),"")</f>
        <v/>
      </c>
      <c r="C475" s="26" t="str">
        <f aca="false">IFERROR(INDEX('Output Utente'!$B$2:$B$492,MATCH(472,'Output Utente'!$R$2:$R$492,0)),"")</f>
        <v/>
      </c>
      <c r="D475" s="26" t="str">
        <f aca="false">IFERROR(INDEX('Output Utente'!$C$2:$C$492,MATCH(472,'Output Utente'!$R$2:$R$492,0)),"")</f>
        <v/>
      </c>
      <c r="E475" s="26" t="str">
        <f aca="false">IFERROR(INDEX('Input Giocatori 2026_27'!$D$3:$D$493,MATCH($B475,'Input Giocatori 2026_27'!$A$3:$A$493,0)),"")</f>
        <v/>
      </c>
      <c r="F475" s="27" t="str">
        <f aca="false">IFERROR(INDEX('Output Utente'!$N$2:$N$492,MATCH(472,'Output Utente'!$R$2:$R$492,0)),"")</f>
        <v/>
      </c>
      <c r="G475" s="26" t="str">
        <f aca="false">IFERROR(INDEX('Output Utente'!$O$2:$O$492,MATCH(472,'Output Utente'!$R$2:$R$492,0)),"")</f>
        <v/>
      </c>
      <c r="H475" s="26" t="str">
        <f aca="false">IFERROR(INDEX('Output Utente'!$P$2:$P$492,MATCH(472,'Output Utente'!$R$2:$R$492,0)),"")</f>
        <v/>
      </c>
      <c r="I475" s="27" t="str">
        <f aca="false">IFERROR(INDEX('Output Utente'!$F$2:$F$492,MATCH(472,'Output Utente'!$R$2:$R$492,0)),"")</f>
        <v/>
      </c>
      <c r="J475" s="27" t="str">
        <f aca="false">IFERROR(INDEX('Output Utente'!$G$2:$G$492,MATCH(472,'Output Utente'!$R$2:$R$492,0)),"")</f>
        <v/>
      </c>
      <c r="K475" s="27" t="str">
        <f aca="false">IFERROR(INDEX('Output Utente'!$H$2:$H$492,MATCH(472,'Output Utente'!$R$2:$R$492,0)),"")</f>
        <v/>
      </c>
      <c r="L475" s="26" t="str">
        <f aca="false">IFERROR(INDEX('Output Utente'!$E$2:$E$492,MATCH(472,'Output Utente'!$R$2:$R$492,0)),"")</f>
        <v/>
      </c>
    </row>
    <row r="476" customFormat="false" ht="15" hidden="false" customHeight="true" outlineLevel="0" collapsed="false">
      <c r="A476" s="29" t="n">
        <v>473</v>
      </c>
      <c r="B476" s="26" t="str">
        <f aca="false">IFERROR(INDEX('Output Utente'!$A$2:$A$492,MATCH(473,'Output Utente'!$R$2:$R$492,0)),"")</f>
        <v/>
      </c>
      <c r="C476" s="26" t="str">
        <f aca="false">IFERROR(INDEX('Output Utente'!$B$2:$B$492,MATCH(473,'Output Utente'!$R$2:$R$492,0)),"")</f>
        <v/>
      </c>
      <c r="D476" s="26" t="str">
        <f aca="false">IFERROR(INDEX('Output Utente'!$C$2:$C$492,MATCH(473,'Output Utente'!$R$2:$R$492,0)),"")</f>
        <v/>
      </c>
      <c r="E476" s="26" t="str">
        <f aca="false">IFERROR(INDEX('Input Giocatori 2026_27'!$D$3:$D$493,MATCH($B476,'Input Giocatori 2026_27'!$A$3:$A$493,0)),"")</f>
        <v/>
      </c>
      <c r="F476" s="27" t="str">
        <f aca="false">IFERROR(INDEX('Output Utente'!$N$2:$N$492,MATCH(473,'Output Utente'!$R$2:$R$492,0)),"")</f>
        <v/>
      </c>
      <c r="G476" s="26" t="str">
        <f aca="false">IFERROR(INDEX('Output Utente'!$O$2:$O$492,MATCH(473,'Output Utente'!$R$2:$R$492,0)),"")</f>
        <v/>
      </c>
      <c r="H476" s="26" t="str">
        <f aca="false">IFERROR(INDEX('Output Utente'!$P$2:$P$492,MATCH(473,'Output Utente'!$R$2:$R$492,0)),"")</f>
        <v/>
      </c>
      <c r="I476" s="27" t="str">
        <f aca="false">IFERROR(INDEX('Output Utente'!$F$2:$F$492,MATCH(473,'Output Utente'!$R$2:$R$492,0)),"")</f>
        <v/>
      </c>
      <c r="J476" s="27" t="str">
        <f aca="false">IFERROR(INDEX('Output Utente'!$G$2:$G$492,MATCH(473,'Output Utente'!$R$2:$R$492,0)),"")</f>
        <v/>
      </c>
      <c r="K476" s="27" t="str">
        <f aca="false">IFERROR(INDEX('Output Utente'!$H$2:$H$492,MATCH(473,'Output Utente'!$R$2:$R$492,0)),"")</f>
        <v/>
      </c>
      <c r="L476" s="26" t="str">
        <f aca="false">IFERROR(INDEX('Output Utente'!$E$2:$E$492,MATCH(473,'Output Utente'!$R$2:$R$492,0)),"")</f>
        <v/>
      </c>
    </row>
    <row r="477" customFormat="false" ht="15" hidden="false" customHeight="true" outlineLevel="0" collapsed="false">
      <c r="A477" s="29" t="n">
        <v>474</v>
      </c>
      <c r="B477" s="26" t="str">
        <f aca="false">IFERROR(INDEX('Output Utente'!$A$2:$A$492,MATCH(474,'Output Utente'!$R$2:$R$492,0)),"")</f>
        <v/>
      </c>
      <c r="C477" s="26" t="str">
        <f aca="false">IFERROR(INDEX('Output Utente'!$B$2:$B$492,MATCH(474,'Output Utente'!$R$2:$R$492,0)),"")</f>
        <v/>
      </c>
      <c r="D477" s="26" t="str">
        <f aca="false">IFERROR(INDEX('Output Utente'!$C$2:$C$492,MATCH(474,'Output Utente'!$R$2:$R$492,0)),"")</f>
        <v/>
      </c>
      <c r="E477" s="26" t="str">
        <f aca="false">IFERROR(INDEX('Input Giocatori 2026_27'!$D$3:$D$493,MATCH($B477,'Input Giocatori 2026_27'!$A$3:$A$493,0)),"")</f>
        <v/>
      </c>
      <c r="F477" s="27" t="str">
        <f aca="false">IFERROR(INDEX('Output Utente'!$N$2:$N$492,MATCH(474,'Output Utente'!$R$2:$R$492,0)),"")</f>
        <v/>
      </c>
      <c r="G477" s="26" t="str">
        <f aca="false">IFERROR(INDEX('Output Utente'!$O$2:$O$492,MATCH(474,'Output Utente'!$R$2:$R$492,0)),"")</f>
        <v/>
      </c>
      <c r="H477" s="26" t="str">
        <f aca="false">IFERROR(INDEX('Output Utente'!$P$2:$P$492,MATCH(474,'Output Utente'!$R$2:$R$492,0)),"")</f>
        <v/>
      </c>
      <c r="I477" s="27" t="str">
        <f aca="false">IFERROR(INDEX('Output Utente'!$F$2:$F$492,MATCH(474,'Output Utente'!$R$2:$R$492,0)),"")</f>
        <v/>
      </c>
      <c r="J477" s="27" t="str">
        <f aca="false">IFERROR(INDEX('Output Utente'!$G$2:$G$492,MATCH(474,'Output Utente'!$R$2:$R$492,0)),"")</f>
        <v/>
      </c>
      <c r="K477" s="27" t="str">
        <f aca="false">IFERROR(INDEX('Output Utente'!$H$2:$H$492,MATCH(474,'Output Utente'!$R$2:$R$492,0)),"")</f>
        <v/>
      </c>
      <c r="L477" s="26" t="str">
        <f aca="false">IFERROR(INDEX('Output Utente'!$E$2:$E$492,MATCH(474,'Output Utente'!$R$2:$R$492,0)),"")</f>
        <v/>
      </c>
    </row>
    <row r="478" customFormat="false" ht="15" hidden="false" customHeight="true" outlineLevel="0" collapsed="false">
      <c r="A478" s="29" t="n">
        <v>475</v>
      </c>
      <c r="B478" s="26" t="str">
        <f aca="false">IFERROR(INDEX('Output Utente'!$A$2:$A$492,MATCH(475,'Output Utente'!$R$2:$R$492,0)),"")</f>
        <v/>
      </c>
      <c r="C478" s="26" t="str">
        <f aca="false">IFERROR(INDEX('Output Utente'!$B$2:$B$492,MATCH(475,'Output Utente'!$R$2:$R$492,0)),"")</f>
        <v/>
      </c>
      <c r="D478" s="26" t="str">
        <f aca="false">IFERROR(INDEX('Output Utente'!$C$2:$C$492,MATCH(475,'Output Utente'!$R$2:$R$492,0)),"")</f>
        <v/>
      </c>
      <c r="E478" s="26" t="str">
        <f aca="false">IFERROR(INDEX('Input Giocatori 2026_27'!$D$3:$D$493,MATCH($B478,'Input Giocatori 2026_27'!$A$3:$A$493,0)),"")</f>
        <v/>
      </c>
      <c r="F478" s="27" t="str">
        <f aca="false">IFERROR(INDEX('Output Utente'!$N$2:$N$492,MATCH(475,'Output Utente'!$R$2:$R$492,0)),"")</f>
        <v/>
      </c>
      <c r="G478" s="26" t="str">
        <f aca="false">IFERROR(INDEX('Output Utente'!$O$2:$O$492,MATCH(475,'Output Utente'!$R$2:$R$492,0)),"")</f>
        <v/>
      </c>
      <c r="H478" s="26" t="str">
        <f aca="false">IFERROR(INDEX('Output Utente'!$P$2:$P$492,MATCH(475,'Output Utente'!$R$2:$R$492,0)),"")</f>
        <v/>
      </c>
      <c r="I478" s="27" t="str">
        <f aca="false">IFERROR(INDEX('Output Utente'!$F$2:$F$492,MATCH(475,'Output Utente'!$R$2:$R$492,0)),"")</f>
        <v/>
      </c>
      <c r="J478" s="27" t="str">
        <f aca="false">IFERROR(INDEX('Output Utente'!$G$2:$G$492,MATCH(475,'Output Utente'!$R$2:$R$492,0)),"")</f>
        <v/>
      </c>
      <c r="K478" s="27" t="str">
        <f aca="false">IFERROR(INDEX('Output Utente'!$H$2:$H$492,MATCH(475,'Output Utente'!$R$2:$R$492,0)),"")</f>
        <v/>
      </c>
      <c r="L478" s="26" t="str">
        <f aca="false">IFERROR(INDEX('Output Utente'!$E$2:$E$492,MATCH(475,'Output Utente'!$R$2:$R$492,0)),"")</f>
        <v/>
      </c>
    </row>
    <row r="479" customFormat="false" ht="15" hidden="false" customHeight="true" outlineLevel="0" collapsed="false">
      <c r="A479" s="29" t="n">
        <v>476</v>
      </c>
      <c r="B479" s="26" t="str">
        <f aca="false">IFERROR(INDEX('Output Utente'!$A$2:$A$492,MATCH(476,'Output Utente'!$R$2:$R$492,0)),"")</f>
        <v/>
      </c>
      <c r="C479" s="26" t="str">
        <f aca="false">IFERROR(INDEX('Output Utente'!$B$2:$B$492,MATCH(476,'Output Utente'!$R$2:$R$492,0)),"")</f>
        <v/>
      </c>
      <c r="D479" s="26" t="str">
        <f aca="false">IFERROR(INDEX('Output Utente'!$C$2:$C$492,MATCH(476,'Output Utente'!$R$2:$R$492,0)),"")</f>
        <v/>
      </c>
      <c r="E479" s="26" t="str">
        <f aca="false">IFERROR(INDEX('Input Giocatori 2026_27'!$D$3:$D$493,MATCH($B479,'Input Giocatori 2026_27'!$A$3:$A$493,0)),"")</f>
        <v/>
      </c>
      <c r="F479" s="27" t="str">
        <f aca="false">IFERROR(INDEX('Output Utente'!$N$2:$N$492,MATCH(476,'Output Utente'!$R$2:$R$492,0)),"")</f>
        <v/>
      </c>
      <c r="G479" s="26" t="str">
        <f aca="false">IFERROR(INDEX('Output Utente'!$O$2:$O$492,MATCH(476,'Output Utente'!$R$2:$R$492,0)),"")</f>
        <v/>
      </c>
      <c r="H479" s="26" t="str">
        <f aca="false">IFERROR(INDEX('Output Utente'!$P$2:$P$492,MATCH(476,'Output Utente'!$R$2:$R$492,0)),"")</f>
        <v/>
      </c>
      <c r="I479" s="27" t="str">
        <f aca="false">IFERROR(INDEX('Output Utente'!$F$2:$F$492,MATCH(476,'Output Utente'!$R$2:$R$492,0)),"")</f>
        <v/>
      </c>
      <c r="J479" s="27" t="str">
        <f aca="false">IFERROR(INDEX('Output Utente'!$G$2:$G$492,MATCH(476,'Output Utente'!$R$2:$R$492,0)),"")</f>
        <v/>
      </c>
      <c r="K479" s="27" t="str">
        <f aca="false">IFERROR(INDEX('Output Utente'!$H$2:$H$492,MATCH(476,'Output Utente'!$R$2:$R$492,0)),"")</f>
        <v/>
      </c>
      <c r="L479" s="26" t="str">
        <f aca="false">IFERROR(INDEX('Output Utente'!$E$2:$E$492,MATCH(476,'Output Utente'!$R$2:$R$492,0)),"")</f>
        <v/>
      </c>
    </row>
    <row r="480" customFormat="false" ht="15" hidden="false" customHeight="true" outlineLevel="0" collapsed="false">
      <c r="A480" s="29" t="n">
        <v>477</v>
      </c>
      <c r="B480" s="26" t="str">
        <f aca="false">IFERROR(INDEX('Output Utente'!$A$2:$A$492,MATCH(477,'Output Utente'!$R$2:$R$492,0)),"")</f>
        <v/>
      </c>
      <c r="C480" s="26" t="str">
        <f aca="false">IFERROR(INDEX('Output Utente'!$B$2:$B$492,MATCH(477,'Output Utente'!$R$2:$R$492,0)),"")</f>
        <v/>
      </c>
      <c r="D480" s="26" t="str">
        <f aca="false">IFERROR(INDEX('Output Utente'!$C$2:$C$492,MATCH(477,'Output Utente'!$R$2:$R$492,0)),"")</f>
        <v/>
      </c>
      <c r="E480" s="26" t="str">
        <f aca="false">IFERROR(INDEX('Input Giocatori 2026_27'!$D$3:$D$493,MATCH($B480,'Input Giocatori 2026_27'!$A$3:$A$493,0)),"")</f>
        <v/>
      </c>
      <c r="F480" s="27" t="str">
        <f aca="false">IFERROR(INDEX('Output Utente'!$N$2:$N$492,MATCH(477,'Output Utente'!$R$2:$R$492,0)),"")</f>
        <v/>
      </c>
      <c r="G480" s="26" t="str">
        <f aca="false">IFERROR(INDEX('Output Utente'!$O$2:$O$492,MATCH(477,'Output Utente'!$R$2:$R$492,0)),"")</f>
        <v/>
      </c>
      <c r="H480" s="26" t="str">
        <f aca="false">IFERROR(INDEX('Output Utente'!$P$2:$P$492,MATCH(477,'Output Utente'!$R$2:$R$492,0)),"")</f>
        <v/>
      </c>
      <c r="I480" s="27" t="str">
        <f aca="false">IFERROR(INDEX('Output Utente'!$F$2:$F$492,MATCH(477,'Output Utente'!$R$2:$R$492,0)),"")</f>
        <v/>
      </c>
      <c r="J480" s="27" t="str">
        <f aca="false">IFERROR(INDEX('Output Utente'!$G$2:$G$492,MATCH(477,'Output Utente'!$R$2:$R$492,0)),"")</f>
        <v/>
      </c>
      <c r="K480" s="27" t="str">
        <f aca="false">IFERROR(INDEX('Output Utente'!$H$2:$H$492,MATCH(477,'Output Utente'!$R$2:$R$492,0)),"")</f>
        <v/>
      </c>
      <c r="L480" s="26" t="str">
        <f aca="false">IFERROR(INDEX('Output Utente'!$E$2:$E$492,MATCH(477,'Output Utente'!$R$2:$R$492,0)),"")</f>
        <v/>
      </c>
    </row>
    <row r="481" customFormat="false" ht="15" hidden="false" customHeight="true" outlineLevel="0" collapsed="false">
      <c r="A481" s="29" t="n">
        <v>478</v>
      </c>
      <c r="B481" s="26" t="str">
        <f aca="false">IFERROR(INDEX('Output Utente'!$A$2:$A$492,MATCH(478,'Output Utente'!$R$2:$R$492,0)),"")</f>
        <v/>
      </c>
      <c r="C481" s="26" t="str">
        <f aca="false">IFERROR(INDEX('Output Utente'!$B$2:$B$492,MATCH(478,'Output Utente'!$R$2:$R$492,0)),"")</f>
        <v/>
      </c>
      <c r="D481" s="26" t="str">
        <f aca="false">IFERROR(INDEX('Output Utente'!$C$2:$C$492,MATCH(478,'Output Utente'!$R$2:$R$492,0)),"")</f>
        <v/>
      </c>
      <c r="E481" s="26" t="str">
        <f aca="false">IFERROR(INDEX('Input Giocatori 2026_27'!$D$3:$D$493,MATCH($B481,'Input Giocatori 2026_27'!$A$3:$A$493,0)),"")</f>
        <v/>
      </c>
      <c r="F481" s="27" t="str">
        <f aca="false">IFERROR(INDEX('Output Utente'!$N$2:$N$492,MATCH(478,'Output Utente'!$R$2:$R$492,0)),"")</f>
        <v/>
      </c>
      <c r="G481" s="26" t="str">
        <f aca="false">IFERROR(INDEX('Output Utente'!$O$2:$O$492,MATCH(478,'Output Utente'!$R$2:$R$492,0)),"")</f>
        <v/>
      </c>
      <c r="H481" s="26" t="str">
        <f aca="false">IFERROR(INDEX('Output Utente'!$P$2:$P$492,MATCH(478,'Output Utente'!$R$2:$R$492,0)),"")</f>
        <v/>
      </c>
      <c r="I481" s="27" t="str">
        <f aca="false">IFERROR(INDEX('Output Utente'!$F$2:$F$492,MATCH(478,'Output Utente'!$R$2:$R$492,0)),"")</f>
        <v/>
      </c>
      <c r="J481" s="27" t="str">
        <f aca="false">IFERROR(INDEX('Output Utente'!$G$2:$G$492,MATCH(478,'Output Utente'!$R$2:$R$492,0)),"")</f>
        <v/>
      </c>
      <c r="K481" s="27" t="str">
        <f aca="false">IFERROR(INDEX('Output Utente'!$H$2:$H$492,MATCH(478,'Output Utente'!$R$2:$R$492,0)),"")</f>
        <v/>
      </c>
      <c r="L481" s="26" t="str">
        <f aca="false">IFERROR(INDEX('Output Utente'!$E$2:$E$492,MATCH(478,'Output Utente'!$R$2:$R$492,0)),"")</f>
        <v/>
      </c>
    </row>
    <row r="482" customFormat="false" ht="15" hidden="false" customHeight="true" outlineLevel="0" collapsed="false">
      <c r="A482" s="29" t="n">
        <v>479</v>
      </c>
      <c r="B482" s="26" t="str">
        <f aca="false">IFERROR(INDEX('Output Utente'!$A$2:$A$492,MATCH(479,'Output Utente'!$R$2:$R$492,0)),"")</f>
        <v/>
      </c>
      <c r="C482" s="26" t="str">
        <f aca="false">IFERROR(INDEX('Output Utente'!$B$2:$B$492,MATCH(479,'Output Utente'!$R$2:$R$492,0)),"")</f>
        <v/>
      </c>
      <c r="D482" s="26" t="str">
        <f aca="false">IFERROR(INDEX('Output Utente'!$C$2:$C$492,MATCH(479,'Output Utente'!$R$2:$R$492,0)),"")</f>
        <v/>
      </c>
      <c r="E482" s="26" t="str">
        <f aca="false">IFERROR(INDEX('Input Giocatori 2026_27'!$D$3:$D$493,MATCH($B482,'Input Giocatori 2026_27'!$A$3:$A$493,0)),"")</f>
        <v/>
      </c>
      <c r="F482" s="27" t="str">
        <f aca="false">IFERROR(INDEX('Output Utente'!$N$2:$N$492,MATCH(479,'Output Utente'!$R$2:$R$492,0)),"")</f>
        <v/>
      </c>
      <c r="G482" s="26" t="str">
        <f aca="false">IFERROR(INDEX('Output Utente'!$O$2:$O$492,MATCH(479,'Output Utente'!$R$2:$R$492,0)),"")</f>
        <v/>
      </c>
      <c r="H482" s="26" t="str">
        <f aca="false">IFERROR(INDEX('Output Utente'!$P$2:$P$492,MATCH(479,'Output Utente'!$R$2:$R$492,0)),"")</f>
        <v/>
      </c>
      <c r="I482" s="27" t="str">
        <f aca="false">IFERROR(INDEX('Output Utente'!$F$2:$F$492,MATCH(479,'Output Utente'!$R$2:$R$492,0)),"")</f>
        <v/>
      </c>
      <c r="J482" s="27" t="str">
        <f aca="false">IFERROR(INDEX('Output Utente'!$G$2:$G$492,MATCH(479,'Output Utente'!$R$2:$R$492,0)),"")</f>
        <v/>
      </c>
      <c r="K482" s="27" t="str">
        <f aca="false">IFERROR(INDEX('Output Utente'!$H$2:$H$492,MATCH(479,'Output Utente'!$R$2:$R$492,0)),"")</f>
        <v/>
      </c>
      <c r="L482" s="26" t="str">
        <f aca="false">IFERROR(INDEX('Output Utente'!$E$2:$E$492,MATCH(479,'Output Utente'!$R$2:$R$492,0)),"")</f>
        <v/>
      </c>
    </row>
    <row r="483" customFormat="false" ht="15" hidden="false" customHeight="true" outlineLevel="0" collapsed="false">
      <c r="A483" s="29" t="n">
        <v>480</v>
      </c>
      <c r="B483" s="26" t="str">
        <f aca="false">IFERROR(INDEX('Output Utente'!$A$2:$A$492,MATCH(480,'Output Utente'!$R$2:$R$492,0)),"")</f>
        <v/>
      </c>
      <c r="C483" s="26" t="str">
        <f aca="false">IFERROR(INDEX('Output Utente'!$B$2:$B$492,MATCH(480,'Output Utente'!$R$2:$R$492,0)),"")</f>
        <v/>
      </c>
      <c r="D483" s="26" t="str">
        <f aca="false">IFERROR(INDEX('Output Utente'!$C$2:$C$492,MATCH(480,'Output Utente'!$R$2:$R$492,0)),"")</f>
        <v/>
      </c>
      <c r="E483" s="26" t="str">
        <f aca="false">IFERROR(INDEX('Input Giocatori 2026_27'!$D$3:$D$493,MATCH($B483,'Input Giocatori 2026_27'!$A$3:$A$493,0)),"")</f>
        <v/>
      </c>
      <c r="F483" s="27" t="str">
        <f aca="false">IFERROR(INDEX('Output Utente'!$N$2:$N$492,MATCH(480,'Output Utente'!$R$2:$R$492,0)),"")</f>
        <v/>
      </c>
      <c r="G483" s="26" t="str">
        <f aca="false">IFERROR(INDEX('Output Utente'!$O$2:$O$492,MATCH(480,'Output Utente'!$R$2:$R$492,0)),"")</f>
        <v/>
      </c>
      <c r="H483" s="26" t="str">
        <f aca="false">IFERROR(INDEX('Output Utente'!$P$2:$P$492,MATCH(480,'Output Utente'!$R$2:$R$492,0)),"")</f>
        <v/>
      </c>
      <c r="I483" s="27" t="str">
        <f aca="false">IFERROR(INDEX('Output Utente'!$F$2:$F$492,MATCH(480,'Output Utente'!$R$2:$R$492,0)),"")</f>
        <v/>
      </c>
      <c r="J483" s="27" t="str">
        <f aca="false">IFERROR(INDEX('Output Utente'!$G$2:$G$492,MATCH(480,'Output Utente'!$R$2:$R$492,0)),"")</f>
        <v/>
      </c>
      <c r="K483" s="27" t="str">
        <f aca="false">IFERROR(INDEX('Output Utente'!$H$2:$H$492,MATCH(480,'Output Utente'!$R$2:$R$492,0)),"")</f>
        <v/>
      </c>
      <c r="L483" s="26" t="str">
        <f aca="false">IFERROR(INDEX('Output Utente'!$E$2:$E$492,MATCH(480,'Output Utente'!$R$2:$R$492,0)),"")</f>
        <v/>
      </c>
    </row>
    <row r="484" customFormat="false" ht="15" hidden="false" customHeight="true" outlineLevel="0" collapsed="false">
      <c r="A484" s="29" t="n">
        <v>481</v>
      </c>
      <c r="B484" s="26" t="str">
        <f aca="false">IFERROR(INDEX('Output Utente'!$A$2:$A$492,MATCH(481,'Output Utente'!$R$2:$R$492,0)),"")</f>
        <v/>
      </c>
      <c r="C484" s="26" t="str">
        <f aca="false">IFERROR(INDEX('Output Utente'!$B$2:$B$492,MATCH(481,'Output Utente'!$R$2:$R$492,0)),"")</f>
        <v/>
      </c>
      <c r="D484" s="26" t="str">
        <f aca="false">IFERROR(INDEX('Output Utente'!$C$2:$C$492,MATCH(481,'Output Utente'!$R$2:$R$492,0)),"")</f>
        <v/>
      </c>
      <c r="E484" s="26" t="str">
        <f aca="false">IFERROR(INDEX('Input Giocatori 2026_27'!$D$3:$D$493,MATCH($B484,'Input Giocatori 2026_27'!$A$3:$A$493,0)),"")</f>
        <v/>
      </c>
      <c r="F484" s="27" t="str">
        <f aca="false">IFERROR(INDEX('Output Utente'!$N$2:$N$492,MATCH(481,'Output Utente'!$R$2:$R$492,0)),"")</f>
        <v/>
      </c>
      <c r="G484" s="26" t="str">
        <f aca="false">IFERROR(INDEX('Output Utente'!$O$2:$O$492,MATCH(481,'Output Utente'!$R$2:$R$492,0)),"")</f>
        <v/>
      </c>
      <c r="H484" s="26" t="str">
        <f aca="false">IFERROR(INDEX('Output Utente'!$P$2:$P$492,MATCH(481,'Output Utente'!$R$2:$R$492,0)),"")</f>
        <v/>
      </c>
      <c r="I484" s="27" t="str">
        <f aca="false">IFERROR(INDEX('Output Utente'!$F$2:$F$492,MATCH(481,'Output Utente'!$R$2:$R$492,0)),"")</f>
        <v/>
      </c>
      <c r="J484" s="27" t="str">
        <f aca="false">IFERROR(INDEX('Output Utente'!$G$2:$G$492,MATCH(481,'Output Utente'!$R$2:$R$492,0)),"")</f>
        <v/>
      </c>
      <c r="K484" s="27" t="str">
        <f aca="false">IFERROR(INDEX('Output Utente'!$H$2:$H$492,MATCH(481,'Output Utente'!$R$2:$R$492,0)),"")</f>
        <v/>
      </c>
      <c r="L484" s="26" t="str">
        <f aca="false">IFERROR(INDEX('Output Utente'!$E$2:$E$492,MATCH(481,'Output Utente'!$R$2:$R$492,0)),"")</f>
        <v/>
      </c>
    </row>
    <row r="485" customFormat="false" ht="15" hidden="false" customHeight="true" outlineLevel="0" collapsed="false">
      <c r="A485" s="29" t="n">
        <v>482</v>
      </c>
      <c r="B485" s="26" t="str">
        <f aca="false">IFERROR(INDEX('Output Utente'!$A$2:$A$492,MATCH(482,'Output Utente'!$R$2:$R$492,0)),"")</f>
        <v/>
      </c>
      <c r="C485" s="26" t="str">
        <f aca="false">IFERROR(INDEX('Output Utente'!$B$2:$B$492,MATCH(482,'Output Utente'!$R$2:$R$492,0)),"")</f>
        <v/>
      </c>
      <c r="D485" s="26" t="str">
        <f aca="false">IFERROR(INDEX('Output Utente'!$C$2:$C$492,MATCH(482,'Output Utente'!$R$2:$R$492,0)),"")</f>
        <v/>
      </c>
      <c r="E485" s="26" t="str">
        <f aca="false">IFERROR(INDEX('Input Giocatori 2026_27'!$D$3:$D$493,MATCH($B485,'Input Giocatori 2026_27'!$A$3:$A$493,0)),"")</f>
        <v/>
      </c>
      <c r="F485" s="27" t="str">
        <f aca="false">IFERROR(INDEX('Output Utente'!$N$2:$N$492,MATCH(482,'Output Utente'!$R$2:$R$492,0)),"")</f>
        <v/>
      </c>
      <c r="G485" s="26" t="str">
        <f aca="false">IFERROR(INDEX('Output Utente'!$O$2:$O$492,MATCH(482,'Output Utente'!$R$2:$R$492,0)),"")</f>
        <v/>
      </c>
      <c r="H485" s="26" t="str">
        <f aca="false">IFERROR(INDEX('Output Utente'!$P$2:$P$492,MATCH(482,'Output Utente'!$R$2:$R$492,0)),"")</f>
        <v/>
      </c>
      <c r="I485" s="27" t="str">
        <f aca="false">IFERROR(INDEX('Output Utente'!$F$2:$F$492,MATCH(482,'Output Utente'!$R$2:$R$492,0)),"")</f>
        <v/>
      </c>
      <c r="J485" s="27" t="str">
        <f aca="false">IFERROR(INDEX('Output Utente'!$G$2:$G$492,MATCH(482,'Output Utente'!$R$2:$R$492,0)),"")</f>
        <v/>
      </c>
      <c r="K485" s="27" t="str">
        <f aca="false">IFERROR(INDEX('Output Utente'!$H$2:$H$492,MATCH(482,'Output Utente'!$R$2:$R$492,0)),"")</f>
        <v/>
      </c>
      <c r="L485" s="26" t="str">
        <f aca="false">IFERROR(INDEX('Output Utente'!$E$2:$E$492,MATCH(482,'Output Utente'!$R$2:$R$492,0)),"")</f>
        <v/>
      </c>
    </row>
    <row r="486" customFormat="false" ht="15" hidden="false" customHeight="true" outlineLevel="0" collapsed="false">
      <c r="A486" s="29" t="n">
        <v>483</v>
      </c>
      <c r="B486" s="26" t="str">
        <f aca="false">IFERROR(INDEX('Output Utente'!$A$2:$A$492,MATCH(483,'Output Utente'!$R$2:$R$492,0)),"")</f>
        <v/>
      </c>
      <c r="C486" s="26" t="str">
        <f aca="false">IFERROR(INDEX('Output Utente'!$B$2:$B$492,MATCH(483,'Output Utente'!$R$2:$R$492,0)),"")</f>
        <v/>
      </c>
      <c r="D486" s="26" t="str">
        <f aca="false">IFERROR(INDEX('Output Utente'!$C$2:$C$492,MATCH(483,'Output Utente'!$R$2:$R$492,0)),"")</f>
        <v/>
      </c>
      <c r="E486" s="26" t="str">
        <f aca="false">IFERROR(INDEX('Input Giocatori 2026_27'!$D$3:$D$493,MATCH($B486,'Input Giocatori 2026_27'!$A$3:$A$493,0)),"")</f>
        <v/>
      </c>
      <c r="F486" s="27" t="str">
        <f aca="false">IFERROR(INDEX('Output Utente'!$N$2:$N$492,MATCH(483,'Output Utente'!$R$2:$R$492,0)),"")</f>
        <v/>
      </c>
      <c r="G486" s="26" t="str">
        <f aca="false">IFERROR(INDEX('Output Utente'!$O$2:$O$492,MATCH(483,'Output Utente'!$R$2:$R$492,0)),"")</f>
        <v/>
      </c>
      <c r="H486" s="26" t="str">
        <f aca="false">IFERROR(INDEX('Output Utente'!$P$2:$P$492,MATCH(483,'Output Utente'!$R$2:$R$492,0)),"")</f>
        <v/>
      </c>
      <c r="I486" s="27" t="str">
        <f aca="false">IFERROR(INDEX('Output Utente'!$F$2:$F$492,MATCH(483,'Output Utente'!$R$2:$R$492,0)),"")</f>
        <v/>
      </c>
      <c r="J486" s="27" t="str">
        <f aca="false">IFERROR(INDEX('Output Utente'!$G$2:$G$492,MATCH(483,'Output Utente'!$R$2:$R$492,0)),"")</f>
        <v/>
      </c>
      <c r="K486" s="27" t="str">
        <f aca="false">IFERROR(INDEX('Output Utente'!$H$2:$H$492,MATCH(483,'Output Utente'!$R$2:$R$492,0)),"")</f>
        <v/>
      </c>
      <c r="L486" s="26" t="str">
        <f aca="false">IFERROR(INDEX('Output Utente'!$E$2:$E$492,MATCH(483,'Output Utente'!$R$2:$R$492,0)),"")</f>
        <v/>
      </c>
    </row>
    <row r="487" customFormat="false" ht="15" hidden="false" customHeight="true" outlineLevel="0" collapsed="false">
      <c r="A487" s="29" t="n">
        <v>484</v>
      </c>
      <c r="B487" s="26" t="str">
        <f aca="false">IFERROR(INDEX('Output Utente'!$A$2:$A$492,MATCH(484,'Output Utente'!$R$2:$R$492,0)),"")</f>
        <v/>
      </c>
      <c r="C487" s="26" t="str">
        <f aca="false">IFERROR(INDEX('Output Utente'!$B$2:$B$492,MATCH(484,'Output Utente'!$R$2:$R$492,0)),"")</f>
        <v/>
      </c>
      <c r="D487" s="26" t="str">
        <f aca="false">IFERROR(INDEX('Output Utente'!$C$2:$C$492,MATCH(484,'Output Utente'!$R$2:$R$492,0)),"")</f>
        <v/>
      </c>
      <c r="E487" s="26" t="str">
        <f aca="false">IFERROR(INDEX('Input Giocatori 2026_27'!$D$3:$D$493,MATCH($B487,'Input Giocatori 2026_27'!$A$3:$A$493,0)),"")</f>
        <v/>
      </c>
      <c r="F487" s="27" t="str">
        <f aca="false">IFERROR(INDEX('Output Utente'!$N$2:$N$492,MATCH(484,'Output Utente'!$R$2:$R$492,0)),"")</f>
        <v/>
      </c>
      <c r="G487" s="26" t="str">
        <f aca="false">IFERROR(INDEX('Output Utente'!$O$2:$O$492,MATCH(484,'Output Utente'!$R$2:$R$492,0)),"")</f>
        <v/>
      </c>
      <c r="H487" s="26" t="str">
        <f aca="false">IFERROR(INDEX('Output Utente'!$P$2:$P$492,MATCH(484,'Output Utente'!$R$2:$R$492,0)),"")</f>
        <v/>
      </c>
      <c r="I487" s="27" t="str">
        <f aca="false">IFERROR(INDEX('Output Utente'!$F$2:$F$492,MATCH(484,'Output Utente'!$R$2:$R$492,0)),"")</f>
        <v/>
      </c>
      <c r="J487" s="27" t="str">
        <f aca="false">IFERROR(INDEX('Output Utente'!$G$2:$G$492,MATCH(484,'Output Utente'!$R$2:$R$492,0)),"")</f>
        <v/>
      </c>
      <c r="K487" s="27" t="str">
        <f aca="false">IFERROR(INDEX('Output Utente'!$H$2:$H$492,MATCH(484,'Output Utente'!$R$2:$R$492,0)),"")</f>
        <v/>
      </c>
      <c r="L487" s="26" t="str">
        <f aca="false">IFERROR(INDEX('Output Utente'!$E$2:$E$492,MATCH(484,'Output Utente'!$R$2:$R$492,0)),"")</f>
        <v/>
      </c>
    </row>
    <row r="488" customFormat="false" ht="15" hidden="false" customHeight="true" outlineLevel="0" collapsed="false">
      <c r="A488" s="29" t="n">
        <v>485</v>
      </c>
      <c r="B488" s="26" t="str">
        <f aca="false">IFERROR(INDEX('Output Utente'!$A$2:$A$492,MATCH(485,'Output Utente'!$R$2:$R$492,0)),"")</f>
        <v/>
      </c>
      <c r="C488" s="26" t="str">
        <f aca="false">IFERROR(INDEX('Output Utente'!$B$2:$B$492,MATCH(485,'Output Utente'!$R$2:$R$492,0)),"")</f>
        <v/>
      </c>
      <c r="D488" s="26" t="str">
        <f aca="false">IFERROR(INDEX('Output Utente'!$C$2:$C$492,MATCH(485,'Output Utente'!$R$2:$R$492,0)),"")</f>
        <v/>
      </c>
      <c r="E488" s="26" t="str">
        <f aca="false">IFERROR(INDEX('Input Giocatori 2026_27'!$D$3:$D$493,MATCH($B488,'Input Giocatori 2026_27'!$A$3:$A$493,0)),"")</f>
        <v/>
      </c>
      <c r="F488" s="27" t="str">
        <f aca="false">IFERROR(INDEX('Output Utente'!$N$2:$N$492,MATCH(485,'Output Utente'!$R$2:$R$492,0)),"")</f>
        <v/>
      </c>
      <c r="G488" s="26" t="str">
        <f aca="false">IFERROR(INDEX('Output Utente'!$O$2:$O$492,MATCH(485,'Output Utente'!$R$2:$R$492,0)),"")</f>
        <v/>
      </c>
      <c r="H488" s="26" t="str">
        <f aca="false">IFERROR(INDEX('Output Utente'!$P$2:$P$492,MATCH(485,'Output Utente'!$R$2:$R$492,0)),"")</f>
        <v/>
      </c>
      <c r="I488" s="27" t="str">
        <f aca="false">IFERROR(INDEX('Output Utente'!$F$2:$F$492,MATCH(485,'Output Utente'!$R$2:$R$492,0)),"")</f>
        <v/>
      </c>
      <c r="J488" s="27" t="str">
        <f aca="false">IFERROR(INDEX('Output Utente'!$G$2:$G$492,MATCH(485,'Output Utente'!$R$2:$R$492,0)),"")</f>
        <v/>
      </c>
      <c r="K488" s="27" t="str">
        <f aca="false">IFERROR(INDEX('Output Utente'!$H$2:$H$492,MATCH(485,'Output Utente'!$R$2:$R$492,0)),"")</f>
        <v/>
      </c>
      <c r="L488" s="26" t="str">
        <f aca="false">IFERROR(INDEX('Output Utente'!$E$2:$E$492,MATCH(485,'Output Utente'!$R$2:$R$492,0)),"")</f>
        <v/>
      </c>
    </row>
    <row r="489" customFormat="false" ht="15" hidden="false" customHeight="true" outlineLevel="0" collapsed="false">
      <c r="A489" s="29" t="n">
        <v>486</v>
      </c>
      <c r="B489" s="26" t="str">
        <f aca="false">IFERROR(INDEX('Output Utente'!$A$2:$A$492,MATCH(486,'Output Utente'!$R$2:$R$492,0)),"")</f>
        <v/>
      </c>
      <c r="C489" s="26" t="str">
        <f aca="false">IFERROR(INDEX('Output Utente'!$B$2:$B$492,MATCH(486,'Output Utente'!$R$2:$R$492,0)),"")</f>
        <v/>
      </c>
      <c r="D489" s="26" t="str">
        <f aca="false">IFERROR(INDEX('Output Utente'!$C$2:$C$492,MATCH(486,'Output Utente'!$R$2:$R$492,0)),"")</f>
        <v/>
      </c>
      <c r="E489" s="26" t="str">
        <f aca="false">IFERROR(INDEX('Input Giocatori 2026_27'!$D$3:$D$493,MATCH($B489,'Input Giocatori 2026_27'!$A$3:$A$493,0)),"")</f>
        <v/>
      </c>
      <c r="F489" s="27" t="str">
        <f aca="false">IFERROR(INDEX('Output Utente'!$N$2:$N$492,MATCH(486,'Output Utente'!$R$2:$R$492,0)),"")</f>
        <v/>
      </c>
      <c r="G489" s="26" t="str">
        <f aca="false">IFERROR(INDEX('Output Utente'!$O$2:$O$492,MATCH(486,'Output Utente'!$R$2:$R$492,0)),"")</f>
        <v/>
      </c>
      <c r="H489" s="26" t="str">
        <f aca="false">IFERROR(INDEX('Output Utente'!$P$2:$P$492,MATCH(486,'Output Utente'!$R$2:$R$492,0)),"")</f>
        <v/>
      </c>
      <c r="I489" s="27" t="str">
        <f aca="false">IFERROR(INDEX('Output Utente'!$F$2:$F$492,MATCH(486,'Output Utente'!$R$2:$R$492,0)),"")</f>
        <v/>
      </c>
      <c r="J489" s="27" t="str">
        <f aca="false">IFERROR(INDEX('Output Utente'!$G$2:$G$492,MATCH(486,'Output Utente'!$R$2:$R$492,0)),"")</f>
        <v/>
      </c>
      <c r="K489" s="27" t="str">
        <f aca="false">IFERROR(INDEX('Output Utente'!$H$2:$H$492,MATCH(486,'Output Utente'!$R$2:$R$492,0)),"")</f>
        <v/>
      </c>
      <c r="L489" s="26" t="str">
        <f aca="false">IFERROR(INDEX('Output Utente'!$E$2:$E$492,MATCH(486,'Output Utente'!$R$2:$R$492,0)),"")</f>
        <v/>
      </c>
    </row>
    <row r="490" customFormat="false" ht="15" hidden="false" customHeight="true" outlineLevel="0" collapsed="false">
      <c r="A490" s="29" t="n">
        <v>487</v>
      </c>
      <c r="B490" s="26" t="str">
        <f aca="false">IFERROR(INDEX('Output Utente'!$A$2:$A$492,MATCH(487,'Output Utente'!$R$2:$R$492,0)),"")</f>
        <v/>
      </c>
      <c r="C490" s="26" t="str">
        <f aca="false">IFERROR(INDEX('Output Utente'!$B$2:$B$492,MATCH(487,'Output Utente'!$R$2:$R$492,0)),"")</f>
        <v/>
      </c>
      <c r="D490" s="26" t="str">
        <f aca="false">IFERROR(INDEX('Output Utente'!$C$2:$C$492,MATCH(487,'Output Utente'!$R$2:$R$492,0)),"")</f>
        <v/>
      </c>
      <c r="E490" s="26" t="str">
        <f aca="false">IFERROR(INDEX('Input Giocatori 2026_27'!$D$3:$D$493,MATCH($B490,'Input Giocatori 2026_27'!$A$3:$A$493,0)),"")</f>
        <v/>
      </c>
      <c r="F490" s="27" t="str">
        <f aca="false">IFERROR(INDEX('Output Utente'!$N$2:$N$492,MATCH(487,'Output Utente'!$R$2:$R$492,0)),"")</f>
        <v/>
      </c>
      <c r="G490" s="26" t="str">
        <f aca="false">IFERROR(INDEX('Output Utente'!$O$2:$O$492,MATCH(487,'Output Utente'!$R$2:$R$492,0)),"")</f>
        <v/>
      </c>
      <c r="H490" s="26" t="str">
        <f aca="false">IFERROR(INDEX('Output Utente'!$P$2:$P$492,MATCH(487,'Output Utente'!$R$2:$R$492,0)),"")</f>
        <v/>
      </c>
      <c r="I490" s="27" t="str">
        <f aca="false">IFERROR(INDEX('Output Utente'!$F$2:$F$492,MATCH(487,'Output Utente'!$R$2:$R$492,0)),"")</f>
        <v/>
      </c>
      <c r="J490" s="27" t="str">
        <f aca="false">IFERROR(INDEX('Output Utente'!$G$2:$G$492,MATCH(487,'Output Utente'!$R$2:$R$492,0)),"")</f>
        <v/>
      </c>
      <c r="K490" s="27" t="str">
        <f aca="false">IFERROR(INDEX('Output Utente'!$H$2:$H$492,MATCH(487,'Output Utente'!$R$2:$R$492,0)),"")</f>
        <v/>
      </c>
      <c r="L490" s="26" t="str">
        <f aca="false">IFERROR(INDEX('Output Utente'!$E$2:$E$492,MATCH(487,'Output Utente'!$R$2:$R$492,0)),"")</f>
        <v/>
      </c>
    </row>
    <row r="491" customFormat="false" ht="15" hidden="false" customHeight="true" outlineLevel="0" collapsed="false">
      <c r="A491" s="29" t="n">
        <v>488</v>
      </c>
      <c r="B491" s="26" t="str">
        <f aca="false">IFERROR(INDEX('Output Utente'!$A$2:$A$492,MATCH(488,'Output Utente'!$R$2:$R$492,0)),"")</f>
        <v/>
      </c>
      <c r="C491" s="26" t="str">
        <f aca="false">IFERROR(INDEX('Output Utente'!$B$2:$B$492,MATCH(488,'Output Utente'!$R$2:$R$492,0)),"")</f>
        <v/>
      </c>
      <c r="D491" s="26" t="str">
        <f aca="false">IFERROR(INDEX('Output Utente'!$C$2:$C$492,MATCH(488,'Output Utente'!$R$2:$R$492,0)),"")</f>
        <v/>
      </c>
      <c r="E491" s="26" t="str">
        <f aca="false">IFERROR(INDEX('Input Giocatori 2026_27'!$D$3:$D$493,MATCH($B491,'Input Giocatori 2026_27'!$A$3:$A$493,0)),"")</f>
        <v/>
      </c>
      <c r="F491" s="27" t="str">
        <f aca="false">IFERROR(INDEX('Output Utente'!$N$2:$N$492,MATCH(488,'Output Utente'!$R$2:$R$492,0)),"")</f>
        <v/>
      </c>
      <c r="G491" s="26" t="str">
        <f aca="false">IFERROR(INDEX('Output Utente'!$O$2:$O$492,MATCH(488,'Output Utente'!$R$2:$R$492,0)),"")</f>
        <v/>
      </c>
      <c r="H491" s="26" t="str">
        <f aca="false">IFERROR(INDEX('Output Utente'!$P$2:$P$492,MATCH(488,'Output Utente'!$R$2:$R$492,0)),"")</f>
        <v/>
      </c>
      <c r="I491" s="27" t="str">
        <f aca="false">IFERROR(INDEX('Output Utente'!$F$2:$F$492,MATCH(488,'Output Utente'!$R$2:$R$492,0)),"")</f>
        <v/>
      </c>
      <c r="J491" s="27" t="str">
        <f aca="false">IFERROR(INDEX('Output Utente'!$G$2:$G$492,MATCH(488,'Output Utente'!$R$2:$R$492,0)),"")</f>
        <v/>
      </c>
      <c r="K491" s="27" t="str">
        <f aca="false">IFERROR(INDEX('Output Utente'!$H$2:$H$492,MATCH(488,'Output Utente'!$R$2:$R$492,0)),"")</f>
        <v/>
      </c>
      <c r="L491" s="26" t="str">
        <f aca="false">IFERROR(INDEX('Output Utente'!$E$2:$E$492,MATCH(488,'Output Utente'!$R$2:$R$492,0)),"")</f>
        <v/>
      </c>
    </row>
    <row r="492" customFormat="false" ht="15" hidden="false" customHeight="true" outlineLevel="0" collapsed="false">
      <c r="A492" s="29" t="n">
        <v>489</v>
      </c>
      <c r="B492" s="26" t="str">
        <f aca="false">IFERROR(INDEX('Output Utente'!$A$2:$A$492,MATCH(489,'Output Utente'!$R$2:$R$492,0)),"")</f>
        <v/>
      </c>
      <c r="C492" s="26" t="str">
        <f aca="false">IFERROR(INDEX('Output Utente'!$B$2:$B$492,MATCH(489,'Output Utente'!$R$2:$R$492,0)),"")</f>
        <v/>
      </c>
      <c r="D492" s="26" t="str">
        <f aca="false">IFERROR(INDEX('Output Utente'!$C$2:$C$492,MATCH(489,'Output Utente'!$R$2:$R$492,0)),"")</f>
        <v/>
      </c>
      <c r="E492" s="26" t="str">
        <f aca="false">IFERROR(INDEX('Input Giocatori 2026_27'!$D$3:$D$493,MATCH($B492,'Input Giocatori 2026_27'!$A$3:$A$493,0)),"")</f>
        <v/>
      </c>
      <c r="F492" s="27" t="str">
        <f aca="false">IFERROR(INDEX('Output Utente'!$N$2:$N$492,MATCH(489,'Output Utente'!$R$2:$R$492,0)),"")</f>
        <v/>
      </c>
      <c r="G492" s="26" t="str">
        <f aca="false">IFERROR(INDEX('Output Utente'!$O$2:$O$492,MATCH(489,'Output Utente'!$R$2:$R$492,0)),"")</f>
        <v/>
      </c>
      <c r="H492" s="26" t="str">
        <f aca="false">IFERROR(INDEX('Output Utente'!$P$2:$P$492,MATCH(489,'Output Utente'!$R$2:$R$492,0)),"")</f>
        <v/>
      </c>
      <c r="I492" s="27" t="str">
        <f aca="false">IFERROR(INDEX('Output Utente'!$F$2:$F$492,MATCH(489,'Output Utente'!$R$2:$R$492,0)),"")</f>
        <v/>
      </c>
      <c r="J492" s="27" t="str">
        <f aca="false">IFERROR(INDEX('Output Utente'!$G$2:$G$492,MATCH(489,'Output Utente'!$R$2:$R$492,0)),"")</f>
        <v/>
      </c>
      <c r="K492" s="27" t="str">
        <f aca="false">IFERROR(INDEX('Output Utente'!$H$2:$H$492,MATCH(489,'Output Utente'!$R$2:$R$492,0)),"")</f>
        <v/>
      </c>
      <c r="L492" s="26" t="str">
        <f aca="false">IFERROR(INDEX('Output Utente'!$E$2:$E$492,MATCH(489,'Output Utente'!$R$2:$R$492,0)),"")</f>
        <v/>
      </c>
    </row>
    <row r="493" customFormat="false" ht="15" hidden="false" customHeight="true" outlineLevel="0" collapsed="false">
      <c r="A493" s="29" t="n">
        <v>490</v>
      </c>
      <c r="B493" s="26" t="str">
        <f aca="false">IFERROR(INDEX('Output Utente'!$A$2:$A$492,MATCH(490,'Output Utente'!$R$2:$R$492,0)),"")</f>
        <v/>
      </c>
      <c r="C493" s="26" t="str">
        <f aca="false">IFERROR(INDEX('Output Utente'!$B$2:$B$492,MATCH(490,'Output Utente'!$R$2:$R$492,0)),"")</f>
        <v/>
      </c>
      <c r="D493" s="26" t="str">
        <f aca="false">IFERROR(INDEX('Output Utente'!$C$2:$C$492,MATCH(490,'Output Utente'!$R$2:$R$492,0)),"")</f>
        <v/>
      </c>
      <c r="E493" s="26" t="str">
        <f aca="false">IFERROR(INDEX('Input Giocatori 2026_27'!$D$3:$D$493,MATCH($B493,'Input Giocatori 2026_27'!$A$3:$A$493,0)),"")</f>
        <v/>
      </c>
      <c r="F493" s="27" t="str">
        <f aca="false">IFERROR(INDEX('Output Utente'!$N$2:$N$492,MATCH(490,'Output Utente'!$R$2:$R$492,0)),"")</f>
        <v/>
      </c>
      <c r="G493" s="26" t="str">
        <f aca="false">IFERROR(INDEX('Output Utente'!$O$2:$O$492,MATCH(490,'Output Utente'!$R$2:$R$492,0)),"")</f>
        <v/>
      </c>
      <c r="H493" s="26" t="str">
        <f aca="false">IFERROR(INDEX('Output Utente'!$P$2:$P$492,MATCH(490,'Output Utente'!$R$2:$R$492,0)),"")</f>
        <v/>
      </c>
      <c r="I493" s="27" t="str">
        <f aca="false">IFERROR(INDEX('Output Utente'!$F$2:$F$492,MATCH(490,'Output Utente'!$R$2:$R$492,0)),"")</f>
        <v/>
      </c>
      <c r="J493" s="27" t="str">
        <f aca="false">IFERROR(INDEX('Output Utente'!$G$2:$G$492,MATCH(490,'Output Utente'!$R$2:$R$492,0)),"")</f>
        <v/>
      </c>
      <c r="K493" s="27" t="str">
        <f aca="false">IFERROR(INDEX('Output Utente'!$H$2:$H$492,MATCH(490,'Output Utente'!$R$2:$R$492,0)),"")</f>
        <v/>
      </c>
      <c r="L493" s="26" t="str">
        <f aca="false">IFERROR(INDEX('Output Utente'!$E$2:$E$492,MATCH(490,'Output Utente'!$R$2:$R$492,0)),"")</f>
        <v/>
      </c>
    </row>
    <row r="494" customFormat="false" ht="15" hidden="false" customHeight="true" outlineLevel="0" collapsed="false">
      <c r="A494" s="29" t="n">
        <v>491</v>
      </c>
      <c r="B494" s="26" t="str">
        <f aca="false">IFERROR(INDEX('Output Utente'!$A$2:$A$492,MATCH(491,'Output Utente'!$R$2:$R$492,0)),"")</f>
        <v/>
      </c>
      <c r="C494" s="26" t="str">
        <f aca="false">IFERROR(INDEX('Output Utente'!$B$2:$B$492,MATCH(491,'Output Utente'!$R$2:$R$492,0)),"")</f>
        <v/>
      </c>
      <c r="D494" s="26" t="str">
        <f aca="false">IFERROR(INDEX('Output Utente'!$C$2:$C$492,MATCH(491,'Output Utente'!$R$2:$R$492,0)),"")</f>
        <v/>
      </c>
      <c r="E494" s="26" t="str">
        <f aca="false">IFERROR(INDEX('Input Giocatori 2026_27'!$D$3:$D$493,MATCH($B494,'Input Giocatori 2026_27'!$A$3:$A$493,0)),"")</f>
        <v/>
      </c>
      <c r="F494" s="27" t="str">
        <f aca="false">IFERROR(INDEX('Output Utente'!$N$2:$N$492,MATCH(491,'Output Utente'!$R$2:$R$492,0)),"")</f>
        <v/>
      </c>
      <c r="G494" s="26" t="str">
        <f aca="false">IFERROR(INDEX('Output Utente'!$O$2:$O$492,MATCH(491,'Output Utente'!$R$2:$R$492,0)),"")</f>
        <v/>
      </c>
      <c r="H494" s="26" t="str">
        <f aca="false">IFERROR(INDEX('Output Utente'!$P$2:$P$492,MATCH(491,'Output Utente'!$R$2:$R$492,0)),"")</f>
        <v/>
      </c>
      <c r="I494" s="27" t="str">
        <f aca="false">IFERROR(INDEX('Output Utente'!$F$2:$F$492,MATCH(491,'Output Utente'!$R$2:$R$492,0)),"")</f>
        <v/>
      </c>
      <c r="J494" s="27" t="str">
        <f aca="false">IFERROR(INDEX('Output Utente'!$G$2:$G$492,MATCH(491,'Output Utente'!$R$2:$R$492,0)),"")</f>
        <v/>
      </c>
      <c r="K494" s="27" t="str">
        <f aca="false">IFERROR(INDEX('Output Utente'!$H$2:$H$492,MATCH(491,'Output Utente'!$R$2:$R$492,0)),"")</f>
        <v/>
      </c>
      <c r="L494" s="26" t="str">
        <f aca="false">IFERROR(INDEX('Output Utente'!$E$2:$E$492,MATCH(491,'Output Utente'!$R$2:$R$492,0)),"")</f>
        <v/>
      </c>
    </row>
  </sheetData>
  <autoFilter ref="A3:L494"/>
  <mergeCells count="3">
    <mergeCell ref="A1:K1"/>
    <mergeCell ref="N1:P1"/>
    <mergeCell ref="R6:U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7"/>
    <col collapsed="false" customWidth="true" hidden="false" outlineLevel="0" max="2" min="2" style="1" width="4"/>
    <col collapsed="false" customWidth="true" hidden="false" outlineLevel="0" max="3" min="3" style="1" width="5"/>
    <col collapsed="false" customWidth="true" hidden="false" outlineLevel="0" max="4" min="4" style="1" width="20"/>
    <col collapsed="false" customWidth="true" hidden="false" outlineLevel="0" max="5" min="5" style="1" width="14"/>
    <col collapsed="false" customWidth="true" hidden="false" outlineLevel="0" max="6" min="6" style="1" width="5"/>
    <col collapsed="false" customWidth="true" hidden="false" outlineLevel="0" max="8" min="7" style="1" width="6"/>
    <col collapsed="false" customWidth="true" hidden="false" outlineLevel="0" max="15" min="9" style="1" width="5"/>
    <col collapsed="false" customWidth="true" hidden="false" outlineLevel="0" max="16" min="16" style="1" width="6"/>
    <col collapsed="false" customWidth="true" hidden="false" outlineLevel="0" max="18" min="17" style="1" width="5"/>
  </cols>
  <sheetData>
    <row r="1" customFormat="false" ht="15.75" hidden="false" customHeight="true" outlineLevel="0" collapsed="false">
      <c r="A1" s="55" t="s">
        <v>725</v>
      </c>
      <c r="B1" s="55"/>
      <c r="C1" s="55"/>
      <c r="D1" s="55"/>
      <c r="E1" s="55"/>
      <c r="F1" s="55"/>
      <c r="G1" s="55"/>
      <c r="H1" s="55"/>
      <c r="I1" s="55"/>
      <c r="J1" s="55"/>
      <c r="K1" s="55"/>
      <c r="L1" s="55"/>
      <c r="M1" s="55"/>
      <c r="N1" s="55"/>
      <c r="O1" s="55"/>
      <c r="P1" s="55"/>
      <c r="Q1" s="55"/>
      <c r="R1" s="55"/>
    </row>
    <row r="2" customFormat="false" ht="15" hidden="false" customHeight="true" outlineLevel="0" collapsed="false">
      <c r="A2" s="12" t="s">
        <v>105</v>
      </c>
      <c r="B2" s="12" t="s">
        <v>106</v>
      </c>
      <c r="C2" s="12" t="s">
        <v>726</v>
      </c>
      <c r="D2" s="12" t="s">
        <v>107</v>
      </c>
      <c r="E2" s="12" t="s">
        <v>108</v>
      </c>
      <c r="F2" s="12" t="s">
        <v>727</v>
      </c>
      <c r="G2" s="12" t="s">
        <v>728</v>
      </c>
      <c r="H2" s="12" t="s">
        <v>729</v>
      </c>
      <c r="I2" s="12" t="s">
        <v>730</v>
      </c>
      <c r="J2" s="12" t="s">
        <v>731</v>
      </c>
      <c r="K2" s="12" t="s">
        <v>732</v>
      </c>
      <c r="L2" s="12" t="s">
        <v>733</v>
      </c>
      <c r="M2" s="12" t="s">
        <v>734</v>
      </c>
      <c r="N2" s="12" t="s">
        <v>735</v>
      </c>
      <c r="O2" s="12" t="s">
        <v>736</v>
      </c>
      <c r="P2" s="12" t="s">
        <v>737</v>
      </c>
      <c r="Q2" s="12" t="s">
        <v>738</v>
      </c>
      <c r="R2" s="12" t="s">
        <v>739</v>
      </c>
    </row>
    <row r="3" customFormat="false" ht="15" hidden="false" customHeight="true" outlineLevel="0" collapsed="false">
      <c r="A3" s="7" t="n">
        <v>4431</v>
      </c>
      <c r="B3" s="7" t="s">
        <v>43</v>
      </c>
      <c r="C3" s="7" t="s">
        <v>740</v>
      </c>
      <c r="D3" s="7" t="s">
        <v>116</v>
      </c>
      <c r="E3" s="7" t="s">
        <v>117</v>
      </c>
      <c r="F3" s="7" t="n">
        <v>37</v>
      </c>
      <c r="G3" s="7" t="n">
        <v>6.36</v>
      </c>
      <c r="H3" s="7" t="n">
        <v>5.58</v>
      </c>
      <c r="I3" s="7" t="n">
        <v>0</v>
      </c>
      <c r="J3" s="7" t="n">
        <v>35</v>
      </c>
      <c r="K3" s="7" t="n">
        <v>2</v>
      </c>
      <c r="L3" s="7" t="n">
        <v>0</v>
      </c>
      <c r="M3" s="7" t="n">
        <v>0</v>
      </c>
      <c r="N3" s="7" t="n">
        <v>0</v>
      </c>
      <c r="O3" s="7" t="n">
        <v>0</v>
      </c>
      <c r="P3" s="7" t="n">
        <v>0</v>
      </c>
      <c r="Q3" s="7" t="n">
        <v>0</v>
      </c>
      <c r="R3" s="7" t="n">
        <v>0</v>
      </c>
    </row>
    <row r="4" customFormat="false" ht="15" hidden="false" customHeight="true" outlineLevel="0" collapsed="false">
      <c r="A4" s="7" t="n">
        <v>2170</v>
      </c>
      <c r="B4" s="7" t="s">
        <v>43</v>
      </c>
      <c r="C4" s="7" t="s">
        <v>740</v>
      </c>
      <c r="D4" s="7" t="s">
        <v>150</v>
      </c>
      <c r="E4" s="7" t="s">
        <v>125</v>
      </c>
      <c r="F4" s="7" t="n">
        <v>27</v>
      </c>
      <c r="G4" s="7" t="n">
        <v>6.2</v>
      </c>
      <c r="H4" s="7" t="n">
        <v>5.65</v>
      </c>
      <c r="I4" s="7" t="n">
        <v>0</v>
      </c>
      <c r="J4" s="7" t="n">
        <v>24</v>
      </c>
      <c r="K4" s="7" t="n">
        <v>3</v>
      </c>
      <c r="L4" s="7" t="n">
        <v>0</v>
      </c>
      <c r="M4" s="7" t="n">
        <v>0</v>
      </c>
      <c r="N4" s="7" t="n">
        <v>0</v>
      </c>
      <c r="O4" s="7" t="n">
        <v>0</v>
      </c>
      <c r="P4" s="7" t="n">
        <v>0</v>
      </c>
      <c r="Q4" s="7" t="n">
        <v>0</v>
      </c>
      <c r="R4" s="7" t="n">
        <v>0</v>
      </c>
    </row>
    <row r="5" customFormat="false" ht="15" hidden="false" customHeight="true" outlineLevel="0" collapsed="false">
      <c r="A5" s="7" t="n">
        <v>5841</v>
      </c>
      <c r="B5" s="7" t="s">
        <v>43</v>
      </c>
      <c r="C5" s="7" t="s">
        <v>740</v>
      </c>
      <c r="D5" s="7" t="s">
        <v>112</v>
      </c>
      <c r="E5" s="7" t="s">
        <v>113</v>
      </c>
      <c r="F5" s="7" t="n">
        <v>38</v>
      </c>
      <c r="G5" s="7" t="n">
        <v>6.26</v>
      </c>
      <c r="H5" s="7" t="n">
        <v>5.45</v>
      </c>
      <c r="I5" s="7" t="n">
        <v>0</v>
      </c>
      <c r="J5" s="7" t="n">
        <v>31</v>
      </c>
      <c r="K5" s="7" t="n">
        <v>0</v>
      </c>
      <c r="L5" s="7" t="n">
        <v>0</v>
      </c>
      <c r="M5" s="7" t="n">
        <v>0</v>
      </c>
      <c r="N5" s="7" t="n">
        <v>0</v>
      </c>
      <c r="O5" s="7" t="n">
        <v>0</v>
      </c>
      <c r="P5" s="7" t="n">
        <v>0</v>
      </c>
      <c r="Q5" s="7" t="n">
        <v>0</v>
      </c>
      <c r="R5" s="7" t="n">
        <v>0</v>
      </c>
    </row>
    <row r="6" customFormat="false" ht="15" hidden="false" customHeight="true" outlineLevel="0" collapsed="false">
      <c r="A6" s="7" t="n">
        <v>6966</v>
      </c>
      <c r="B6" s="7" t="s">
        <v>43</v>
      </c>
      <c r="C6" s="7" t="s">
        <v>740</v>
      </c>
      <c r="D6" s="7" t="s">
        <v>118</v>
      </c>
      <c r="E6" s="7" t="s">
        <v>119</v>
      </c>
      <c r="F6" s="7" t="n">
        <v>38</v>
      </c>
      <c r="G6" s="7" t="n">
        <v>6.07</v>
      </c>
      <c r="H6" s="7" t="n">
        <v>5.37</v>
      </c>
      <c r="I6" s="7" t="n">
        <v>0</v>
      </c>
      <c r="J6" s="7" t="n">
        <v>29</v>
      </c>
      <c r="K6" s="7" t="n">
        <v>1</v>
      </c>
      <c r="L6" s="7" t="n">
        <v>0</v>
      </c>
      <c r="M6" s="7" t="n">
        <v>0</v>
      </c>
      <c r="N6" s="7" t="n">
        <v>0</v>
      </c>
      <c r="O6" s="7" t="n">
        <v>1</v>
      </c>
      <c r="P6" s="7" t="n">
        <v>3</v>
      </c>
      <c r="Q6" s="7" t="n">
        <v>0</v>
      </c>
      <c r="R6" s="7" t="n">
        <v>0</v>
      </c>
    </row>
    <row r="7" customFormat="false" ht="15" hidden="false" customHeight="true" outlineLevel="0" collapsed="false">
      <c r="A7" s="7" t="n">
        <v>4312</v>
      </c>
      <c r="B7" s="7" t="s">
        <v>43</v>
      </c>
      <c r="C7" s="7" t="s">
        <v>740</v>
      </c>
      <c r="D7" s="7" t="s">
        <v>120</v>
      </c>
      <c r="E7" s="7" t="s">
        <v>121</v>
      </c>
      <c r="F7" s="7" t="n">
        <v>37</v>
      </c>
      <c r="G7" s="7" t="n">
        <v>6.26</v>
      </c>
      <c r="H7" s="7" t="n">
        <v>5.42</v>
      </c>
      <c r="I7" s="7" t="n">
        <v>0</v>
      </c>
      <c r="J7" s="7" t="n">
        <v>35</v>
      </c>
      <c r="K7" s="7" t="n">
        <v>2</v>
      </c>
      <c r="L7" s="7" t="n">
        <v>0</v>
      </c>
      <c r="M7" s="7" t="n">
        <v>0</v>
      </c>
      <c r="N7" s="7" t="n">
        <v>0</v>
      </c>
      <c r="O7" s="7" t="n">
        <v>0</v>
      </c>
      <c r="P7" s="7" t="n">
        <v>4</v>
      </c>
      <c r="Q7" s="7" t="n">
        <v>0</v>
      </c>
      <c r="R7" s="7" t="n">
        <v>0</v>
      </c>
    </row>
    <row r="8" customFormat="false" ht="15" hidden="false" customHeight="true" outlineLevel="0" collapsed="false">
      <c r="A8" s="7" t="n">
        <v>5876</v>
      </c>
      <c r="B8" s="7" t="s">
        <v>43</v>
      </c>
      <c r="C8" s="7" t="s">
        <v>740</v>
      </c>
      <c r="D8" s="7" t="s">
        <v>130</v>
      </c>
      <c r="E8" s="7" t="s">
        <v>131</v>
      </c>
      <c r="F8" s="7" t="n">
        <v>30</v>
      </c>
      <c r="G8" s="7" t="n">
        <v>6.08</v>
      </c>
      <c r="H8" s="7" t="n">
        <v>5.33</v>
      </c>
      <c r="I8" s="7" t="n">
        <v>0</v>
      </c>
      <c r="J8" s="7" t="n">
        <v>25</v>
      </c>
      <c r="K8" s="7" t="n">
        <v>1</v>
      </c>
      <c r="L8" s="7" t="n">
        <v>0</v>
      </c>
      <c r="M8" s="7" t="n">
        <v>0</v>
      </c>
      <c r="N8" s="7" t="n">
        <v>0</v>
      </c>
      <c r="O8" s="7" t="n">
        <v>0</v>
      </c>
      <c r="P8" s="7" t="n">
        <v>1</v>
      </c>
      <c r="Q8" s="7" t="n">
        <v>0</v>
      </c>
      <c r="R8" s="7" t="n">
        <v>0</v>
      </c>
    </row>
    <row r="9" customFormat="false" ht="15" hidden="false" customHeight="true" outlineLevel="0" collapsed="false">
      <c r="A9" s="7" t="n">
        <v>2134</v>
      </c>
      <c r="B9" s="7" t="s">
        <v>43</v>
      </c>
      <c r="C9" s="7" t="s">
        <v>740</v>
      </c>
      <c r="D9" s="7" t="s">
        <v>138</v>
      </c>
      <c r="E9" s="7" t="s">
        <v>139</v>
      </c>
      <c r="F9" s="7" t="n">
        <v>38</v>
      </c>
      <c r="G9" s="7" t="n">
        <v>6.41</v>
      </c>
      <c r="H9" s="7" t="n">
        <v>5.22</v>
      </c>
      <c r="I9" s="7" t="n">
        <v>0</v>
      </c>
      <c r="J9" s="7" t="n">
        <v>50</v>
      </c>
      <c r="K9" s="7" t="n">
        <v>2</v>
      </c>
      <c r="L9" s="7" t="n">
        <v>0</v>
      </c>
      <c r="M9" s="7" t="n">
        <v>0</v>
      </c>
      <c r="N9" s="7" t="n">
        <v>0</v>
      </c>
      <c r="O9" s="7" t="n">
        <v>0</v>
      </c>
      <c r="P9" s="7" t="n">
        <v>2</v>
      </c>
      <c r="Q9" s="7" t="n">
        <v>0</v>
      </c>
      <c r="R9" s="7" t="n">
        <v>0</v>
      </c>
    </row>
    <row r="10" customFormat="false" ht="15" hidden="false" customHeight="true" outlineLevel="0" collapsed="false">
      <c r="A10" s="7" t="n">
        <v>6462</v>
      </c>
      <c r="B10" s="7" t="s">
        <v>43</v>
      </c>
      <c r="C10" s="7" t="s">
        <v>740</v>
      </c>
      <c r="D10" s="7" t="s">
        <v>134</v>
      </c>
      <c r="E10" s="7" t="s">
        <v>135</v>
      </c>
      <c r="F10" s="7" t="n">
        <v>30</v>
      </c>
      <c r="G10" s="7" t="n">
        <v>6.07</v>
      </c>
      <c r="H10" s="7" t="n">
        <v>5.08</v>
      </c>
      <c r="I10" s="7" t="n">
        <v>0</v>
      </c>
      <c r="J10" s="7" t="n">
        <v>32</v>
      </c>
      <c r="K10" s="7" t="n">
        <v>1</v>
      </c>
      <c r="L10" s="7" t="n">
        <v>0</v>
      </c>
      <c r="M10" s="7" t="n">
        <v>0</v>
      </c>
      <c r="N10" s="7" t="n">
        <v>0</v>
      </c>
      <c r="O10" s="7" t="n">
        <v>1</v>
      </c>
      <c r="P10" s="7" t="n">
        <v>1</v>
      </c>
      <c r="Q10" s="7" t="n">
        <v>1</v>
      </c>
      <c r="R10" s="7" t="n">
        <v>0</v>
      </c>
    </row>
    <row r="11" customFormat="false" ht="15" hidden="false" customHeight="true" outlineLevel="0" collapsed="false">
      <c r="A11" s="7" t="n">
        <v>2428</v>
      </c>
      <c r="B11" s="7" t="s">
        <v>43</v>
      </c>
      <c r="C11" s="7" t="s">
        <v>740</v>
      </c>
      <c r="D11" s="7" t="s">
        <v>741</v>
      </c>
      <c r="E11" s="7" t="s">
        <v>115</v>
      </c>
      <c r="F11" s="7" t="n">
        <v>33</v>
      </c>
      <c r="G11" s="7" t="n">
        <v>5.92</v>
      </c>
      <c r="H11" s="7" t="n">
        <v>5.02</v>
      </c>
      <c r="I11" s="7" t="n">
        <v>0</v>
      </c>
      <c r="J11" s="7" t="n">
        <v>30</v>
      </c>
      <c r="K11" s="7" t="n">
        <v>0</v>
      </c>
      <c r="L11" s="7" t="n">
        <v>0</v>
      </c>
      <c r="M11" s="7" t="n">
        <v>0</v>
      </c>
      <c r="N11" s="7" t="n">
        <v>0</v>
      </c>
      <c r="O11" s="7" t="n">
        <v>0</v>
      </c>
      <c r="P11" s="7" t="n">
        <v>0</v>
      </c>
      <c r="Q11" s="7" t="n">
        <v>0</v>
      </c>
      <c r="R11" s="7" t="n">
        <v>0</v>
      </c>
    </row>
    <row r="12" customFormat="false" ht="15" hidden="false" customHeight="true" outlineLevel="0" collapsed="false">
      <c r="A12" s="7" t="n">
        <v>4360</v>
      </c>
      <c r="B12" s="7" t="s">
        <v>43</v>
      </c>
      <c r="C12" s="7" t="s">
        <v>740</v>
      </c>
      <c r="D12" s="7" t="s">
        <v>128</v>
      </c>
      <c r="E12" s="7" t="s">
        <v>129</v>
      </c>
      <c r="F12" s="7" t="n">
        <v>38</v>
      </c>
      <c r="G12" s="7" t="n">
        <v>6.29</v>
      </c>
      <c r="H12" s="7" t="n">
        <v>4.87</v>
      </c>
      <c r="I12" s="7" t="n">
        <v>0</v>
      </c>
      <c r="J12" s="7" t="n">
        <v>53</v>
      </c>
      <c r="K12" s="7" t="n">
        <v>0</v>
      </c>
      <c r="L12" s="7" t="n">
        <v>0</v>
      </c>
      <c r="M12" s="7" t="n">
        <v>0</v>
      </c>
      <c r="N12" s="7" t="n">
        <v>0</v>
      </c>
      <c r="O12" s="7" t="n">
        <v>0</v>
      </c>
      <c r="P12" s="7" t="n">
        <v>2</v>
      </c>
      <c r="Q12" s="7" t="n">
        <v>0</v>
      </c>
      <c r="R12" s="7" t="n">
        <v>0</v>
      </c>
    </row>
    <row r="13" customFormat="false" ht="15" hidden="false" customHeight="true" outlineLevel="0" collapsed="false">
      <c r="A13" s="7" t="n">
        <v>761</v>
      </c>
      <c r="B13" s="7" t="s">
        <v>43</v>
      </c>
      <c r="C13" s="7" t="s">
        <v>740</v>
      </c>
      <c r="D13" s="7" t="s">
        <v>742</v>
      </c>
      <c r="E13" s="7" t="s">
        <v>743</v>
      </c>
      <c r="F13" s="7" t="n">
        <v>34</v>
      </c>
      <c r="G13" s="7" t="n">
        <v>6.21</v>
      </c>
      <c r="H13" s="7" t="n">
        <v>4.91</v>
      </c>
      <c r="I13" s="7" t="n">
        <v>0</v>
      </c>
      <c r="J13" s="7" t="n">
        <v>50</v>
      </c>
      <c r="K13" s="7" t="n">
        <v>2</v>
      </c>
      <c r="L13" s="7" t="n">
        <v>0</v>
      </c>
      <c r="M13" s="7" t="n">
        <v>0</v>
      </c>
      <c r="N13" s="7" t="n">
        <v>0</v>
      </c>
      <c r="O13" s="7" t="n">
        <v>0</v>
      </c>
      <c r="P13" s="7" t="n">
        <v>0</v>
      </c>
      <c r="Q13" s="7" t="n">
        <v>0</v>
      </c>
      <c r="R13" s="7" t="n">
        <v>0</v>
      </c>
    </row>
    <row r="14" customFormat="false" ht="15" hidden="false" customHeight="true" outlineLevel="0" collapsed="false">
      <c r="A14" s="7" t="n">
        <v>2521</v>
      </c>
      <c r="B14" s="7" t="s">
        <v>43</v>
      </c>
      <c r="C14" s="7" t="s">
        <v>740</v>
      </c>
      <c r="D14" s="7" t="s">
        <v>122</v>
      </c>
      <c r="E14" s="7" t="s">
        <v>123</v>
      </c>
      <c r="F14" s="7" t="n">
        <v>37</v>
      </c>
      <c r="G14" s="7" t="n">
        <v>6.24</v>
      </c>
      <c r="H14" s="7" t="n">
        <v>5</v>
      </c>
      <c r="I14" s="7" t="n">
        <v>0</v>
      </c>
      <c r="J14" s="7" t="n">
        <v>49</v>
      </c>
      <c r="K14" s="7" t="n">
        <v>1</v>
      </c>
      <c r="L14" s="7" t="n">
        <v>0</v>
      </c>
      <c r="M14" s="7" t="n">
        <v>0</v>
      </c>
      <c r="N14" s="7" t="n">
        <v>0</v>
      </c>
      <c r="O14" s="7" t="n">
        <v>0</v>
      </c>
      <c r="P14" s="7" t="n">
        <v>0</v>
      </c>
      <c r="Q14" s="7" t="n">
        <v>0</v>
      </c>
      <c r="R14" s="7" t="n">
        <v>0</v>
      </c>
    </row>
    <row r="15" customFormat="false" ht="15" hidden="false" customHeight="true" outlineLevel="0" collapsed="false">
      <c r="A15" s="7" t="n">
        <v>4957</v>
      </c>
      <c r="B15" s="7" t="s">
        <v>43</v>
      </c>
      <c r="C15" s="7" t="s">
        <v>740</v>
      </c>
      <c r="D15" s="7" t="s">
        <v>744</v>
      </c>
      <c r="E15" s="7" t="s">
        <v>745</v>
      </c>
      <c r="F15" s="7" t="n">
        <v>35</v>
      </c>
      <c r="G15" s="7" t="n">
        <v>6.2</v>
      </c>
      <c r="H15" s="7" t="n">
        <v>4.94</v>
      </c>
      <c r="I15" s="7" t="n">
        <v>0</v>
      </c>
      <c r="J15" s="7" t="n">
        <v>54</v>
      </c>
      <c r="K15" s="7" t="n">
        <v>3</v>
      </c>
      <c r="L15" s="7" t="n">
        <v>0</v>
      </c>
      <c r="M15" s="7" t="n">
        <v>0</v>
      </c>
      <c r="N15" s="7" t="n">
        <v>0</v>
      </c>
      <c r="O15" s="7" t="n">
        <v>1</v>
      </c>
      <c r="P15" s="7" t="n">
        <v>0</v>
      </c>
      <c r="Q15" s="7" t="n">
        <v>0</v>
      </c>
      <c r="R15" s="7" t="n">
        <v>0</v>
      </c>
    </row>
    <row r="16" customFormat="false" ht="15" hidden="false" customHeight="true" outlineLevel="0" collapsed="false">
      <c r="A16" s="7" t="n">
        <v>133</v>
      </c>
      <c r="B16" s="7" t="s">
        <v>43</v>
      </c>
      <c r="C16" s="7" t="s">
        <v>740</v>
      </c>
      <c r="D16" s="7" t="s">
        <v>126</v>
      </c>
      <c r="E16" s="7" t="s">
        <v>127</v>
      </c>
      <c r="F16" s="7" t="n">
        <v>18</v>
      </c>
      <c r="G16" s="7" t="n">
        <v>6.19</v>
      </c>
      <c r="H16" s="7" t="n">
        <v>5.28</v>
      </c>
      <c r="I16" s="7" t="n">
        <v>0</v>
      </c>
      <c r="J16" s="7" t="n">
        <v>15</v>
      </c>
      <c r="K16" s="7" t="n">
        <v>0</v>
      </c>
      <c r="L16" s="7" t="n">
        <v>0</v>
      </c>
      <c r="M16" s="7" t="n">
        <v>0</v>
      </c>
      <c r="N16" s="7" t="n">
        <v>0</v>
      </c>
      <c r="O16" s="7" t="n">
        <v>0</v>
      </c>
      <c r="P16" s="7" t="n">
        <v>1</v>
      </c>
      <c r="Q16" s="7" t="n">
        <v>1</v>
      </c>
      <c r="R16" s="7" t="n">
        <v>0</v>
      </c>
    </row>
    <row r="17" customFormat="false" ht="15" hidden="false" customHeight="true" outlineLevel="0" collapsed="false">
      <c r="A17" s="7" t="n">
        <v>2814</v>
      </c>
      <c r="B17" s="7" t="s">
        <v>43</v>
      </c>
      <c r="C17" s="7" t="s">
        <v>740</v>
      </c>
      <c r="D17" s="7" t="s">
        <v>154</v>
      </c>
      <c r="E17" s="7" t="s">
        <v>133</v>
      </c>
      <c r="F17" s="7" t="n">
        <v>27</v>
      </c>
      <c r="G17" s="7" t="n">
        <v>6.26</v>
      </c>
      <c r="H17" s="7" t="n">
        <v>5.35</v>
      </c>
      <c r="I17" s="7" t="n">
        <v>0</v>
      </c>
      <c r="J17" s="7" t="n">
        <v>27</v>
      </c>
      <c r="K17" s="7" t="n">
        <v>1</v>
      </c>
      <c r="L17" s="7" t="n">
        <v>0</v>
      </c>
      <c r="M17" s="7" t="n">
        <v>0</v>
      </c>
      <c r="N17" s="7" t="n">
        <v>0</v>
      </c>
      <c r="O17" s="7" t="n">
        <v>0</v>
      </c>
      <c r="P17" s="7" t="n">
        <v>1</v>
      </c>
      <c r="Q17" s="7" t="n">
        <v>0</v>
      </c>
      <c r="R17" s="7" t="n">
        <v>0</v>
      </c>
    </row>
    <row r="18" customFormat="false" ht="15" hidden="false" customHeight="true" outlineLevel="0" collapsed="false">
      <c r="A18" s="7" t="n">
        <v>6641</v>
      </c>
      <c r="B18" s="7" t="s">
        <v>43</v>
      </c>
      <c r="C18" s="7" t="s">
        <v>740</v>
      </c>
      <c r="D18" s="7" t="s">
        <v>142</v>
      </c>
      <c r="E18" s="7" t="s">
        <v>141</v>
      </c>
      <c r="F18" s="7" t="n">
        <v>20</v>
      </c>
      <c r="G18" s="7" t="n">
        <v>6.02</v>
      </c>
      <c r="H18" s="7" t="n">
        <v>4.75</v>
      </c>
      <c r="I18" s="7" t="n">
        <v>0</v>
      </c>
      <c r="J18" s="7" t="n">
        <v>28</v>
      </c>
      <c r="K18" s="7" t="n">
        <v>1</v>
      </c>
      <c r="L18" s="7" t="n">
        <v>0</v>
      </c>
      <c r="M18" s="7" t="n">
        <v>0</v>
      </c>
      <c r="N18" s="7" t="n">
        <v>0</v>
      </c>
      <c r="O18" s="7" t="n">
        <v>0</v>
      </c>
      <c r="P18" s="7" t="n">
        <v>1</v>
      </c>
      <c r="Q18" s="7" t="n">
        <v>0</v>
      </c>
      <c r="R18" s="7" t="n">
        <v>0</v>
      </c>
    </row>
    <row r="19" customFormat="false" ht="15" hidden="false" customHeight="true" outlineLevel="0" collapsed="false">
      <c r="A19" s="7" t="n">
        <v>4236</v>
      </c>
      <c r="B19" s="7" t="s">
        <v>43</v>
      </c>
      <c r="C19" s="7" t="s">
        <v>740</v>
      </c>
      <c r="D19" s="7" t="s">
        <v>143</v>
      </c>
      <c r="E19" s="7" t="s">
        <v>144</v>
      </c>
      <c r="F19" s="7" t="n">
        <v>32</v>
      </c>
      <c r="G19" s="7" t="n">
        <v>6.08</v>
      </c>
      <c r="H19" s="7" t="n">
        <v>4.77</v>
      </c>
      <c r="I19" s="7" t="n">
        <v>0</v>
      </c>
      <c r="J19" s="7" t="n">
        <v>43</v>
      </c>
      <c r="K19" s="7" t="n">
        <v>1</v>
      </c>
      <c r="L19" s="7" t="n">
        <v>0</v>
      </c>
      <c r="M19" s="7" t="n">
        <v>0</v>
      </c>
      <c r="N19" s="7" t="n">
        <v>0</v>
      </c>
      <c r="O19" s="7" t="n">
        <v>0</v>
      </c>
      <c r="P19" s="7" t="n">
        <v>4</v>
      </c>
      <c r="Q19" s="7" t="n">
        <v>0</v>
      </c>
      <c r="R19" s="7" t="n">
        <v>0</v>
      </c>
    </row>
    <row r="20" customFormat="false" ht="15" hidden="false" customHeight="true" outlineLevel="0" collapsed="false">
      <c r="A20" s="7" t="n">
        <v>7332</v>
      </c>
      <c r="B20" s="7" t="s">
        <v>43</v>
      </c>
      <c r="C20" s="7" t="s">
        <v>740</v>
      </c>
      <c r="D20" s="7" t="s">
        <v>136</v>
      </c>
      <c r="E20" s="7" t="s">
        <v>137</v>
      </c>
      <c r="F20" s="7" t="n">
        <v>16</v>
      </c>
      <c r="G20" s="7" t="n">
        <v>6.06</v>
      </c>
      <c r="H20" s="7" t="n">
        <v>4.78</v>
      </c>
      <c r="I20" s="7" t="n">
        <v>0</v>
      </c>
      <c r="J20" s="7" t="n">
        <v>20</v>
      </c>
      <c r="K20" s="7" t="n">
        <v>0</v>
      </c>
      <c r="L20" s="7" t="n">
        <v>0</v>
      </c>
      <c r="M20" s="7" t="n">
        <v>0</v>
      </c>
      <c r="N20" s="7" t="n">
        <v>0</v>
      </c>
      <c r="O20" s="7" t="n">
        <v>0</v>
      </c>
      <c r="P20" s="7" t="n">
        <v>1</v>
      </c>
      <c r="Q20" s="7" t="n">
        <v>0</v>
      </c>
      <c r="R20" s="7" t="n">
        <v>0</v>
      </c>
    </row>
    <row r="21" customFormat="false" ht="15" hidden="false" customHeight="true" outlineLevel="0" collapsed="false">
      <c r="A21" s="7" t="n">
        <v>188</v>
      </c>
      <c r="B21" s="7" t="s">
        <v>43</v>
      </c>
      <c r="C21" s="7" t="s">
        <v>740</v>
      </c>
      <c r="D21" s="7" t="s">
        <v>746</v>
      </c>
      <c r="E21" s="7" t="s">
        <v>137</v>
      </c>
      <c r="F21" s="7" t="n">
        <v>22</v>
      </c>
      <c r="G21" s="7" t="n">
        <v>6.16</v>
      </c>
      <c r="H21" s="7" t="n">
        <v>4.84</v>
      </c>
      <c r="I21" s="7" t="n">
        <v>0</v>
      </c>
      <c r="J21" s="7" t="n">
        <v>27</v>
      </c>
      <c r="K21" s="7" t="n">
        <v>0</v>
      </c>
      <c r="L21" s="7" t="n">
        <v>0</v>
      </c>
      <c r="M21" s="7" t="n">
        <v>0</v>
      </c>
      <c r="N21" s="7" t="n">
        <v>0</v>
      </c>
      <c r="O21" s="7" t="n">
        <v>0</v>
      </c>
      <c r="P21" s="7" t="n">
        <v>2</v>
      </c>
      <c r="Q21" s="7" t="n">
        <v>1</v>
      </c>
      <c r="R21" s="7" t="n">
        <v>0</v>
      </c>
    </row>
    <row r="22" customFormat="false" ht="15" hidden="false" customHeight="true" outlineLevel="0" collapsed="false">
      <c r="A22" s="7" t="n">
        <v>6662</v>
      </c>
      <c r="B22" s="7" t="s">
        <v>43</v>
      </c>
      <c r="C22" s="7" t="s">
        <v>740</v>
      </c>
      <c r="D22" s="7" t="s">
        <v>178</v>
      </c>
      <c r="E22" s="7" t="s">
        <v>141</v>
      </c>
      <c r="F22" s="7" t="n">
        <v>17</v>
      </c>
      <c r="G22" s="7" t="n">
        <v>6.18</v>
      </c>
      <c r="H22" s="7" t="n">
        <v>5.09</v>
      </c>
      <c r="I22" s="7" t="n">
        <v>0</v>
      </c>
      <c r="J22" s="7" t="n">
        <v>18</v>
      </c>
      <c r="K22" s="7" t="n">
        <v>0</v>
      </c>
      <c r="L22" s="7" t="n">
        <v>0</v>
      </c>
      <c r="M22" s="7" t="n">
        <v>0</v>
      </c>
      <c r="N22" s="7" t="n">
        <v>0</v>
      </c>
      <c r="O22" s="7" t="n">
        <v>0</v>
      </c>
      <c r="P22" s="7" t="n">
        <v>1</v>
      </c>
      <c r="Q22" s="7" t="n">
        <v>0</v>
      </c>
      <c r="R22" s="7" t="n">
        <v>0</v>
      </c>
    </row>
    <row r="23" customFormat="false" ht="15" hidden="false" customHeight="true" outlineLevel="0" collapsed="false">
      <c r="A23" s="7" t="n">
        <v>5320</v>
      </c>
      <c r="B23" s="7" t="s">
        <v>43</v>
      </c>
      <c r="C23" s="7" t="s">
        <v>740</v>
      </c>
      <c r="D23" s="7" t="s">
        <v>185</v>
      </c>
      <c r="E23" s="7" t="s">
        <v>184</v>
      </c>
      <c r="F23" s="7" t="n">
        <v>29</v>
      </c>
      <c r="G23" s="7" t="n">
        <v>6.09</v>
      </c>
      <c r="H23" s="7" t="n">
        <v>4.52</v>
      </c>
      <c r="I23" s="7" t="n">
        <v>0</v>
      </c>
      <c r="J23" s="7" t="n">
        <v>45</v>
      </c>
      <c r="K23" s="7" t="n">
        <v>0</v>
      </c>
      <c r="L23" s="7" t="n">
        <v>0</v>
      </c>
      <c r="M23" s="7" t="n">
        <v>0</v>
      </c>
      <c r="N23" s="7" t="n">
        <v>0</v>
      </c>
      <c r="O23" s="7" t="n">
        <v>0</v>
      </c>
      <c r="P23" s="7" t="n">
        <v>1</v>
      </c>
      <c r="Q23" s="7" t="n">
        <v>0</v>
      </c>
      <c r="R23" s="7" t="n">
        <v>0</v>
      </c>
    </row>
    <row r="24" customFormat="false" ht="15" hidden="false" customHeight="true" outlineLevel="0" collapsed="false">
      <c r="A24" s="7" t="n">
        <v>218</v>
      </c>
      <c r="B24" s="7" t="s">
        <v>43</v>
      </c>
      <c r="C24" s="7" t="s">
        <v>740</v>
      </c>
      <c r="D24" s="7" t="s">
        <v>145</v>
      </c>
      <c r="E24" s="7" t="s">
        <v>131</v>
      </c>
      <c r="F24" s="7" t="n">
        <v>9</v>
      </c>
      <c r="G24" s="7" t="n">
        <v>6.11</v>
      </c>
      <c r="H24" s="7" t="n">
        <v>5.11</v>
      </c>
      <c r="I24" s="7" t="n">
        <v>0</v>
      </c>
      <c r="J24" s="7" t="n">
        <v>9</v>
      </c>
      <c r="K24" s="7" t="n">
        <v>0</v>
      </c>
      <c r="L24" s="7" t="n">
        <v>0</v>
      </c>
      <c r="M24" s="7" t="n">
        <v>0</v>
      </c>
      <c r="N24" s="7" t="n">
        <v>0</v>
      </c>
      <c r="O24" s="7" t="n">
        <v>0</v>
      </c>
      <c r="P24" s="7" t="n">
        <v>0</v>
      </c>
      <c r="Q24" s="7" t="n">
        <v>0</v>
      </c>
      <c r="R24" s="7" t="n">
        <v>0</v>
      </c>
    </row>
    <row r="25" customFormat="false" ht="15" hidden="false" customHeight="true" outlineLevel="0" collapsed="false">
      <c r="A25" s="7" t="n">
        <v>572</v>
      </c>
      <c r="B25" s="7" t="s">
        <v>43</v>
      </c>
      <c r="C25" s="7" t="s">
        <v>740</v>
      </c>
      <c r="D25" s="7" t="s">
        <v>124</v>
      </c>
      <c r="E25" s="7" t="s">
        <v>125</v>
      </c>
      <c r="F25" s="7" t="n">
        <v>11</v>
      </c>
      <c r="G25" s="7" t="n">
        <v>6.23</v>
      </c>
      <c r="H25" s="7" t="n">
        <v>5.18</v>
      </c>
      <c r="I25" s="7" t="n">
        <v>0</v>
      </c>
      <c r="J25" s="7" t="n">
        <v>12</v>
      </c>
      <c r="K25" s="7" t="n">
        <v>0</v>
      </c>
      <c r="L25" s="7" t="n">
        <v>0</v>
      </c>
      <c r="M25" s="7" t="n">
        <v>0</v>
      </c>
      <c r="N25" s="7" t="n">
        <v>0</v>
      </c>
      <c r="O25" s="7" t="n">
        <v>1</v>
      </c>
      <c r="P25" s="7" t="n">
        <v>1</v>
      </c>
      <c r="Q25" s="7" t="n">
        <v>0</v>
      </c>
      <c r="R25" s="7" t="n">
        <v>0</v>
      </c>
    </row>
    <row r="26" customFormat="false" ht="15" hidden="false" customHeight="true" outlineLevel="0" collapsed="false">
      <c r="A26" s="7" t="n">
        <v>4867</v>
      </c>
      <c r="B26" s="7" t="s">
        <v>43</v>
      </c>
      <c r="C26" s="7" t="s">
        <v>740</v>
      </c>
      <c r="D26" s="7" t="s">
        <v>182</v>
      </c>
      <c r="E26" s="7" t="s">
        <v>144</v>
      </c>
      <c r="F26" s="7" t="n">
        <v>6</v>
      </c>
      <c r="G26" s="7" t="n">
        <v>6.17</v>
      </c>
      <c r="H26" s="7" t="n">
        <v>5</v>
      </c>
      <c r="I26" s="7" t="n">
        <v>0</v>
      </c>
      <c r="J26" s="7" t="n">
        <v>7</v>
      </c>
      <c r="K26" s="7" t="n">
        <v>0</v>
      </c>
      <c r="L26" s="7" t="n">
        <v>0</v>
      </c>
      <c r="M26" s="7" t="n">
        <v>0</v>
      </c>
      <c r="N26" s="7" t="n">
        <v>0</v>
      </c>
      <c r="O26" s="7" t="n">
        <v>0</v>
      </c>
      <c r="P26" s="7" t="n">
        <v>0</v>
      </c>
      <c r="Q26" s="7" t="n">
        <v>0</v>
      </c>
      <c r="R26" s="7" t="n">
        <v>0</v>
      </c>
    </row>
    <row r="27" customFormat="false" ht="15" hidden="false" customHeight="true" outlineLevel="0" collapsed="false">
      <c r="A27" s="7" t="n">
        <v>2861</v>
      </c>
      <c r="B27" s="7" t="s">
        <v>43</v>
      </c>
      <c r="C27" s="7" t="s">
        <v>740</v>
      </c>
      <c r="D27" s="7" t="s">
        <v>747</v>
      </c>
      <c r="E27" s="7" t="s">
        <v>748</v>
      </c>
      <c r="F27" s="7" t="n">
        <v>25</v>
      </c>
      <c r="G27" s="7" t="n">
        <v>6.06</v>
      </c>
      <c r="H27" s="7" t="n">
        <v>4.38</v>
      </c>
      <c r="I27" s="7" t="n">
        <v>0</v>
      </c>
      <c r="J27" s="7" t="n">
        <v>42</v>
      </c>
      <c r="K27" s="7" t="n">
        <v>0</v>
      </c>
      <c r="L27" s="7" t="n">
        <v>0</v>
      </c>
      <c r="M27" s="7" t="n">
        <v>0</v>
      </c>
      <c r="N27" s="7" t="n">
        <v>0</v>
      </c>
      <c r="O27" s="7" t="n">
        <v>0</v>
      </c>
      <c r="P27" s="7" t="n">
        <v>0</v>
      </c>
      <c r="Q27" s="7" t="n">
        <v>0</v>
      </c>
      <c r="R27" s="7" t="n">
        <v>0</v>
      </c>
    </row>
    <row r="28" customFormat="false" ht="15" hidden="false" customHeight="true" outlineLevel="0" collapsed="false">
      <c r="A28" s="7" t="n">
        <v>7172</v>
      </c>
      <c r="B28" s="7" t="s">
        <v>43</v>
      </c>
      <c r="C28" s="7" t="s">
        <v>740</v>
      </c>
      <c r="D28" s="7" t="s">
        <v>158</v>
      </c>
      <c r="E28" s="7" t="s">
        <v>127</v>
      </c>
      <c r="F28" s="7" t="n">
        <v>4</v>
      </c>
      <c r="G28" s="7" t="n">
        <v>6.12</v>
      </c>
      <c r="H28" s="7" t="n">
        <v>5.62</v>
      </c>
      <c r="I28" s="7" t="n">
        <v>0</v>
      </c>
      <c r="J28" s="7" t="n">
        <v>2</v>
      </c>
      <c r="K28" s="7" t="n">
        <v>0</v>
      </c>
      <c r="L28" s="7" t="n">
        <v>0</v>
      </c>
      <c r="M28" s="7" t="n">
        <v>0</v>
      </c>
      <c r="N28" s="7" t="n">
        <v>0</v>
      </c>
      <c r="O28" s="7" t="n">
        <v>0</v>
      </c>
      <c r="P28" s="7" t="n">
        <v>0</v>
      </c>
      <c r="Q28" s="7" t="n">
        <v>0</v>
      </c>
      <c r="R28" s="7" t="n">
        <v>0</v>
      </c>
    </row>
    <row r="29" customFormat="false" ht="15" hidden="false" customHeight="true" outlineLevel="0" collapsed="false">
      <c r="A29" s="7" t="n">
        <v>5116</v>
      </c>
      <c r="B29" s="7" t="s">
        <v>43</v>
      </c>
      <c r="C29" s="7" t="s">
        <v>740</v>
      </c>
      <c r="D29" s="7" t="s">
        <v>114</v>
      </c>
      <c r="E29" s="7" t="s">
        <v>115</v>
      </c>
      <c r="F29" s="7" t="n">
        <v>5</v>
      </c>
      <c r="G29" s="7" t="n">
        <v>6</v>
      </c>
      <c r="H29" s="7" t="n">
        <v>5.2</v>
      </c>
      <c r="I29" s="7" t="n">
        <v>0</v>
      </c>
      <c r="J29" s="7" t="n">
        <v>4</v>
      </c>
      <c r="K29" s="7" t="n">
        <v>0</v>
      </c>
      <c r="L29" s="7" t="n">
        <v>0</v>
      </c>
      <c r="M29" s="7" t="n">
        <v>0</v>
      </c>
      <c r="N29" s="7" t="n">
        <v>0</v>
      </c>
      <c r="O29" s="7" t="n">
        <v>0</v>
      </c>
      <c r="P29" s="7" t="n">
        <v>0</v>
      </c>
      <c r="Q29" s="7" t="n">
        <v>0</v>
      </c>
      <c r="R29" s="7" t="n">
        <v>0</v>
      </c>
    </row>
    <row r="30" customFormat="false" ht="15" hidden="false" customHeight="true" outlineLevel="0" collapsed="false">
      <c r="A30" s="7" t="n">
        <v>7337</v>
      </c>
      <c r="B30" s="7" t="s">
        <v>43</v>
      </c>
      <c r="C30" s="7" t="s">
        <v>740</v>
      </c>
      <c r="D30" s="7" t="s">
        <v>170</v>
      </c>
      <c r="E30" s="7" t="s">
        <v>133</v>
      </c>
      <c r="F30" s="7" t="n">
        <v>9</v>
      </c>
      <c r="G30" s="7" t="n">
        <v>6</v>
      </c>
      <c r="H30" s="7" t="n">
        <v>5.17</v>
      </c>
      <c r="I30" s="7" t="n">
        <v>0</v>
      </c>
      <c r="J30" s="7" t="n">
        <v>10</v>
      </c>
      <c r="K30" s="7" t="n">
        <v>1</v>
      </c>
      <c r="L30" s="7" t="n">
        <v>0</v>
      </c>
      <c r="M30" s="7" t="n">
        <v>0</v>
      </c>
      <c r="N30" s="7" t="n">
        <v>0</v>
      </c>
      <c r="O30" s="7" t="n">
        <v>0</v>
      </c>
      <c r="P30" s="7" t="n">
        <v>1</v>
      </c>
      <c r="Q30" s="7" t="n">
        <v>0</v>
      </c>
      <c r="R30" s="7" t="n">
        <v>0</v>
      </c>
    </row>
    <row r="31" customFormat="false" ht="15" hidden="false" customHeight="true" outlineLevel="0" collapsed="false">
      <c r="A31" s="7" t="n">
        <v>2722</v>
      </c>
      <c r="B31" s="7" t="s">
        <v>43</v>
      </c>
      <c r="C31" s="7" t="s">
        <v>740</v>
      </c>
      <c r="D31" s="7" t="s">
        <v>749</v>
      </c>
      <c r="E31" s="7" t="s">
        <v>127</v>
      </c>
      <c r="F31" s="7" t="n">
        <v>17</v>
      </c>
      <c r="G31" s="7" t="n">
        <v>6.21</v>
      </c>
      <c r="H31" s="7" t="n">
        <v>4.38</v>
      </c>
      <c r="I31" s="7" t="n">
        <v>0</v>
      </c>
      <c r="J31" s="7" t="n">
        <v>29</v>
      </c>
      <c r="K31" s="7" t="n">
        <v>0</v>
      </c>
      <c r="L31" s="7" t="n">
        <v>0</v>
      </c>
      <c r="M31" s="7" t="n">
        <v>0</v>
      </c>
      <c r="N31" s="7" t="n">
        <v>0</v>
      </c>
      <c r="O31" s="7" t="n">
        <v>0</v>
      </c>
      <c r="P31" s="7" t="n">
        <v>4</v>
      </c>
      <c r="Q31" s="7" t="n">
        <v>0</v>
      </c>
      <c r="R31" s="7" t="n">
        <v>0</v>
      </c>
    </row>
    <row r="32" customFormat="false" ht="15" hidden="false" customHeight="true" outlineLevel="0" collapsed="false">
      <c r="A32" s="7" t="n">
        <v>6417</v>
      </c>
      <c r="B32" s="7" t="s">
        <v>43</v>
      </c>
      <c r="C32" s="7" t="s">
        <v>740</v>
      </c>
      <c r="D32" s="7" t="s">
        <v>750</v>
      </c>
      <c r="E32" s="7" t="s">
        <v>133</v>
      </c>
      <c r="F32" s="7" t="n">
        <v>2</v>
      </c>
      <c r="G32" s="7" t="n">
        <v>6.5</v>
      </c>
      <c r="H32" s="7" t="n">
        <v>5</v>
      </c>
      <c r="I32" s="7" t="n">
        <v>0</v>
      </c>
      <c r="J32" s="7" t="n">
        <v>3</v>
      </c>
      <c r="K32" s="7" t="n">
        <v>0</v>
      </c>
      <c r="L32" s="7" t="n">
        <v>0</v>
      </c>
      <c r="M32" s="7" t="n">
        <v>0</v>
      </c>
      <c r="N32" s="7" t="n">
        <v>0</v>
      </c>
      <c r="O32" s="7" t="n">
        <v>0</v>
      </c>
      <c r="P32" s="7" t="n">
        <v>0</v>
      </c>
      <c r="Q32" s="7" t="n">
        <v>0</v>
      </c>
      <c r="R32" s="7" t="n">
        <v>0</v>
      </c>
    </row>
    <row r="33" customFormat="false" ht="15" hidden="false" customHeight="true" outlineLevel="0" collapsed="false">
      <c r="A33" s="7" t="n">
        <v>5135</v>
      </c>
      <c r="B33" s="7" t="s">
        <v>43</v>
      </c>
      <c r="C33" s="7" t="s">
        <v>740</v>
      </c>
      <c r="D33" s="7" t="s">
        <v>751</v>
      </c>
      <c r="E33" s="7" t="s">
        <v>141</v>
      </c>
      <c r="F33" s="7" t="n">
        <v>0</v>
      </c>
      <c r="G33" s="7" t="n">
        <v>0</v>
      </c>
      <c r="H33" s="7" t="n">
        <v>0</v>
      </c>
      <c r="I33" s="7" t="n">
        <v>0</v>
      </c>
      <c r="J33" s="7" t="n">
        <v>0</v>
      </c>
      <c r="K33" s="7" t="n">
        <v>0</v>
      </c>
      <c r="L33" s="7" t="n">
        <v>0</v>
      </c>
      <c r="M33" s="7" t="n">
        <v>0</v>
      </c>
      <c r="N33" s="7" t="n">
        <v>0</v>
      </c>
      <c r="O33" s="7" t="n">
        <v>0</v>
      </c>
      <c r="P33" s="7" t="n">
        <v>0</v>
      </c>
      <c r="Q33" s="7" t="n">
        <v>0</v>
      </c>
      <c r="R33" s="7" t="n">
        <v>0</v>
      </c>
    </row>
    <row r="34" customFormat="false" ht="15" hidden="false" customHeight="true" outlineLevel="0" collapsed="false">
      <c r="A34" s="7" t="n">
        <v>6403</v>
      </c>
      <c r="B34" s="7" t="s">
        <v>43</v>
      </c>
      <c r="C34" s="7" t="s">
        <v>740</v>
      </c>
      <c r="D34" s="7" t="s">
        <v>163</v>
      </c>
      <c r="E34" s="7" t="s">
        <v>123</v>
      </c>
      <c r="F34" s="7" t="n">
        <v>1</v>
      </c>
      <c r="G34" s="7" t="n">
        <v>7.5</v>
      </c>
      <c r="H34" s="7" t="n">
        <v>6.5</v>
      </c>
      <c r="I34" s="7" t="n">
        <v>0</v>
      </c>
      <c r="J34" s="7" t="n">
        <v>1</v>
      </c>
      <c r="K34" s="7" t="n">
        <v>0</v>
      </c>
      <c r="L34" s="7" t="n">
        <v>0</v>
      </c>
      <c r="M34" s="7" t="n">
        <v>0</v>
      </c>
      <c r="N34" s="7" t="n">
        <v>0</v>
      </c>
      <c r="O34" s="7" t="n">
        <v>0</v>
      </c>
      <c r="P34" s="7" t="n">
        <v>0</v>
      </c>
      <c r="Q34" s="7" t="n">
        <v>0</v>
      </c>
      <c r="R34" s="7" t="n">
        <v>0</v>
      </c>
    </row>
    <row r="35" customFormat="false" ht="15" hidden="false" customHeight="true" outlineLevel="0" collapsed="false">
      <c r="A35" s="7" t="n">
        <v>2297</v>
      </c>
      <c r="B35" s="7" t="s">
        <v>43</v>
      </c>
      <c r="C35" s="7" t="s">
        <v>740</v>
      </c>
      <c r="D35" s="7" t="s">
        <v>155</v>
      </c>
      <c r="E35" s="7" t="s">
        <v>117</v>
      </c>
      <c r="F35" s="7" t="n">
        <v>0</v>
      </c>
      <c r="G35" s="7" t="n">
        <v>0</v>
      </c>
      <c r="H35" s="7" t="n">
        <v>0</v>
      </c>
      <c r="I35" s="7" t="n">
        <v>0</v>
      </c>
      <c r="J35" s="7" t="n">
        <v>0</v>
      </c>
      <c r="K35" s="7" t="n">
        <v>0</v>
      </c>
      <c r="L35" s="7" t="n">
        <v>0</v>
      </c>
      <c r="M35" s="7" t="n">
        <v>0</v>
      </c>
      <c r="N35" s="7" t="n">
        <v>0</v>
      </c>
      <c r="O35" s="7" t="n">
        <v>0</v>
      </c>
      <c r="P35" s="7" t="n">
        <v>0</v>
      </c>
      <c r="Q35" s="7" t="n">
        <v>0</v>
      </c>
      <c r="R35" s="7" t="n">
        <v>0</v>
      </c>
    </row>
    <row r="36" customFormat="false" ht="15" hidden="false" customHeight="true" outlineLevel="0" collapsed="false">
      <c r="A36" s="7" t="n">
        <v>4</v>
      </c>
      <c r="B36" s="7" t="s">
        <v>43</v>
      </c>
      <c r="C36" s="7" t="s">
        <v>740</v>
      </c>
      <c r="D36" s="7" t="s">
        <v>156</v>
      </c>
      <c r="E36" s="7" t="s">
        <v>117</v>
      </c>
      <c r="F36" s="7" t="n">
        <v>1</v>
      </c>
      <c r="G36" s="7" t="n">
        <v>5.5</v>
      </c>
      <c r="H36" s="7" t="n">
        <v>4.5</v>
      </c>
      <c r="I36" s="7" t="n">
        <v>0</v>
      </c>
      <c r="J36" s="7" t="n">
        <v>1</v>
      </c>
      <c r="K36" s="7" t="n">
        <v>0</v>
      </c>
      <c r="L36" s="7" t="n">
        <v>0</v>
      </c>
      <c r="M36" s="7" t="n">
        <v>0</v>
      </c>
      <c r="N36" s="7" t="n">
        <v>0</v>
      </c>
      <c r="O36" s="7" t="n">
        <v>0</v>
      </c>
      <c r="P36" s="7" t="n">
        <v>0</v>
      </c>
      <c r="Q36" s="7" t="n">
        <v>0</v>
      </c>
      <c r="R36" s="7" t="n">
        <v>0</v>
      </c>
    </row>
    <row r="37" customFormat="false" ht="15" hidden="false" customHeight="true" outlineLevel="0" collapsed="false">
      <c r="A37" s="7" t="n">
        <v>4929</v>
      </c>
      <c r="B37" s="7" t="s">
        <v>43</v>
      </c>
      <c r="C37" s="7" t="s">
        <v>740</v>
      </c>
      <c r="D37" s="7" t="s">
        <v>159</v>
      </c>
      <c r="E37" s="7" t="s">
        <v>129</v>
      </c>
      <c r="F37" s="7" t="n">
        <v>0</v>
      </c>
      <c r="G37" s="7" t="n">
        <v>0</v>
      </c>
      <c r="H37" s="7" t="n">
        <v>0</v>
      </c>
      <c r="I37" s="7" t="n">
        <v>0</v>
      </c>
      <c r="J37" s="7" t="n">
        <v>0</v>
      </c>
      <c r="K37" s="7" t="n">
        <v>0</v>
      </c>
      <c r="L37" s="7" t="n">
        <v>0</v>
      </c>
      <c r="M37" s="7" t="n">
        <v>0</v>
      </c>
      <c r="N37" s="7" t="n">
        <v>0</v>
      </c>
      <c r="O37" s="7" t="n">
        <v>0</v>
      </c>
      <c r="P37" s="7" t="n">
        <v>0</v>
      </c>
      <c r="Q37" s="7" t="n">
        <v>0</v>
      </c>
      <c r="R37" s="7" t="n">
        <v>0</v>
      </c>
    </row>
    <row r="38" customFormat="false" ht="15" hidden="false" customHeight="true" outlineLevel="0" collapsed="false">
      <c r="A38" s="7" t="n">
        <v>3</v>
      </c>
      <c r="B38" s="7" t="s">
        <v>43</v>
      </c>
      <c r="C38" s="7" t="s">
        <v>740</v>
      </c>
      <c r="D38" s="7" t="s">
        <v>752</v>
      </c>
      <c r="E38" s="7" t="s">
        <v>129</v>
      </c>
      <c r="F38" s="7" t="n">
        <v>0</v>
      </c>
      <c r="G38" s="7" t="n">
        <v>0</v>
      </c>
      <c r="H38" s="7" t="n">
        <v>0</v>
      </c>
      <c r="I38" s="7" t="n">
        <v>0</v>
      </c>
      <c r="J38" s="7" t="n">
        <v>0</v>
      </c>
      <c r="K38" s="7" t="n">
        <v>0</v>
      </c>
      <c r="L38" s="7" t="n">
        <v>0</v>
      </c>
      <c r="M38" s="7" t="n">
        <v>0</v>
      </c>
      <c r="N38" s="7" t="n">
        <v>0</v>
      </c>
      <c r="O38" s="7" t="n">
        <v>0</v>
      </c>
      <c r="P38" s="7" t="n">
        <v>0</v>
      </c>
      <c r="Q38" s="7" t="n">
        <v>0</v>
      </c>
      <c r="R38" s="7" t="n">
        <v>0</v>
      </c>
    </row>
    <row r="39" customFormat="false" ht="15" hidden="false" customHeight="true" outlineLevel="0" collapsed="false">
      <c r="A39" s="7" t="n">
        <v>2809</v>
      </c>
      <c r="B39" s="7" t="s">
        <v>43</v>
      </c>
      <c r="C39" s="7" t="s">
        <v>740</v>
      </c>
      <c r="D39" s="7" t="s">
        <v>162</v>
      </c>
      <c r="E39" s="7" t="s">
        <v>119</v>
      </c>
      <c r="F39" s="7" t="n">
        <v>0</v>
      </c>
      <c r="G39" s="7" t="n">
        <v>0</v>
      </c>
      <c r="H39" s="7" t="n">
        <v>0</v>
      </c>
      <c r="I39" s="7" t="n">
        <v>0</v>
      </c>
      <c r="J39" s="7" t="n">
        <v>0</v>
      </c>
      <c r="K39" s="7" t="n">
        <v>0</v>
      </c>
      <c r="L39" s="7" t="n">
        <v>0</v>
      </c>
      <c r="M39" s="7" t="n">
        <v>0</v>
      </c>
      <c r="N39" s="7" t="n">
        <v>0</v>
      </c>
      <c r="O39" s="7" t="n">
        <v>0</v>
      </c>
      <c r="P39" s="7" t="n">
        <v>0</v>
      </c>
      <c r="Q39" s="7" t="n">
        <v>0</v>
      </c>
      <c r="R39" s="7" t="n">
        <v>0</v>
      </c>
    </row>
    <row r="40" customFormat="false" ht="15" hidden="false" customHeight="true" outlineLevel="0" collapsed="false">
      <c r="A40" s="7" t="n">
        <v>6505</v>
      </c>
      <c r="B40" s="7" t="s">
        <v>43</v>
      </c>
      <c r="C40" s="7" t="s">
        <v>740</v>
      </c>
      <c r="D40" s="7" t="s">
        <v>753</v>
      </c>
      <c r="E40" s="7" t="s">
        <v>743</v>
      </c>
      <c r="F40" s="7" t="n">
        <v>0</v>
      </c>
      <c r="G40" s="7" t="n">
        <v>0</v>
      </c>
      <c r="H40" s="7" t="n">
        <v>0</v>
      </c>
      <c r="I40" s="7" t="n">
        <v>0</v>
      </c>
      <c r="J40" s="7" t="n">
        <v>0</v>
      </c>
      <c r="K40" s="7" t="n">
        <v>0</v>
      </c>
      <c r="L40" s="7" t="n">
        <v>0</v>
      </c>
      <c r="M40" s="7" t="n">
        <v>0</v>
      </c>
      <c r="N40" s="7" t="n">
        <v>0</v>
      </c>
      <c r="O40" s="7" t="n">
        <v>0</v>
      </c>
      <c r="P40" s="7" t="n">
        <v>0</v>
      </c>
      <c r="Q40" s="7" t="n">
        <v>0</v>
      </c>
      <c r="R40" s="7" t="n">
        <v>0</v>
      </c>
    </row>
    <row r="41" customFormat="false" ht="15" hidden="false" customHeight="true" outlineLevel="0" collapsed="false">
      <c r="A41" s="7" t="n">
        <v>6184</v>
      </c>
      <c r="B41" s="7" t="s">
        <v>43</v>
      </c>
      <c r="C41" s="7" t="s">
        <v>740</v>
      </c>
      <c r="D41" s="7" t="s">
        <v>754</v>
      </c>
      <c r="E41" s="7" t="s">
        <v>123</v>
      </c>
      <c r="F41" s="7" t="n">
        <v>0</v>
      </c>
      <c r="G41" s="7" t="n">
        <v>0</v>
      </c>
      <c r="H41" s="7" t="n">
        <v>0</v>
      </c>
      <c r="I41" s="7" t="n">
        <v>0</v>
      </c>
      <c r="J41" s="7" t="n">
        <v>0</v>
      </c>
      <c r="K41" s="7" t="n">
        <v>0</v>
      </c>
      <c r="L41" s="7" t="n">
        <v>0</v>
      </c>
      <c r="M41" s="7" t="n">
        <v>0</v>
      </c>
      <c r="N41" s="7" t="n">
        <v>0</v>
      </c>
      <c r="O41" s="7" t="n">
        <v>0</v>
      </c>
      <c r="P41" s="7" t="n">
        <v>0</v>
      </c>
      <c r="Q41" s="7" t="n">
        <v>0</v>
      </c>
      <c r="R41" s="7" t="n">
        <v>0</v>
      </c>
    </row>
    <row r="42" customFormat="false" ht="15" hidden="false" customHeight="true" outlineLevel="0" collapsed="false">
      <c r="A42" s="7" t="n">
        <v>6991</v>
      </c>
      <c r="B42" s="7" t="s">
        <v>43</v>
      </c>
      <c r="C42" s="7" t="s">
        <v>740</v>
      </c>
      <c r="D42" s="7" t="s">
        <v>755</v>
      </c>
      <c r="E42" s="7" t="s">
        <v>137</v>
      </c>
      <c r="F42" s="7" t="n">
        <v>0</v>
      </c>
      <c r="G42" s="7" t="n">
        <v>0</v>
      </c>
      <c r="H42" s="7" t="n">
        <v>0</v>
      </c>
      <c r="I42" s="7" t="n">
        <v>0</v>
      </c>
      <c r="J42" s="7" t="n">
        <v>0</v>
      </c>
      <c r="K42" s="7" t="n">
        <v>0</v>
      </c>
      <c r="L42" s="7" t="n">
        <v>0</v>
      </c>
      <c r="M42" s="7" t="n">
        <v>0</v>
      </c>
      <c r="N42" s="7" t="n">
        <v>0</v>
      </c>
      <c r="O42" s="7" t="n">
        <v>0</v>
      </c>
      <c r="P42" s="7" t="n">
        <v>0</v>
      </c>
      <c r="Q42" s="7" t="n">
        <v>0</v>
      </c>
      <c r="R42" s="7" t="n">
        <v>0</v>
      </c>
    </row>
    <row r="43" customFormat="false" ht="15" hidden="false" customHeight="true" outlineLevel="0" collapsed="false">
      <c r="A43" s="7" t="n">
        <v>219</v>
      </c>
      <c r="B43" s="7" t="s">
        <v>43</v>
      </c>
      <c r="C43" s="7" t="s">
        <v>740</v>
      </c>
      <c r="D43" s="7" t="s">
        <v>166</v>
      </c>
      <c r="E43" s="7" t="s">
        <v>137</v>
      </c>
      <c r="F43" s="7" t="n">
        <v>2</v>
      </c>
      <c r="G43" s="7" t="n">
        <v>5.75</v>
      </c>
      <c r="H43" s="7" t="n">
        <v>3.75</v>
      </c>
      <c r="I43" s="7" t="n">
        <v>0</v>
      </c>
      <c r="J43" s="7" t="n">
        <v>4</v>
      </c>
      <c r="K43" s="7" t="n">
        <v>0</v>
      </c>
      <c r="L43" s="7" t="n">
        <v>0</v>
      </c>
      <c r="M43" s="7" t="n">
        <v>0</v>
      </c>
      <c r="N43" s="7" t="n">
        <v>0</v>
      </c>
      <c r="O43" s="7" t="n">
        <v>0</v>
      </c>
      <c r="P43" s="7" t="n">
        <v>0</v>
      </c>
      <c r="Q43" s="7" t="n">
        <v>0</v>
      </c>
      <c r="R43" s="7" t="n">
        <v>0</v>
      </c>
    </row>
    <row r="44" customFormat="false" ht="15" hidden="false" customHeight="true" outlineLevel="0" collapsed="false">
      <c r="A44" s="7" t="n">
        <v>1926</v>
      </c>
      <c r="B44" s="7" t="s">
        <v>43</v>
      </c>
      <c r="C44" s="7" t="s">
        <v>740</v>
      </c>
      <c r="D44" s="7" t="s">
        <v>168</v>
      </c>
      <c r="E44" s="7" t="s">
        <v>115</v>
      </c>
      <c r="F44" s="7" t="n">
        <v>1</v>
      </c>
      <c r="G44" s="7" t="n">
        <v>6</v>
      </c>
      <c r="H44" s="7" t="n">
        <v>5</v>
      </c>
      <c r="I44" s="7" t="n">
        <v>0</v>
      </c>
      <c r="J44" s="7" t="n">
        <v>1</v>
      </c>
      <c r="K44" s="7" t="n">
        <v>0</v>
      </c>
      <c r="L44" s="7" t="n">
        <v>0</v>
      </c>
      <c r="M44" s="7" t="n">
        <v>0</v>
      </c>
      <c r="N44" s="7" t="n">
        <v>0</v>
      </c>
      <c r="O44" s="7" t="n">
        <v>0</v>
      </c>
      <c r="P44" s="7" t="n">
        <v>0</v>
      </c>
      <c r="Q44" s="7" t="n">
        <v>0</v>
      </c>
      <c r="R44" s="7" t="n">
        <v>0</v>
      </c>
    </row>
    <row r="45" customFormat="false" ht="15" hidden="false" customHeight="true" outlineLevel="0" collapsed="false">
      <c r="A45" s="7" t="n">
        <v>1930</v>
      </c>
      <c r="B45" s="7" t="s">
        <v>43</v>
      </c>
      <c r="C45" s="7" t="s">
        <v>740</v>
      </c>
      <c r="D45" s="7" t="s">
        <v>169</v>
      </c>
      <c r="E45" s="7" t="s">
        <v>131</v>
      </c>
      <c r="F45" s="7" t="n">
        <v>0</v>
      </c>
      <c r="G45" s="7" t="n">
        <v>0</v>
      </c>
      <c r="H45" s="7" t="n">
        <v>0</v>
      </c>
      <c r="I45" s="7" t="n">
        <v>0</v>
      </c>
      <c r="J45" s="7" t="n">
        <v>0</v>
      </c>
      <c r="K45" s="7" t="n">
        <v>0</v>
      </c>
      <c r="L45" s="7" t="n">
        <v>0</v>
      </c>
      <c r="M45" s="7" t="n">
        <v>0</v>
      </c>
      <c r="N45" s="7" t="n">
        <v>0</v>
      </c>
      <c r="O45" s="7" t="n">
        <v>0</v>
      </c>
      <c r="P45" s="7" t="n">
        <v>0</v>
      </c>
      <c r="Q45" s="7" t="n">
        <v>0</v>
      </c>
      <c r="R45" s="7" t="n">
        <v>0</v>
      </c>
    </row>
    <row r="46" customFormat="false" ht="15" hidden="false" customHeight="true" outlineLevel="0" collapsed="false">
      <c r="A46" s="7" t="n">
        <v>6482</v>
      </c>
      <c r="B46" s="7" t="s">
        <v>43</v>
      </c>
      <c r="C46" s="7" t="s">
        <v>740</v>
      </c>
      <c r="D46" s="7" t="s">
        <v>132</v>
      </c>
      <c r="E46" s="7" t="s">
        <v>133</v>
      </c>
      <c r="F46" s="7" t="n">
        <v>0</v>
      </c>
      <c r="G46" s="7" t="n">
        <v>0</v>
      </c>
      <c r="H46" s="7" t="n">
        <v>0</v>
      </c>
      <c r="I46" s="7" t="n">
        <v>0</v>
      </c>
      <c r="J46" s="7" t="n">
        <v>0</v>
      </c>
      <c r="K46" s="7" t="n">
        <v>0</v>
      </c>
      <c r="L46" s="7" t="n">
        <v>0</v>
      </c>
      <c r="M46" s="7" t="n">
        <v>0</v>
      </c>
      <c r="N46" s="7" t="n">
        <v>0</v>
      </c>
      <c r="O46" s="7" t="n">
        <v>0</v>
      </c>
      <c r="P46" s="7" t="n">
        <v>0</v>
      </c>
      <c r="Q46" s="7" t="n">
        <v>0</v>
      </c>
      <c r="R46" s="7" t="n">
        <v>0</v>
      </c>
    </row>
    <row r="47" customFormat="false" ht="15" hidden="false" customHeight="true" outlineLevel="0" collapsed="false">
      <c r="A47" s="7" t="n">
        <v>2401</v>
      </c>
      <c r="B47" s="7" t="s">
        <v>43</v>
      </c>
      <c r="C47" s="7" t="s">
        <v>740</v>
      </c>
      <c r="D47" s="7" t="s">
        <v>756</v>
      </c>
      <c r="E47" s="7" t="s">
        <v>139</v>
      </c>
      <c r="F47" s="7" t="n">
        <v>0</v>
      </c>
      <c r="G47" s="7" t="n">
        <v>0</v>
      </c>
      <c r="H47" s="7" t="n">
        <v>0</v>
      </c>
      <c r="I47" s="7" t="n">
        <v>0</v>
      </c>
      <c r="J47" s="7" t="n">
        <v>0</v>
      </c>
      <c r="K47" s="7" t="n">
        <v>0</v>
      </c>
      <c r="L47" s="7" t="n">
        <v>0</v>
      </c>
      <c r="M47" s="7" t="n">
        <v>0</v>
      </c>
      <c r="N47" s="7" t="n">
        <v>0</v>
      </c>
      <c r="O47" s="7" t="n">
        <v>0</v>
      </c>
      <c r="P47" s="7" t="n">
        <v>0</v>
      </c>
      <c r="Q47" s="7" t="n">
        <v>0</v>
      </c>
      <c r="R47" s="7" t="n">
        <v>0</v>
      </c>
    </row>
    <row r="48" customFormat="false" ht="15" hidden="false" customHeight="true" outlineLevel="0" collapsed="false">
      <c r="A48" s="7" t="n">
        <v>6523</v>
      </c>
      <c r="B48" s="7" t="s">
        <v>43</v>
      </c>
      <c r="C48" s="7" t="s">
        <v>740</v>
      </c>
      <c r="D48" s="7" t="s">
        <v>172</v>
      </c>
      <c r="E48" s="7" t="s">
        <v>139</v>
      </c>
      <c r="F48" s="7" t="n">
        <v>0</v>
      </c>
      <c r="G48" s="7" t="n">
        <v>0</v>
      </c>
      <c r="H48" s="7" t="n">
        <v>0</v>
      </c>
      <c r="I48" s="7" t="n">
        <v>0</v>
      </c>
      <c r="J48" s="7" t="n">
        <v>0</v>
      </c>
      <c r="K48" s="7" t="n">
        <v>0</v>
      </c>
      <c r="L48" s="7" t="n">
        <v>0</v>
      </c>
      <c r="M48" s="7" t="n">
        <v>0</v>
      </c>
      <c r="N48" s="7" t="n">
        <v>0</v>
      </c>
      <c r="O48" s="7" t="n">
        <v>0</v>
      </c>
      <c r="P48" s="7" t="n">
        <v>0</v>
      </c>
      <c r="Q48" s="7" t="n">
        <v>0</v>
      </c>
      <c r="R48" s="7" t="n">
        <v>0</v>
      </c>
    </row>
    <row r="49" customFormat="false" ht="15" hidden="false" customHeight="true" outlineLevel="0" collapsed="false">
      <c r="A49" s="7" t="n">
        <v>2815</v>
      </c>
      <c r="B49" s="7" t="s">
        <v>43</v>
      </c>
      <c r="C49" s="7" t="s">
        <v>740</v>
      </c>
      <c r="D49" s="7" t="s">
        <v>173</v>
      </c>
      <c r="E49" s="7" t="s">
        <v>121</v>
      </c>
      <c r="F49" s="7" t="n">
        <v>2</v>
      </c>
      <c r="G49" s="7" t="n">
        <v>6</v>
      </c>
      <c r="H49" s="7" t="n">
        <v>6</v>
      </c>
      <c r="I49" s="7" t="n">
        <v>0</v>
      </c>
      <c r="J49" s="7" t="n">
        <v>0</v>
      </c>
      <c r="K49" s="7" t="n">
        <v>0</v>
      </c>
      <c r="L49" s="7" t="n">
        <v>0</v>
      </c>
      <c r="M49" s="7" t="n">
        <v>0</v>
      </c>
      <c r="N49" s="7" t="n">
        <v>0</v>
      </c>
      <c r="O49" s="7" t="n">
        <v>0</v>
      </c>
      <c r="P49" s="7" t="n">
        <v>0</v>
      </c>
      <c r="Q49" s="7" t="n">
        <v>0</v>
      </c>
      <c r="R49" s="7" t="n">
        <v>0</v>
      </c>
    </row>
    <row r="50" customFormat="false" ht="15" hidden="false" customHeight="true" outlineLevel="0" collapsed="false">
      <c r="A50" s="7" t="n">
        <v>6813</v>
      </c>
      <c r="B50" s="7" t="s">
        <v>43</v>
      </c>
      <c r="C50" s="7" t="s">
        <v>740</v>
      </c>
      <c r="D50" s="7" t="s">
        <v>174</v>
      </c>
      <c r="E50" s="7" t="s">
        <v>121</v>
      </c>
      <c r="F50" s="7" t="n">
        <v>0</v>
      </c>
      <c r="G50" s="7" t="n">
        <v>0</v>
      </c>
      <c r="H50" s="7" t="n">
        <v>0</v>
      </c>
      <c r="I50" s="7" t="n">
        <v>0</v>
      </c>
      <c r="J50" s="7" t="n">
        <v>0</v>
      </c>
      <c r="K50" s="7" t="n">
        <v>0</v>
      </c>
      <c r="L50" s="7" t="n">
        <v>0</v>
      </c>
      <c r="M50" s="7" t="n">
        <v>0</v>
      </c>
      <c r="N50" s="7" t="n">
        <v>0</v>
      </c>
      <c r="O50" s="7" t="n">
        <v>0</v>
      </c>
      <c r="P50" s="7" t="n">
        <v>0</v>
      </c>
      <c r="Q50" s="7" t="n">
        <v>0</v>
      </c>
      <c r="R50" s="7" t="n">
        <v>0</v>
      </c>
    </row>
    <row r="51" customFormat="false" ht="15" hidden="false" customHeight="true" outlineLevel="0" collapsed="false">
      <c r="A51" s="7" t="n">
        <v>2845</v>
      </c>
      <c r="B51" s="7" t="s">
        <v>43</v>
      </c>
      <c r="C51" s="7" t="s">
        <v>740</v>
      </c>
      <c r="D51" s="7" t="s">
        <v>177</v>
      </c>
      <c r="E51" s="7" t="s">
        <v>125</v>
      </c>
      <c r="F51" s="7" t="n">
        <v>0</v>
      </c>
      <c r="G51" s="7" t="n">
        <v>0</v>
      </c>
      <c r="H51" s="7" t="n">
        <v>0</v>
      </c>
      <c r="I51" s="7" t="n">
        <v>0</v>
      </c>
      <c r="J51" s="7" t="n">
        <v>0</v>
      </c>
      <c r="K51" s="7" t="n">
        <v>0</v>
      </c>
      <c r="L51" s="7" t="n">
        <v>0</v>
      </c>
      <c r="M51" s="7" t="n">
        <v>0</v>
      </c>
      <c r="N51" s="7" t="n">
        <v>0</v>
      </c>
      <c r="O51" s="7" t="n">
        <v>0</v>
      </c>
      <c r="P51" s="7" t="n">
        <v>0</v>
      </c>
      <c r="Q51" s="7" t="n">
        <v>0</v>
      </c>
      <c r="R51" s="7" t="n">
        <v>0</v>
      </c>
    </row>
    <row r="52" customFormat="false" ht="15" hidden="false" customHeight="true" outlineLevel="0" collapsed="false">
      <c r="A52" s="7" t="n">
        <v>5338</v>
      </c>
      <c r="B52" s="7" t="s">
        <v>43</v>
      </c>
      <c r="C52" s="7" t="s">
        <v>740</v>
      </c>
      <c r="D52" s="7" t="s">
        <v>757</v>
      </c>
      <c r="E52" s="7" t="s">
        <v>141</v>
      </c>
      <c r="F52" s="7" t="n">
        <v>1</v>
      </c>
      <c r="G52" s="7" t="n">
        <v>7</v>
      </c>
      <c r="H52" s="7" t="n">
        <v>6.5</v>
      </c>
      <c r="I52" s="7" t="n">
        <v>0</v>
      </c>
      <c r="J52" s="7" t="n">
        <v>0</v>
      </c>
      <c r="K52" s="7" t="n">
        <v>0</v>
      </c>
      <c r="L52" s="7" t="n">
        <v>0</v>
      </c>
      <c r="M52" s="7" t="n">
        <v>0</v>
      </c>
      <c r="N52" s="7" t="n">
        <v>0</v>
      </c>
      <c r="O52" s="7" t="n">
        <v>0</v>
      </c>
      <c r="P52" s="7" t="n">
        <v>1</v>
      </c>
      <c r="Q52" s="7" t="n">
        <v>0</v>
      </c>
      <c r="R52" s="7" t="n">
        <v>0</v>
      </c>
    </row>
    <row r="53" customFormat="false" ht="15" hidden="false" customHeight="true" outlineLevel="0" collapsed="false">
      <c r="A53" s="7" t="n">
        <v>2271</v>
      </c>
      <c r="B53" s="7" t="s">
        <v>43</v>
      </c>
      <c r="C53" s="7" t="s">
        <v>740</v>
      </c>
      <c r="D53" s="7" t="s">
        <v>758</v>
      </c>
      <c r="E53" s="7" t="s">
        <v>748</v>
      </c>
      <c r="F53" s="7" t="n">
        <v>6</v>
      </c>
      <c r="G53" s="7" t="n">
        <v>5.92</v>
      </c>
      <c r="H53" s="7" t="n">
        <v>3.58</v>
      </c>
      <c r="I53" s="7" t="n">
        <v>0</v>
      </c>
      <c r="J53" s="7" t="n">
        <v>14</v>
      </c>
      <c r="K53" s="7" t="n">
        <v>0</v>
      </c>
      <c r="L53" s="7" t="n">
        <v>0</v>
      </c>
      <c r="M53" s="7" t="n">
        <v>0</v>
      </c>
      <c r="N53" s="7" t="n">
        <v>0</v>
      </c>
      <c r="O53" s="7" t="n">
        <v>0</v>
      </c>
      <c r="P53" s="7" t="n">
        <v>0</v>
      </c>
      <c r="Q53" s="7" t="n">
        <v>0</v>
      </c>
      <c r="R53" s="7" t="n">
        <v>0</v>
      </c>
    </row>
    <row r="54" customFormat="false" ht="15" hidden="false" customHeight="true" outlineLevel="0" collapsed="false">
      <c r="A54" s="7" t="n">
        <v>574</v>
      </c>
      <c r="B54" s="7" t="s">
        <v>43</v>
      </c>
      <c r="C54" s="7" t="s">
        <v>740</v>
      </c>
      <c r="D54" s="7" t="s">
        <v>759</v>
      </c>
      <c r="E54" s="7" t="s">
        <v>748</v>
      </c>
      <c r="F54" s="7" t="n">
        <v>7</v>
      </c>
      <c r="G54" s="7" t="n">
        <v>6.21</v>
      </c>
      <c r="H54" s="7" t="n">
        <v>4.07</v>
      </c>
      <c r="I54" s="7" t="n">
        <v>0</v>
      </c>
      <c r="J54" s="7" t="n">
        <v>15</v>
      </c>
      <c r="K54" s="7" t="n">
        <v>0</v>
      </c>
      <c r="L54" s="7" t="n">
        <v>0</v>
      </c>
      <c r="M54" s="7" t="n">
        <v>0</v>
      </c>
      <c r="N54" s="7" t="n">
        <v>0</v>
      </c>
      <c r="O54" s="7" t="n">
        <v>0</v>
      </c>
      <c r="P54" s="7" t="n">
        <v>0</v>
      </c>
      <c r="Q54" s="7" t="n">
        <v>0</v>
      </c>
      <c r="R54" s="7" t="n">
        <v>0</v>
      </c>
    </row>
    <row r="55" customFormat="false" ht="15" hidden="false" customHeight="true" outlineLevel="0" collapsed="false">
      <c r="A55" s="7" t="n">
        <v>7169</v>
      </c>
      <c r="B55" s="7" t="s">
        <v>43</v>
      </c>
      <c r="C55" s="7" t="s">
        <v>740</v>
      </c>
      <c r="D55" s="7" t="s">
        <v>760</v>
      </c>
      <c r="E55" s="7" t="s">
        <v>113</v>
      </c>
      <c r="F55" s="7" t="n">
        <v>0</v>
      </c>
      <c r="G55" s="7" t="n">
        <v>0</v>
      </c>
      <c r="H55" s="7" t="n">
        <v>0</v>
      </c>
      <c r="I55" s="7" t="n">
        <v>0</v>
      </c>
      <c r="J55" s="7" t="n">
        <v>0</v>
      </c>
      <c r="K55" s="7" t="n">
        <v>0</v>
      </c>
      <c r="L55" s="7" t="n">
        <v>0</v>
      </c>
      <c r="M55" s="7" t="n">
        <v>0</v>
      </c>
      <c r="N55" s="7" t="n">
        <v>0</v>
      </c>
      <c r="O55" s="7" t="n">
        <v>0</v>
      </c>
      <c r="P55" s="7" t="n">
        <v>0</v>
      </c>
      <c r="Q55" s="7" t="n">
        <v>0</v>
      </c>
      <c r="R55" s="7" t="n">
        <v>0</v>
      </c>
    </row>
    <row r="56" customFormat="false" ht="15" hidden="false" customHeight="true" outlineLevel="0" collapsed="false">
      <c r="A56" s="7" t="n">
        <v>610</v>
      </c>
      <c r="B56" s="7" t="s">
        <v>43</v>
      </c>
      <c r="C56" s="7" t="s">
        <v>740</v>
      </c>
      <c r="D56" s="7" t="s">
        <v>180</v>
      </c>
      <c r="E56" s="7" t="s">
        <v>113</v>
      </c>
      <c r="F56" s="7" t="n">
        <v>0</v>
      </c>
      <c r="G56" s="7" t="n">
        <v>0</v>
      </c>
      <c r="H56" s="7" t="n">
        <v>0</v>
      </c>
      <c r="I56" s="7" t="n">
        <v>0</v>
      </c>
      <c r="J56" s="7" t="n">
        <v>0</v>
      </c>
      <c r="K56" s="7" t="n">
        <v>0</v>
      </c>
      <c r="L56" s="7" t="n">
        <v>0</v>
      </c>
      <c r="M56" s="7" t="n">
        <v>0</v>
      </c>
      <c r="N56" s="7" t="n">
        <v>0</v>
      </c>
      <c r="O56" s="7" t="n">
        <v>0</v>
      </c>
      <c r="P56" s="7" t="n">
        <v>0</v>
      </c>
      <c r="Q56" s="7" t="n">
        <v>0</v>
      </c>
      <c r="R56" s="7" t="n">
        <v>0</v>
      </c>
    </row>
    <row r="57" customFormat="false" ht="15" hidden="false" customHeight="true" outlineLevel="0" collapsed="false">
      <c r="A57" s="7" t="n">
        <v>4518</v>
      </c>
      <c r="B57" s="7" t="s">
        <v>43</v>
      </c>
      <c r="C57" s="7" t="s">
        <v>740</v>
      </c>
      <c r="D57" s="7" t="s">
        <v>181</v>
      </c>
      <c r="E57" s="7" t="s">
        <v>144</v>
      </c>
      <c r="F57" s="7" t="n">
        <v>0</v>
      </c>
      <c r="G57" s="7" t="n">
        <v>0</v>
      </c>
      <c r="H57" s="7" t="n">
        <v>0</v>
      </c>
      <c r="I57" s="7" t="n">
        <v>0</v>
      </c>
      <c r="J57" s="7" t="n">
        <v>0</v>
      </c>
      <c r="K57" s="7" t="n">
        <v>0</v>
      </c>
      <c r="L57" s="7" t="n">
        <v>0</v>
      </c>
      <c r="M57" s="7" t="n">
        <v>0</v>
      </c>
      <c r="N57" s="7" t="n">
        <v>0</v>
      </c>
      <c r="O57" s="7" t="n">
        <v>0</v>
      </c>
      <c r="P57" s="7" t="n">
        <v>0</v>
      </c>
      <c r="Q57" s="7" t="n">
        <v>0</v>
      </c>
      <c r="R57" s="7" t="n">
        <v>0</v>
      </c>
    </row>
    <row r="58" customFormat="false" ht="15" hidden="false" customHeight="true" outlineLevel="0" collapsed="false">
      <c r="A58" s="7" t="n">
        <v>2127</v>
      </c>
      <c r="B58" s="7" t="s">
        <v>43</v>
      </c>
      <c r="C58" s="7" t="s">
        <v>740</v>
      </c>
      <c r="D58" s="7" t="s">
        <v>761</v>
      </c>
      <c r="E58" s="7" t="s">
        <v>144</v>
      </c>
      <c r="F58" s="7" t="n">
        <v>0</v>
      </c>
      <c r="G58" s="7" t="n">
        <v>0</v>
      </c>
      <c r="H58" s="7" t="n">
        <v>0</v>
      </c>
      <c r="I58" s="7" t="n">
        <v>0</v>
      </c>
      <c r="J58" s="7" t="n">
        <v>0</v>
      </c>
      <c r="K58" s="7" t="n">
        <v>0</v>
      </c>
      <c r="L58" s="7" t="n">
        <v>0</v>
      </c>
      <c r="M58" s="7" t="n">
        <v>0</v>
      </c>
      <c r="N58" s="7" t="n">
        <v>0</v>
      </c>
      <c r="O58" s="7" t="n">
        <v>0</v>
      </c>
      <c r="P58" s="7" t="n">
        <v>0</v>
      </c>
      <c r="Q58" s="7" t="n">
        <v>0</v>
      </c>
      <c r="R58" s="7" t="n">
        <v>0</v>
      </c>
    </row>
    <row r="59" customFormat="false" ht="15" hidden="false" customHeight="true" outlineLevel="0" collapsed="false">
      <c r="A59" s="7" t="n">
        <v>216</v>
      </c>
      <c r="B59" s="7" t="s">
        <v>43</v>
      </c>
      <c r="C59" s="7" t="s">
        <v>740</v>
      </c>
      <c r="D59" s="7" t="s">
        <v>762</v>
      </c>
      <c r="E59" s="7" t="s">
        <v>184</v>
      </c>
      <c r="F59" s="7" t="n">
        <v>0</v>
      </c>
      <c r="G59" s="7" t="n">
        <v>0</v>
      </c>
      <c r="H59" s="7" t="n">
        <v>0</v>
      </c>
      <c r="I59" s="7" t="n">
        <v>0</v>
      </c>
      <c r="J59" s="7" t="n">
        <v>0</v>
      </c>
      <c r="K59" s="7" t="n">
        <v>0</v>
      </c>
      <c r="L59" s="7" t="n">
        <v>0</v>
      </c>
      <c r="M59" s="7" t="n">
        <v>0</v>
      </c>
      <c r="N59" s="7" t="n">
        <v>0</v>
      </c>
      <c r="O59" s="7" t="n">
        <v>0</v>
      </c>
      <c r="P59" s="7" t="n">
        <v>0</v>
      </c>
      <c r="Q59" s="7" t="n">
        <v>0</v>
      </c>
      <c r="R59" s="7" t="n">
        <v>0</v>
      </c>
    </row>
    <row r="60" customFormat="false" ht="15" hidden="false" customHeight="true" outlineLevel="0" collapsed="false">
      <c r="A60" s="7" t="n">
        <v>7179</v>
      </c>
      <c r="B60" s="7" t="s">
        <v>43</v>
      </c>
      <c r="C60" s="7" t="s">
        <v>740</v>
      </c>
      <c r="D60" s="7" t="s">
        <v>763</v>
      </c>
      <c r="E60" s="7" t="s">
        <v>184</v>
      </c>
      <c r="F60" s="7" t="n">
        <v>9</v>
      </c>
      <c r="G60" s="7" t="n">
        <v>5.89</v>
      </c>
      <c r="H60" s="7" t="n">
        <v>3.83</v>
      </c>
      <c r="I60" s="7" t="n">
        <v>0</v>
      </c>
      <c r="J60" s="7" t="n">
        <v>18</v>
      </c>
      <c r="K60" s="7" t="n">
        <v>0</v>
      </c>
      <c r="L60" s="7" t="n">
        <v>0</v>
      </c>
      <c r="M60" s="7" t="n">
        <v>0</v>
      </c>
      <c r="N60" s="7" t="n">
        <v>0</v>
      </c>
      <c r="O60" s="7" t="n">
        <v>0</v>
      </c>
      <c r="P60" s="7" t="n">
        <v>1</v>
      </c>
      <c r="Q60" s="7" t="n">
        <v>0</v>
      </c>
      <c r="R60" s="7" t="n">
        <v>0</v>
      </c>
    </row>
    <row r="61" customFormat="false" ht="15" hidden="false" customHeight="true" outlineLevel="0" collapsed="false">
      <c r="A61" s="7" t="n">
        <v>6210</v>
      </c>
      <c r="B61" s="7" t="s">
        <v>43</v>
      </c>
      <c r="C61" s="7" t="s">
        <v>740</v>
      </c>
      <c r="D61" s="7" t="s">
        <v>764</v>
      </c>
      <c r="E61" s="7" t="s">
        <v>184</v>
      </c>
      <c r="F61" s="7" t="n">
        <v>0</v>
      </c>
      <c r="G61" s="7" t="n">
        <v>0</v>
      </c>
      <c r="H61" s="7" t="n">
        <v>0</v>
      </c>
      <c r="I61" s="7" t="n">
        <v>0</v>
      </c>
      <c r="J61" s="7" t="n">
        <v>0</v>
      </c>
      <c r="K61" s="7" t="n">
        <v>0</v>
      </c>
      <c r="L61" s="7" t="n">
        <v>0</v>
      </c>
      <c r="M61" s="7" t="n">
        <v>0</v>
      </c>
      <c r="N61" s="7" t="n">
        <v>0</v>
      </c>
      <c r="O61" s="7" t="n">
        <v>0</v>
      </c>
      <c r="P61" s="7" t="n">
        <v>0</v>
      </c>
      <c r="Q61" s="7" t="n">
        <v>0</v>
      </c>
      <c r="R61" s="7" t="n">
        <v>0</v>
      </c>
    </row>
    <row r="62" customFormat="false" ht="15" hidden="false" customHeight="true" outlineLevel="0" collapsed="false">
      <c r="A62" s="7" t="n">
        <v>543</v>
      </c>
      <c r="B62" s="7" t="s">
        <v>43</v>
      </c>
      <c r="C62" s="7" t="s">
        <v>740</v>
      </c>
      <c r="D62" s="7" t="s">
        <v>187</v>
      </c>
      <c r="E62" s="7" t="s">
        <v>135</v>
      </c>
      <c r="F62" s="7" t="n">
        <v>2</v>
      </c>
      <c r="G62" s="7" t="n">
        <v>6.25</v>
      </c>
      <c r="H62" s="7" t="n">
        <v>5.25</v>
      </c>
      <c r="I62" s="7" t="n">
        <v>0</v>
      </c>
      <c r="J62" s="7" t="n">
        <v>2</v>
      </c>
      <c r="K62" s="7" t="n">
        <v>0</v>
      </c>
      <c r="L62" s="7" t="n">
        <v>0</v>
      </c>
      <c r="M62" s="7" t="n">
        <v>0</v>
      </c>
      <c r="N62" s="7" t="n">
        <v>0</v>
      </c>
      <c r="O62" s="7" t="n">
        <v>0</v>
      </c>
      <c r="P62" s="7" t="n">
        <v>0</v>
      </c>
      <c r="Q62" s="7" t="n">
        <v>0</v>
      </c>
      <c r="R62" s="7" t="n">
        <v>0</v>
      </c>
    </row>
    <row r="63" customFormat="false" ht="15" hidden="false" customHeight="true" outlineLevel="0" collapsed="false">
      <c r="A63" s="7" t="n">
        <v>6842</v>
      </c>
      <c r="B63" s="7" t="s">
        <v>43</v>
      </c>
      <c r="C63" s="7" t="s">
        <v>740</v>
      </c>
      <c r="D63" s="7" t="s">
        <v>765</v>
      </c>
      <c r="E63" s="7" t="s">
        <v>135</v>
      </c>
      <c r="F63" s="7" t="n">
        <v>7</v>
      </c>
      <c r="G63" s="7" t="n">
        <v>5.57</v>
      </c>
      <c r="H63" s="7" t="n">
        <v>3.5</v>
      </c>
      <c r="I63" s="7" t="n">
        <v>0</v>
      </c>
      <c r="J63" s="7" t="n">
        <v>14</v>
      </c>
      <c r="K63" s="7" t="n">
        <v>0</v>
      </c>
      <c r="L63" s="7" t="n">
        <v>0</v>
      </c>
      <c r="M63" s="7" t="n">
        <v>0</v>
      </c>
      <c r="N63" s="7" t="n">
        <v>0</v>
      </c>
      <c r="O63" s="7" t="n">
        <v>0</v>
      </c>
      <c r="P63" s="7" t="n">
        <v>1</v>
      </c>
      <c r="Q63" s="7" t="n">
        <v>0</v>
      </c>
      <c r="R63" s="7" t="n">
        <v>0</v>
      </c>
    </row>
    <row r="64" customFormat="false" ht="15" hidden="false" customHeight="true" outlineLevel="0" collapsed="false">
      <c r="A64" s="7" t="n">
        <v>511</v>
      </c>
      <c r="B64" s="7" t="s">
        <v>43</v>
      </c>
      <c r="C64" s="7" t="s">
        <v>740</v>
      </c>
      <c r="D64" s="7" t="s">
        <v>766</v>
      </c>
      <c r="E64" s="7" t="s">
        <v>745</v>
      </c>
      <c r="F64" s="7" t="n">
        <v>3</v>
      </c>
      <c r="G64" s="7" t="n">
        <v>6.17</v>
      </c>
      <c r="H64" s="7" t="n">
        <v>3.83</v>
      </c>
      <c r="I64" s="7" t="n">
        <v>0</v>
      </c>
      <c r="J64" s="7" t="n">
        <v>7</v>
      </c>
      <c r="K64" s="7" t="n">
        <v>0</v>
      </c>
      <c r="L64" s="7" t="n">
        <v>0</v>
      </c>
      <c r="M64" s="7" t="n">
        <v>0</v>
      </c>
      <c r="N64" s="7" t="n">
        <v>0</v>
      </c>
      <c r="O64" s="7" t="n">
        <v>0</v>
      </c>
      <c r="P64" s="7" t="n">
        <v>0</v>
      </c>
      <c r="Q64" s="7" t="n">
        <v>0</v>
      </c>
      <c r="R64" s="7" t="n">
        <v>0</v>
      </c>
    </row>
    <row r="65" customFormat="false" ht="15" hidden="false" customHeight="true" outlineLevel="0" collapsed="false">
      <c r="A65" s="7" t="n">
        <v>6125</v>
      </c>
      <c r="B65" s="7" t="s">
        <v>43</v>
      </c>
      <c r="C65" s="7" t="s">
        <v>740</v>
      </c>
      <c r="D65" s="7" t="s">
        <v>767</v>
      </c>
      <c r="E65" s="7" t="s">
        <v>113</v>
      </c>
      <c r="F65" s="7" t="n">
        <v>0</v>
      </c>
      <c r="G65" s="7" t="n">
        <v>0</v>
      </c>
      <c r="H65" s="7" t="n">
        <v>0</v>
      </c>
      <c r="I65" s="7" t="n">
        <v>0</v>
      </c>
      <c r="J65" s="7" t="n">
        <v>0</v>
      </c>
      <c r="K65" s="7" t="n">
        <v>0</v>
      </c>
      <c r="L65" s="7" t="n">
        <v>0</v>
      </c>
      <c r="M65" s="7" t="n">
        <v>0</v>
      </c>
      <c r="N65" s="7" t="n">
        <v>0</v>
      </c>
      <c r="O65" s="7" t="n">
        <v>0</v>
      </c>
      <c r="P65" s="7" t="n">
        <v>0</v>
      </c>
      <c r="Q65" s="7" t="n">
        <v>0</v>
      </c>
      <c r="R65" s="7" t="n">
        <v>0</v>
      </c>
    </row>
    <row r="66" customFormat="false" ht="15" hidden="false" customHeight="true" outlineLevel="0" collapsed="false">
      <c r="A66" s="7" t="n">
        <v>7185</v>
      </c>
      <c r="B66" s="7" t="s">
        <v>43</v>
      </c>
      <c r="C66" s="7" t="s">
        <v>740</v>
      </c>
      <c r="D66" s="7" t="s">
        <v>768</v>
      </c>
      <c r="E66" s="7" t="s">
        <v>135</v>
      </c>
      <c r="F66" s="7" t="n">
        <v>0</v>
      </c>
      <c r="G66" s="7" t="n">
        <v>0</v>
      </c>
      <c r="H66" s="7" t="n">
        <v>0</v>
      </c>
      <c r="I66" s="7" t="n">
        <v>0</v>
      </c>
      <c r="J66" s="7" t="n">
        <v>0</v>
      </c>
      <c r="K66" s="7" t="n">
        <v>0</v>
      </c>
      <c r="L66" s="7" t="n">
        <v>0</v>
      </c>
      <c r="M66" s="7" t="n">
        <v>0</v>
      </c>
      <c r="N66" s="7" t="n">
        <v>0</v>
      </c>
      <c r="O66" s="7" t="n">
        <v>0</v>
      </c>
      <c r="P66" s="7" t="n">
        <v>0</v>
      </c>
      <c r="Q66" s="7" t="n">
        <v>0</v>
      </c>
      <c r="R66" s="7" t="n">
        <v>0</v>
      </c>
    </row>
    <row r="67" customFormat="false" ht="15" hidden="false" customHeight="true" outlineLevel="0" collapsed="false">
      <c r="A67" s="7" t="n">
        <v>158</v>
      </c>
      <c r="B67" s="7" t="s">
        <v>43</v>
      </c>
      <c r="C67" s="7" t="s">
        <v>740</v>
      </c>
      <c r="D67" s="7" t="s">
        <v>164</v>
      </c>
      <c r="E67" s="7" t="s">
        <v>123</v>
      </c>
      <c r="F67" s="7" t="n">
        <v>0</v>
      </c>
      <c r="G67" s="7" t="n">
        <v>0</v>
      </c>
      <c r="H67" s="7" t="n">
        <v>0</v>
      </c>
      <c r="I67" s="7" t="n">
        <v>0</v>
      </c>
      <c r="J67" s="7" t="n">
        <v>0</v>
      </c>
      <c r="K67" s="7" t="n">
        <v>0</v>
      </c>
      <c r="L67" s="7" t="n">
        <v>0</v>
      </c>
      <c r="M67" s="7" t="n">
        <v>0</v>
      </c>
      <c r="N67" s="7" t="n">
        <v>0</v>
      </c>
      <c r="O67" s="7" t="n">
        <v>0</v>
      </c>
      <c r="P67" s="7" t="n">
        <v>0</v>
      </c>
      <c r="Q67" s="7" t="n">
        <v>0</v>
      </c>
      <c r="R67" s="7" t="n">
        <v>0</v>
      </c>
    </row>
    <row r="68" customFormat="false" ht="15" hidden="false" customHeight="true" outlineLevel="0" collapsed="false">
      <c r="A68" s="7" t="n">
        <v>2211</v>
      </c>
      <c r="B68" s="7" t="s">
        <v>43</v>
      </c>
      <c r="C68" s="7" t="s">
        <v>740</v>
      </c>
      <c r="D68" s="7" t="s">
        <v>769</v>
      </c>
      <c r="E68" s="7" t="s">
        <v>743</v>
      </c>
      <c r="F68" s="7" t="n">
        <v>4</v>
      </c>
      <c r="G68" s="7" t="n">
        <v>6.38</v>
      </c>
      <c r="H68" s="7" t="n">
        <v>4.62</v>
      </c>
      <c r="I68" s="7" t="n">
        <v>0</v>
      </c>
      <c r="J68" s="7" t="n">
        <v>7</v>
      </c>
      <c r="K68" s="7" t="n">
        <v>0</v>
      </c>
      <c r="L68" s="7" t="n">
        <v>0</v>
      </c>
      <c r="M68" s="7" t="n">
        <v>0</v>
      </c>
      <c r="N68" s="7" t="n">
        <v>0</v>
      </c>
      <c r="O68" s="7" t="n">
        <v>0</v>
      </c>
      <c r="P68" s="7" t="n">
        <v>0</v>
      </c>
      <c r="Q68" s="7" t="n">
        <v>0</v>
      </c>
      <c r="R68" s="7" t="n">
        <v>0</v>
      </c>
    </row>
    <row r="69" customFormat="false" ht="15" hidden="false" customHeight="true" outlineLevel="0" collapsed="false">
      <c r="A69" s="7" t="n">
        <v>7236</v>
      </c>
      <c r="B69" s="7" t="s">
        <v>43</v>
      </c>
      <c r="C69" s="7" t="s">
        <v>740</v>
      </c>
      <c r="D69" s="7" t="s">
        <v>770</v>
      </c>
      <c r="E69" s="7" t="s">
        <v>745</v>
      </c>
      <c r="F69" s="7" t="n">
        <v>0</v>
      </c>
      <c r="G69" s="7" t="n">
        <v>0</v>
      </c>
      <c r="H69" s="7" t="n">
        <v>0</v>
      </c>
      <c r="I69" s="7" t="n">
        <v>0</v>
      </c>
      <c r="J69" s="7" t="n">
        <v>0</v>
      </c>
      <c r="K69" s="7" t="n">
        <v>0</v>
      </c>
      <c r="L69" s="7" t="n">
        <v>0</v>
      </c>
      <c r="M69" s="7" t="n">
        <v>0</v>
      </c>
      <c r="N69" s="7" t="n">
        <v>0</v>
      </c>
      <c r="O69" s="7" t="n">
        <v>0</v>
      </c>
      <c r="P69" s="7" t="n">
        <v>0</v>
      </c>
      <c r="Q69" s="7" t="n">
        <v>0</v>
      </c>
      <c r="R69" s="7" t="n">
        <v>0</v>
      </c>
    </row>
    <row r="70" customFormat="false" ht="15" hidden="false" customHeight="true" outlineLevel="0" collapsed="false">
      <c r="A70" s="7" t="n">
        <v>7261</v>
      </c>
      <c r="B70" s="7" t="s">
        <v>43</v>
      </c>
      <c r="C70" s="7" t="s">
        <v>740</v>
      </c>
      <c r="D70" s="7" t="s">
        <v>771</v>
      </c>
      <c r="E70" s="7" t="s">
        <v>119</v>
      </c>
      <c r="F70" s="7" t="n">
        <v>0</v>
      </c>
      <c r="G70" s="7" t="n">
        <v>0</v>
      </c>
      <c r="H70" s="7" t="n">
        <v>0</v>
      </c>
      <c r="I70" s="7" t="n">
        <v>0</v>
      </c>
      <c r="J70" s="7" t="n">
        <v>0</v>
      </c>
      <c r="K70" s="7" t="n">
        <v>0</v>
      </c>
      <c r="L70" s="7" t="n">
        <v>0</v>
      </c>
      <c r="M70" s="7" t="n">
        <v>0</v>
      </c>
      <c r="N70" s="7" t="n">
        <v>0</v>
      </c>
      <c r="O70" s="7" t="n">
        <v>0</v>
      </c>
      <c r="P70" s="7" t="n">
        <v>0</v>
      </c>
      <c r="Q70" s="7" t="n">
        <v>0</v>
      </c>
      <c r="R70" s="7" t="n">
        <v>0</v>
      </c>
    </row>
    <row r="71" customFormat="false" ht="15" hidden="false" customHeight="true" outlineLevel="0" collapsed="false">
      <c r="A71" s="7" t="n">
        <v>7285</v>
      </c>
      <c r="B71" s="7" t="s">
        <v>43</v>
      </c>
      <c r="C71" s="7" t="s">
        <v>740</v>
      </c>
      <c r="D71" s="7" t="s">
        <v>772</v>
      </c>
      <c r="E71" s="7" t="s">
        <v>125</v>
      </c>
      <c r="F71" s="7" t="n">
        <v>0</v>
      </c>
      <c r="G71" s="7" t="n">
        <v>0</v>
      </c>
      <c r="H71" s="7" t="n">
        <v>0</v>
      </c>
      <c r="I71" s="7" t="n">
        <v>0</v>
      </c>
      <c r="J71" s="7" t="n">
        <v>0</v>
      </c>
      <c r="K71" s="7" t="n">
        <v>0</v>
      </c>
      <c r="L71" s="7" t="n">
        <v>0</v>
      </c>
      <c r="M71" s="7" t="n">
        <v>0</v>
      </c>
      <c r="N71" s="7" t="n">
        <v>0</v>
      </c>
      <c r="O71" s="7" t="n">
        <v>0</v>
      </c>
      <c r="P71" s="7" t="n">
        <v>0</v>
      </c>
      <c r="Q71" s="7" t="n">
        <v>0</v>
      </c>
      <c r="R71" s="7" t="n">
        <v>0</v>
      </c>
    </row>
    <row r="72" customFormat="false" ht="15" hidden="false" customHeight="true" outlineLevel="0" collapsed="false">
      <c r="A72" s="7" t="n">
        <v>7042</v>
      </c>
      <c r="B72" s="7" t="s">
        <v>43</v>
      </c>
      <c r="C72" s="7" t="s">
        <v>740</v>
      </c>
      <c r="D72" s="7" t="s">
        <v>773</v>
      </c>
      <c r="E72" s="7" t="s">
        <v>115</v>
      </c>
      <c r="F72" s="7" t="n">
        <v>0</v>
      </c>
      <c r="G72" s="7" t="n">
        <v>0</v>
      </c>
      <c r="H72" s="7" t="n">
        <v>0</v>
      </c>
      <c r="I72" s="7" t="n">
        <v>0</v>
      </c>
      <c r="J72" s="7" t="n">
        <v>0</v>
      </c>
      <c r="K72" s="7" t="n">
        <v>0</v>
      </c>
      <c r="L72" s="7" t="n">
        <v>0</v>
      </c>
      <c r="M72" s="7" t="n">
        <v>0</v>
      </c>
      <c r="N72" s="7" t="n">
        <v>0</v>
      </c>
      <c r="O72" s="7" t="n">
        <v>0</v>
      </c>
      <c r="P72" s="7" t="n">
        <v>0</v>
      </c>
      <c r="Q72" s="7" t="n">
        <v>0</v>
      </c>
      <c r="R72" s="7" t="n">
        <v>0</v>
      </c>
    </row>
    <row r="73" customFormat="false" ht="15" hidden="false" customHeight="true" outlineLevel="0" collapsed="false">
      <c r="A73" s="7" t="n">
        <v>7301</v>
      </c>
      <c r="B73" s="7" t="s">
        <v>43</v>
      </c>
      <c r="C73" s="7" t="s">
        <v>740</v>
      </c>
      <c r="D73" s="7" t="s">
        <v>161</v>
      </c>
      <c r="E73" s="7" t="s">
        <v>119</v>
      </c>
      <c r="F73" s="7" t="n">
        <v>0</v>
      </c>
      <c r="G73" s="7" t="n">
        <v>0</v>
      </c>
      <c r="H73" s="7" t="n">
        <v>0</v>
      </c>
      <c r="I73" s="7" t="n">
        <v>0</v>
      </c>
      <c r="J73" s="7" t="n">
        <v>0</v>
      </c>
      <c r="K73" s="7" t="n">
        <v>0</v>
      </c>
      <c r="L73" s="7" t="n">
        <v>0</v>
      </c>
      <c r="M73" s="7" t="n">
        <v>0</v>
      </c>
      <c r="N73" s="7" t="n">
        <v>0</v>
      </c>
      <c r="O73" s="7" t="n">
        <v>0</v>
      </c>
      <c r="P73" s="7" t="n">
        <v>0</v>
      </c>
      <c r="Q73" s="7" t="n">
        <v>0</v>
      </c>
      <c r="R73" s="7" t="n">
        <v>0</v>
      </c>
    </row>
    <row r="74" customFormat="false" ht="15" hidden="false" customHeight="true" outlineLevel="0" collapsed="false">
      <c r="A74" s="7" t="n">
        <v>6650</v>
      </c>
      <c r="B74" s="7" t="s">
        <v>43</v>
      </c>
      <c r="C74" s="7" t="s">
        <v>740</v>
      </c>
      <c r="D74" s="7" t="s">
        <v>160</v>
      </c>
      <c r="E74" s="7" t="s">
        <v>129</v>
      </c>
      <c r="F74" s="7" t="n">
        <v>0</v>
      </c>
      <c r="G74" s="7" t="n">
        <v>0</v>
      </c>
      <c r="H74" s="7" t="n">
        <v>0</v>
      </c>
      <c r="I74" s="7" t="n">
        <v>0</v>
      </c>
      <c r="J74" s="7" t="n">
        <v>0</v>
      </c>
      <c r="K74" s="7" t="n">
        <v>0</v>
      </c>
      <c r="L74" s="7" t="n">
        <v>0</v>
      </c>
      <c r="M74" s="7" t="n">
        <v>0</v>
      </c>
      <c r="N74" s="7" t="n">
        <v>0</v>
      </c>
      <c r="O74" s="7" t="n">
        <v>0</v>
      </c>
      <c r="P74" s="7" t="n">
        <v>0</v>
      </c>
      <c r="Q74" s="7" t="n">
        <v>0</v>
      </c>
      <c r="R74" s="7" t="n">
        <v>0</v>
      </c>
    </row>
    <row r="75" customFormat="false" ht="15" hidden="false" customHeight="true" outlineLevel="0" collapsed="false">
      <c r="A75" s="7" t="n">
        <v>7363</v>
      </c>
      <c r="B75" s="7" t="s">
        <v>43</v>
      </c>
      <c r="C75" s="7" t="s">
        <v>740</v>
      </c>
      <c r="D75" s="7" t="s">
        <v>186</v>
      </c>
      <c r="E75" s="7" t="s">
        <v>184</v>
      </c>
      <c r="F75" s="7" t="n">
        <v>0</v>
      </c>
      <c r="G75" s="7" t="n">
        <v>0</v>
      </c>
      <c r="H75" s="7" t="n">
        <v>0</v>
      </c>
      <c r="I75" s="7" t="n">
        <v>0</v>
      </c>
      <c r="J75" s="7" t="n">
        <v>0</v>
      </c>
      <c r="K75" s="7" t="n">
        <v>0</v>
      </c>
      <c r="L75" s="7" t="n">
        <v>0</v>
      </c>
      <c r="M75" s="7" t="n">
        <v>0</v>
      </c>
      <c r="N75" s="7" t="n">
        <v>0</v>
      </c>
      <c r="O75" s="7" t="n">
        <v>0</v>
      </c>
      <c r="P75" s="7" t="n">
        <v>0</v>
      </c>
      <c r="Q75" s="7" t="n">
        <v>0</v>
      </c>
      <c r="R75" s="7" t="n">
        <v>0</v>
      </c>
    </row>
    <row r="76" customFormat="false" ht="15" hidden="false" customHeight="true" outlineLevel="0" collapsed="false">
      <c r="A76" s="7" t="n">
        <v>7382</v>
      </c>
      <c r="B76" s="7" t="s">
        <v>43</v>
      </c>
      <c r="C76" s="7" t="s">
        <v>740</v>
      </c>
      <c r="D76" s="7" t="s">
        <v>774</v>
      </c>
      <c r="E76" s="7" t="s">
        <v>133</v>
      </c>
      <c r="F76" s="7" t="n">
        <v>0</v>
      </c>
      <c r="G76" s="7" t="n">
        <v>0</v>
      </c>
      <c r="H76" s="7" t="n">
        <v>0</v>
      </c>
      <c r="I76" s="7" t="n">
        <v>0</v>
      </c>
      <c r="J76" s="7" t="n">
        <v>0</v>
      </c>
      <c r="K76" s="7" t="n">
        <v>0</v>
      </c>
      <c r="L76" s="7" t="n">
        <v>0</v>
      </c>
      <c r="M76" s="7" t="n">
        <v>0</v>
      </c>
      <c r="N76" s="7" t="n">
        <v>0</v>
      </c>
      <c r="O76" s="7" t="n">
        <v>0</v>
      </c>
      <c r="P76" s="7" t="n">
        <v>0</v>
      </c>
      <c r="Q76" s="7" t="n">
        <v>0</v>
      </c>
      <c r="R76" s="7" t="n">
        <v>0</v>
      </c>
    </row>
    <row r="77" customFormat="false" ht="15" hidden="false" customHeight="true" outlineLevel="0" collapsed="false">
      <c r="A77" s="7" t="n">
        <v>7383</v>
      </c>
      <c r="B77" s="7" t="s">
        <v>43</v>
      </c>
      <c r="C77" s="7" t="s">
        <v>740</v>
      </c>
      <c r="D77" s="7" t="s">
        <v>775</v>
      </c>
      <c r="E77" s="7" t="s">
        <v>133</v>
      </c>
      <c r="F77" s="7" t="n">
        <v>0</v>
      </c>
      <c r="G77" s="7" t="n">
        <v>0</v>
      </c>
      <c r="H77" s="7" t="n">
        <v>0</v>
      </c>
      <c r="I77" s="7" t="n">
        <v>0</v>
      </c>
      <c r="J77" s="7" t="n">
        <v>0</v>
      </c>
      <c r="K77" s="7" t="n">
        <v>0</v>
      </c>
      <c r="L77" s="7" t="n">
        <v>0</v>
      </c>
      <c r="M77" s="7" t="n">
        <v>0</v>
      </c>
      <c r="N77" s="7" t="n">
        <v>0</v>
      </c>
      <c r="O77" s="7" t="n">
        <v>0</v>
      </c>
      <c r="P77" s="7" t="n">
        <v>0</v>
      </c>
      <c r="Q77" s="7" t="n">
        <v>0</v>
      </c>
      <c r="R77" s="7" t="n">
        <v>0</v>
      </c>
    </row>
    <row r="78" customFormat="false" ht="15" hidden="false" customHeight="true" outlineLevel="0" collapsed="false">
      <c r="A78" s="7" t="n">
        <v>254</v>
      </c>
      <c r="B78" s="7" t="s">
        <v>44</v>
      </c>
      <c r="C78" s="7" t="s">
        <v>776</v>
      </c>
      <c r="D78" s="7" t="s">
        <v>191</v>
      </c>
      <c r="E78" s="7" t="s">
        <v>115</v>
      </c>
      <c r="F78" s="7" t="n">
        <v>35</v>
      </c>
      <c r="G78" s="7" t="n">
        <v>6.6</v>
      </c>
      <c r="H78" s="7" t="n">
        <v>7.64</v>
      </c>
      <c r="I78" s="7" t="n">
        <v>7</v>
      </c>
      <c r="J78" s="7" t="n">
        <v>0</v>
      </c>
      <c r="K78" s="7" t="n">
        <v>0</v>
      </c>
      <c r="L78" s="7" t="n">
        <v>0</v>
      </c>
      <c r="M78" s="7" t="n">
        <v>0</v>
      </c>
      <c r="N78" s="7" t="n">
        <v>0</v>
      </c>
      <c r="O78" s="7" t="n">
        <v>17</v>
      </c>
      <c r="P78" s="7" t="n">
        <v>3</v>
      </c>
      <c r="Q78" s="7" t="n">
        <v>0</v>
      </c>
      <c r="R78" s="7" t="n">
        <v>0</v>
      </c>
    </row>
    <row r="79" customFormat="false" ht="15" hidden="false" customHeight="true" outlineLevel="0" collapsed="false">
      <c r="A79" s="7" t="n">
        <v>2788</v>
      </c>
      <c r="B79" s="7" t="s">
        <v>44</v>
      </c>
      <c r="C79" s="7" t="s">
        <v>777</v>
      </c>
      <c r="D79" s="7" t="s">
        <v>194</v>
      </c>
      <c r="E79" s="7" t="s">
        <v>131</v>
      </c>
      <c r="F79" s="7" t="n">
        <v>26</v>
      </c>
      <c r="G79" s="7" t="n">
        <v>6.33</v>
      </c>
      <c r="H79" s="7" t="n">
        <v>6.81</v>
      </c>
      <c r="I79" s="7" t="n">
        <v>4</v>
      </c>
      <c r="J79" s="7" t="n">
        <v>0</v>
      </c>
      <c r="K79" s="7" t="n">
        <v>0</v>
      </c>
      <c r="L79" s="7" t="n">
        <v>0</v>
      </c>
      <c r="M79" s="7" t="n">
        <v>0</v>
      </c>
      <c r="N79" s="7" t="n">
        <v>0</v>
      </c>
      <c r="O79" s="7" t="n">
        <v>3</v>
      </c>
      <c r="P79" s="7" t="n">
        <v>5</v>
      </c>
      <c r="Q79" s="7" t="n">
        <v>0</v>
      </c>
      <c r="R79" s="7" t="n">
        <v>0</v>
      </c>
    </row>
    <row r="80" customFormat="false" ht="15" hidden="false" customHeight="true" outlineLevel="0" collapsed="false">
      <c r="A80" s="7" t="n">
        <v>5022</v>
      </c>
      <c r="B80" s="7" t="s">
        <v>44</v>
      </c>
      <c r="C80" s="7" t="s">
        <v>777</v>
      </c>
      <c r="D80" s="7" t="s">
        <v>197</v>
      </c>
      <c r="E80" s="7" t="s">
        <v>121</v>
      </c>
      <c r="F80" s="7" t="n">
        <v>34</v>
      </c>
      <c r="G80" s="7" t="n">
        <v>6.24</v>
      </c>
      <c r="H80" s="7" t="n">
        <v>6.62</v>
      </c>
      <c r="I80" s="7" t="n">
        <v>5</v>
      </c>
      <c r="J80" s="7" t="n">
        <v>0</v>
      </c>
      <c r="K80" s="7" t="n">
        <v>0</v>
      </c>
      <c r="L80" s="7" t="n">
        <v>0</v>
      </c>
      <c r="M80" s="7" t="n">
        <v>0</v>
      </c>
      <c r="N80" s="7" t="n">
        <v>0</v>
      </c>
      <c r="O80" s="7" t="n">
        <v>0</v>
      </c>
      <c r="P80" s="7" t="n">
        <v>4</v>
      </c>
      <c r="Q80" s="7" t="n">
        <v>0</v>
      </c>
      <c r="R80" s="7" t="n">
        <v>0</v>
      </c>
    </row>
    <row r="81" customFormat="false" ht="15" hidden="false" customHeight="true" outlineLevel="0" collapsed="false">
      <c r="A81" s="7" t="n">
        <v>6832</v>
      </c>
      <c r="B81" s="7" t="s">
        <v>44</v>
      </c>
      <c r="C81" s="7" t="s">
        <v>776</v>
      </c>
      <c r="D81" s="7" t="s">
        <v>778</v>
      </c>
      <c r="E81" s="7" t="s">
        <v>129</v>
      </c>
      <c r="F81" s="7" t="n">
        <v>37</v>
      </c>
      <c r="G81" s="7" t="n">
        <v>6.27</v>
      </c>
      <c r="H81" s="7" t="n">
        <v>6.42</v>
      </c>
      <c r="I81" s="7" t="n">
        <v>1</v>
      </c>
      <c r="J81" s="7" t="n">
        <v>0</v>
      </c>
      <c r="K81" s="7" t="n">
        <v>0</v>
      </c>
      <c r="L81" s="7" t="n">
        <v>0</v>
      </c>
      <c r="M81" s="7" t="n">
        <v>0</v>
      </c>
      <c r="N81" s="7" t="n">
        <v>0</v>
      </c>
      <c r="O81" s="7" t="n">
        <v>4</v>
      </c>
      <c r="P81" s="7" t="n">
        <v>3</v>
      </c>
      <c r="Q81" s="7" t="n">
        <v>0</v>
      </c>
      <c r="R81" s="7" t="n">
        <v>0</v>
      </c>
    </row>
    <row r="82" customFormat="false" ht="15" hidden="false" customHeight="true" outlineLevel="0" collapsed="false">
      <c r="A82" s="7" t="n">
        <v>6893</v>
      </c>
      <c r="B82" s="7" t="s">
        <v>44</v>
      </c>
      <c r="C82" s="7" t="s">
        <v>777</v>
      </c>
      <c r="D82" s="7" t="s">
        <v>267</v>
      </c>
      <c r="E82" s="7" t="s">
        <v>119</v>
      </c>
      <c r="F82" s="7" t="n">
        <v>29</v>
      </c>
      <c r="G82" s="7" t="n">
        <v>6.12</v>
      </c>
      <c r="H82" s="7" t="n">
        <v>6.52</v>
      </c>
      <c r="I82" s="7" t="n">
        <v>4</v>
      </c>
      <c r="J82" s="7" t="n">
        <v>0</v>
      </c>
      <c r="K82" s="7" t="n">
        <v>0</v>
      </c>
      <c r="L82" s="7" t="n">
        <v>0</v>
      </c>
      <c r="M82" s="7" t="n">
        <v>0</v>
      </c>
      <c r="N82" s="7" t="n">
        <v>0</v>
      </c>
      <c r="O82" s="7" t="n">
        <v>1</v>
      </c>
      <c r="P82" s="7" t="n">
        <v>3</v>
      </c>
      <c r="Q82" s="7" t="n">
        <v>0</v>
      </c>
      <c r="R82" s="7" t="n">
        <v>0</v>
      </c>
    </row>
    <row r="83" customFormat="false" ht="15" hidden="false" customHeight="true" outlineLevel="0" collapsed="false">
      <c r="A83" s="7" t="n">
        <v>1852</v>
      </c>
      <c r="B83" s="7" t="s">
        <v>44</v>
      </c>
      <c r="C83" s="7" t="s">
        <v>779</v>
      </c>
      <c r="D83" s="7" t="s">
        <v>223</v>
      </c>
      <c r="E83" s="7" t="s">
        <v>125</v>
      </c>
      <c r="F83" s="7" t="n">
        <v>30</v>
      </c>
      <c r="G83" s="7" t="n">
        <v>6.17</v>
      </c>
      <c r="H83" s="7" t="n">
        <v>6.55</v>
      </c>
      <c r="I83" s="7" t="n">
        <v>3</v>
      </c>
      <c r="J83" s="7" t="n">
        <v>0</v>
      </c>
      <c r="K83" s="7" t="n">
        <v>0</v>
      </c>
      <c r="L83" s="7" t="n">
        <v>0</v>
      </c>
      <c r="M83" s="7" t="n">
        <v>0</v>
      </c>
      <c r="N83" s="7" t="n">
        <v>0</v>
      </c>
      <c r="O83" s="7" t="n">
        <v>3</v>
      </c>
      <c r="P83" s="7" t="n">
        <v>1</v>
      </c>
      <c r="Q83" s="7" t="n">
        <v>0</v>
      </c>
      <c r="R83" s="7" t="n">
        <v>0</v>
      </c>
    </row>
    <row r="84" customFormat="false" ht="15" hidden="false" customHeight="true" outlineLevel="0" collapsed="false">
      <c r="A84" s="7" t="n">
        <v>5526</v>
      </c>
      <c r="B84" s="7" t="s">
        <v>44</v>
      </c>
      <c r="C84" s="7" t="s">
        <v>777</v>
      </c>
      <c r="D84" s="7" t="s">
        <v>207</v>
      </c>
      <c r="E84" s="7" t="s">
        <v>117</v>
      </c>
      <c r="F84" s="7" t="n">
        <v>24</v>
      </c>
      <c r="G84" s="7" t="n">
        <v>6.06</v>
      </c>
      <c r="H84" s="7" t="n">
        <v>6.44</v>
      </c>
      <c r="I84" s="7" t="n">
        <v>3</v>
      </c>
      <c r="J84" s="7" t="n">
        <v>0</v>
      </c>
      <c r="K84" s="7" t="n">
        <v>0</v>
      </c>
      <c r="L84" s="7" t="n">
        <v>0</v>
      </c>
      <c r="M84" s="7" t="n">
        <v>0</v>
      </c>
      <c r="N84" s="7" t="n">
        <v>0</v>
      </c>
      <c r="O84" s="7" t="n">
        <v>1</v>
      </c>
      <c r="P84" s="7" t="n">
        <v>2</v>
      </c>
      <c r="Q84" s="7" t="n">
        <v>0</v>
      </c>
      <c r="R84" s="7" t="n">
        <v>0</v>
      </c>
    </row>
    <row r="85" customFormat="false" ht="15" hidden="false" customHeight="true" outlineLevel="0" collapsed="false">
      <c r="A85" s="7" t="n">
        <v>6217</v>
      </c>
      <c r="B85" s="7" t="s">
        <v>44</v>
      </c>
      <c r="C85" s="7" t="s">
        <v>777</v>
      </c>
      <c r="D85" s="7" t="s">
        <v>206</v>
      </c>
      <c r="E85" s="7" t="s">
        <v>115</v>
      </c>
      <c r="F85" s="7" t="n">
        <v>23</v>
      </c>
      <c r="G85" s="7" t="n">
        <v>6.22</v>
      </c>
      <c r="H85" s="7" t="n">
        <v>6.65</v>
      </c>
      <c r="I85" s="7" t="n">
        <v>3</v>
      </c>
      <c r="J85" s="7" t="n">
        <v>0</v>
      </c>
      <c r="K85" s="7" t="n">
        <v>0</v>
      </c>
      <c r="L85" s="7" t="n">
        <v>0</v>
      </c>
      <c r="M85" s="7" t="n">
        <v>0</v>
      </c>
      <c r="N85" s="7" t="n">
        <v>0</v>
      </c>
      <c r="O85" s="7" t="n">
        <v>2</v>
      </c>
      <c r="P85" s="7" t="n">
        <v>2</v>
      </c>
      <c r="Q85" s="7" t="n">
        <v>0</v>
      </c>
      <c r="R85" s="7" t="n">
        <v>0</v>
      </c>
    </row>
    <row r="86" customFormat="false" ht="15" hidden="false" customHeight="true" outlineLevel="0" collapsed="false">
      <c r="A86" s="7" t="n">
        <v>2296</v>
      </c>
      <c r="B86" s="7" t="s">
        <v>44</v>
      </c>
      <c r="C86" s="7" t="s">
        <v>777</v>
      </c>
      <c r="D86" s="7" t="s">
        <v>195</v>
      </c>
      <c r="E86" s="7" t="s">
        <v>113</v>
      </c>
      <c r="F86" s="7" t="n">
        <v>36</v>
      </c>
      <c r="G86" s="7" t="n">
        <v>6.25</v>
      </c>
      <c r="H86" s="7" t="n">
        <v>6.51</v>
      </c>
      <c r="I86" s="7" t="n">
        <v>4</v>
      </c>
      <c r="J86" s="7" t="n">
        <v>0</v>
      </c>
      <c r="K86" s="7" t="n">
        <v>0</v>
      </c>
      <c r="L86" s="7" t="n">
        <v>0</v>
      </c>
      <c r="M86" s="7" t="n">
        <v>0</v>
      </c>
      <c r="N86" s="7" t="n">
        <v>0</v>
      </c>
      <c r="O86" s="7" t="n">
        <v>2</v>
      </c>
      <c r="P86" s="7" t="n">
        <v>9</v>
      </c>
      <c r="Q86" s="7" t="n">
        <v>0</v>
      </c>
      <c r="R86" s="7" t="n">
        <v>0</v>
      </c>
    </row>
    <row r="87" customFormat="false" ht="15" hidden="false" customHeight="true" outlineLevel="0" collapsed="false">
      <c r="A87" s="7" t="n">
        <v>5750</v>
      </c>
      <c r="B87" s="7" t="s">
        <v>44</v>
      </c>
      <c r="C87" s="7" t="s">
        <v>777</v>
      </c>
      <c r="D87" s="7" t="s">
        <v>205</v>
      </c>
      <c r="E87" s="7" t="s">
        <v>137</v>
      </c>
      <c r="F87" s="7" t="n">
        <v>30</v>
      </c>
      <c r="G87" s="7" t="n">
        <v>6.13</v>
      </c>
      <c r="H87" s="7" t="n">
        <v>6.52</v>
      </c>
      <c r="I87" s="7" t="n">
        <v>5</v>
      </c>
      <c r="J87" s="7" t="n">
        <v>0</v>
      </c>
      <c r="K87" s="7" t="n">
        <v>0</v>
      </c>
      <c r="L87" s="7" t="n">
        <v>0</v>
      </c>
      <c r="M87" s="7" t="n">
        <v>0</v>
      </c>
      <c r="N87" s="7" t="n">
        <v>0</v>
      </c>
      <c r="O87" s="7" t="n">
        <v>0</v>
      </c>
      <c r="P87" s="7" t="n">
        <v>7</v>
      </c>
      <c r="Q87" s="7" t="n">
        <v>0</v>
      </c>
      <c r="R87" s="7" t="n">
        <v>0</v>
      </c>
    </row>
    <row r="88" customFormat="false" ht="15" hidden="false" customHeight="true" outlineLevel="0" collapsed="false">
      <c r="A88" s="7" t="n">
        <v>4976</v>
      </c>
      <c r="B88" s="7" t="s">
        <v>44</v>
      </c>
      <c r="C88" s="7" t="s">
        <v>780</v>
      </c>
      <c r="D88" s="7" t="s">
        <v>199</v>
      </c>
      <c r="E88" s="7" t="s">
        <v>131</v>
      </c>
      <c r="F88" s="7" t="n">
        <v>37</v>
      </c>
      <c r="G88" s="7" t="n">
        <v>6.14</v>
      </c>
      <c r="H88" s="7" t="n">
        <v>6.35</v>
      </c>
      <c r="I88" s="7" t="n">
        <v>2</v>
      </c>
      <c r="J88" s="7" t="n">
        <v>0</v>
      </c>
      <c r="K88" s="7" t="n">
        <v>0</v>
      </c>
      <c r="L88" s="7" t="n">
        <v>0</v>
      </c>
      <c r="M88" s="7" t="n">
        <v>0</v>
      </c>
      <c r="N88" s="7" t="n">
        <v>0</v>
      </c>
      <c r="O88" s="7" t="n">
        <v>4</v>
      </c>
      <c r="P88" s="7" t="n">
        <v>2</v>
      </c>
      <c r="Q88" s="7" t="n">
        <v>1</v>
      </c>
      <c r="R88" s="7" t="n">
        <v>0</v>
      </c>
    </row>
    <row r="89" customFormat="false" ht="15" hidden="false" customHeight="true" outlineLevel="0" collapsed="false">
      <c r="A89" s="7" t="n">
        <v>4657</v>
      </c>
      <c r="B89" s="7" t="s">
        <v>44</v>
      </c>
      <c r="C89" s="7" t="s">
        <v>781</v>
      </c>
      <c r="D89" s="7" t="s">
        <v>221</v>
      </c>
      <c r="E89" s="7" t="s">
        <v>113</v>
      </c>
      <c r="F89" s="7" t="n">
        <v>32</v>
      </c>
      <c r="G89" s="7" t="n">
        <v>6.17</v>
      </c>
      <c r="H89" s="7" t="n">
        <v>6.27</v>
      </c>
      <c r="I89" s="7" t="n">
        <v>1</v>
      </c>
      <c r="J89" s="7" t="n">
        <v>0</v>
      </c>
      <c r="K89" s="7" t="n">
        <v>0</v>
      </c>
      <c r="L89" s="7" t="n">
        <v>0</v>
      </c>
      <c r="M89" s="7" t="n">
        <v>0</v>
      </c>
      <c r="N89" s="7" t="n">
        <v>0</v>
      </c>
      <c r="O89" s="7" t="n">
        <v>2</v>
      </c>
      <c r="P89" s="7" t="n">
        <v>2</v>
      </c>
      <c r="Q89" s="7" t="n">
        <v>1</v>
      </c>
      <c r="R89" s="7" t="n">
        <v>0</v>
      </c>
    </row>
    <row r="90" customFormat="false" ht="15" hidden="false" customHeight="true" outlineLevel="0" collapsed="false">
      <c r="A90" s="7" t="n">
        <v>7181</v>
      </c>
      <c r="B90" s="7" t="s">
        <v>44</v>
      </c>
      <c r="C90" s="7" t="s">
        <v>776</v>
      </c>
      <c r="D90" s="7" t="s">
        <v>192</v>
      </c>
      <c r="E90" s="7" t="s">
        <v>113</v>
      </c>
      <c r="F90" s="7" t="n">
        <v>30</v>
      </c>
      <c r="G90" s="7" t="n">
        <v>6.12</v>
      </c>
      <c r="H90" s="7" t="n">
        <v>6.47</v>
      </c>
      <c r="I90" s="7" t="n">
        <v>5</v>
      </c>
      <c r="J90" s="7" t="n">
        <v>0</v>
      </c>
      <c r="K90" s="7" t="n">
        <v>0</v>
      </c>
      <c r="L90" s="7" t="n">
        <v>0</v>
      </c>
      <c r="M90" s="7" t="n">
        <v>0</v>
      </c>
      <c r="N90" s="7" t="n">
        <v>0</v>
      </c>
      <c r="O90" s="7" t="n">
        <v>0</v>
      </c>
      <c r="P90" s="7" t="n">
        <v>5</v>
      </c>
      <c r="Q90" s="7" t="n">
        <v>2</v>
      </c>
      <c r="R90" s="7" t="n">
        <v>0</v>
      </c>
    </row>
    <row r="91" customFormat="false" ht="15" hidden="false" customHeight="true" outlineLevel="0" collapsed="false">
      <c r="A91" s="7" t="n">
        <v>6956</v>
      </c>
      <c r="B91" s="7" t="s">
        <v>44</v>
      </c>
      <c r="C91" s="7" t="s">
        <v>777</v>
      </c>
      <c r="D91" s="7" t="s">
        <v>201</v>
      </c>
      <c r="E91" s="7" t="s">
        <v>135</v>
      </c>
      <c r="F91" s="7" t="n">
        <v>34</v>
      </c>
      <c r="G91" s="7" t="n">
        <v>6.18</v>
      </c>
      <c r="H91" s="7" t="n">
        <v>6.4</v>
      </c>
      <c r="I91" s="7" t="n">
        <v>3</v>
      </c>
      <c r="J91" s="7" t="n">
        <v>0</v>
      </c>
      <c r="K91" s="7" t="n">
        <v>0</v>
      </c>
      <c r="L91" s="7" t="n">
        <v>1</v>
      </c>
      <c r="M91" s="7" t="n">
        <v>1</v>
      </c>
      <c r="N91" s="7" t="n">
        <v>0</v>
      </c>
      <c r="O91" s="7" t="n">
        <v>1</v>
      </c>
      <c r="P91" s="7" t="n">
        <v>1</v>
      </c>
      <c r="Q91" s="7" t="n">
        <v>0</v>
      </c>
      <c r="R91" s="7" t="n">
        <v>1</v>
      </c>
    </row>
    <row r="92" customFormat="false" ht="15" hidden="false" customHeight="true" outlineLevel="0" collapsed="false">
      <c r="A92" s="7" t="n">
        <v>2120</v>
      </c>
      <c r="B92" s="7" t="s">
        <v>44</v>
      </c>
      <c r="C92" s="7" t="s">
        <v>777</v>
      </c>
      <c r="D92" s="7" t="s">
        <v>196</v>
      </c>
      <c r="E92" s="7" t="s">
        <v>115</v>
      </c>
      <c r="F92" s="7" t="n">
        <v>28</v>
      </c>
      <c r="G92" s="7" t="n">
        <v>6.2</v>
      </c>
      <c r="H92" s="7" t="n">
        <v>6.34</v>
      </c>
      <c r="I92" s="7" t="n">
        <v>1</v>
      </c>
      <c r="J92" s="7" t="n">
        <v>0</v>
      </c>
      <c r="K92" s="7" t="n">
        <v>0</v>
      </c>
      <c r="L92" s="7" t="n">
        <v>0</v>
      </c>
      <c r="M92" s="7" t="n">
        <v>0</v>
      </c>
      <c r="N92" s="7" t="n">
        <v>0</v>
      </c>
      <c r="O92" s="7" t="n">
        <v>4</v>
      </c>
      <c r="P92" s="7" t="n">
        <v>6</v>
      </c>
      <c r="Q92" s="7" t="n">
        <v>0</v>
      </c>
      <c r="R92" s="7" t="n">
        <v>0</v>
      </c>
    </row>
    <row r="93" customFormat="false" ht="15" hidden="false" customHeight="true" outlineLevel="0" collapsed="false">
      <c r="A93" s="7" t="n">
        <v>4807</v>
      </c>
      <c r="B93" s="7" t="s">
        <v>44</v>
      </c>
      <c r="C93" s="7" t="s">
        <v>777</v>
      </c>
      <c r="D93" s="7" t="s">
        <v>210</v>
      </c>
      <c r="E93" s="7" t="s">
        <v>113</v>
      </c>
      <c r="F93" s="7" t="n">
        <v>27</v>
      </c>
      <c r="G93" s="7" t="n">
        <v>6.17</v>
      </c>
      <c r="H93" s="7" t="n">
        <v>6.41</v>
      </c>
      <c r="I93" s="7" t="n">
        <v>3</v>
      </c>
      <c r="J93" s="7" t="n">
        <v>0</v>
      </c>
      <c r="K93" s="7" t="n">
        <v>0</v>
      </c>
      <c r="L93" s="7" t="n">
        <v>0</v>
      </c>
      <c r="M93" s="7" t="n">
        <v>0</v>
      </c>
      <c r="N93" s="7" t="n">
        <v>0</v>
      </c>
      <c r="O93" s="7" t="n">
        <v>2</v>
      </c>
      <c r="P93" s="7" t="n">
        <v>9</v>
      </c>
      <c r="Q93" s="7" t="n">
        <v>0</v>
      </c>
      <c r="R93" s="7" t="n">
        <v>0</v>
      </c>
    </row>
    <row r="94" customFormat="false" ht="15" hidden="false" customHeight="true" outlineLevel="0" collapsed="false">
      <c r="A94" s="7" t="n">
        <v>6986</v>
      </c>
      <c r="B94" s="7" t="s">
        <v>44</v>
      </c>
      <c r="C94" s="7" t="s">
        <v>781</v>
      </c>
      <c r="D94" s="7" t="s">
        <v>277</v>
      </c>
      <c r="E94" s="7" t="s">
        <v>113</v>
      </c>
      <c r="F94" s="7" t="n">
        <v>19</v>
      </c>
      <c r="G94" s="7" t="n">
        <v>6.16</v>
      </c>
      <c r="H94" s="7" t="n">
        <v>6.5</v>
      </c>
      <c r="I94" s="7" t="n">
        <v>1</v>
      </c>
      <c r="J94" s="7" t="n">
        <v>0</v>
      </c>
      <c r="K94" s="7" t="n">
        <v>0</v>
      </c>
      <c r="L94" s="7" t="n">
        <v>0</v>
      </c>
      <c r="M94" s="7" t="n">
        <v>0</v>
      </c>
      <c r="N94" s="7" t="n">
        <v>0</v>
      </c>
      <c r="O94" s="7" t="n">
        <v>4</v>
      </c>
      <c r="P94" s="7" t="n">
        <v>1</v>
      </c>
      <c r="Q94" s="7" t="n">
        <v>0</v>
      </c>
      <c r="R94" s="7" t="n">
        <v>0</v>
      </c>
    </row>
    <row r="95" customFormat="false" ht="15" hidden="false" customHeight="true" outlineLevel="0" collapsed="false">
      <c r="A95" s="7" t="n">
        <v>4159</v>
      </c>
      <c r="B95" s="7" t="s">
        <v>44</v>
      </c>
      <c r="C95" s="7" t="s">
        <v>777</v>
      </c>
      <c r="D95" s="7" t="s">
        <v>193</v>
      </c>
      <c r="E95" s="7" t="s">
        <v>115</v>
      </c>
      <c r="F95" s="7" t="n">
        <v>32</v>
      </c>
      <c r="G95" s="7" t="n">
        <v>6.28</v>
      </c>
      <c r="H95" s="7" t="n">
        <v>6.41</v>
      </c>
      <c r="I95" s="7" t="n">
        <v>2</v>
      </c>
      <c r="J95" s="7" t="n">
        <v>0</v>
      </c>
      <c r="K95" s="7" t="n">
        <v>0</v>
      </c>
      <c r="L95" s="7" t="n">
        <v>0</v>
      </c>
      <c r="M95" s="7" t="n">
        <v>0</v>
      </c>
      <c r="N95" s="7" t="n">
        <v>0</v>
      </c>
      <c r="O95" s="7" t="n">
        <v>0</v>
      </c>
      <c r="P95" s="7" t="n">
        <v>4</v>
      </c>
      <c r="Q95" s="7" t="n">
        <v>0</v>
      </c>
      <c r="R95" s="7" t="n">
        <v>0</v>
      </c>
    </row>
    <row r="96" customFormat="false" ht="15" hidden="false" customHeight="true" outlineLevel="0" collapsed="false">
      <c r="A96" s="7" t="n">
        <v>554</v>
      </c>
      <c r="B96" s="7" t="s">
        <v>44</v>
      </c>
      <c r="C96" s="7" t="s">
        <v>776</v>
      </c>
      <c r="D96" s="7" t="s">
        <v>214</v>
      </c>
      <c r="E96" s="7" t="s">
        <v>117</v>
      </c>
      <c r="F96" s="7" t="n">
        <v>35</v>
      </c>
      <c r="G96" s="7" t="n">
        <v>6.06</v>
      </c>
      <c r="H96" s="7" t="n">
        <v>6.3</v>
      </c>
      <c r="I96" s="7" t="n">
        <v>3</v>
      </c>
      <c r="J96" s="7" t="n">
        <v>0</v>
      </c>
      <c r="K96" s="7" t="n">
        <v>0</v>
      </c>
      <c r="L96" s="7" t="n">
        <v>0</v>
      </c>
      <c r="M96" s="7" t="n">
        <v>0</v>
      </c>
      <c r="N96" s="7" t="n">
        <v>0</v>
      </c>
      <c r="O96" s="7" t="n">
        <v>1</v>
      </c>
      <c r="P96" s="7" t="n">
        <v>3</v>
      </c>
      <c r="Q96" s="7" t="n">
        <v>0</v>
      </c>
      <c r="R96" s="7" t="n">
        <v>0</v>
      </c>
    </row>
    <row r="97" customFormat="false" ht="15" hidden="false" customHeight="true" outlineLevel="0" collapsed="false">
      <c r="A97" s="7" t="n">
        <v>5513</v>
      </c>
      <c r="B97" s="7" t="s">
        <v>44</v>
      </c>
      <c r="C97" s="7" t="s">
        <v>776</v>
      </c>
      <c r="D97" s="7" t="s">
        <v>782</v>
      </c>
      <c r="E97" s="7" t="s">
        <v>115</v>
      </c>
      <c r="F97" s="7" t="n">
        <v>19</v>
      </c>
      <c r="G97" s="7" t="n">
        <v>6.11</v>
      </c>
      <c r="H97" s="7" t="n">
        <v>6.58</v>
      </c>
      <c r="I97" s="7" t="n">
        <v>3</v>
      </c>
      <c r="J97" s="7" t="n">
        <v>0</v>
      </c>
      <c r="K97" s="7" t="n">
        <v>0</v>
      </c>
      <c r="L97" s="7" t="n">
        <v>0</v>
      </c>
      <c r="M97" s="7" t="n">
        <v>0</v>
      </c>
      <c r="N97" s="7" t="n">
        <v>0</v>
      </c>
      <c r="O97" s="7" t="n">
        <v>1</v>
      </c>
      <c r="P97" s="7" t="n">
        <v>2</v>
      </c>
      <c r="Q97" s="7" t="n">
        <v>0</v>
      </c>
      <c r="R97" s="7" t="n">
        <v>0</v>
      </c>
    </row>
    <row r="98" customFormat="false" ht="15" hidden="false" customHeight="true" outlineLevel="0" collapsed="false">
      <c r="A98" s="7" t="n">
        <v>4317</v>
      </c>
      <c r="B98" s="7" t="s">
        <v>44</v>
      </c>
      <c r="C98" s="7" t="s">
        <v>777</v>
      </c>
      <c r="D98" s="7" t="s">
        <v>200</v>
      </c>
      <c r="E98" s="7" t="s">
        <v>113</v>
      </c>
      <c r="F98" s="7" t="n">
        <v>31</v>
      </c>
      <c r="G98" s="7" t="n">
        <v>6.08</v>
      </c>
      <c r="H98" s="7" t="n">
        <v>6.32</v>
      </c>
      <c r="I98" s="7" t="n">
        <v>3</v>
      </c>
      <c r="J98" s="7" t="n">
        <v>0</v>
      </c>
      <c r="K98" s="7" t="n">
        <v>0</v>
      </c>
      <c r="L98" s="7" t="n">
        <v>0</v>
      </c>
      <c r="M98" s="7" t="n">
        <v>0</v>
      </c>
      <c r="N98" s="7" t="n">
        <v>0</v>
      </c>
      <c r="O98" s="7" t="n">
        <v>1</v>
      </c>
      <c r="P98" s="7" t="n">
        <v>5</v>
      </c>
      <c r="Q98" s="7" t="n">
        <v>0</v>
      </c>
      <c r="R98" s="7" t="n">
        <v>0</v>
      </c>
    </row>
    <row r="99" customFormat="false" ht="15" hidden="false" customHeight="true" outlineLevel="0" collapsed="false">
      <c r="A99" s="7" t="n">
        <v>2160</v>
      </c>
      <c r="B99" s="7" t="s">
        <v>44</v>
      </c>
      <c r="C99" s="7" t="s">
        <v>776</v>
      </c>
      <c r="D99" s="7" t="s">
        <v>783</v>
      </c>
      <c r="E99" s="7" t="s">
        <v>123</v>
      </c>
      <c r="F99" s="7" t="n">
        <v>25</v>
      </c>
      <c r="G99" s="7" t="n">
        <v>5.92</v>
      </c>
      <c r="H99" s="7" t="n">
        <v>6.28</v>
      </c>
      <c r="I99" s="7" t="n">
        <v>3</v>
      </c>
      <c r="J99" s="7" t="n">
        <v>0</v>
      </c>
      <c r="K99" s="7" t="n">
        <v>0</v>
      </c>
      <c r="L99" s="7" t="n">
        <v>0</v>
      </c>
      <c r="M99" s="7" t="n">
        <v>0</v>
      </c>
      <c r="N99" s="7" t="n">
        <v>0</v>
      </c>
      <c r="O99" s="7" t="n">
        <v>1</v>
      </c>
      <c r="P99" s="7" t="n">
        <v>2</v>
      </c>
      <c r="Q99" s="7" t="n">
        <v>0</v>
      </c>
      <c r="R99" s="7" t="n">
        <v>0</v>
      </c>
    </row>
    <row r="100" customFormat="false" ht="15" hidden="false" customHeight="true" outlineLevel="0" collapsed="false">
      <c r="A100" s="7" t="n">
        <v>5514</v>
      </c>
      <c r="B100" s="7" t="s">
        <v>44</v>
      </c>
      <c r="C100" s="7" t="s">
        <v>784</v>
      </c>
      <c r="D100" s="7" t="s">
        <v>211</v>
      </c>
      <c r="E100" s="7" t="s">
        <v>137</v>
      </c>
      <c r="F100" s="7" t="n">
        <v>36</v>
      </c>
      <c r="G100" s="7" t="n">
        <v>6.08</v>
      </c>
      <c r="H100" s="7" t="n">
        <v>6.14</v>
      </c>
      <c r="I100" s="7" t="n">
        <v>1</v>
      </c>
      <c r="J100" s="7" t="n">
        <v>0</v>
      </c>
      <c r="K100" s="7" t="n">
        <v>0</v>
      </c>
      <c r="L100" s="7" t="n">
        <v>0</v>
      </c>
      <c r="M100" s="7" t="n">
        <v>0</v>
      </c>
      <c r="N100" s="7" t="n">
        <v>0</v>
      </c>
      <c r="O100" s="7" t="n">
        <v>0</v>
      </c>
      <c r="P100" s="7" t="n">
        <v>2</v>
      </c>
      <c r="Q100" s="7" t="n">
        <v>0</v>
      </c>
      <c r="R100" s="7" t="n">
        <v>0</v>
      </c>
    </row>
    <row r="101" customFormat="false" ht="15" hidden="false" customHeight="true" outlineLevel="0" collapsed="false">
      <c r="A101" s="7" t="n">
        <v>6766</v>
      </c>
      <c r="B101" s="7" t="s">
        <v>44</v>
      </c>
      <c r="C101" s="7" t="s">
        <v>784</v>
      </c>
      <c r="D101" s="7" t="s">
        <v>272</v>
      </c>
      <c r="E101" s="7" t="s">
        <v>131</v>
      </c>
      <c r="F101" s="7" t="n">
        <v>35</v>
      </c>
      <c r="G101" s="7" t="n">
        <v>6.01</v>
      </c>
      <c r="H101" s="7" t="n">
        <v>6.07</v>
      </c>
      <c r="I101" s="7" t="n">
        <v>1</v>
      </c>
      <c r="J101" s="7" t="n">
        <v>0</v>
      </c>
      <c r="K101" s="7" t="n">
        <v>0</v>
      </c>
      <c r="L101" s="7" t="n">
        <v>0</v>
      </c>
      <c r="M101" s="7" t="n">
        <v>0</v>
      </c>
      <c r="N101" s="7" t="n">
        <v>0</v>
      </c>
      <c r="O101" s="7" t="n">
        <v>1</v>
      </c>
      <c r="P101" s="7" t="n">
        <v>4</v>
      </c>
      <c r="Q101" s="7" t="n">
        <v>0</v>
      </c>
      <c r="R101" s="7" t="n">
        <v>0</v>
      </c>
    </row>
    <row r="102" customFormat="false" ht="15" hidden="false" customHeight="true" outlineLevel="0" collapsed="false">
      <c r="A102" s="7" t="n">
        <v>4409</v>
      </c>
      <c r="B102" s="7" t="s">
        <v>44</v>
      </c>
      <c r="C102" s="7" t="s">
        <v>777</v>
      </c>
      <c r="D102" s="7" t="s">
        <v>198</v>
      </c>
      <c r="E102" s="7" t="s">
        <v>125</v>
      </c>
      <c r="F102" s="7" t="n">
        <v>21</v>
      </c>
      <c r="G102" s="7" t="n">
        <v>6.24</v>
      </c>
      <c r="H102" s="7" t="n">
        <v>6.45</v>
      </c>
      <c r="I102" s="7" t="n">
        <v>2</v>
      </c>
      <c r="J102" s="7" t="n">
        <v>0</v>
      </c>
      <c r="K102" s="7" t="n">
        <v>0</v>
      </c>
      <c r="L102" s="7" t="n">
        <v>0</v>
      </c>
      <c r="M102" s="7" t="n">
        <v>0</v>
      </c>
      <c r="N102" s="7" t="n">
        <v>0</v>
      </c>
      <c r="O102" s="7" t="n">
        <v>0</v>
      </c>
      <c r="P102" s="7" t="n">
        <v>3</v>
      </c>
      <c r="Q102" s="7" t="n">
        <v>0</v>
      </c>
      <c r="R102" s="7" t="n">
        <v>0</v>
      </c>
    </row>
    <row r="103" customFormat="false" ht="15" hidden="false" customHeight="true" outlineLevel="0" collapsed="false">
      <c r="A103" s="7" t="n">
        <v>5862</v>
      </c>
      <c r="B103" s="7" t="s">
        <v>44</v>
      </c>
      <c r="C103" s="7" t="s">
        <v>779</v>
      </c>
      <c r="D103" s="7" t="s">
        <v>225</v>
      </c>
      <c r="E103" s="7" t="s">
        <v>141</v>
      </c>
      <c r="F103" s="7" t="n">
        <v>34</v>
      </c>
      <c r="G103" s="7" t="n">
        <v>6.06</v>
      </c>
      <c r="H103" s="7" t="n">
        <v>6.09</v>
      </c>
      <c r="I103" s="7" t="n">
        <v>0</v>
      </c>
      <c r="J103" s="7" t="n">
        <v>0</v>
      </c>
      <c r="K103" s="7" t="n">
        <v>0</v>
      </c>
      <c r="L103" s="7" t="n">
        <v>0</v>
      </c>
      <c r="M103" s="7" t="n">
        <v>0</v>
      </c>
      <c r="N103" s="7" t="n">
        <v>0</v>
      </c>
      <c r="O103" s="7" t="n">
        <v>2</v>
      </c>
      <c r="P103" s="7" t="n">
        <v>2</v>
      </c>
      <c r="Q103" s="7" t="n">
        <v>0</v>
      </c>
      <c r="R103" s="7" t="n">
        <v>0</v>
      </c>
    </row>
    <row r="104" customFormat="false" ht="15" hidden="false" customHeight="true" outlineLevel="0" collapsed="false">
      <c r="A104" s="7" t="n">
        <v>6485</v>
      </c>
      <c r="B104" s="7" t="s">
        <v>44</v>
      </c>
      <c r="C104" s="7" t="s">
        <v>780</v>
      </c>
      <c r="D104" s="7" t="s">
        <v>241</v>
      </c>
      <c r="E104" s="7" t="s">
        <v>135</v>
      </c>
      <c r="F104" s="7" t="n">
        <v>28</v>
      </c>
      <c r="G104" s="7" t="n">
        <v>5.98</v>
      </c>
      <c r="H104" s="7" t="n">
        <v>6.23</v>
      </c>
      <c r="I104" s="7" t="n">
        <v>3</v>
      </c>
      <c r="J104" s="7" t="n">
        <v>0</v>
      </c>
      <c r="K104" s="7" t="n">
        <v>0</v>
      </c>
      <c r="L104" s="7" t="n">
        <v>0</v>
      </c>
      <c r="M104" s="7" t="n">
        <v>0</v>
      </c>
      <c r="N104" s="7" t="n">
        <v>0</v>
      </c>
      <c r="O104" s="7" t="n">
        <v>0</v>
      </c>
      <c r="P104" s="7" t="n">
        <v>4</v>
      </c>
      <c r="Q104" s="7" t="n">
        <v>0</v>
      </c>
      <c r="R104" s="7" t="n">
        <v>0</v>
      </c>
    </row>
    <row r="105" customFormat="false" ht="15" hidden="false" customHeight="true" outlineLevel="0" collapsed="false">
      <c r="A105" s="7" t="n">
        <v>7211</v>
      </c>
      <c r="B105" s="7" t="s">
        <v>44</v>
      </c>
      <c r="C105" s="7" t="s">
        <v>785</v>
      </c>
      <c r="D105" s="7" t="s">
        <v>313</v>
      </c>
      <c r="E105" s="7" t="s">
        <v>121</v>
      </c>
      <c r="F105" s="7" t="n">
        <v>17</v>
      </c>
      <c r="G105" s="7" t="n">
        <v>5.94</v>
      </c>
      <c r="H105" s="7" t="n">
        <v>6.32</v>
      </c>
      <c r="I105" s="7" t="n">
        <v>2</v>
      </c>
      <c r="J105" s="7" t="n">
        <v>0</v>
      </c>
      <c r="K105" s="7" t="n">
        <v>0</v>
      </c>
      <c r="L105" s="7" t="n">
        <v>0</v>
      </c>
      <c r="M105" s="7" t="n">
        <v>0</v>
      </c>
      <c r="N105" s="7" t="n">
        <v>0</v>
      </c>
      <c r="O105" s="7" t="n">
        <v>2</v>
      </c>
      <c r="P105" s="7" t="n">
        <v>3</v>
      </c>
      <c r="Q105" s="7" t="n">
        <v>0</v>
      </c>
      <c r="R105" s="7" t="n">
        <v>0</v>
      </c>
    </row>
    <row r="106" customFormat="false" ht="15" hidden="false" customHeight="true" outlineLevel="0" collapsed="false">
      <c r="A106" s="7" t="n">
        <v>5678</v>
      </c>
      <c r="B106" s="7" t="s">
        <v>44</v>
      </c>
      <c r="C106" s="7" t="s">
        <v>785</v>
      </c>
      <c r="D106" s="7" t="s">
        <v>264</v>
      </c>
      <c r="E106" s="7" t="s">
        <v>131</v>
      </c>
      <c r="F106" s="7" t="n">
        <v>16</v>
      </c>
      <c r="G106" s="7" t="n">
        <v>6.09</v>
      </c>
      <c r="H106" s="7" t="n">
        <v>6.44</v>
      </c>
      <c r="I106" s="7" t="n">
        <v>1</v>
      </c>
      <c r="J106" s="7" t="n">
        <v>0</v>
      </c>
      <c r="K106" s="7" t="n">
        <v>0</v>
      </c>
      <c r="L106" s="7" t="n">
        <v>0</v>
      </c>
      <c r="M106" s="7" t="n">
        <v>0</v>
      </c>
      <c r="N106" s="7" t="n">
        <v>0</v>
      </c>
      <c r="O106" s="7" t="n">
        <v>4</v>
      </c>
      <c r="P106" s="7" t="n">
        <v>1</v>
      </c>
      <c r="Q106" s="7" t="n">
        <v>1</v>
      </c>
      <c r="R106" s="7" t="n">
        <v>0</v>
      </c>
    </row>
    <row r="107" customFormat="false" ht="15" hidden="false" customHeight="true" outlineLevel="0" collapsed="false">
      <c r="A107" s="7" t="n">
        <v>4734</v>
      </c>
      <c r="B107" s="7" t="s">
        <v>44</v>
      </c>
      <c r="C107" s="7" t="s">
        <v>779</v>
      </c>
      <c r="D107" s="7" t="s">
        <v>216</v>
      </c>
      <c r="E107" s="7" t="s">
        <v>127</v>
      </c>
      <c r="F107" s="7" t="n">
        <v>31</v>
      </c>
      <c r="G107" s="7" t="n">
        <v>6</v>
      </c>
      <c r="H107" s="7" t="n">
        <v>6.1</v>
      </c>
      <c r="I107" s="7" t="n">
        <v>1</v>
      </c>
      <c r="J107" s="7" t="n">
        <v>0</v>
      </c>
      <c r="K107" s="7" t="n">
        <v>0</v>
      </c>
      <c r="L107" s="7" t="n">
        <v>0</v>
      </c>
      <c r="M107" s="7" t="n">
        <v>0</v>
      </c>
      <c r="N107" s="7" t="n">
        <v>0</v>
      </c>
      <c r="O107" s="7" t="n">
        <v>3</v>
      </c>
      <c r="P107" s="7" t="n">
        <v>6</v>
      </c>
      <c r="Q107" s="7" t="n">
        <v>0</v>
      </c>
      <c r="R107" s="7" t="n">
        <v>0</v>
      </c>
    </row>
    <row r="108" customFormat="false" ht="15" hidden="false" customHeight="true" outlineLevel="0" collapsed="false">
      <c r="A108" s="7" t="n">
        <v>4994</v>
      </c>
      <c r="B108" s="7" t="s">
        <v>44</v>
      </c>
      <c r="C108" s="7" t="s">
        <v>785</v>
      </c>
      <c r="D108" s="7" t="s">
        <v>227</v>
      </c>
      <c r="E108" s="7" t="s">
        <v>119</v>
      </c>
      <c r="F108" s="7" t="n">
        <v>27</v>
      </c>
      <c r="G108" s="7" t="n">
        <v>6.02</v>
      </c>
      <c r="H108" s="7" t="n">
        <v>6.24</v>
      </c>
      <c r="I108" s="7" t="n">
        <v>2</v>
      </c>
      <c r="J108" s="7" t="n">
        <v>0</v>
      </c>
      <c r="K108" s="7" t="n">
        <v>0</v>
      </c>
      <c r="L108" s="7" t="n">
        <v>0</v>
      </c>
      <c r="M108" s="7" t="n">
        <v>0</v>
      </c>
      <c r="N108" s="7" t="n">
        <v>0</v>
      </c>
      <c r="O108" s="7" t="n">
        <v>1</v>
      </c>
      <c r="P108" s="7" t="n">
        <v>2</v>
      </c>
      <c r="Q108" s="7" t="n">
        <v>0</v>
      </c>
      <c r="R108" s="7" t="n">
        <v>0</v>
      </c>
    </row>
    <row r="109" customFormat="false" ht="15" hidden="false" customHeight="true" outlineLevel="0" collapsed="false">
      <c r="A109" s="7" t="n">
        <v>6867</v>
      </c>
      <c r="B109" s="7" t="s">
        <v>44</v>
      </c>
      <c r="C109" s="7" t="s">
        <v>779</v>
      </c>
      <c r="D109" s="7" t="s">
        <v>247</v>
      </c>
      <c r="E109" s="7" t="s">
        <v>119</v>
      </c>
      <c r="F109" s="7" t="n">
        <v>26</v>
      </c>
      <c r="G109" s="7" t="n">
        <v>6.06</v>
      </c>
      <c r="H109" s="7" t="n">
        <v>6.23</v>
      </c>
      <c r="I109" s="7" t="n">
        <v>1</v>
      </c>
      <c r="J109" s="7" t="n">
        <v>0</v>
      </c>
      <c r="K109" s="7" t="n">
        <v>0</v>
      </c>
      <c r="L109" s="7" t="n">
        <v>0</v>
      </c>
      <c r="M109" s="7" t="n">
        <v>0</v>
      </c>
      <c r="N109" s="7" t="n">
        <v>0</v>
      </c>
      <c r="O109" s="7" t="n">
        <v>3</v>
      </c>
      <c r="P109" s="7" t="n">
        <v>3</v>
      </c>
      <c r="Q109" s="7" t="n">
        <v>0</v>
      </c>
      <c r="R109" s="7" t="n">
        <v>0</v>
      </c>
    </row>
    <row r="110" customFormat="false" ht="15" hidden="false" customHeight="true" outlineLevel="0" collapsed="false">
      <c r="A110" s="7" t="n">
        <v>5885</v>
      </c>
      <c r="B110" s="7" t="s">
        <v>44</v>
      </c>
      <c r="C110" s="7" t="s">
        <v>776</v>
      </c>
      <c r="D110" s="7" t="s">
        <v>209</v>
      </c>
      <c r="E110" s="7" t="s">
        <v>123</v>
      </c>
      <c r="F110" s="7" t="n">
        <v>36</v>
      </c>
      <c r="G110" s="7" t="n">
        <v>5.99</v>
      </c>
      <c r="H110" s="7" t="n">
        <v>6.03</v>
      </c>
      <c r="I110" s="7" t="n">
        <v>1</v>
      </c>
      <c r="J110" s="7" t="n">
        <v>0</v>
      </c>
      <c r="K110" s="7" t="n">
        <v>0</v>
      </c>
      <c r="L110" s="7" t="n">
        <v>0</v>
      </c>
      <c r="M110" s="7" t="n">
        <v>0</v>
      </c>
      <c r="N110" s="7" t="n">
        <v>0</v>
      </c>
      <c r="O110" s="7" t="n">
        <v>2</v>
      </c>
      <c r="P110" s="7" t="n">
        <v>7</v>
      </c>
      <c r="Q110" s="7" t="n">
        <v>0</v>
      </c>
      <c r="R110" s="7" t="n">
        <v>0</v>
      </c>
    </row>
    <row r="111" customFormat="false" ht="15" hidden="false" customHeight="true" outlineLevel="0" collapsed="false">
      <c r="A111" s="7" t="n">
        <v>2593</v>
      </c>
      <c r="B111" s="7" t="s">
        <v>44</v>
      </c>
      <c r="C111" s="7" t="s">
        <v>779</v>
      </c>
      <c r="D111" s="7" t="s">
        <v>271</v>
      </c>
      <c r="E111" s="7" t="s">
        <v>137</v>
      </c>
      <c r="F111" s="7" t="n">
        <v>29</v>
      </c>
      <c r="G111" s="7" t="n">
        <v>5.97</v>
      </c>
      <c r="H111" s="7" t="n">
        <v>6.1</v>
      </c>
      <c r="I111" s="7" t="n">
        <v>1</v>
      </c>
      <c r="J111" s="7" t="n">
        <v>0</v>
      </c>
      <c r="K111" s="7" t="n">
        <v>0</v>
      </c>
      <c r="L111" s="7" t="n">
        <v>1</v>
      </c>
      <c r="M111" s="7" t="n">
        <v>0</v>
      </c>
      <c r="N111" s="7" t="n">
        <v>1</v>
      </c>
      <c r="O111" s="7" t="n">
        <v>5</v>
      </c>
      <c r="P111" s="7" t="n">
        <v>2</v>
      </c>
      <c r="Q111" s="7" t="n">
        <v>0</v>
      </c>
      <c r="R111" s="7" t="n">
        <v>0</v>
      </c>
    </row>
    <row r="112" customFormat="false" ht="15" hidden="false" customHeight="true" outlineLevel="0" collapsed="false">
      <c r="A112" s="7" t="n">
        <v>5877</v>
      </c>
      <c r="B112" s="7" t="s">
        <v>44</v>
      </c>
      <c r="C112" s="7" t="s">
        <v>786</v>
      </c>
      <c r="D112" s="7" t="s">
        <v>231</v>
      </c>
      <c r="E112" s="7" t="s">
        <v>115</v>
      </c>
      <c r="F112" s="7" t="n">
        <v>28</v>
      </c>
      <c r="G112" s="7" t="n">
        <v>6.12</v>
      </c>
      <c r="H112" s="7" t="n">
        <v>6.16</v>
      </c>
      <c r="I112" s="7" t="n">
        <v>1</v>
      </c>
      <c r="J112" s="7" t="n">
        <v>0</v>
      </c>
      <c r="K112" s="7" t="n">
        <v>0</v>
      </c>
      <c r="L112" s="7" t="n">
        <v>0</v>
      </c>
      <c r="M112" s="7" t="n">
        <v>0</v>
      </c>
      <c r="N112" s="7" t="n">
        <v>0</v>
      </c>
      <c r="O112" s="7" t="n">
        <v>1</v>
      </c>
      <c r="P112" s="7" t="n">
        <v>6</v>
      </c>
      <c r="Q112" s="7" t="n">
        <v>0</v>
      </c>
      <c r="R112" s="7" t="n">
        <v>0</v>
      </c>
    </row>
    <row r="113" customFormat="false" ht="15" hidden="false" customHeight="true" outlineLevel="0" collapsed="false">
      <c r="A113" s="7" t="n">
        <v>6989</v>
      </c>
      <c r="B113" s="7" t="s">
        <v>44</v>
      </c>
      <c r="C113" s="7" t="s">
        <v>777</v>
      </c>
      <c r="D113" s="7" t="s">
        <v>234</v>
      </c>
      <c r="E113" s="7" t="s">
        <v>139</v>
      </c>
      <c r="F113" s="7" t="n">
        <v>36</v>
      </c>
      <c r="G113" s="7" t="n">
        <v>6</v>
      </c>
      <c r="H113" s="7" t="n">
        <v>6.01</v>
      </c>
      <c r="I113" s="7" t="n">
        <v>2</v>
      </c>
      <c r="J113" s="7" t="n">
        <v>0</v>
      </c>
      <c r="K113" s="7" t="n">
        <v>0</v>
      </c>
      <c r="L113" s="7" t="n">
        <v>0</v>
      </c>
      <c r="M113" s="7" t="n">
        <v>0</v>
      </c>
      <c r="N113" s="7" t="n">
        <v>0</v>
      </c>
      <c r="O113" s="7" t="n">
        <v>0</v>
      </c>
      <c r="P113" s="7" t="n">
        <v>7</v>
      </c>
      <c r="Q113" s="7" t="n">
        <v>0</v>
      </c>
      <c r="R113" s="7" t="n">
        <v>1</v>
      </c>
    </row>
    <row r="114" customFormat="false" ht="15" hidden="false" customHeight="true" outlineLevel="0" collapsed="false">
      <c r="A114" s="7" t="n">
        <v>4502</v>
      </c>
      <c r="B114" s="7" t="s">
        <v>44</v>
      </c>
      <c r="C114" s="7" t="s">
        <v>779</v>
      </c>
      <c r="D114" s="7" t="s">
        <v>255</v>
      </c>
      <c r="E114" s="7" t="s">
        <v>139</v>
      </c>
      <c r="F114" s="7" t="n">
        <v>37</v>
      </c>
      <c r="G114" s="7" t="n">
        <v>5.95</v>
      </c>
      <c r="H114" s="7" t="n">
        <v>5.99</v>
      </c>
      <c r="I114" s="7" t="n">
        <v>0</v>
      </c>
      <c r="J114" s="7" t="n">
        <v>0</v>
      </c>
      <c r="K114" s="7" t="n">
        <v>0</v>
      </c>
      <c r="L114" s="7" t="n">
        <v>0</v>
      </c>
      <c r="M114" s="7" t="n">
        <v>0</v>
      </c>
      <c r="N114" s="7" t="n">
        <v>0</v>
      </c>
      <c r="O114" s="7" t="n">
        <v>3</v>
      </c>
      <c r="P114" s="7" t="n">
        <v>3</v>
      </c>
      <c r="Q114" s="7" t="n">
        <v>0</v>
      </c>
      <c r="R114" s="7" t="n">
        <v>0</v>
      </c>
    </row>
    <row r="115" customFormat="false" ht="15" hidden="false" customHeight="true" outlineLevel="0" collapsed="false">
      <c r="A115" s="7" t="n">
        <v>6496</v>
      </c>
      <c r="B115" s="7" t="s">
        <v>44</v>
      </c>
      <c r="C115" s="7" t="s">
        <v>779</v>
      </c>
      <c r="D115" s="7" t="s">
        <v>222</v>
      </c>
      <c r="E115" s="7" t="s">
        <v>121</v>
      </c>
      <c r="F115" s="7" t="n">
        <v>31</v>
      </c>
      <c r="G115" s="7" t="n">
        <v>5.97</v>
      </c>
      <c r="H115" s="7" t="n">
        <v>6.05</v>
      </c>
      <c r="I115" s="7" t="n">
        <v>2</v>
      </c>
      <c r="J115" s="7" t="n">
        <v>0</v>
      </c>
      <c r="K115" s="7" t="n">
        <v>0</v>
      </c>
      <c r="L115" s="7" t="n">
        <v>0</v>
      </c>
      <c r="M115" s="7" t="n">
        <v>0</v>
      </c>
      <c r="N115" s="7" t="n">
        <v>0</v>
      </c>
      <c r="O115" s="7" t="n">
        <v>0</v>
      </c>
      <c r="P115" s="7" t="n">
        <v>3</v>
      </c>
      <c r="Q115" s="7" t="n">
        <v>0</v>
      </c>
      <c r="R115" s="7" t="n">
        <v>1</v>
      </c>
    </row>
    <row r="116" customFormat="false" ht="15" hidden="false" customHeight="true" outlineLevel="0" collapsed="false">
      <c r="A116" s="7" t="n">
        <v>6202</v>
      </c>
      <c r="B116" s="7" t="s">
        <v>44</v>
      </c>
      <c r="C116" s="7" t="s">
        <v>777</v>
      </c>
      <c r="D116" s="7" t="s">
        <v>257</v>
      </c>
      <c r="E116" s="7" t="s">
        <v>125</v>
      </c>
      <c r="F116" s="7" t="n">
        <v>22</v>
      </c>
      <c r="G116" s="7" t="n">
        <v>5.93</v>
      </c>
      <c r="H116" s="7" t="n">
        <v>6.16</v>
      </c>
      <c r="I116" s="7" t="n">
        <v>2</v>
      </c>
      <c r="J116" s="7" t="n">
        <v>0</v>
      </c>
      <c r="K116" s="7" t="n">
        <v>0</v>
      </c>
      <c r="L116" s="7" t="n">
        <v>0</v>
      </c>
      <c r="M116" s="7" t="n">
        <v>0</v>
      </c>
      <c r="N116" s="7" t="n">
        <v>0</v>
      </c>
      <c r="O116" s="7" t="n">
        <v>0</v>
      </c>
      <c r="P116" s="7" t="n">
        <v>2</v>
      </c>
      <c r="Q116" s="7" t="n">
        <v>0</v>
      </c>
      <c r="R116" s="7" t="n">
        <v>0</v>
      </c>
    </row>
    <row r="117" customFormat="false" ht="15" hidden="false" customHeight="true" outlineLevel="0" collapsed="false">
      <c r="A117" s="7" t="n">
        <v>2816</v>
      </c>
      <c r="B117" s="7" t="s">
        <v>44</v>
      </c>
      <c r="C117" s="7" t="s">
        <v>785</v>
      </c>
      <c r="D117" s="7" t="s">
        <v>204</v>
      </c>
      <c r="E117" s="7" t="s">
        <v>125</v>
      </c>
      <c r="F117" s="7" t="n">
        <v>26</v>
      </c>
      <c r="G117" s="7" t="n">
        <v>6.08</v>
      </c>
      <c r="H117" s="7" t="n">
        <v>6.33</v>
      </c>
      <c r="I117" s="7" t="n">
        <v>2</v>
      </c>
      <c r="J117" s="7" t="n">
        <v>0</v>
      </c>
      <c r="K117" s="7" t="n">
        <v>0</v>
      </c>
      <c r="L117" s="7" t="n">
        <v>0</v>
      </c>
      <c r="M117" s="7" t="n">
        <v>0</v>
      </c>
      <c r="N117" s="7" t="n">
        <v>0</v>
      </c>
      <c r="O117" s="7" t="n">
        <v>1</v>
      </c>
      <c r="P117" s="7" t="n">
        <v>1</v>
      </c>
      <c r="Q117" s="7" t="n">
        <v>0</v>
      </c>
      <c r="R117" s="7" t="n">
        <v>0</v>
      </c>
    </row>
    <row r="118" customFormat="false" ht="15" hidden="false" customHeight="true" outlineLevel="0" collapsed="false">
      <c r="A118" s="7" t="n">
        <v>6664</v>
      </c>
      <c r="B118" s="7" t="s">
        <v>44</v>
      </c>
      <c r="C118" s="7" t="s">
        <v>781</v>
      </c>
      <c r="D118" s="7" t="s">
        <v>224</v>
      </c>
      <c r="E118" s="7" t="s">
        <v>141</v>
      </c>
      <c r="F118" s="7" t="n">
        <v>35</v>
      </c>
      <c r="G118" s="7" t="n">
        <v>5.91</v>
      </c>
      <c r="H118" s="7" t="n">
        <v>6.01</v>
      </c>
      <c r="I118" s="7" t="n">
        <v>2</v>
      </c>
      <c r="J118" s="7" t="n">
        <v>0</v>
      </c>
      <c r="K118" s="7" t="n">
        <v>0</v>
      </c>
      <c r="L118" s="7" t="n">
        <v>0</v>
      </c>
      <c r="M118" s="7" t="n">
        <v>0</v>
      </c>
      <c r="N118" s="7" t="n">
        <v>0</v>
      </c>
      <c r="O118" s="7" t="n">
        <v>0</v>
      </c>
      <c r="P118" s="7" t="n">
        <v>5</v>
      </c>
      <c r="Q118" s="7" t="n">
        <v>0</v>
      </c>
      <c r="R118" s="7" t="n">
        <v>0</v>
      </c>
    </row>
    <row r="119" customFormat="false" ht="15" hidden="false" customHeight="true" outlineLevel="0" collapsed="false">
      <c r="A119" s="7" t="n">
        <v>4263</v>
      </c>
      <c r="B119" s="7" t="s">
        <v>44</v>
      </c>
      <c r="C119" s="7" t="s">
        <v>777</v>
      </c>
      <c r="D119" s="7" t="s">
        <v>296</v>
      </c>
      <c r="E119" s="7" t="s">
        <v>135</v>
      </c>
      <c r="F119" s="7" t="n">
        <v>28</v>
      </c>
      <c r="G119" s="7" t="n">
        <v>5.98</v>
      </c>
      <c r="H119" s="7" t="n">
        <v>6.18</v>
      </c>
      <c r="I119" s="7" t="n">
        <v>3</v>
      </c>
      <c r="J119" s="7" t="n">
        <v>0</v>
      </c>
      <c r="K119" s="7" t="n">
        <v>0</v>
      </c>
      <c r="L119" s="7" t="n">
        <v>0</v>
      </c>
      <c r="M119" s="7" t="n">
        <v>0</v>
      </c>
      <c r="N119" s="7" t="n">
        <v>0</v>
      </c>
      <c r="O119" s="7" t="n">
        <v>0</v>
      </c>
      <c r="P119" s="7" t="n">
        <v>5</v>
      </c>
      <c r="Q119" s="7" t="n">
        <v>1</v>
      </c>
      <c r="R119" s="7" t="n">
        <v>0</v>
      </c>
    </row>
    <row r="120" customFormat="false" ht="15" hidden="false" customHeight="true" outlineLevel="0" collapsed="false">
      <c r="A120" s="7" t="n">
        <v>6869</v>
      </c>
      <c r="B120" s="7" t="s">
        <v>44</v>
      </c>
      <c r="C120" s="7" t="s">
        <v>777</v>
      </c>
      <c r="D120" s="7" t="s">
        <v>208</v>
      </c>
      <c r="E120" s="7" t="s">
        <v>119</v>
      </c>
      <c r="F120" s="7" t="n">
        <v>32</v>
      </c>
      <c r="G120" s="7" t="n">
        <v>6.16</v>
      </c>
      <c r="H120" s="7" t="n">
        <v>6.14</v>
      </c>
      <c r="I120" s="7" t="n">
        <v>2</v>
      </c>
      <c r="J120" s="7" t="n">
        <v>0</v>
      </c>
      <c r="K120" s="7" t="n">
        <v>0</v>
      </c>
      <c r="L120" s="7" t="n">
        <v>0</v>
      </c>
      <c r="M120" s="7" t="n">
        <v>0</v>
      </c>
      <c r="N120" s="7" t="n">
        <v>0</v>
      </c>
      <c r="O120" s="7" t="n">
        <v>0</v>
      </c>
      <c r="P120" s="7" t="n">
        <v>11</v>
      </c>
      <c r="Q120" s="7" t="n">
        <v>1</v>
      </c>
      <c r="R120" s="7" t="n">
        <v>0</v>
      </c>
    </row>
    <row r="121" customFormat="false" ht="15" hidden="false" customHeight="true" outlineLevel="0" collapsed="false">
      <c r="A121" s="7" t="n">
        <v>7220</v>
      </c>
      <c r="B121" s="7" t="s">
        <v>44</v>
      </c>
      <c r="C121" s="7" t="s">
        <v>785</v>
      </c>
      <c r="D121" s="7" t="s">
        <v>787</v>
      </c>
      <c r="E121" s="7" t="s">
        <v>745</v>
      </c>
      <c r="F121" s="7" t="n">
        <v>26</v>
      </c>
      <c r="G121" s="7" t="n">
        <v>6.1</v>
      </c>
      <c r="H121" s="7" t="n">
        <v>6.21</v>
      </c>
      <c r="I121" s="7" t="n">
        <v>2</v>
      </c>
      <c r="J121" s="7" t="n">
        <v>0</v>
      </c>
      <c r="K121" s="7" t="n">
        <v>0</v>
      </c>
      <c r="L121" s="7" t="n">
        <v>0</v>
      </c>
      <c r="M121" s="7" t="n">
        <v>0</v>
      </c>
      <c r="N121" s="7" t="n">
        <v>0</v>
      </c>
      <c r="O121" s="7" t="n">
        <v>0</v>
      </c>
      <c r="P121" s="7" t="n">
        <v>6</v>
      </c>
      <c r="Q121" s="7" t="n">
        <v>0</v>
      </c>
      <c r="R121" s="7" t="n">
        <v>0</v>
      </c>
    </row>
    <row r="122" customFormat="false" ht="15" hidden="false" customHeight="true" outlineLevel="0" collapsed="false">
      <c r="A122" s="7" t="n">
        <v>5427</v>
      </c>
      <c r="B122" s="7" t="s">
        <v>44</v>
      </c>
      <c r="C122" s="7" t="s">
        <v>779</v>
      </c>
      <c r="D122" s="7" t="s">
        <v>788</v>
      </c>
      <c r="E122" s="7" t="s">
        <v>125</v>
      </c>
      <c r="F122" s="7" t="n">
        <v>21</v>
      </c>
      <c r="G122" s="7" t="n">
        <v>5.98</v>
      </c>
      <c r="H122" s="7" t="n">
        <v>6.17</v>
      </c>
      <c r="I122" s="7" t="n">
        <v>1</v>
      </c>
      <c r="J122" s="7" t="n">
        <v>0</v>
      </c>
      <c r="K122" s="7" t="n">
        <v>0</v>
      </c>
      <c r="L122" s="7" t="n">
        <v>0</v>
      </c>
      <c r="M122" s="7" t="n">
        <v>0</v>
      </c>
      <c r="N122" s="7" t="n">
        <v>0</v>
      </c>
      <c r="O122" s="7" t="n">
        <v>1</v>
      </c>
      <c r="P122" s="7" t="n">
        <v>0</v>
      </c>
      <c r="Q122" s="7" t="n">
        <v>0</v>
      </c>
      <c r="R122" s="7" t="n">
        <v>0</v>
      </c>
    </row>
    <row r="123" customFormat="false" ht="15" hidden="false" customHeight="true" outlineLevel="0" collapsed="false">
      <c r="A123" s="7" t="n">
        <v>7329</v>
      </c>
      <c r="B123" s="7" t="s">
        <v>44</v>
      </c>
      <c r="C123" s="7" t="s">
        <v>779</v>
      </c>
      <c r="D123" s="7" t="s">
        <v>789</v>
      </c>
      <c r="E123" s="7" t="s">
        <v>184</v>
      </c>
      <c r="F123" s="7" t="n">
        <v>16</v>
      </c>
      <c r="G123" s="7" t="n">
        <v>6.06</v>
      </c>
      <c r="H123" s="7" t="n">
        <v>6.41</v>
      </c>
      <c r="I123" s="7" t="n">
        <v>1</v>
      </c>
      <c r="J123" s="7" t="n">
        <v>0</v>
      </c>
      <c r="K123" s="7" t="n">
        <v>0</v>
      </c>
      <c r="L123" s="7" t="n">
        <v>0</v>
      </c>
      <c r="M123" s="7" t="n">
        <v>0</v>
      </c>
      <c r="N123" s="7" t="n">
        <v>0</v>
      </c>
      <c r="O123" s="7" t="n">
        <v>3</v>
      </c>
      <c r="P123" s="7" t="n">
        <v>1</v>
      </c>
      <c r="Q123" s="7" t="n">
        <v>0</v>
      </c>
      <c r="R123" s="7" t="n">
        <v>0</v>
      </c>
    </row>
    <row r="124" customFormat="false" ht="15" hidden="false" customHeight="true" outlineLevel="0" collapsed="false">
      <c r="A124" s="7" t="n">
        <v>6066</v>
      </c>
      <c r="B124" s="7" t="s">
        <v>44</v>
      </c>
      <c r="C124" s="7" t="s">
        <v>780</v>
      </c>
      <c r="D124" s="7" t="s">
        <v>790</v>
      </c>
      <c r="E124" s="7" t="s">
        <v>119</v>
      </c>
      <c r="F124" s="7" t="n">
        <v>8</v>
      </c>
      <c r="G124" s="7" t="n">
        <v>6.06</v>
      </c>
      <c r="H124" s="7" t="n">
        <v>6.38</v>
      </c>
      <c r="I124" s="7" t="n">
        <v>1</v>
      </c>
      <c r="J124" s="7" t="n">
        <v>0</v>
      </c>
      <c r="K124" s="7" t="n">
        <v>0</v>
      </c>
      <c r="L124" s="7" t="n">
        <v>0</v>
      </c>
      <c r="M124" s="7" t="n">
        <v>0</v>
      </c>
      <c r="N124" s="7" t="n">
        <v>0</v>
      </c>
      <c r="O124" s="7" t="n">
        <v>0</v>
      </c>
      <c r="P124" s="7" t="n">
        <v>1</v>
      </c>
      <c r="Q124" s="7" t="n">
        <v>0</v>
      </c>
      <c r="R124" s="7" t="n">
        <v>0</v>
      </c>
    </row>
    <row r="125" customFormat="false" ht="15" hidden="false" customHeight="true" outlineLevel="0" collapsed="false">
      <c r="A125" s="7" t="n">
        <v>4210</v>
      </c>
      <c r="B125" s="7" t="s">
        <v>44</v>
      </c>
      <c r="C125" s="7" t="s">
        <v>777</v>
      </c>
      <c r="D125" s="7" t="s">
        <v>217</v>
      </c>
      <c r="E125" s="7" t="s">
        <v>129</v>
      </c>
      <c r="F125" s="7" t="n">
        <v>26</v>
      </c>
      <c r="G125" s="7" t="n">
        <v>6</v>
      </c>
      <c r="H125" s="7" t="n">
        <v>6.17</v>
      </c>
      <c r="I125" s="7" t="n">
        <v>2</v>
      </c>
      <c r="J125" s="7" t="n">
        <v>0</v>
      </c>
      <c r="K125" s="7" t="n">
        <v>0</v>
      </c>
      <c r="L125" s="7" t="n">
        <v>0</v>
      </c>
      <c r="M125" s="7" t="n">
        <v>0</v>
      </c>
      <c r="N125" s="7" t="n">
        <v>0</v>
      </c>
      <c r="O125" s="7" t="n">
        <v>1</v>
      </c>
      <c r="P125" s="7" t="n">
        <v>3</v>
      </c>
      <c r="Q125" s="7" t="n">
        <v>1</v>
      </c>
      <c r="R125" s="7" t="n">
        <v>0</v>
      </c>
    </row>
    <row r="126" customFormat="false" ht="15" hidden="false" customHeight="true" outlineLevel="0" collapsed="false">
      <c r="A126" s="7" t="n">
        <v>5435</v>
      </c>
      <c r="B126" s="7" t="s">
        <v>44</v>
      </c>
      <c r="C126" s="7" t="s">
        <v>779</v>
      </c>
      <c r="D126" s="7" t="s">
        <v>791</v>
      </c>
      <c r="E126" s="7" t="s">
        <v>119</v>
      </c>
      <c r="F126" s="7" t="n">
        <v>16</v>
      </c>
      <c r="G126" s="7" t="n">
        <v>6.06</v>
      </c>
      <c r="H126" s="7" t="n">
        <v>6.38</v>
      </c>
      <c r="I126" s="7" t="n">
        <v>2</v>
      </c>
      <c r="J126" s="7" t="n">
        <v>0</v>
      </c>
      <c r="K126" s="7" t="n">
        <v>0</v>
      </c>
      <c r="L126" s="7" t="n">
        <v>0</v>
      </c>
      <c r="M126" s="7" t="n">
        <v>0</v>
      </c>
      <c r="N126" s="7" t="n">
        <v>0</v>
      </c>
      <c r="O126" s="7" t="n">
        <v>1</v>
      </c>
      <c r="P126" s="7" t="n">
        <v>4</v>
      </c>
      <c r="Q126" s="7" t="n">
        <v>0</v>
      </c>
      <c r="R126" s="7" t="n">
        <v>0</v>
      </c>
    </row>
    <row r="127" customFormat="false" ht="15" hidden="false" customHeight="true" outlineLevel="0" collapsed="false">
      <c r="A127" s="7" t="n">
        <v>5520</v>
      </c>
      <c r="B127" s="7" t="s">
        <v>44</v>
      </c>
      <c r="C127" s="7" t="s">
        <v>776</v>
      </c>
      <c r="D127" s="7" t="s">
        <v>212</v>
      </c>
      <c r="E127" s="7" t="s">
        <v>131</v>
      </c>
      <c r="F127" s="7" t="n">
        <v>36</v>
      </c>
      <c r="G127" s="7" t="n">
        <v>5.81</v>
      </c>
      <c r="H127" s="7" t="n">
        <v>5.99</v>
      </c>
      <c r="I127" s="7" t="n">
        <v>3</v>
      </c>
      <c r="J127" s="7" t="n">
        <v>0</v>
      </c>
      <c r="K127" s="7" t="n">
        <v>0</v>
      </c>
      <c r="L127" s="7" t="n">
        <v>0</v>
      </c>
      <c r="M127" s="7" t="n">
        <v>0</v>
      </c>
      <c r="N127" s="7" t="n">
        <v>0</v>
      </c>
      <c r="O127" s="7" t="n">
        <v>4</v>
      </c>
      <c r="P127" s="7" t="n">
        <v>3</v>
      </c>
      <c r="Q127" s="7" t="n">
        <v>1</v>
      </c>
      <c r="R127" s="7" t="n">
        <v>2</v>
      </c>
    </row>
    <row r="128" customFormat="false" ht="15" hidden="false" customHeight="true" outlineLevel="0" collapsed="false">
      <c r="A128" s="7" t="n">
        <v>5835</v>
      </c>
      <c r="B128" s="7" t="s">
        <v>44</v>
      </c>
      <c r="C128" s="7" t="s">
        <v>777</v>
      </c>
      <c r="D128" s="7" t="s">
        <v>792</v>
      </c>
      <c r="E128" s="7" t="s">
        <v>743</v>
      </c>
      <c r="F128" s="7" t="n">
        <v>29</v>
      </c>
      <c r="G128" s="7" t="n">
        <v>5.95</v>
      </c>
      <c r="H128" s="7" t="n">
        <v>6.12</v>
      </c>
      <c r="I128" s="7" t="n">
        <v>2</v>
      </c>
      <c r="J128" s="7" t="n">
        <v>0</v>
      </c>
      <c r="K128" s="7" t="n">
        <v>0</v>
      </c>
      <c r="L128" s="7" t="n">
        <v>0</v>
      </c>
      <c r="M128" s="7" t="n">
        <v>0</v>
      </c>
      <c r="N128" s="7" t="n">
        <v>0</v>
      </c>
      <c r="O128" s="7" t="n">
        <v>0</v>
      </c>
      <c r="P128" s="7" t="n">
        <v>2</v>
      </c>
      <c r="Q128" s="7" t="n">
        <v>0</v>
      </c>
      <c r="R128" s="7" t="n">
        <v>0</v>
      </c>
    </row>
    <row r="129" customFormat="false" ht="15" hidden="false" customHeight="true" outlineLevel="0" collapsed="false">
      <c r="A129" s="7" t="n">
        <v>7143</v>
      </c>
      <c r="B129" s="7" t="s">
        <v>44</v>
      </c>
      <c r="C129" s="7" t="s">
        <v>779</v>
      </c>
      <c r="D129" s="7" t="s">
        <v>793</v>
      </c>
      <c r="E129" s="7" t="s">
        <v>748</v>
      </c>
      <c r="F129" s="7" t="n">
        <v>35</v>
      </c>
      <c r="G129" s="7" t="n">
        <v>5.91</v>
      </c>
      <c r="H129" s="7" t="n">
        <v>5.94</v>
      </c>
      <c r="I129" s="7" t="n">
        <v>0</v>
      </c>
      <c r="J129" s="7" t="n">
        <v>0</v>
      </c>
      <c r="K129" s="7" t="n">
        <v>0</v>
      </c>
      <c r="L129" s="7" t="n">
        <v>0</v>
      </c>
      <c r="M129" s="7" t="n">
        <v>0</v>
      </c>
      <c r="N129" s="7" t="n">
        <v>0</v>
      </c>
      <c r="O129" s="7" t="n">
        <v>2</v>
      </c>
      <c r="P129" s="7" t="n">
        <v>2</v>
      </c>
      <c r="Q129" s="7" t="n">
        <v>0</v>
      </c>
      <c r="R129" s="7" t="n">
        <v>0</v>
      </c>
    </row>
    <row r="130" customFormat="false" ht="15" hidden="false" customHeight="true" outlineLevel="0" collapsed="false">
      <c r="A130" s="7" t="n">
        <v>6642</v>
      </c>
      <c r="B130" s="7" t="s">
        <v>44</v>
      </c>
      <c r="C130" s="7" t="s">
        <v>777</v>
      </c>
      <c r="D130" s="7" t="s">
        <v>239</v>
      </c>
      <c r="E130" s="7" t="s">
        <v>184</v>
      </c>
      <c r="F130" s="7" t="n">
        <v>35</v>
      </c>
      <c r="G130" s="7" t="n">
        <v>5.84</v>
      </c>
      <c r="H130" s="7" t="n">
        <v>5.91</v>
      </c>
      <c r="I130" s="7" t="n">
        <v>1</v>
      </c>
      <c r="J130" s="7" t="n">
        <v>0</v>
      </c>
      <c r="K130" s="7" t="n">
        <v>0</v>
      </c>
      <c r="L130" s="7" t="n">
        <v>0</v>
      </c>
      <c r="M130" s="7" t="n">
        <v>0</v>
      </c>
      <c r="N130" s="7" t="n">
        <v>0</v>
      </c>
      <c r="O130" s="7" t="n">
        <v>1</v>
      </c>
      <c r="P130" s="7" t="n">
        <v>3</v>
      </c>
      <c r="Q130" s="7" t="n">
        <v>0</v>
      </c>
      <c r="R130" s="7" t="n">
        <v>0</v>
      </c>
    </row>
    <row r="131" customFormat="false" ht="15" hidden="false" customHeight="true" outlineLevel="0" collapsed="false">
      <c r="A131" s="7" t="n">
        <v>7219</v>
      </c>
      <c r="B131" s="7" t="s">
        <v>44</v>
      </c>
      <c r="C131" s="7" t="s">
        <v>776</v>
      </c>
      <c r="D131" s="7" t="s">
        <v>244</v>
      </c>
      <c r="E131" s="7" t="s">
        <v>117</v>
      </c>
      <c r="F131" s="7" t="n">
        <v>22</v>
      </c>
      <c r="G131" s="7" t="n">
        <v>6.09</v>
      </c>
      <c r="H131" s="7" t="n">
        <v>6.16</v>
      </c>
      <c r="I131" s="7" t="n">
        <v>0</v>
      </c>
      <c r="J131" s="7" t="n">
        <v>0</v>
      </c>
      <c r="K131" s="7" t="n">
        <v>0</v>
      </c>
      <c r="L131" s="7" t="n">
        <v>0</v>
      </c>
      <c r="M131" s="7" t="n">
        <v>0</v>
      </c>
      <c r="N131" s="7" t="n">
        <v>0</v>
      </c>
      <c r="O131" s="7" t="n">
        <v>3</v>
      </c>
      <c r="P131" s="7" t="n">
        <v>3</v>
      </c>
      <c r="Q131" s="7" t="n">
        <v>0</v>
      </c>
      <c r="R131" s="7" t="n">
        <v>0</v>
      </c>
    </row>
    <row r="132" customFormat="false" ht="15" hidden="false" customHeight="true" outlineLevel="0" collapsed="false">
      <c r="A132" s="7" t="n">
        <v>393</v>
      </c>
      <c r="B132" s="7" t="s">
        <v>44</v>
      </c>
      <c r="C132" s="7" t="s">
        <v>777</v>
      </c>
      <c r="D132" s="7" t="s">
        <v>794</v>
      </c>
      <c r="E132" s="7" t="s">
        <v>743</v>
      </c>
      <c r="F132" s="7" t="n">
        <v>34</v>
      </c>
      <c r="G132" s="7" t="n">
        <v>5.84</v>
      </c>
      <c r="H132" s="7" t="n">
        <v>5.9</v>
      </c>
      <c r="I132" s="7" t="n">
        <v>1</v>
      </c>
      <c r="J132" s="7" t="n">
        <v>0</v>
      </c>
      <c r="K132" s="7" t="n">
        <v>0</v>
      </c>
      <c r="L132" s="7" t="n">
        <v>0</v>
      </c>
      <c r="M132" s="7" t="n">
        <v>0</v>
      </c>
      <c r="N132" s="7" t="n">
        <v>0</v>
      </c>
      <c r="O132" s="7" t="n">
        <v>1</v>
      </c>
      <c r="P132" s="7" t="n">
        <v>4</v>
      </c>
      <c r="Q132" s="7" t="n">
        <v>0</v>
      </c>
      <c r="R132" s="7" t="n">
        <v>0</v>
      </c>
    </row>
    <row r="133" customFormat="false" ht="15" hidden="false" customHeight="true" outlineLevel="0" collapsed="false">
      <c r="A133" s="7" t="n">
        <v>4433</v>
      </c>
      <c r="B133" s="7" t="s">
        <v>44</v>
      </c>
      <c r="C133" s="7" t="s">
        <v>776</v>
      </c>
      <c r="D133" s="7" t="s">
        <v>246</v>
      </c>
      <c r="E133" s="7" t="s">
        <v>127</v>
      </c>
      <c r="F133" s="7" t="n">
        <v>28</v>
      </c>
      <c r="G133" s="7" t="n">
        <v>5.86</v>
      </c>
      <c r="H133" s="7" t="n">
        <v>5.89</v>
      </c>
      <c r="I133" s="7" t="n">
        <v>0</v>
      </c>
      <c r="J133" s="7" t="n">
        <v>0</v>
      </c>
      <c r="K133" s="7" t="n">
        <v>0</v>
      </c>
      <c r="L133" s="7" t="n">
        <v>0</v>
      </c>
      <c r="M133" s="7" t="n">
        <v>0</v>
      </c>
      <c r="N133" s="7" t="n">
        <v>0</v>
      </c>
      <c r="O133" s="7" t="n">
        <v>2</v>
      </c>
      <c r="P133" s="7" t="n">
        <v>2</v>
      </c>
      <c r="Q133" s="7" t="n">
        <v>0</v>
      </c>
      <c r="R133" s="7" t="n">
        <v>0</v>
      </c>
    </row>
    <row r="134" customFormat="false" ht="15" hidden="false" customHeight="true" outlineLevel="0" collapsed="false">
      <c r="A134" s="7" t="n">
        <v>4177</v>
      </c>
      <c r="B134" s="7" t="s">
        <v>44</v>
      </c>
      <c r="C134" s="7" t="s">
        <v>780</v>
      </c>
      <c r="D134" s="7" t="s">
        <v>252</v>
      </c>
      <c r="E134" s="7" t="s">
        <v>115</v>
      </c>
      <c r="F134" s="7" t="n">
        <v>1</v>
      </c>
      <c r="G134" s="7" t="n">
        <v>6.5</v>
      </c>
      <c r="H134" s="7" t="n">
        <v>6.5</v>
      </c>
      <c r="I134" s="7" t="n">
        <v>0</v>
      </c>
      <c r="J134" s="7" t="n">
        <v>0</v>
      </c>
      <c r="K134" s="7" t="n">
        <v>0</v>
      </c>
      <c r="L134" s="7" t="n">
        <v>0</v>
      </c>
      <c r="M134" s="7" t="n">
        <v>0</v>
      </c>
      <c r="N134" s="7" t="n">
        <v>0</v>
      </c>
      <c r="O134" s="7" t="n">
        <v>0</v>
      </c>
      <c r="P134" s="7" t="n">
        <v>0</v>
      </c>
      <c r="Q134" s="7" t="n">
        <v>0</v>
      </c>
      <c r="R134" s="7" t="n">
        <v>0</v>
      </c>
    </row>
    <row r="135" customFormat="false" ht="15" hidden="false" customHeight="true" outlineLevel="0" collapsed="false">
      <c r="A135" s="7" t="n">
        <v>5833</v>
      </c>
      <c r="B135" s="7" t="s">
        <v>44</v>
      </c>
      <c r="C135" s="7" t="s">
        <v>777</v>
      </c>
      <c r="D135" s="7" t="s">
        <v>203</v>
      </c>
      <c r="E135" s="7" t="s">
        <v>133</v>
      </c>
      <c r="F135" s="7" t="n">
        <v>31</v>
      </c>
      <c r="G135" s="7" t="n">
        <v>6.03</v>
      </c>
      <c r="H135" s="7" t="n">
        <v>5.95</v>
      </c>
      <c r="I135" s="7" t="n">
        <v>0</v>
      </c>
      <c r="J135" s="7" t="n">
        <v>0</v>
      </c>
      <c r="K135" s="7" t="n">
        <v>0</v>
      </c>
      <c r="L135" s="7" t="n">
        <v>0</v>
      </c>
      <c r="M135" s="7" t="n">
        <v>0</v>
      </c>
      <c r="N135" s="7" t="n">
        <v>0</v>
      </c>
      <c r="O135" s="7" t="n">
        <v>0</v>
      </c>
      <c r="P135" s="7" t="n">
        <v>3</v>
      </c>
      <c r="Q135" s="7" t="n">
        <v>1</v>
      </c>
      <c r="R135" s="7" t="n">
        <v>0</v>
      </c>
    </row>
    <row r="136" customFormat="false" ht="15" hidden="false" customHeight="true" outlineLevel="0" collapsed="false">
      <c r="A136" s="7" t="n">
        <v>460</v>
      </c>
      <c r="B136" s="7" t="s">
        <v>44</v>
      </c>
      <c r="C136" s="7" t="s">
        <v>777</v>
      </c>
      <c r="D136" s="7" t="s">
        <v>233</v>
      </c>
      <c r="E136" s="7" t="s">
        <v>133</v>
      </c>
      <c r="F136" s="7" t="n">
        <v>32</v>
      </c>
      <c r="G136" s="7" t="n">
        <v>6.03</v>
      </c>
      <c r="H136" s="7" t="n">
        <v>5.92</v>
      </c>
      <c r="I136" s="7" t="n">
        <v>0</v>
      </c>
      <c r="J136" s="7" t="n">
        <v>0</v>
      </c>
      <c r="K136" s="7" t="n">
        <v>0</v>
      </c>
      <c r="L136" s="7" t="n">
        <v>0</v>
      </c>
      <c r="M136" s="7" t="n">
        <v>0</v>
      </c>
      <c r="N136" s="7" t="n">
        <v>0</v>
      </c>
      <c r="O136" s="7" t="n">
        <v>0</v>
      </c>
      <c r="P136" s="7" t="n">
        <v>5</v>
      </c>
      <c r="Q136" s="7" t="n">
        <v>1</v>
      </c>
      <c r="R136" s="7" t="n">
        <v>0</v>
      </c>
    </row>
    <row r="137" customFormat="false" ht="15" hidden="false" customHeight="true" outlineLevel="0" collapsed="false">
      <c r="A137" s="7" t="n">
        <v>2188</v>
      </c>
      <c r="B137" s="7" t="s">
        <v>44</v>
      </c>
      <c r="C137" s="7" t="s">
        <v>795</v>
      </c>
      <c r="D137" s="7" t="s">
        <v>254</v>
      </c>
      <c r="E137" s="7" t="s">
        <v>133</v>
      </c>
      <c r="F137" s="7" t="n">
        <v>33</v>
      </c>
      <c r="G137" s="7" t="n">
        <v>5.86</v>
      </c>
      <c r="H137" s="7" t="n">
        <v>5.97</v>
      </c>
      <c r="I137" s="7" t="n">
        <v>1</v>
      </c>
      <c r="J137" s="7" t="n">
        <v>0</v>
      </c>
      <c r="K137" s="7" t="n">
        <v>0</v>
      </c>
      <c r="L137" s="7" t="n">
        <v>0</v>
      </c>
      <c r="M137" s="7" t="n">
        <v>0</v>
      </c>
      <c r="N137" s="7" t="n">
        <v>0</v>
      </c>
      <c r="O137" s="7" t="n">
        <v>2</v>
      </c>
      <c r="P137" s="7" t="n">
        <v>1</v>
      </c>
      <c r="Q137" s="7" t="n">
        <v>1</v>
      </c>
      <c r="R137" s="7" t="n">
        <v>0</v>
      </c>
    </row>
    <row r="138" customFormat="false" ht="15" hidden="false" customHeight="true" outlineLevel="0" collapsed="false">
      <c r="A138" s="7" t="n">
        <v>4751</v>
      </c>
      <c r="B138" s="7" t="s">
        <v>44</v>
      </c>
      <c r="C138" s="7" t="s">
        <v>777</v>
      </c>
      <c r="D138" s="7" t="s">
        <v>236</v>
      </c>
      <c r="E138" s="7" t="s">
        <v>121</v>
      </c>
      <c r="F138" s="7" t="n">
        <v>32</v>
      </c>
      <c r="G138" s="7" t="n">
        <v>5.97</v>
      </c>
      <c r="H138" s="7" t="n">
        <v>5.88</v>
      </c>
      <c r="I138" s="7" t="n">
        <v>0</v>
      </c>
      <c r="J138" s="7" t="n">
        <v>0</v>
      </c>
      <c r="K138" s="7" t="n">
        <v>0</v>
      </c>
      <c r="L138" s="7" t="n">
        <v>0</v>
      </c>
      <c r="M138" s="7" t="n">
        <v>0</v>
      </c>
      <c r="N138" s="7" t="n">
        <v>0</v>
      </c>
      <c r="O138" s="7" t="n">
        <v>1</v>
      </c>
      <c r="P138" s="7" t="n">
        <v>6</v>
      </c>
      <c r="Q138" s="7" t="n">
        <v>1</v>
      </c>
      <c r="R138" s="7" t="n">
        <v>0</v>
      </c>
    </row>
    <row r="139" customFormat="false" ht="15" hidden="false" customHeight="true" outlineLevel="0" collapsed="false">
      <c r="A139" s="7" t="n">
        <v>2724</v>
      </c>
      <c r="B139" s="7" t="s">
        <v>44</v>
      </c>
      <c r="C139" s="7" t="s">
        <v>777</v>
      </c>
      <c r="D139" s="7" t="s">
        <v>237</v>
      </c>
      <c r="E139" s="7" t="s">
        <v>125</v>
      </c>
      <c r="F139" s="7" t="n">
        <v>32</v>
      </c>
      <c r="G139" s="7" t="n">
        <v>5.89</v>
      </c>
      <c r="H139" s="7" t="n">
        <v>5.88</v>
      </c>
      <c r="I139" s="7" t="n">
        <v>0</v>
      </c>
      <c r="J139" s="7" t="n">
        <v>0</v>
      </c>
      <c r="K139" s="7" t="n">
        <v>0</v>
      </c>
      <c r="L139" s="7" t="n">
        <v>0</v>
      </c>
      <c r="M139" s="7" t="n">
        <v>0</v>
      </c>
      <c r="N139" s="7" t="n">
        <v>0</v>
      </c>
      <c r="O139" s="7" t="n">
        <v>1</v>
      </c>
      <c r="P139" s="7" t="n">
        <v>3</v>
      </c>
      <c r="Q139" s="7" t="n">
        <v>0</v>
      </c>
      <c r="R139" s="7" t="n">
        <v>0</v>
      </c>
    </row>
    <row r="140" customFormat="false" ht="15" hidden="false" customHeight="true" outlineLevel="0" collapsed="false">
      <c r="A140" s="7" t="n">
        <v>6663</v>
      </c>
      <c r="B140" s="7" t="s">
        <v>44</v>
      </c>
      <c r="C140" s="7" t="s">
        <v>777</v>
      </c>
      <c r="D140" s="7" t="s">
        <v>258</v>
      </c>
      <c r="E140" s="7" t="s">
        <v>141</v>
      </c>
      <c r="F140" s="7" t="n">
        <v>31</v>
      </c>
      <c r="G140" s="7" t="n">
        <v>5.92</v>
      </c>
      <c r="H140" s="7" t="n">
        <v>5.92</v>
      </c>
      <c r="I140" s="7" t="n">
        <v>1</v>
      </c>
      <c r="J140" s="7" t="n">
        <v>0</v>
      </c>
      <c r="K140" s="7" t="n">
        <v>0</v>
      </c>
      <c r="L140" s="7" t="n">
        <v>0</v>
      </c>
      <c r="M140" s="7" t="n">
        <v>0</v>
      </c>
      <c r="N140" s="7" t="n">
        <v>0</v>
      </c>
      <c r="O140" s="7" t="n">
        <v>0</v>
      </c>
      <c r="P140" s="7" t="n">
        <v>6</v>
      </c>
      <c r="Q140" s="7" t="n">
        <v>0</v>
      </c>
      <c r="R140" s="7" t="n">
        <v>0</v>
      </c>
    </row>
    <row r="141" customFormat="false" ht="15" hidden="false" customHeight="true" outlineLevel="0" collapsed="false">
      <c r="A141" s="7" t="n">
        <v>7155</v>
      </c>
      <c r="B141" s="7" t="s">
        <v>44</v>
      </c>
      <c r="C141" s="7" t="s">
        <v>777</v>
      </c>
      <c r="D141" s="7" t="s">
        <v>796</v>
      </c>
      <c r="E141" s="7" t="s">
        <v>144</v>
      </c>
      <c r="F141" s="7" t="n">
        <v>32</v>
      </c>
      <c r="G141" s="7" t="n">
        <v>5.91</v>
      </c>
      <c r="H141" s="7" t="n">
        <v>5.89</v>
      </c>
      <c r="I141" s="7" t="n">
        <v>2</v>
      </c>
      <c r="J141" s="7" t="n">
        <v>0</v>
      </c>
      <c r="K141" s="7" t="n">
        <v>0</v>
      </c>
      <c r="L141" s="7" t="n">
        <v>0</v>
      </c>
      <c r="M141" s="7" t="n">
        <v>0</v>
      </c>
      <c r="N141" s="7" t="n">
        <v>0</v>
      </c>
      <c r="O141" s="7" t="n">
        <v>1</v>
      </c>
      <c r="P141" s="7" t="n">
        <v>7</v>
      </c>
      <c r="Q141" s="7" t="n">
        <v>0</v>
      </c>
      <c r="R141" s="7" t="n">
        <v>2</v>
      </c>
    </row>
    <row r="142" customFormat="false" ht="15" hidden="false" customHeight="true" outlineLevel="0" collapsed="false">
      <c r="A142" s="7" t="n">
        <v>4665</v>
      </c>
      <c r="B142" s="7" t="s">
        <v>44</v>
      </c>
      <c r="C142" s="7" t="s">
        <v>777</v>
      </c>
      <c r="D142" s="7" t="s">
        <v>797</v>
      </c>
      <c r="E142" s="7" t="s">
        <v>184</v>
      </c>
      <c r="F142" s="7" t="n">
        <v>26</v>
      </c>
      <c r="G142" s="7" t="n">
        <v>5.94</v>
      </c>
      <c r="H142" s="7" t="n">
        <v>6.1</v>
      </c>
      <c r="I142" s="7" t="n">
        <v>2</v>
      </c>
      <c r="J142" s="7" t="n">
        <v>0</v>
      </c>
      <c r="K142" s="7" t="n">
        <v>0</v>
      </c>
      <c r="L142" s="7" t="n">
        <v>0</v>
      </c>
      <c r="M142" s="7" t="n">
        <v>0</v>
      </c>
      <c r="N142" s="7" t="n">
        <v>0</v>
      </c>
      <c r="O142" s="7" t="n">
        <v>0</v>
      </c>
      <c r="P142" s="7" t="n">
        <v>4</v>
      </c>
      <c r="Q142" s="7" t="n">
        <v>0</v>
      </c>
      <c r="R142" s="7" t="n">
        <v>0</v>
      </c>
    </row>
    <row r="143" customFormat="false" ht="15" hidden="false" customHeight="true" outlineLevel="0" collapsed="false">
      <c r="A143" s="7" t="n">
        <v>6631</v>
      </c>
      <c r="B143" s="7" t="s">
        <v>44</v>
      </c>
      <c r="C143" s="7" t="s">
        <v>777</v>
      </c>
      <c r="D143" s="7" t="s">
        <v>292</v>
      </c>
      <c r="E143" s="7" t="s">
        <v>113</v>
      </c>
      <c r="F143" s="7" t="n">
        <v>21</v>
      </c>
      <c r="G143" s="7" t="n">
        <v>5.98</v>
      </c>
      <c r="H143" s="7" t="n">
        <v>5.95</v>
      </c>
      <c r="I143" s="7" t="n">
        <v>0</v>
      </c>
      <c r="J143" s="7" t="n">
        <v>0</v>
      </c>
      <c r="K143" s="7" t="n">
        <v>0</v>
      </c>
      <c r="L143" s="7" t="n">
        <v>0</v>
      </c>
      <c r="M143" s="7" t="n">
        <v>0</v>
      </c>
      <c r="N143" s="7" t="n">
        <v>0</v>
      </c>
      <c r="O143" s="7" t="n">
        <v>0</v>
      </c>
      <c r="P143" s="7" t="n">
        <v>1</v>
      </c>
      <c r="Q143" s="7" t="n">
        <v>0</v>
      </c>
      <c r="R143" s="7" t="n">
        <v>0</v>
      </c>
    </row>
    <row r="144" customFormat="false" ht="15" hidden="false" customHeight="true" outlineLevel="0" collapsed="false">
      <c r="A144" s="7" t="n">
        <v>6480</v>
      </c>
      <c r="B144" s="7" t="s">
        <v>44</v>
      </c>
      <c r="C144" s="7" t="s">
        <v>785</v>
      </c>
      <c r="D144" s="7" t="s">
        <v>798</v>
      </c>
      <c r="E144" s="7" t="s">
        <v>745</v>
      </c>
      <c r="F144" s="7" t="n">
        <v>0</v>
      </c>
      <c r="G144" s="7" t="n">
        <v>0</v>
      </c>
      <c r="H144" s="7" t="n">
        <v>0</v>
      </c>
      <c r="I144" s="7" t="n">
        <v>0</v>
      </c>
      <c r="J144" s="7" t="n">
        <v>0</v>
      </c>
      <c r="K144" s="7" t="n">
        <v>0</v>
      </c>
      <c r="L144" s="7" t="n">
        <v>0</v>
      </c>
      <c r="M144" s="7" t="n">
        <v>0</v>
      </c>
      <c r="N144" s="7" t="n">
        <v>0</v>
      </c>
      <c r="O144" s="7" t="n">
        <v>0</v>
      </c>
      <c r="P144" s="7" t="n">
        <v>0</v>
      </c>
      <c r="Q144" s="7" t="n">
        <v>0</v>
      </c>
      <c r="R144" s="7" t="n">
        <v>0</v>
      </c>
    </row>
    <row r="145" customFormat="false" ht="15" hidden="false" customHeight="true" outlineLevel="0" collapsed="false">
      <c r="A145" s="7" t="n">
        <v>6672</v>
      </c>
      <c r="B145" s="7" t="s">
        <v>44</v>
      </c>
      <c r="C145" s="7" t="s">
        <v>777</v>
      </c>
      <c r="D145" s="7" t="s">
        <v>238</v>
      </c>
      <c r="E145" s="7" t="s">
        <v>144</v>
      </c>
      <c r="F145" s="7" t="n">
        <v>35</v>
      </c>
      <c r="G145" s="7" t="n">
        <v>5.94</v>
      </c>
      <c r="H145" s="7" t="n">
        <v>5.9</v>
      </c>
      <c r="I145" s="7" t="n">
        <v>0</v>
      </c>
      <c r="J145" s="7" t="n">
        <v>0</v>
      </c>
      <c r="K145" s="7" t="n">
        <v>0</v>
      </c>
      <c r="L145" s="7" t="n">
        <v>0</v>
      </c>
      <c r="M145" s="7" t="n">
        <v>0</v>
      </c>
      <c r="N145" s="7" t="n">
        <v>0</v>
      </c>
      <c r="O145" s="7" t="n">
        <v>0</v>
      </c>
      <c r="P145" s="7" t="n">
        <v>3</v>
      </c>
      <c r="Q145" s="7" t="n">
        <v>0</v>
      </c>
      <c r="R145" s="7" t="n">
        <v>0</v>
      </c>
    </row>
    <row r="146" customFormat="false" ht="15" hidden="false" customHeight="true" outlineLevel="0" collapsed="false">
      <c r="A146" s="7" t="n">
        <v>4137</v>
      </c>
      <c r="B146" s="7" t="s">
        <v>44</v>
      </c>
      <c r="C146" s="7" t="s">
        <v>777</v>
      </c>
      <c r="D146" s="7" t="s">
        <v>799</v>
      </c>
      <c r="E146" s="7" t="s">
        <v>119</v>
      </c>
      <c r="F146" s="7" t="n">
        <v>25</v>
      </c>
      <c r="G146" s="7" t="n">
        <v>6.14</v>
      </c>
      <c r="H146" s="7" t="n">
        <v>6.1</v>
      </c>
      <c r="I146" s="7" t="n">
        <v>1</v>
      </c>
      <c r="J146" s="7" t="n">
        <v>0</v>
      </c>
      <c r="K146" s="7" t="n">
        <v>0</v>
      </c>
      <c r="L146" s="7" t="n">
        <v>0</v>
      </c>
      <c r="M146" s="7" t="n">
        <v>0</v>
      </c>
      <c r="N146" s="7" t="n">
        <v>0</v>
      </c>
      <c r="O146" s="7" t="n">
        <v>0</v>
      </c>
      <c r="P146" s="7" t="n">
        <v>8</v>
      </c>
      <c r="Q146" s="7" t="n">
        <v>0</v>
      </c>
      <c r="R146" s="7" t="n">
        <v>0</v>
      </c>
    </row>
    <row r="147" customFormat="false" ht="15" hidden="false" customHeight="true" outlineLevel="0" collapsed="false">
      <c r="A147" s="7" t="n">
        <v>6550</v>
      </c>
      <c r="B147" s="7" t="s">
        <v>44</v>
      </c>
      <c r="C147" s="7" t="s">
        <v>786</v>
      </c>
      <c r="D147" s="7" t="s">
        <v>800</v>
      </c>
      <c r="E147" s="7" t="s">
        <v>144</v>
      </c>
      <c r="F147" s="7" t="n">
        <v>12</v>
      </c>
      <c r="G147" s="7" t="n">
        <v>6.17</v>
      </c>
      <c r="H147" s="7" t="n">
        <v>6.46</v>
      </c>
      <c r="I147" s="7" t="n">
        <v>1</v>
      </c>
      <c r="J147" s="7" t="n">
        <v>0</v>
      </c>
      <c r="K147" s="7" t="n">
        <v>0</v>
      </c>
      <c r="L147" s="7" t="n">
        <v>0</v>
      </c>
      <c r="M147" s="7" t="n">
        <v>0</v>
      </c>
      <c r="N147" s="7" t="n">
        <v>0</v>
      </c>
      <c r="O147" s="7" t="n">
        <v>2</v>
      </c>
      <c r="P147" s="7" t="n">
        <v>3</v>
      </c>
      <c r="Q147" s="7" t="n">
        <v>0</v>
      </c>
      <c r="R147" s="7" t="n">
        <v>0</v>
      </c>
    </row>
    <row r="148" customFormat="false" ht="15" hidden="false" customHeight="true" outlineLevel="0" collapsed="false">
      <c r="A148" s="7" t="n">
        <v>787</v>
      </c>
      <c r="B148" s="7" t="s">
        <v>44</v>
      </c>
      <c r="C148" s="7" t="s">
        <v>777</v>
      </c>
      <c r="D148" s="7" t="s">
        <v>228</v>
      </c>
      <c r="E148" s="7" t="s">
        <v>117</v>
      </c>
      <c r="F148" s="7" t="n">
        <v>33</v>
      </c>
      <c r="G148" s="7" t="n">
        <v>5.86</v>
      </c>
      <c r="H148" s="7" t="n">
        <v>5.8</v>
      </c>
      <c r="I148" s="7" t="n">
        <v>0</v>
      </c>
      <c r="J148" s="7" t="n">
        <v>0</v>
      </c>
      <c r="K148" s="7" t="n">
        <v>0</v>
      </c>
      <c r="L148" s="7" t="n">
        <v>0</v>
      </c>
      <c r="M148" s="7" t="n">
        <v>0</v>
      </c>
      <c r="N148" s="7" t="n">
        <v>0</v>
      </c>
      <c r="O148" s="7" t="n">
        <v>0</v>
      </c>
      <c r="P148" s="7" t="n">
        <v>4</v>
      </c>
      <c r="Q148" s="7" t="n">
        <v>0</v>
      </c>
      <c r="R148" s="7" t="n">
        <v>0</v>
      </c>
    </row>
    <row r="149" customFormat="false" ht="15" hidden="false" customHeight="true" outlineLevel="0" collapsed="false">
      <c r="A149" s="7" t="n">
        <v>2640</v>
      </c>
      <c r="B149" s="7" t="s">
        <v>44</v>
      </c>
      <c r="C149" s="7" t="s">
        <v>786</v>
      </c>
      <c r="D149" s="7" t="s">
        <v>262</v>
      </c>
      <c r="E149" s="7" t="s">
        <v>117</v>
      </c>
      <c r="F149" s="7" t="n">
        <v>17</v>
      </c>
      <c r="G149" s="7" t="n">
        <v>6.03</v>
      </c>
      <c r="H149" s="7" t="n">
        <v>5.94</v>
      </c>
      <c r="I149" s="7" t="n">
        <v>0</v>
      </c>
      <c r="J149" s="7" t="n">
        <v>0</v>
      </c>
      <c r="K149" s="7" t="n">
        <v>0</v>
      </c>
      <c r="L149" s="7" t="n">
        <v>0</v>
      </c>
      <c r="M149" s="7" t="n">
        <v>0</v>
      </c>
      <c r="N149" s="7" t="n">
        <v>0</v>
      </c>
      <c r="O149" s="7" t="n">
        <v>0</v>
      </c>
      <c r="P149" s="7" t="n">
        <v>3</v>
      </c>
      <c r="Q149" s="7" t="n">
        <v>0</v>
      </c>
      <c r="R149" s="7" t="n">
        <v>0</v>
      </c>
    </row>
    <row r="150" customFormat="false" ht="15" hidden="false" customHeight="true" outlineLevel="0" collapsed="false">
      <c r="A150" s="7" t="n">
        <v>6042</v>
      </c>
      <c r="B150" s="7" t="s">
        <v>44</v>
      </c>
      <c r="C150" s="7" t="s">
        <v>777</v>
      </c>
      <c r="D150" s="7" t="s">
        <v>215</v>
      </c>
      <c r="E150" s="7" t="s">
        <v>127</v>
      </c>
      <c r="F150" s="7" t="n">
        <v>28</v>
      </c>
      <c r="G150" s="7" t="n">
        <v>5.88</v>
      </c>
      <c r="H150" s="7" t="n">
        <v>5.89</v>
      </c>
      <c r="I150" s="7" t="n">
        <v>1</v>
      </c>
      <c r="J150" s="7" t="n">
        <v>0</v>
      </c>
      <c r="K150" s="7" t="n">
        <v>0</v>
      </c>
      <c r="L150" s="7" t="n">
        <v>0</v>
      </c>
      <c r="M150" s="7" t="n">
        <v>0</v>
      </c>
      <c r="N150" s="7" t="n">
        <v>0</v>
      </c>
      <c r="O150" s="7" t="n">
        <v>0</v>
      </c>
      <c r="P150" s="7" t="n">
        <v>5</v>
      </c>
      <c r="Q150" s="7" t="n">
        <v>0</v>
      </c>
      <c r="R150" s="7" t="n">
        <v>0</v>
      </c>
    </row>
    <row r="151" customFormat="false" ht="15" hidden="false" customHeight="true" outlineLevel="0" collapsed="false">
      <c r="A151" s="7" t="n">
        <v>5701</v>
      </c>
      <c r="B151" s="7" t="s">
        <v>44</v>
      </c>
      <c r="C151" s="7" t="s">
        <v>784</v>
      </c>
      <c r="D151" s="7" t="s">
        <v>229</v>
      </c>
      <c r="E151" s="7" t="s">
        <v>129</v>
      </c>
      <c r="F151" s="7" t="n">
        <v>34</v>
      </c>
      <c r="G151" s="7" t="n">
        <v>5.88</v>
      </c>
      <c r="H151" s="7" t="n">
        <v>5.82</v>
      </c>
      <c r="I151" s="7" t="n">
        <v>0</v>
      </c>
      <c r="J151" s="7" t="n">
        <v>0</v>
      </c>
      <c r="K151" s="7" t="n">
        <v>0</v>
      </c>
      <c r="L151" s="7" t="n">
        <v>0</v>
      </c>
      <c r="M151" s="7" t="n">
        <v>0</v>
      </c>
      <c r="N151" s="7" t="n">
        <v>0</v>
      </c>
      <c r="O151" s="7" t="n">
        <v>3</v>
      </c>
      <c r="P151" s="7" t="n">
        <v>8</v>
      </c>
      <c r="Q151" s="7" t="n">
        <v>1</v>
      </c>
      <c r="R151" s="7" t="n">
        <v>0</v>
      </c>
    </row>
    <row r="152" customFormat="false" ht="15" hidden="false" customHeight="true" outlineLevel="0" collapsed="false">
      <c r="A152" s="7" t="n">
        <v>6660</v>
      </c>
      <c r="B152" s="7" t="s">
        <v>44</v>
      </c>
      <c r="C152" s="7" t="s">
        <v>777</v>
      </c>
      <c r="D152" s="7" t="s">
        <v>251</v>
      </c>
      <c r="E152" s="7" t="s">
        <v>137</v>
      </c>
      <c r="F152" s="7" t="n">
        <v>31</v>
      </c>
      <c r="G152" s="7" t="n">
        <v>5.87</v>
      </c>
      <c r="H152" s="7" t="n">
        <v>5.84</v>
      </c>
      <c r="I152" s="7" t="n">
        <v>0</v>
      </c>
      <c r="J152" s="7" t="n">
        <v>0</v>
      </c>
      <c r="K152" s="7" t="n">
        <v>0</v>
      </c>
      <c r="L152" s="7" t="n">
        <v>0</v>
      </c>
      <c r="M152" s="7" t="n">
        <v>0</v>
      </c>
      <c r="N152" s="7" t="n">
        <v>0</v>
      </c>
      <c r="O152" s="7" t="n">
        <v>1</v>
      </c>
      <c r="P152" s="7" t="n">
        <v>4</v>
      </c>
      <c r="Q152" s="7" t="n">
        <v>0</v>
      </c>
      <c r="R152" s="7" t="n">
        <v>0</v>
      </c>
    </row>
    <row r="153" customFormat="false" ht="15" hidden="false" customHeight="true" outlineLevel="0" collapsed="false">
      <c r="A153" s="7" t="n">
        <v>6814</v>
      </c>
      <c r="B153" s="7" t="s">
        <v>44</v>
      </c>
      <c r="C153" s="7" t="s">
        <v>785</v>
      </c>
      <c r="D153" s="7" t="s">
        <v>220</v>
      </c>
      <c r="E153" s="7" t="s">
        <v>137</v>
      </c>
      <c r="F153" s="7" t="n">
        <v>27</v>
      </c>
      <c r="G153" s="7" t="n">
        <v>5.93</v>
      </c>
      <c r="H153" s="7" t="n">
        <v>6.09</v>
      </c>
      <c r="I153" s="7" t="n">
        <v>2</v>
      </c>
      <c r="J153" s="7" t="n">
        <v>0</v>
      </c>
      <c r="K153" s="7" t="n">
        <v>0</v>
      </c>
      <c r="L153" s="7" t="n">
        <v>0</v>
      </c>
      <c r="M153" s="7" t="n">
        <v>0</v>
      </c>
      <c r="N153" s="7" t="n">
        <v>0</v>
      </c>
      <c r="O153" s="7" t="n">
        <v>1</v>
      </c>
      <c r="P153" s="7" t="n">
        <v>3</v>
      </c>
      <c r="Q153" s="7" t="n">
        <v>1</v>
      </c>
      <c r="R153" s="7" t="n">
        <v>0</v>
      </c>
    </row>
    <row r="154" customFormat="false" ht="15" hidden="false" customHeight="true" outlineLevel="0" collapsed="false">
      <c r="A154" s="7" t="n">
        <v>7012</v>
      </c>
      <c r="B154" s="7" t="s">
        <v>44</v>
      </c>
      <c r="C154" s="7" t="s">
        <v>777</v>
      </c>
      <c r="D154" s="7" t="s">
        <v>310</v>
      </c>
      <c r="E154" s="7" t="s">
        <v>133</v>
      </c>
      <c r="F154" s="7" t="n">
        <v>23</v>
      </c>
      <c r="G154" s="7" t="n">
        <v>5.91</v>
      </c>
      <c r="H154" s="7" t="n">
        <v>5.85</v>
      </c>
      <c r="I154" s="7" t="n">
        <v>0</v>
      </c>
      <c r="J154" s="7" t="n">
        <v>0</v>
      </c>
      <c r="K154" s="7" t="n">
        <v>0</v>
      </c>
      <c r="L154" s="7" t="n">
        <v>0</v>
      </c>
      <c r="M154" s="7" t="n">
        <v>0</v>
      </c>
      <c r="N154" s="7" t="n">
        <v>0</v>
      </c>
      <c r="O154" s="7" t="n">
        <v>0</v>
      </c>
      <c r="P154" s="7" t="n">
        <v>3</v>
      </c>
      <c r="Q154" s="7" t="n">
        <v>0</v>
      </c>
      <c r="R154" s="7" t="n">
        <v>0</v>
      </c>
    </row>
    <row r="155" customFormat="false" ht="15" hidden="false" customHeight="true" outlineLevel="0" collapsed="false">
      <c r="A155" s="7" t="n">
        <v>5812</v>
      </c>
      <c r="B155" s="7" t="s">
        <v>44</v>
      </c>
      <c r="C155" s="7" t="s">
        <v>795</v>
      </c>
      <c r="D155" s="7" t="s">
        <v>801</v>
      </c>
      <c r="E155" s="7" t="s">
        <v>743</v>
      </c>
      <c r="F155" s="7" t="n">
        <v>35</v>
      </c>
      <c r="G155" s="7" t="n">
        <v>5.86</v>
      </c>
      <c r="H155" s="7" t="n">
        <v>5.83</v>
      </c>
      <c r="I155" s="7" t="n">
        <v>2</v>
      </c>
      <c r="J155" s="7" t="n">
        <v>0</v>
      </c>
      <c r="K155" s="7" t="n">
        <v>0</v>
      </c>
      <c r="L155" s="7" t="n">
        <v>0</v>
      </c>
      <c r="M155" s="7" t="n">
        <v>0</v>
      </c>
      <c r="N155" s="7" t="n">
        <v>0</v>
      </c>
      <c r="O155" s="7" t="n">
        <v>0</v>
      </c>
      <c r="P155" s="7" t="n">
        <v>6</v>
      </c>
      <c r="Q155" s="7" t="n">
        <v>0</v>
      </c>
      <c r="R155" s="7" t="n">
        <v>2</v>
      </c>
    </row>
    <row r="156" customFormat="false" ht="15" hidden="false" customHeight="true" outlineLevel="0" collapsed="false">
      <c r="A156" s="7" t="n">
        <v>6887</v>
      </c>
      <c r="B156" s="7" t="s">
        <v>44</v>
      </c>
      <c r="C156" s="7" t="s">
        <v>777</v>
      </c>
      <c r="D156" s="7" t="s">
        <v>802</v>
      </c>
      <c r="E156" s="7" t="s">
        <v>141</v>
      </c>
      <c r="F156" s="7" t="n">
        <v>0</v>
      </c>
      <c r="G156" s="7" t="n">
        <v>0</v>
      </c>
      <c r="H156" s="7" t="n">
        <v>0</v>
      </c>
      <c r="I156" s="7" t="n">
        <v>0</v>
      </c>
      <c r="J156" s="7" t="n">
        <v>0</v>
      </c>
      <c r="K156" s="7" t="n">
        <v>0</v>
      </c>
      <c r="L156" s="7" t="n">
        <v>0</v>
      </c>
      <c r="M156" s="7" t="n">
        <v>0</v>
      </c>
      <c r="N156" s="7" t="n">
        <v>0</v>
      </c>
      <c r="O156" s="7" t="n">
        <v>0</v>
      </c>
      <c r="P156" s="7" t="n">
        <v>0</v>
      </c>
      <c r="Q156" s="7" t="n">
        <v>0</v>
      </c>
      <c r="R156" s="7" t="n">
        <v>0</v>
      </c>
    </row>
    <row r="157" customFormat="false" ht="15" hidden="false" customHeight="true" outlineLevel="0" collapsed="false">
      <c r="A157" s="7" t="n">
        <v>4772</v>
      </c>
      <c r="B157" s="7" t="s">
        <v>44</v>
      </c>
      <c r="C157" s="7" t="s">
        <v>776</v>
      </c>
      <c r="D157" s="7" t="s">
        <v>803</v>
      </c>
      <c r="E157" s="7" t="s">
        <v>113</v>
      </c>
      <c r="F157" s="7" t="n">
        <v>6</v>
      </c>
      <c r="G157" s="7" t="n">
        <v>5.83</v>
      </c>
      <c r="H157" s="7" t="n">
        <v>5.67</v>
      </c>
      <c r="I157" s="7" t="n">
        <v>0</v>
      </c>
      <c r="J157" s="7" t="n">
        <v>0</v>
      </c>
      <c r="K157" s="7" t="n">
        <v>0</v>
      </c>
      <c r="L157" s="7" t="n">
        <v>0</v>
      </c>
      <c r="M157" s="7" t="n">
        <v>0</v>
      </c>
      <c r="N157" s="7" t="n">
        <v>0</v>
      </c>
      <c r="O157" s="7" t="n">
        <v>0</v>
      </c>
      <c r="P157" s="7" t="n">
        <v>2</v>
      </c>
      <c r="Q157" s="7" t="n">
        <v>0</v>
      </c>
      <c r="R157" s="7" t="n">
        <v>0</v>
      </c>
    </row>
    <row r="158" customFormat="false" ht="15" hidden="false" customHeight="true" outlineLevel="0" collapsed="false">
      <c r="A158" s="7" t="n">
        <v>6426</v>
      </c>
      <c r="B158" s="7" t="s">
        <v>44</v>
      </c>
      <c r="C158" s="7" t="s">
        <v>785</v>
      </c>
      <c r="D158" s="7" t="s">
        <v>278</v>
      </c>
      <c r="E158" s="7" t="s">
        <v>184</v>
      </c>
      <c r="F158" s="7" t="n">
        <v>28</v>
      </c>
      <c r="G158" s="7" t="n">
        <v>5.84</v>
      </c>
      <c r="H158" s="7" t="n">
        <v>5.96</v>
      </c>
      <c r="I158" s="7" t="n">
        <v>1</v>
      </c>
      <c r="J158" s="7" t="n">
        <v>0</v>
      </c>
      <c r="K158" s="7" t="n">
        <v>0</v>
      </c>
      <c r="L158" s="7" t="n">
        <v>0</v>
      </c>
      <c r="M158" s="7" t="n">
        <v>0</v>
      </c>
      <c r="N158" s="7" t="n">
        <v>0</v>
      </c>
      <c r="O158" s="7" t="n">
        <v>2</v>
      </c>
      <c r="P158" s="7" t="n">
        <v>3</v>
      </c>
      <c r="Q158" s="7" t="n">
        <v>0</v>
      </c>
      <c r="R158" s="7" t="n">
        <v>0</v>
      </c>
    </row>
    <row r="159" customFormat="false" ht="15" hidden="false" customHeight="true" outlineLevel="0" collapsed="false">
      <c r="A159" s="7" t="n">
        <v>6047</v>
      </c>
      <c r="B159" s="7" t="s">
        <v>44</v>
      </c>
      <c r="C159" s="7" t="s">
        <v>785</v>
      </c>
      <c r="D159" s="7" t="s">
        <v>804</v>
      </c>
      <c r="E159" s="7" t="s">
        <v>135</v>
      </c>
      <c r="F159" s="7" t="n">
        <v>26</v>
      </c>
      <c r="G159" s="7" t="n">
        <v>5.83</v>
      </c>
      <c r="H159" s="7" t="n">
        <v>5.96</v>
      </c>
      <c r="I159" s="7" t="n">
        <v>2</v>
      </c>
      <c r="J159" s="7" t="n">
        <v>0</v>
      </c>
      <c r="K159" s="7" t="n">
        <v>0</v>
      </c>
      <c r="L159" s="7" t="n">
        <v>0</v>
      </c>
      <c r="M159" s="7" t="n">
        <v>0</v>
      </c>
      <c r="N159" s="7" t="n">
        <v>0</v>
      </c>
      <c r="O159" s="7" t="n">
        <v>0</v>
      </c>
      <c r="P159" s="7" t="n">
        <v>5</v>
      </c>
      <c r="Q159" s="7" t="n">
        <v>0</v>
      </c>
      <c r="R159" s="7" t="n">
        <v>0</v>
      </c>
    </row>
    <row r="160" customFormat="false" ht="15" hidden="false" customHeight="true" outlineLevel="0" collapsed="false">
      <c r="A160" s="7" t="n">
        <v>6639</v>
      </c>
      <c r="B160" s="7" t="s">
        <v>44</v>
      </c>
      <c r="C160" s="7" t="s">
        <v>779</v>
      </c>
      <c r="D160" s="7" t="s">
        <v>805</v>
      </c>
      <c r="E160" s="7" t="s">
        <v>745</v>
      </c>
      <c r="F160" s="7" t="n">
        <v>31</v>
      </c>
      <c r="G160" s="7" t="n">
        <v>5.84</v>
      </c>
      <c r="H160" s="7" t="n">
        <v>5.84</v>
      </c>
      <c r="I160" s="7" t="n">
        <v>2</v>
      </c>
      <c r="J160" s="7" t="n">
        <v>0</v>
      </c>
      <c r="K160" s="7" t="n">
        <v>0</v>
      </c>
      <c r="L160" s="7" t="n">
        <v>0</v>
      </c>
      <c r="M160" s="7" t="n">
        <v>0</v>
      </c>
      <c r="N160" s="7" t="n">
        <v>0</v>
      </c>
      <c r="O160" s="7" t="n">
        <v>0</v>
      </c>
      <c r="P160" s="7" t="n">
        <v>8</v>
      </c>
      <c r="Q160" s="7" t="n">
        <v>0</v>
      </c>
      <c r="R160" s="7" t="n">
        <v>1</v>
      </c>
    </row>
    <row r="161" customFormat="false" ht="15" hidden="false" customHeight="true" outlineLevel="0" collapsed="false">
      <c r="A161" s="7" t="n">
        <v>6046</v>
      </c>
      <c r="B161" s="7" t="s">
        <v>44</v>
      </c>
      <c r="C161" s="7" t="s">
        <v>777</v>
      </c>
      <c r="D161" s="7" t="s">
        <v>213</v>
      </c>
      <c r="E161" s="7" t="s">
        <v>117</v>
      </c>
      <c r="F161" s="7" t="n">
        <v>28</v>
      </c>
      <c r="G161" s="7" t="n">
        <v>5.91</v>
      </c>
      <c r="H161" s="7" t="n">
        <v>5.86</v>
      </c>
      <c r="I161" s="7" t="n">
        <v>1</v>
      </c>
      <c r="J161" s="7" t="n">
        <v>0</v>
      </c>
      <c r="K161" s="7" t="n">
        <v>0</v>
      </c>
      <c r="L161" s="7" t="n">
        <v>0</v>
      </c>
      <c r="M161" s="7" t="n">
        <v>0</v>
      </c>
      <c r="N161" s="7" t="n">
        <v>0</v>
      </c>
      <c r="O161" s="7" t="n">
        <v>0</v>
      </c>
      <c r="P161" s="7" t="n">
        <v>5</v>
      </c>
      <c r="Q161" s="7" t="n">
        <v>0</v>
      </c>
      <c r="R161" s="7" t="n">
        <v>1</v>
      </c>
    </row>
    <row r="162" customFormat="false" ht="15" hidden="false" customHeight="true" outlineLevel="0" collapsed="false">
      <c r="A162" s="7" t="n">
        <v>5578</v>
      </c>
      <c r="B162" s="7" t="s">
        <v>44</v>
      </c>
      <c r="C162" s="7" t="s">
        <v>780</v>
      </c>
      <c r="D162" s="7" t="s">
        <v>302</v>
      </c>
      <c r="E162" s="7" t="s">
        <v>117</v>
      </c>
      <c r="F162" s="7" t="n">
        <v>16</v>
      </c>
      <c r="G162" s="7" t="n">
        <v>5.94</v>
      </c>
      <c r="H162" s="7" t="n">
        <v>6.09</v>
      </c>
      <c r="I162" s="7" t="n">
        <v>1</v>
      </c>
      <c r="J162" s="7" t="n">
        <v>0</v>
      </c>
      <c r="K162" s="7" t="n">
        <v>0</v>
      </c>
      <c r="L162" s="7" t="n">
        <v>0</v>
      </c>
      <c r="M162" s="7" t="n">
        <v>0</v>
      </c>
      <c r="N162" s="7" t="n">
        <v>0</v>
      </c>
      <c r="O162" s="7" t="n">
        <v>0</v>
      </c>
      <c r="P162" s="7" t="n">
        <v>1</v>
      </c>
      <c r="Q162" s="7" t="n">
        <v>0</v>
      </c>
      <c r="R162" s="7" t="n">
        <v>0</v>
      </c>
    </row>
    <row r="163" customFormat="false" ht="15" hidden="false" customHeight="true" outlineLevel="0" collapsed="false">
      <c r="A163" s="7" t="n">
        <v>4887</v>
      </c>
      <c r="B163" s="7" t="s">
        <v>44</v>
      </c>
      <c r="C163" s="7" t="s">
        <v>776</v>
      </c>
      <c r="D163" s="7" t="s">
        <v>243</v>
      </c>
      <c r="E163" s="7" t="s">
        <v>117</v>
      </c>
      <c r="F163" s="7" t="n">
        <v>22</v>
      </c>
      <c r="G163" s="7" t="n">
        <v>5.82</v>
      </c>
      <c r="H163" s="7" t="n">
        <v>5.82</v>
      </c>
      <c r="I163" s="7" t="n">
        <v>0</v>
      </c>
      <c r="J163" s="7" t="n">
        <v>0</v>
      </c>
      <c r="K163" s="7" t="n">
        <v>0</v>
      </c>
      <c r="L163" s="7" t="n">
        <v>0</v>
      </c>
      <c r="M163" s="7" t="n">
        <v>0</v>
      </c>
      <c r="N163" s="7" t="n">
        <v>0</v>
      </c>
      <c r="O163" s="7" t="n">
        <v>1</v>
      </c>
      <c r="P163" s="7" t="n">
        <v>2</v>
      </c>
      <c r="Q163" s="7" t="n">
        <v>0</v>
      </c>
      <c r="R163" s="7" t="n">
        <v>0</v>
      </c>
    </row>
    <row r="164" customFormat="false" ht="15" hidden="false" customHeight="true" outlineLevel="0" collapsed="false">
      <c r="A164" s="7" t="n">
        <v>4461</v>
      </c>
      <c r="B164" s="7" t="s">
        <v>44</v>
      </c>
      <c r="C164" s="7" t="s">
        <v>781</v>
      </c>
      <c r="D164" s="7" t="s">
        <v>281</v>
      </c>
      <c r="E164" s="7" t="s">
        <v>129</v>
      </c>
      <c r="F164" s="7" t="n">
        <v>25</v>
      </c>
      <c r="G164" s="7" t="n">
        <v>5.9</v>
      </c>
      <c r="H164" s="7" t="n">
        <v>5.98</v>
      </c>
      <c r="I164" s="7" t="n">
        <v>0</v>
      </c>
      <c r="J164" s="7" t="n">
        <v>0</v>
      </c>
      <c r="K164" s="7" t="n">
        <v>0</v>
      </c>
      <c r="L164" s="7" t="n">
        <v>0</v>
      </c>
      <c r="M164" s="7" t="n">
        <v>0</v>
      </c>
      <c r="N164" s="7" t="n">
        <v>0</v>
      </c>
      <c r="O164" s="7" t="n">
        <v>3</v>
      </c>
      <c r="P164" s="7" t="n">
        <v>2</v>
      </c>
      <c r="Q164" s="7" t="n">
        <v>0</v>
      </c>
      <c r="R164" s="7" t="n">
        <v>0</v>
      </c>
    </row>
    <row r="165" customFormat="false" ht="15" hidden="false" customHeight="true" outlineLevel="0" collapsed="false">
      <c r="A165" s="7" t="n">
        <v>7014</v>
      </c>
      <c r="B165" s="7" t="s">
        <v>44</v>
      </c>
      <c r="C165" s="7" t="s">
        <v>780</v>
      </c>
      <c r="D165" s="7" t="s">
        <v>282</v>
      </c>
      <c r="E165" s="7" t="s">
        <v>119</v>
      </c>
      <c r="F165" s="7" t="n">
        <v>25</v>
      </c>
      <c r="G165" s="7" t="n">
        <v>5.96</v>
      </c>
      <c r="H165" s="7" t="n">
        <v>5.84</v>
      </c>
      <c r="I165" s="7" t="n">
        <v>0</v>
      </c>
      <c r="J165" s="7" t="n">
        <v>0</v>
      </c>
      <c r="K165" s="7" t="n">
        <v>0</v>
      </c>
      <c r="L165" s="7" t="n">
        <v>0</v>
      </c>
      <c r="M165" s="7" t="n">
        <v>0</v>
      </c>
      <c r="N165" s="7" t="n">
        <v>0</v>
      </c>
      <c r="O165" s="7" t="n">
        <v>1</v>
      </c>
      <c r="P165" s="7" t="n">
        <v>8</v>
      </c>
      <c r="Q165" s="7" t="n">
        <v>0</v>
      </c>
      <c r="R165" s="7" t="n">
        <v>0</v>
      </c>
    </row>
    <row r="166" customFormat="false" ht="15" hidden="false" customHeight="true" outlineLevel="0" collapsed="false">
      <c r="A166" s="7" t="n">
        <v>6013</v>
      </c>
      <c r="B166" s="7" t="s">
        <v>44</v>
      </c>
      <c r="C166" s="7" t="s">
        <v>795</v>
      </c>
      <c r="D166" s="7" t="s">
        <v>806</v>
      </c>
      <c r="E166" s="7" t="s">
        <v>743</v>
      </c>
      <c r="F166" s="7" t="n">
        <v>26</v>
      </c>
      <c r="G166" s="7" t="n">
        <v>5.98</v>
      </c>
      <c r="H166" s="7" t="n">
        <v>5.87</v>
      </c>
      <c r="I166" s="7" t="n">
        <v>0</v>
      </c>
      <c r="J166" s="7" t="n">
        <v>0</v>
      </c>
      <c r="K166" s="7" t="n">
        <v>0</v>
      </c>
      <c r="L166" s="7" t="n">
        <v>0</v>
      </c>
      <c r="M166" s="7" t="n">
        <v>0</v>
      </c>
      <c r="N166" s="7" t="n">
        <v>0</v>
      </c>
      <c r="O166" s="7" t="n">
        <v>1</v>
      </c>
      <c r="P166" s="7" t="n">
        <v>8</v>
      </c>
      <c r="Q166" s="7" t="n">
        <v>0</v>
      </c>
      <c r="R166" s="7" t="n">
        <v>0</v>
      </c>
    </row>
    <row r="167" customFormat="false" ht="15" hidden="false" customHeight="true" outlineLevel="0" collapsed="false">
      <c r="A167" s="7" t="n">
        <v>4378</v>
      </c>
      <c r="B167" s="7" t="s">
        <v>44</v>
      </c>
      <c r="C167" s="7" t="s">
        <v>784</v>
      </c>
      <c r="D167" s="7" t="s">
        <v>306</v>
      </c>
      <c r="E167" s="7" t="s">
        <v>123</v>
      </c>
      <c r="F167" s="7" t="n">
        <v>31</v>
      </c>
      <c r="G167" s="7" t="n">
        <v>5.85</v>
      </c>
      <c r="H167" s="7" t="n">
        <v>5.79</v>
      </c>
      <c r="I167" s="7" t="n">
        <v>1</v>
      </c>
      <c r="J167" s="7" t="n">
        <v>0</v>
      </c>
      <c r="K167" s="7" t="n">
        <v>0</v>
      </c>
      <c r="L167" s="7" t="n">
        <v>0</v>
      </c>
      <c r="M167" s="7" t="n">
        <v>0</v>
      </c>
      <c r="N167" s="7" t="n">
        <v>0</v>
      </c>
      <c r="O167" s="7" t="n">
        <v>0</v>
      </c>
      <c r="P167" s="7" t="n">
        <v>8</v>
      </c>
      <c r="Q167" s="7" t="n">
        <v>1</v>
      </c>
      <c r="R167" s="7" t="n">
        <v>0</v>
      </c>
    </row>
    <row r="168" customFormat="false" ht="15" hidden="false" customHeight="true" outlineLevel="0" collapsed="false">
      <c r="A168" s="7" t="n">
        <v>5449</v>
      </c>
      <c r="B168" s="7" t="s">
        <v>44</v>
      </c>
      <c r="C168" s="7" t="s">
        <v>776</v>
      </c>
      <c r="D168" s="7" t="s">
        <v>268</v>
      </c>
      <c r="E168" s="7" t="s">
        <v>123</v>
      </c>
      <c r="F168" s="7" t="n">
        <v>23</v>
      </c>
      <c r="G168" s="7" t="n">
        <v>6.02</v>
      </c>
      <c r="H168" s="7" t="n">
        <v>5.98</v>
      </c>
      <c r="I168" s="7" t="n">
        <v>1</v>
      </c>
      <c r="J168" s="7" t="n">
        <v>0</v>
      </c>
      <c r="K168" s="7" t="n">
        <v>0</v>
      </c>
      <c r="L168" s="7" t="n">
        <v>0</v>
      </c>
      <c r="M168" s="7" t="n">
        <v>0</v>
      </c>
      <c r="N168" s="7" t="n">
        <v>0</v>
      </c>
      <c r="O168" s="7" t="n">
        <v>1</v>
      </c>
      <c r="P168" s="7" t="n">
        <v>6</v>
      </c>
      <c r="Q168" s="7" t="n">
        <v>0</v>
      </c>
      <c r="R168" s="7" t="n">
        <v>1</v>
      </c>
    </row>
    <row r="169" customFormat="false" ht="15" hidden="false" customHeight="true" outlineLevel="0" collapsed="false">
      <c r="A169" s="7" t="n">
        <v>5739</v>
      </c>
      <c r="B169" s="7" t="s">
        <v>44</v>
      </c>
      <c r="C169" s="7" t="s">
        <v>780</v>
      </c>
      <c r="D169" s="7" t="s">
        <v>312</v>
      </c>
      <c r="E169" s="7" t="s">
        <v>121</v>
      </c>
      <c r="F169" s="7" t="n">
        <v>24</v>
      </c>
      <c r="G169" s="7" t="n">
        <v>5.75</v>
      </c>
      <c r="H169" s="7" t="n">
        <v>5.9</v>
      </c>
      <c r="I169" s="7" t="n">
        <v>1</v>
      </c>
      <c r="J169" s="7" t="n">
        <v>0</v>
      </c>
      <c r="K169" s="7" t="n">
        <v>0</v>
      </c>
      <c r="L169" s="7" t="n">
        <v>0</v>
      </c>
      <c r="M169" s="7" t="n">
        <v>0</v>
      </c>
      <c r="N169" s="7" t="n">
        <v>0</v>
      </c>
      <c r="O169" s="7" t="n">
        <v>1</v>
      </c>
      <c r="P169" s="7" t="n">
        <v>1</v>
      </c>
      <c r="Q169" s="7" t="n">
        <v>0</v>
      </c>
      <c r="R169" s="7" t="n">
        <v>0</v>
      </c>
    </row>
    <row r="170" customFormat="false" ht="15" hidden="false" customHeight="true" outlineLevel="0" collapsed="false">
      <c r="A170" s="7" t="n">
        <v>6039</v>
      </c>
      <c r="B170" s="7" t="s">
        <v>44</v>
      </c>
      <c r="C170" s="7" t="s">
        <v>786</v>
      </c>
      <c r="D170" s="7" t="s">
        <v>350</v>
      </c>
      <c r="E170" s="7" t="s">
        <v>131</v>
      </c>
      <c r="F170" s="7" t="n">
        <v>9</v>
      </c>
      <c r="G170" s="7" t="n">
        <v>5.94</v>
      </c>
      <c r="H170" s="7" t="n">
        <v>6.56</v>
      </c>
      <c r="I170" s="7" t="n">
        <v>2</v>
      </c>
      <c r="J170" s="7" t="n">
        <v>0</v>
      </c>
      <c r="K170" s="7" t="n">
        <v>0</v>
      </c>
      <c r="L170" s="7" t="n">
        <v>0</v>
      </c>
      <c r="M170" s="7" t="n">
        <v>0</v>
      </c>
      <c r="N170" s="7" t="n">
        <v>0</v>
      </c>
      <c r="O170" s="7" t="n">
        <v>0</v>
      </c>
      <c r="P170" s="7" t="n">
        <v>1</v>
      </c>
      <c r="Q170" s="7" t="n">
        <v>0</v>
      </c>
      <c r="R170" s="7" t="n">
        <v>0</v>
      </c>
    </row>
    <row r="171" customFormat="false" ht="15" hidden="false" customHeight="true" outlineLevel="0" collapsed="false">
      <c r="A171" s="7" t="n">
        <v>7175</v>
      </c>
      <c r="B171" s="7" t="s">
        <v>44</v>
      </c>
      <c r="C171" s="7" t="s">
        <v>776</v>
      </c>
      <c r="D171" s="7" t="s">
        <v>307</v>
      </c>
      <c r="E171" s="7" t="s">
        <v>127</v>
      </c>
      <c r="F171" s="7" t="n">
        <v>14</v>
      </c>
      <c r="G171" s="7" t="n">
        <v>5.79</v>
      </c>
      <c r="H171" s="7" t="n">
        <v>6</v>
      </c>
      <c r="I171" s="7" t="n">
        <v>1</v>
      </c>
      <c r="J171" s="7" t="n">
        <v>0</v>
      </c>
      <c r="K171" s="7" t="n">
        <v>0</v>
      </c>
      <c r="L171" s="7" t="n">
        <v>0</v>
      </c>
      <c r="M171" s="7" t="n">
        <v>0</v>
      </c>
      <c r="N171" s="7" t="n">
        <v>0</v>
      </c>
      <c r="O171" s="7" t="n">
        <v>1</v>
      </c>
      <c r="P171" s="7" t="n">
        <v>2</v>
      </c>
      <c r="Q171" s="7" t="n">
        <v>0</v>
      </c>
      <c r="R171" s="7" t="n">
        <v>0</v>
      </c>
    </row>
    <row r="172" customFormat="false" ht="15" hidden="false" customHeight="true" outlineLevel="0" collapsed="false">
      <c r="A172" s="7" t="n">
        <v>5620</v>
      </c>
      <c r="B172" s="7" t="s">
        <v>44</v>
      </c>
      <c r="C172" s="7" t="s">
        <v>779</v>
      </c>
      <c r="D172" s="7" t="s">
        <v>253</v>
      </c>
      <c r="E172" s="7" t="s">
        <v>133</v>
      </c>
      <c r="F172" s="7" t="n">
        <v>22</v>
      </c>
      <c r="G172" s="7" t="n">
        <v>5.91</v>
      </c>
      <c r="H172" s="7" t="n">
        <v>5.8</v>
      </c>
      <c r="I172" s="7" t="n">
        <v>0</v>
      </c>
      <c r="J172" s="7" t="n">
        <v>0</v>
      </c>
      <c r="K172" s="7" t="n">
        <v>0</v>
      </c>
      <c r="L172" s="7" t="n">
        <v>0</v>
      </c>
      <c r="M172" s="7" t="n">
        <v>0</v>
      </c>
      <c r="N172" s="7" t="n">
        <v>0</v>
      </c>
      <c r="O172" s="7" t="n">
        <v>0</v>
      </c>
      <c r="P172" s="7" t="n">
        <v>5</v>
      </c>
      <c r="Q172" s="7" t="n">
        <v>0</v>
      </c>
      <c r="R172" s="7" t="n">
        <v>0</v>
      </c>
    </row>
    <row r="173" customFormat="false" ht="15" hidden="false" customHeight="true" outlineLevel="0" collapsed="false">
      <c r="A173" s="7" t="n">
        <v>5527</v>
      </c>
      <c r="B173" s="7" t="s">
        <v>44</v>
      </c>
      <c r="C173" s="7" t="s">
        <v>785</v>
      </c>
      <c r="D173" s="7" t="s">
        <v>298</v>
      </c>
      <c r="E173" s="7" t="s">
        <v>135</v>
      </c>
      <c r="F173" s="7" t="n">
        <v>19</v>
      </c>
      <c r="G173" s="7" t="n">
        <v>6.05</v>
      </c>
      <c r="H173" s="7" t="n">
        <v>6.29</v>
      </c>
      <c r="I173" s="7" t="n">
        <v>1</v>
      </c>
      <c r="J173" s="7" t="n">
        <v>0</v>
      </c>
      <c r="K173" s="7" t="n">
        <v>0</v>
      </c>
      <c r="L173" s="7" t="n">
        <v>0</v>
      </c>
      <c r="M173" s="7" t="n">
        <v>0</v>
      </c>
      <c r="N173" s="7" t="n">
        <v>0</v>
      </c>
      <c r="O173" s="7" t="n">
        <v>2</v>
      </c>
      <c r="P173" s="7" t="n">
        <v>1</v>
      </c>
      <c r="Q173" s="7" t="n">
        <v>0</v>
      </c>
      <c r="R173" s="7" t="n">
        <v>0</v>
      </c>
    </row>
    <row r="174" customFormat="false" ht="15" hidden="false" customHeight="true" outlineLevel="0" collapsed="false">
      <c r="A174" s="7" t="n">
        <v>2273</v>
      </c>
      <c r="B174" s="7" t="s">
        <v>44</v>
      </c>
      <c r="C174" s="7" t="s">
        <v>777</v>
      </c>
      <c r="D174" s="7" t="s">
        <v>807</v>
      </c>
      <c r="E174" s="7" t="s">
        <v>748</v>
      </c>
      <c r="F174" s="7" t="n">
        <v>35</v>
      </c>
      <c r="G174" s="7" t="n">
        <v>5.8</v>
      </c>
      <c r="H174" s="7" t="n">
        <v>5.77</v>
      </c>
      <c r="I174" s="7" t="n">
        <v>2</v>
      </c>
      <c r="J174" s="7" t="n">
        <v>0</v>
      </c>
      <c r="K174" s="7" t="n">
        <v>0</v>
      </c>
      <c r="L174" s="7" t="n">
        <v>0</v>
      </c>
      <c r="M174" s="7" t="n">
        <v>0</v>
      </c>
      <c r="N174" s="7" t="n">
        <v>0</v>
      </c>
      <c r="O174" s="7" t="n">
        <v>0</v>
      </c>
      <c r="P174" s="7" t="n">
        <v>10</v>
      </c>
      <c r="Q174" s="7" t="n">
        <v>0</v>
      </c>
      <c r="R174" s="7" t="n">
        <v>1</v>
      </c>
    </row>
    <row r="175" customFormat="false" ht="15" hidden="false" customHeight="true" outlineLevel="0" collapsed="false">
      <c r="A175" s="7" t="n">
        <v>5010</v>
      </c>
      <c r="B175" s="7" t="s">
        <v>44</v>
      </c>
      <c r="C175" s="7" t="s">
        <v>777</v>
      </c>
      <c r="D175" s="7" t="s">
        <v>240</v>
      </c>
      <c r="E175" s="7" t="s">
        <v>184</v>
      </c>
      <c r="F175" s="7" t="n">
        <v>24</v>
      </c>
      <c r="G175" s="7" t="n">
        <v>5.92</v>
      </c>
      <c r="H175" s="7" t="n">
        <v>5.9</v>
      </c>
      <c r="I175" s="7" t="n">
        <v>0</v>
      </c>
      <c r="J175" s="7" t="n">
        <v>0</v>
      </c>
      <c r="K175" s="7" t="n">
        <v>0</v>
      </c>
      <c r="L175" s="7" t="n">
        <v>0</v>
      </c>
      <c r="M175" s="7" t="n">
        <v>0</v>
      </c>
      <c r="N175" s="7" t="n">
        <v>0</v>
      </c>
      <c r="O175" s="7" t="n">
        <v>2</v>
      </c>
      <c r="P175" s="7" t="n">
        <v>5</v>
      </c>
      <c r="Q175" s="7" t="n">
        <v>0</v>
      </c>
      <c r="R175" s="7" t="n">
        <v>0</v>
      </c>
    </row>
    <row r="176" customFormat="false" ht="15" hidden="false" customHeight="true" outlineLevel="0" collapsed="false">
      <c r="A176" s="7" t="n">
        <v>5555</v>
      </c>
      <c r="B176" s="7" t="s">
        <v>44</v>
      </c>
      <c r="C176" s="7" t="s">
        <v>779</v>
      </c>
      <c r="D176" s="7" t="s">
        <v>260</v>
      </c>
      <c r="E176" s="7" t="s">
        <v>135</v>
      </c>
      <c r="F176" s="7" t="n">
        <v>26</v>
      </c>
      <c r="G176" s="7" t="n">
        <v>5.88</v>
      </c>
      <c r="H176" s="7" t="n">
        <v>5.87</v>
      </c>
      <c r="I176" s="7" t="n">
        <v>0</v>
      </c>
      <c r="J176" s="7" t="n">
        <v>0</v>
      </c>
      <c r="K176" s="7" t="n">
        <v>0</v>
      </c>
      <c r="L176" s="7" t="n">
        <v>0</v>
      </c>
      <c r="M176" s="7" t="n">
        <v>0</v>
      </c>
      <c r="N176" s="7" t="n">
        <v>0</v>
      </c>
      <c r="O176" s="7" t="n">
        <v>2</v>
      </c>
      <c r="P176" s="7" t="n">
        <v>5</v>
      </c>
      <c r="Q176" s="7" t="n">
        <v>0</v>
      </c>
      <c r="R176" s="7" t="n">
        <v>0</v>
      </c>
    </row>
    <row r="177" customFormat="false" ht="15" hidden="false" customHeight="true" outlineLevel="0" collapsed="false">
      <c r="A177" s="7" t="n">
        <v>5532</v>
      </c>
      <c r="B177" s="7" t="s">
        <v>44</v>
      </c>
      <c r="C177" s="7" t="s">
        <v>779</v>
      </c>
      <c r="D177" s="7" t="s">
        <v>808</v>
      </c>
      <c r="E177" s="7" t="s">
        <v>745</v>
      </c>
      <c r="F177" s="7" t="n">
        <v>29</v>
      </c>
      <c r="G177" s="7" t="n">
        <v>5.81</v>
      </c>
      <c r="H177" s="7" t="n">
        <v>5.84</v>
      </c>
      <c r="I177" s="7" t="n">
        <v>0</v>
      </c>
      <c r="J177" s="7" t="n">
        <v>0</v>
      </c>
      <c r="K177" s="7" t="n">
        <v>0</v>
      </c>
      <c r="L177" s="7" t="n">
        <v>0</v>
      </c>
      <c r="M177" s="7" t="n">
        <v>0</v>
      </c>
      <c r="N177" s="7" t="n">
        <v>0</v>
      </c>
      <c r="O177" s="7" t="n">
        <v>2</v>
      </c>
      <c r="P177" s="7" t="n">
        <v>2</v>
      </c>
      <c r="Q177" s="7" t="n">
        <v>0</v>
      </c>
      <c r="R177" s="7" t="n">
        <v>0</v>
      </c>
    </row>
    <row r="178" customFormat="false" ht="15" hidden="false" customHeight="true" outlineLevel="0" collapsed="false">
      <c r="A178" s="7" t="n">
        <v>7240</v>
      </c>
      <c r="B178" s="7" t="s">
        <v>44</v>
      </c>
      <c r="C178" s="7" t="s">
        <v>777</v>
      </c>
      <c r="D178" s="7" t="s">
        <v>287</v>
      </c>
      <c r="E178" s="7" t="s">
        <v>139</v>
      </c>
      <c r="F178" s="7" t="n">
        <v>19</v>
      </c>
      <c r="G178" s="7" t="n">
        <v>5.68</v>
      </c>
      <c r="H178" s="7" t="n">
        <v>5.76</v>
      </c>
      <c r="I178" s="7" t="n">
        <v>1</v>
      </c>
      <c r="J178" s="7" t="n">
        <v>0</v>
      </c>
      <c r="K178" s="7" t="n">
        <v>0</v>
      </c>
      <c r="L178" s="7" t="n">
        <v>0</v>
      </c>
      <c r="M178" s="7" t="n">
        <v>0</v>
      </c>
      <c r="N178" s="7" t="n">
        <v>0</v>
      </c>
      <c r="O178" s="7" t="n">
        <v>0</v>
      </c>
      <c r="P178" s="7" t="n">
        <v>3</v>
      </c>
      <c r="Q178" s="7" t="n">
        <v>0</v>
      </c>
      <c r="R178" s="7" t="n">
        <v>0</v>
      </c>
    </row>
    <row r="179" customFormat="false" ht="15" hidden="false" customHeight="true" outlineLevel="0" collapsed="false">
      <c r="A179" s="7" t="n">
        <v>7352</v>
      </c>
      <c r="B179" s="7" t="s">
        <v>44</v>
      </c>
      <c r="C179" s="7" t="s">
        <v>777</v>
      </c>
      <c r="D179" s="7" t="s">
        <v>809</v>
      </c>
      <c r="E179" s="7" t="s">
        <v>745</v>
      </c>
      <c r="F179" s="7" t="n">
        <v>15</v>
      </c>
      <c r="G179" s="7" t="n">
        <v>5.97</v>
      </c>
      <c r="H179" s="7" t="n">
        <v>5.73</v>
      </c>
      <c r="I179" s="7" t="n">
        <v>0</v>
      </c>
      <c r="J179" s="7" t="n">
        <v>0</v>
      </c>
      <c r="K179" s="7" t="n">
        <v>0</v>
      </c>
      <c r="L179" s="7" t="n">
        <v>0</v>
      </c>
      <c r="M179" s="7" t="n">
        <v>0</v>
      </c>
      <c r="N179" s="7" t="n">
        <v>0</v>
      </c>
      <c r="O179" s="7" t="n">
        <v>0</v>
      </c>
      <c r="P179" s="7" t="n">
        <v>3</v>
      </c>
      <c r="Q179" s="7" t="n">
        <v>0</v>
      </c>
      <c r="R179" s="7" t="n">
        <v>1</v>
      </c>
    </row>
    <row r="180" customFormat="false" ht="15" hidden="false" customHeight="true" outlineLevel="0" collapsed="false">
      <c r="A180" s="7" t="n">
        <v>7125</v>
      </c>
      <c r="B180" s="7" t="s">
        <v>44</v>
      </c>
      <c r="C180" s="7" t="s">
        <v>779</v>
      </c>
      <c r="D180" s="7" t="s">
        <v>305</v>
      </c>
      <c r="E180" s="7" t="s">
        <v>129</v>
      </c>
      <c r="F180" s="7" t="n">
        <v>17</v>
      </c>
      <c r="G180" s="7" t="n">
        <v>5.82</v>
      </c>
      <c r="H180" s="7" t="n">
        <v>6.09</v>
      </c>
      <c r="I180" s="7" t="n">
        <v>2</v>
      </c>
      <c r="J180" s="7" t="n">
        <v>0</v>
      </c>
      <c r="K180" s="7" t="n">
        <v>0</v>
      </c>
      <c r="L180" s="7" t="n">
        <v>0</v>
      </c>
      <c r="M180" s="7" t="n">
        <v>0</v>
      </c>
      <c r="N180" s="7" t="n">
        <v>0</v>
      </c>
      <c r="O180" s="7" t="n">
        <v>0</v>
      </c>
      <c r="P180" s="7" t="n">
        <v>3</v>
      </c>
      <c r="Q180" s="7" t="n">
        <v>0</v>
      </c>
      <c r="R180" s="7" t="n">
        <v>0</v>
      </c>
    </row>
    <row r="181" customFormat="false" ht="15" hidden="false" customHeight="true" outlineLevel="0" collapsed="false">
      <c r="A181" s="7" t="n">
        <v>6230</v>
      </c>
      <c r="B181" s="7" t="s">
        <v>44</v>
      </c>
      <c r="C181" s="7" t="s">
        <v>777</v>
      </c>
      <c r="D181" s="7" t="s">
        <v>810</v>
      </c>
      <c r="E181" s="7" t="s">
        <v>129</v>
      </c>
      <c r="F181" s="7" t="n">
        <v>11</v>
      </c>
      <c r="G181" s="7" t="n">
        <v>5.82</v>
      </c>
      <c r="H181" s="7" t="n">
        <v>5.68</v>
      </c>
      <c r="I181" s="7" t="n">
        <v>0</v>
      </c>
      <c r="J181" s="7" t="n">
        <v>0</v>
      </c>
      <c r="K181" s="7" t="n">
        <v>0</v>
      </c>
      <c r="L181" s="7" t="n">
        <v>0</v>
      </c>
      <c r="M181" s="7" t="n">
        <v>0</v>
      </c>
      <c r="N181" s="7" t="n">
        <v>0</v>
      </c>
      <c r="O181" s="7" t="n">
        <v>1</v>
      </c>
      <c r="P181" s="7" t="n">
        <v>5</v>
      </c>
      <c r="Q181" s="7" t="n">
        <v>0</v>
      </c>
      <c r="R181" s="7" t="n">
        <v>0</v>
      </c>
    </row>
    <row r="182" customFormat="false" ht="15" hidden="false" customHeight="true" outlineLevel="0" collapsed="false">
      <c r="A182" s="7" t="n">
        <v>6896</v>
      </c>
      <c r="B182" s="7" t="s">
        <v>44</v>
      </c>
      <c r="C182" s="7" t="s">
        <v>785</v>
      </c>
      <c r="D182" s="7" t="s">
        <v>325</v>
      </c>
      <c r="E182" s="7" t="s">
        <v>119</v>
      </c>
      <c r="F182" s="7" t="n">
        <v>14</v>
      </c>
      <c r="G182" s="7" t="n">
        <v>5.96</v>
      </c>
      <c r="H182" s="7" t="n">
        <v>5.96</v>
      </c>
      <c r="I182" s="7" t="n">
        <v>0</v>
      </c>
      <c r="J182" s="7" t="n">
        <v>0</v>
      </c>
      <c r="K182" s="7" t="n">
        <v>0</v>
      </c>
      <c r="L182" s="7" t="n">
        <v>0</v>
      </c>
      <c r="M182" s="7" t="n">
        <v>0</v>
      </c>
      <c r="N182" s="7" t="n">
        <v>0</v>
      </c>
      <c r="O182" s="7" t="n">
        <v>1</v>
      </c>
      <c r="P182" s="7" t="n">
        <v>2</v>
      </c>
      <c r="Q182" s="7" t="n">
        <v>0</v>
      </c>
      <c r="R182" s="7" t="n">
        <v>0</v>
      </c>
    </row>
    <row r="183" customFormat="false" ht="15" hidden="false" customHeight="true" outlineLevel="0" collapsed="false">
      <c r="A183" s="7" t="n">
        <v>7131</v>
      </c>
      <c r="B183" s="7" t="s">
        <v>44</v>
      </c>
      <c r="C183" s="7" t="s">
        <v>785</v>
      </c>
      <c r="D183" s="7" t="s">
        <v>311</v>
      </c>
      <c r="E183" s="7" t="s">
        <v>743</v>
      </c>
      <c r="F183" s="7" t="n">
        <v>23</v>
      </c>
      <c r="G183" s="7" t="n">
        <v>5.72</v>
      </c>
      <c r="H183" s="7" t="n">
        <v>5.72</v>
      </c>
      <c r="I183" s="7" t="n">
        <v>0</v>
      </c>
      <c r="J183" s="7" t="n">
        <v>0</v>
      </c>
      <c r="K183" s="7" t="n">
        <v>0</v>
      </c>
      <c r="L183" s="7" t="n">
        <v>0</v>
      </c>
      <c r="M183" s="7" t="n">
        <v>0</v>
      </c>
      <c r="N183" s="7" t="n">
        <v>0</v>
      </c>
      <c r="O183" s="7" t="n">
        <v>1</v>
      </c>
      <c r="P183" s="7" t="n">
        <v>2</v>
      </c>
      <c r="Q183" s="7" t="n">
        <v>0</v>
      </c>
      <c r="R183" s="7" t="n">
        <v>0</v>
      </c>
    </row>
    <row r="184" customFormat="false" ht="15" hidden="false" customHeight="true" outlineLevel="0" collapsed="false">
      <c r="A184" s="7" t="n">
        <v>5603</v>
      </c>
      <c r="B184" s="7" t="s">
        <v>44</v>
      </c>
      <c r="C184" s="7" t="s">
        <v>777</v>
      </c>
      <c r="D184" s="7" t="s">
        <v>283</v>
      </c>
      <c r="E184" s="7" t="s">
        <v>123</v>
      </c>
      <c r="F184" s="7" t="n">
        <v>35</v>
      </c>
      <c r="G184" s="7" t="n">
        <v>5.84</v>
      </c>
      <c r="H184" s="7" t="n">
        <v>5.67</v>
      </c>
      <c r="I184" s="7" t="n">
        <v>0</v>
      </c>
      <c r="J184" s="7" t="n">
        <v>0</v>
      </c>
      <c r="K184" s="7" t="n">
        <v>0</v>
      </c>
      <c r="L184" s="7" t="n">
        <v>0</v>
      </c>
      <c r="M184" s="7" t="n">
        <v>0</v>
      </c>
      <c r="N184" s="7" t="n">
        <v>0</v>
      </c>
      <c r="O184" s="7" t="n">
        <v>0</v>
      </c>
      <c r="P184" s="7" t="n">
        <v>12</v>
      </c>
      <c r="Q184" s="7" t="n">
        <v>0</v>
      </c>
      <c r="R184" s="7" t="n">
        <v>0</v>
      </c>
    </row>
    <row r="185" customFormat="false" ht="15" hidden="false" customHeight="true" outlineLevel="0" collapsed="false">
      <c r="A185" s="7" t="n">
        <v>513</v>
      </c>
      <c r="B185" s="7" t="s">
        <v>44</v>
      </c>
      <c r="C185" s="7" t="s">
        <v>777</v>
      </c>
      <c r="D185" s="7" t="s">
        <v>811</v>
      </c>
      <c r="E185" s="7" t="s">
        <v>115</v>
      </c>
      <c r="F185" s="7" t="n">
        <v>16</v>
      </c>
      <c r="G185" s="7" t="n">
        <v>6.03</v>
      </c>
      <c r="H185" s="7" t="n">
        <v>5.94</v>
      </c>
      <c r="I185" s="7" t="n">
        <v>0</v>
      </c>
      <c r="J185" s="7" t="n">
        <v>0</v>
      </c>
      <c r="K185" s="7" t="n">
        <v>0</v>
      </c>
      <c r="L185" s="7" t="n">
        <v>0</v>
      </c>
      <c r="M185" s="7" t="n">
        <v>0</v>
      </c>
      <c r="N185" s="7" t="n">
        <v>0</v>
      </c>
      <c r="O185" s="7" t="n">
        <v>0</v>
      </c>
      <c r="P185" s="7" t="n">
        <v>3</v>
      </c>
      <c r="Q185" s="7" t="n">
        <v>0</v>
      </c>
      <c r="R185" s="7" t="n">
        <v>0</v>
      </c>
    </row>
    <row r="186" customFormat="false" ht="15" hidden="false" customHeight="true" outlineLevel="0" collapsed="false">
      <c r="A186" s="7" t="n">
        <v>5831</v>
      </c>
      <c r="B186" s="7" t="s">
        <v>44</v>
      </c>
      <c r="C186" s="7" t="s">
        <v>777</v>
      </c>
      <c r="D186" s="7" t="s">
        <v>286</v>
      </c>
      <c r="E186" s="7" t="s">
        <v>131</v>
      </c>
      <c r="F186" s="7" t="n">
        <v>16</v>
      </c>
      <c r="G186" s="7" t="n">
        <v>5.94</v>
      </c>
      <c r="H186" s="7" t="n">
        <v>6.22</v>
      </c>
      <c r="I186" s="7" t="n">
        <v>2</v>
      </c>
      <c r="J186" s="7" t="n">
        <v>0</v>
      </c>
      <c r="K186" s="7" t="n">
        <v>0</v>
      </c>
      <c r="L186" s="7" t="n">
        <v>0</v>
      </c>
      <c r="M186" s="7" t="n">
        <v>0</v>
      </c>
      <c r="N186" s="7" t="n">
        <v>0</v>
      </c>
      <c r="O186" s="7" t="n">
        <v>0</v>
      </c>
      <c r="P186" s="7" t="n">
        <v>3</v>
      </c>
      <c r="Q186" s="7" t="n">
        <v>0</v>
      </c>
      <c r="R186" s="7" t="n">
        <v>0</v>
      </c>
    </row>
    <row r="187" customFormat="false" ht="15" hidden="false" customHeight="true" outlineLevel="0" collapsed="false">
      <c r="A187" s="7" t="n">
        <v>2728</v>
      </c>
      <c r="B187" s="7" t="s">
        <v>44</v>
      </c>
      <c r="C187" s="7" t="s">
        <v>779</v>
      </c>
      <c r="D187" s="7" t="s">
        <v>330</v>
      </c>
      <c r="E187" s="7" t="s">
        <v>133</v>
      </c>
      <c r="F187" s="7" t="n">
        <v>24</v>
      </c>
      <c r="G187" s="7" t="n">
        <v>5.85</v>
      </c>
      <c r="H187" s="7" t="n">
        <v>5.81</v>
      </c>
      <c r="I187" s="7" t="n">
        <v>1</v>
      </c>
      <c r="J187" s="7" t="n">
        <v>0</v>
      </c>
      <c r="K187" s="7" t="n">
        <v>0</v>
      </c>
      <c r="L187" s="7" t="n">
        <v>0</v>
      </c>
      <c r="M187" s="7" t="n">
        <v>0</v>
      </c>
      <c r="N187" s="7" t="n">
        <v>0</v>
      </c>
      <c r="O187" s="7" t="n">
        <v>0</v>
      </c>
      <c r="P187" s="7" t="n">
        <v>8</v>
      </c>
      <c r="Q187" s="7" t="n">
        <v>0</v>
      </c>
      <c r="R187" s="7" t="n">
        <v>0</v>
      </c>
    </row>
    <row r="188" customFormat="false" ht="15" hidden="false" customHeight="true" outlineLevel="0" collapsed="false">
      <c r="A188" s="7" t="n">
        <v>6990</v>
      </c>
      <c r="B188" s="7" t="s">
        <v>44</v>
      </c>
      <c r="C188" s="7" t="s">
        <v>785</v>
      </c>
      <c r="D188" s="7" t="s">
        <v>275</v>
      </c>
      <c r="E188" s="7" t="s">
        <v>139</v>
      </c>
      <c r="F188" s="7" t="n">
        <v>36</v>
      </c>
      <c r="G188" s="7" t="n">
        <v>5.82</v>
      </c>
      <c r="H188" s="7" t="n">
        <v>5.69</v>
      </c>
      <c r="I188" s="7" t="n">
        <v>0</v>
      </c>
      <c r="J188" s="7" t="n">
        <v>0</v>
      </c>
      <c r="K188" s="7" t="n">
        <v>0</v>
      </c>
      <c r="L188" s="7" t="n">
        <v>0</v>
      </c>
      <c r="M188" s="7" t="n">
        <v>0</v>
      </c>
      <c r="N188" s="7" t="n">
        <v>0</v>
      </c>
      <c r="O188" s="7" t="n">
        <v>0</v>
      </c>
      <c r="P188" s="7" t="n">
        <v>9</v>
      </c>
      <c r="Q188" s="7" t="n">
        <v>0</v>
      </c>
      <c r="R188" s="7" t="n">
        <v>0</v>
      </c>
    </row>
    <row r="189" customFormat="false" ht="15" hidden="false" customHeight="true" outlineLevel="0" collapsed="false">
      <c r="A189" s="7" t="n">
        <v>4401</v>
      </c>
      <c r="B189" s="7" t="s">
        <v>44</v>
      </c>
      <c r="C189" s="7" t="s">
        <v>777</v>
      </c>
      <c r="D189" s="7" t="s">
        <v>235</v>
      </c>
      <c r="E189" s="7" t="s">
        <v>121</v>
      </c>
      <c r="F189" s="7" t="n">
        <v>29</v>
      </c>
      <c r="G189" s="7" t="n">
        <v>5.91</v>
      </c>
      <c r="H189" s="7" t="n">
        <v>5.84</v>
      </c>
      <c r="I189" s="7" t="n">
        <v>0</v>
      </c>
      <c r="J189" s="7" t="n">
        <v>0</v>
      </c>
      <c r="K189" s="7" t="n">
        <v>0</v>
      </c>
      <c r="L189" s="7" t="n">
        <v>0</v>
      </c>
      <c r="M189" s="7" t="n">
        <v>0</v>
      </c>
      <c r="N189" s="7" t="n">
        <v>0</v>
      </c>
      <c r="O189" s="7" t="n">
        <v>0</v>
      </c>
      <c r="P189" s="7" t="n">
        <v>4</v>
      </c>
      <c r="Q189" s="7" t="n">
        <v>0</v>
      </c>
      <c r="R189" s="7" t="n">
        <v>0</v>
      </c>
    </row>
    <row r="190" customFormat="false" ht="15" hidden="false" customHeight="true" outlineLevel="0" collapsed="false">
      <c r="A190" s="7" t="n">
        <v>6531</v>
      </c>
      <c r="B190" s="7" t="s">
        <v>44</v>
      </c>
      <c r="C190" s="7" t="s">
        <v>795</v>
      </c>
      <c r="D190" s="7" t="s">
        <v>219</v>
      </c>
      <c r="E190" s="7" t="s">
        <v>121</v>
      </c>
      <c r="F190" s="7" t="n">
        <v>1</v>
      </c>
      <c r="G190" s="7" t="n">
        <v>5.5</v>
      </c>
      <c r="H190" s="7" t="n">
        <v>5</v>
      </c>
      <c r="I190" s="7" t="n">
        <v>0</v>
      </c>
      <c r="J190" s="7" t="n">
        <v>0</v>
      </c>
      <c r="K190" s="7" t="n">
        <v>0</v>
      </c>
      <c r="L190" s="7" t="n">
        <v>0</v>
      </c>
      <c r="M190" s="7" t="n">
        <v>0</v>
      </c>
      <c r="N190" s="7" t="n">
        <v>0</v>
      </c>
      <c r="O190" s="7" t="n">
        <v>0</v>
      </c>
      <c r="P190" s="7" t="n">
        <v>1</v>
      </c>
      <c r="Q190" s="7" t="n">
        <v>0</v>
      </c>
      <c r="R190" s="7" t="n">
        <v>0</v>
      </c>
    </row>
    <row r="191" customFormat="false" ht="15" hidden="false" customHeight="true" outlineLevel="0" collapsed="false">
      <c r="A191" s="7" t="n">
        <v>5840</v>
      </c>
      <c r="B191" s="7" t="s">
        <v>44</v>
      </c>
      <c r="C191" s="7" t="s">
        <v>779</v>
      </c>
      <c r="D191" s="7" t="s">
        <v>276</v>
      </c>
      <c r="E191" s="7" t="s">
        <v>125</v>
      </c>
      <c r="F191" s="7" t="n">
        <v>22</v>
      </c>
      <c r="G191" s="7" t="n">
        <v>5.75</v>
      </c>
      <c r="H191" s="7" t="n">
        <v>5.68</v>
      </c>
      <c r="I191" s="7" t="n">
        <v>0</v>
      </c>
      <c r="J191" s="7" t="n">
        <v>0</v>
      </c>
      <c r="K191" s="7" t="n">
        <v>0</v>
      </c>
      <c r="L191" s="7" t="n">
        <v>0</v>
      </c>
      <c r="M191" s="7" t="n">
        <v>0</v>
      </c>
      <c r="N191" s="7" t="n">
        <v>0</v>
      </c>
      <c r="O191" s="7" t="n">
        <v>0</v>
      </c>
      <c r="P191" s="7" t="n">
        <v>3</v>
      </c>
      <c r="Q191" s="7" t="n">
        <v>0</v>
      </c>
      <c r="R191" s="7" t="n">
        <v>0</v>
      </c>
    </row>
    <row r="192" customFormat="false" ht="15" hidden="false" customHeight="true" outlineLevel="0" collapsed="false">
      <c r="A192" s="7" t="n">
        <v>5307</v>
      </c>
      <c r="B192" s="7" t="s">
        <v>44</v>
      </c>
      <c r="C192" s="7" t="s">
        <v>777</v>
      </c>
      <c r="D192" s="7" t="s">
        <v>291</v>
      </c>
      <c r="E192" s="7" t="s">
        <v>141</v>
      </c>
      <c r="F192" s="7" t="n">
        <v>27</v>
      </c>
      <c r="G192" s="7" t="n">
        <v>5.96</v>
      </c>
      <c r="H192" s="7" t="n">
        <v>5.83</v>
      </c>
      <c r="I192" s="7" t="n">
        <v>0</v>
      </c>
      <c r="J192" s="7" t="n">
        <v>0</v>
      </c>
      <c r="K192" s="7" t="n">
        <v>0</v>
      </c>
      <c r="L192" s="7" t="n">
        <v>0</v>
      </c>
      <c r="M192" s="7" t="n">
        <v>0</v>
      </c>
      <c r="N192" s="7" t="n">
        <v>0</v>
      </c>
      <c r="O192" s="7" t="n">
        <v>0</v>
      </c>
      <c r="P192" s="7" t="n">
        <v>7</v>
      </c>
      <c r="Q192" s="7" t="n">
        <v>0</v>
      </c>
      <c r="R192" s="7" t="n">
        <v>0</v>
      </c>
    </row>
    <row r="193" customFormat="false" ht="15" hidden="false" customHeight="true" outlineLevel="0" collapsed="false">
      <c r="A193" s="7" t="n">
        <v>7139</v>
      </c>
      <c r="B193" s="7" t="s">
        <v>44</v>
      </c>
      <c r="C193" s="7" t="s">
        <v>777</v>
      </c>
      <c r="D193" s="7" t="s">
        <v>812</v>
      </c>
      <c r="E193" s="7" t="s">
        <v>748</v>
      </c>
      <c r="F193" s="7" t="n">
        <v>37</v>
      </c>
      <c r="G193" s="7" t="n">
        <v>5.69</v>
      </c>
      <c r="H193" s="7" t="n">
        <v>5.72</v>
      </c>
      <c r="I193" s="7" t="n">
        <v>1</v>
      </c>
      <c r="J193" s="7" t="n">
        <v>0</v>
      </c>
      <c r="K193" s="7" t="n">
        <v>0</v>
      </c>
      <c r="L193" s="7" t="n">
        <v>0</v>
      </c>
      <c r="M193" s="7" t="n">
        <v>0</v>
      </c>
      <c r="N193" s="7" t="n">
        <v>0</v>
      </c>
      <c r="O193" s="7" t="n">
        <v>0</v>
      </c>
      <c r="P193" s="7" t="n">
        <v>4</v>
      </c>
      <c r="Q193" s="7" t="n">
        <v>0</v>
      </c>
      <c r="R193" s="7" t="n">
        <v>0</v>
      </c>
    </row>
    <row r="194" customFormat="false" ht="15" hidden="false" customHeight="true" outlineLevel="0" collapsed="false">
      <c r="A194" s="7" t="n">
        <v>4374</v>
      </c>
      <c r="B194" s="7" t="s">
        <v>44</v>
      </c>
      <c r="C194" s="7" t="s">
        <v>780</v>
      </c>
      <c r="D194" s="7" t="s">
        <v>293</v>
      </c>
      <c r="E194" s="7" t="s">
        <v>144</v>
      </c>
      <c r="F194" s="7" t="n">
        <v>34</v>
      </c>
      <c r="G194" s="7" t="n">
        <v>5.81</v>
      </c>
      <c r="H194" s="7" t="n">
        <v>5.74</v>
      </c>
      <c r="I194" s="7" t="n">
        <v>0</v>
      </c>
      <c r="J194" s="7" t="n">
        <v>0</v>
      </c>
      <c r="K194" s="7" t="n">
        <v>0</v>
      </c>
      <c r="L194" s="7" t="n">
        <v>0</v>
      </c>
      <c r="M194" s="7" t="n">
        <v>0</v>
      </c>
      <c r="N194" s="7" t="n">
        <v>0</v>
      </c>
      <c r="O194" s="7" t="n">
        <v>1</v>
      </c>
      <c r="P194" s="7" t="n">
        <v>7</v>
      </c>
      <c r="Q194" s="7" t="n">
        <v>0</v>
      </c>
      <c r="R194" s="7" t="n">
        <v>0</v>
      </c>
    </row>
    <row r="195" customFormat="false" ht="15" hidden="false" customHeight="true" outlineLevel="0" collapsed="false">
      <c r="A195" s="7" t="n">
        <v>5820</v>
      </c>
      <c r="B195" s="7" t="s">
        <v>44</v>
      </c>
      <c r="C195" s="7" t="s">
        <v>777</v>
      </c>
      <c r="D195" s="7" t="s">
        <v>297</v>
      </c>
      <c r="E195" s="7" t="s">
        <v>135</v>
      </c>
      <c r="F195" s="7" t="n">
        <v>25</v>
      </c>
      <c r="G195" s="7" t="n">
        <v>5.86</v>
      </c>
      <c r="H195" s="7" t="n">
        <v>5.84</v>
      </c>
      <c r="I195" s="7" t="n">
        <v>0</v>
      </c>
      <c r="J195" s="7" t="n">
        <v>0</v>
      </c>
      <c r="K195" s="7" t="n">
        <v>0</v>
      </c>
      <c r="L195" s="7" t="n">
        <v>0</v>
      </c>
      <c r="M195" s="7" t="n">
        <v>0</v>
      </c>
      <c r="N195" s="7" t="n">
        <v>0</v>
      </c>
      <c r="O195" s="7" t="n">
        <v>1</v>
      </c>
      <c r="P195" s="7" t="n">
        <v>3</v>
      </c>
      <c r="Q195" s="7" t="n">
        <v>0</v>
      </c>
      <c r="R195" s="7" t="n">
        <v>0</v>
      </c>
    </row>
    <row r="196" customFormat="false" ht="15" hidden="false" customHeight="true" outlineLevel="0" collapsed="false">
      <c r="A196" s="7" t="n">
        <v>5994</v>
      </c>
      <c r="B196" s="7" t="s">
        <v>44</v>
      </c>
      <c r="C196" s="7" t="s">
        <v>784</v>
      </c>
      <c r="D196" s="7" t="s">
        <v>336</v>
      </c>
      <c r="E196" s="7" t="s">
        <v>184</v>
      </c>
      <c r="F196" s="7" t="n">
        <v>16</v>
      </c>
      <c r="G196" s="7" t="n">
        <v>5.75</v>
      </c>
      <c r="H196" s="7" t="n">
        <v>5.72</v>
      </c>
      <c r="I196" s="7" t="n">
        <v>0</v>
      </c>
      <c r="J196" s="7" t="n">
        <v>0</v>
      </c>
      <c r="K196" s="7" t="n">
        <v>0</v>
      </c>
      <c r="L196" s="7" t="n">
        <v>0</v>
      </c>
      <c r="M196" s="7" t="n">
        <v>0</v>
      </c>
      <c r="N196" s="7" t="n">
        <v>0</v>
      </c>
      <c r="O196" s="7" t="n">
        <v>1</v>
      </c>
      <c r="P196" s="7" t="n">
        <v>4</v>
      </c>
      <c r="Q196" s="7" t="n">
        <v>0</v>
      </c>
      <c r="R196" s="7" t="n">
        <v>0</v>
      </c>
    </row>
    <row r="197" customFormat="false" ht="15" hidden="false" customHeight="true" outlineLevel="0" collapsed="false">
      <c r="A197" s="7" t="n">
        <v>697</v>
      </c>
      <c r="B197" s="7" t="s">
        <v>44</v>
      </c>
      <c r="C197" s="7" t="s">
        <v>776</v>
      </c>
      <c r="D197" s="7" t="s">
        <v>813</v>
      </c>
      <c r="E197" s="7" t="s">
        <v>748</v>
      </c>
      <c r="F197" s="7" t="n">
        <v>15</v>
      </c>
      <c r="G197" s="7" t="n">
        <v>6.03</v>
      </c>
      <c r="H197" s="7" t="n">
        <v>6.13</v>
      </c>
      <c r="I197" s="7" t="n">
        <v>1</v>
      </c>
      <c r="J197" s="7" t="n">
        <v>0</v>
      </c>
      <c r="K197" s="7" t="n">
        <v>0</v>
      </c>
      <c r="L197" s="7" t="n">
        <v>1</v>
      </c>
      <c r="M197" s="7" t="n">
        <v>1</v>
      </c>
      <c r="N197" s="7" t="n">
        <v>0</v>
      </c>
      <c r="O197" s="7" t="n">
        <v>0</v>
      </c>
      <c r="P197" s="7" t="n">
        <v>3</v>
      </c>
      <c r="Q197" s="7" t="n">
        <v>0</v>
      </c>
      <c r="R197" s="7" t="n">
        <v>0</v>
      </c>
    </row>
    <row r="198" customFormat="false" ht="15" hidden="false" customHeight="true" outlineLevel="0" collapsed="false">
      <c r="A198" s="7" t="n">
        <v>7018</v>
      </c>
      <c r="B198" s="7" t="s">
        <v>44</v>
      </c>
      <c r="C198" s="7" t="s">
        <v>777</v>
      </c>
      <c r="D198" s="7" t="s">
        <v>814</v>
      </c>
      <c r="E198" s="7" t="s">
        <v>745</v>
      </c>
      <c r="F198" s="7" t="n">
        <v>37</v>
      </c>
      <c r="G198" s="7" t="n">
        <v>5.68</v>
      </c>
      <c r="H198" s="7" t="n">
        <v>5.57</v>
      </c>
      <c r="I198" s="7" t="n">
        <v>0</v>
      </c>
      <c r="J198" s="7" t="n">
        <v>0</v>
      </c>
      <c r="K198" s="7" t="n">
        <v>0</v>
      </c>
      <c r="L198" s="7" t="n">
        <v>0</v>
      </c>
      <c r="M198" s="7" t="n">
        <v>0</v>
      </c>
      <c r="N198" s="7" t="n">
        <v>0</v>
      </c>
      <c r="O198" s="7" t="n">
        <v>0</v>
      </c>
      <c r="P198" s="7" t="n">
        <v>4</v>
      </c>
      <c r="Q198" s="7" t="n">
        <v>0</v>
      </c>
      <c r="R198" s="7" t="n">
        <v>1</v>
      </c>
    </row>
    <row r="199" customFormat="false" ht="15" hidden="false" customHeight="true" outlineLevel="0" collapsed="false">
      <c r="A199" s="7" t="n">
        <v>7235</v>
      </c>
      <c r="B199" s="7" t="s">
        <v>44</v>
      </c>
      <c r="C199" s="7" t="s">
        <v>777</v>
      </c>
      <c r="D199" s="7" t="s">
        <v>317</v>
      </c>
      <c r="E199" s="7" t="s">
        <v>141</v>
      </c>
      <c r="F199" s="7" t="n">
        <v>21</v>
      </c>
      <c r="G199" s="7" t="n">
        <v>5.79</v>
      </c>
      <c r="H199" s="7" t="n">
        <v>5.71</v>
      </c>
      <c r="I199" s="7" t="n">
        <v>1</v>
      </c>
      <c r="J199" s="7" t="n">
        <v>0</v>
      </c>
      <c r="K199" s="7" t="n">
        <v>0</v>
      </c>
      <c r="L199" s="7" t="n">
        <v>0</v>
      </c>
      <c r="M199" s="7" t="n">
        <v>0</v>
      </c>
      <c r="N199" s="7" t="n">
        <v>0</v>
      </c>
      <c r="O199" s="7" t="n">
        <v>0</v>
      </c>
      <c r="P199" s="7" t="n">
        <v>5</v>
      </c>
      <c r="Q199" s="7" t="n">
        <v>2</v>
      </c>
      <c r="R199" s="7" t="n">
        <v>0</v>
      </c>
    </row>
    <row r="200" customFormat="false" ht="15" hidden="false" customHeight="true" outlineLevel="0" collapsed="false">
      <c r="A200" s="7" t="n">
        <v>7274</v>
      </c>
      <c r="B200" s="7" t="s">
        <v>44</v>
      </c>
      <c r="C200" s="7" t="s">
        <v>777</v>
      </c>
      <c r="D200" s="7" t="s">
        <v>266</v>
      </c>
      <c r="E200" s="7" t="s">
        <v>129</v>
      </c>
      <c r="F200" s="7" t="n">
        <v>22</v>
      </c>
      <c r="G200" s="7" t="n">
        <v>5.77</v>
      </c>
      <c r="H200" s="7" t="n">
        <v>5.68</v>
      </c>
      <c r="I200" s="7" t="n">
        <v>0</v>
      </c>
      <c r="J200" s="7" t="n">
        <v>0</v>
      </c>
      <c r="K200" s="7" t="n">
        <v>0</v>
      </c>
      <c r="L200" s="7" t="n">
        <v>0</v>
      </c>
      <c r="M200" s="7" t="n">
        <v>0</v>
      </c>
      <c r="N200" s="7" t="n">
        <v>0</v>
      </c>
      <c r="O200" s="7" t="n">
        <v>1</v>
      </c>
      <c r="P200" s="7" t="n">
        <v>6</v>
      </c>
      <c r="Q200" s="7" t="n">
        <v>0</v>
      </c>
      <c r="R200" s="7" t="n">
        <v>0</v>
      </c>
    </row>
    <row r="201" customFormat="false" ht="15" hidden="false" customHeight="true" outlineLevel="0" collapsed="false">
      <c r="A201" s="7" t="n">
        <v>6916</v>
      </c>
      <c r="B201" s="7" t="s">
        <v>44</v>
      </c>
      <c r="C201" s="7" t="s">
        <v>786</v>
      </c>
      <c r="D201" s="7" t="s">
        <v>242</v>
      </c>
      <c r="E201" s="7" t="s">
        <v>117</v>
      </c>
      <c r="F201" s="7" t="n">
        <v>21</v>
      </c>
      <c r="G201" s="7" t="n">
        <v>5.79</v>
      </c>
      <c r="H201" s="7" t="n">
        <v>5.69</v>
      </c>
      <c r="I201" s="7" t="n">
        <v>0</v>
      </c>
      <c r="J201" s="7" t="n">
        <v>0</v>
      </c>
      <c r="K201" s="7" t="n">
        <v>0</v>
      </c>
      <c r="L201" s="7" t="n">
        <v>0</v>
      </c>
      <c r="M201" s="7" t="n">
        <v>0</v>
      </c>
      <c r="N201" s="7" t="n">
        <v>0</v>
      </c>
      <c r="O201" s="7" t="n">
        <v>0</v>
      </c>
      <c r="P201" s="7" t="n">
        <v>2</v>
      </c>
      <c r="Q201" s="7" t="n">
        <v>1</v>
      </c>
      <c r="R201" s="7" t="n">
        <v>0</v>
      </c>
    </row>
    <row r="202" customFormat="false" ht="15" hidden="false" customHeight="true" outlineLevel="0" collapsed="false">
      <c r="A202" s="7" t="n">
        <v>7068</v>
      </c>
      <c r="B202" s="7" t="s">
        <v>44</v>
      </c>
      <c r="C202" s="7" t="s">
        <v>777</v>
      </c>
      <c r="D202" s="7" t="s">
        <v>263</v>
      </c>
      <c r="E202" s="7" t="s">
        <v>127</v>
      </c>
      <c r="F202" s="7" t="n">
        <v>18</v>
      </c>
      <c r="G202" s="7" t="n">
        <v>5.94</v>
      </c>
      <c r="H202" s="7" t="n">
        <v>5.86</v>
      </c>
      <c r="I202" s="7" t="n">
        <v>0</v>
      </c>
      <c r="J202" s="7" t="n">
        <v>0</v>
      </c>
      <c r="K202" s="7" t="n">
        <v>0</v>
      </c>
      <c r="L202" s="7" t="n">
        <v>0</v>
      </c>
      <c r="M202" s="7" t="n">
        <v>0</v>
      </c>
      <c r="N202" s="7" t="n">
        <v>0</v>
      </c>
      <c r="O202" s="7" t="n">
        <v>0</v>
      </c>
      <c r="P202" s="7" t="n">
        <v>3</v>
      </c>
      <c r="Q202" s="7" t="n">
        <v>0</v>
      </c>
      <c r="R202" s="7" t="n">
        <v>0</v>
      </c>
    </row>
    <row r="203" customFormat="false" ht="15" hidden="false" customHeight="true" outlineLevel="0" collapsed="false">
      <c r="A203" s="7" t="n">
        <v>612</v>
      </c>
      <c r="B203" s="7" t="s">
        <v>44</v>
      </c>
      <c r="C203" s="7" t="s">
        <v>777</v>
      </c>
      <c r="D203" s="7" t="s">
        <v>815</v>
      </c>
      <c r="E203" s="7" t="s">
        <v>743</v>
      </c>
      <c r="F203" s="7" t="n">
        <v>27</v>
      </c>
      <c r="G203" s="7" t="n">
        <v>5.72</v>
      </c>
      <c r="H203" s="7" t="n">
        <v>5.69</v>
      </c>
      <c r="I203" s="7" t="n">
        <v>0</v>
      </c>
      <c r="J203" s="7" t="n">
        <v>0</v>
      </c>
      <c r="K203" s="7" t="n">
        <v>0</v>
      </c>
      <c r="L203" s="7" t="n">
        <v>0</v>
      </c>
      <c r="M203" s="7" t="n">
        <v>0</v>
      </c>
      <c r="N203" s="7" t="n">
        <v>0</v>
      </c>
      <c r="O203" s="7" t="n">
        <v>1</v>
      </c>
      <c r="P203" s="7" t="n">
        <v>4</v>
      </c>
      <c r="Q203" s="7" t="n">
        <v>0</v>
      </c>
      <c r="R203" s="7" t="n">
        <v>0</v>
      </c>
    </row>
    <row r="204" customFormat="false" ht="15" hidden="false" customHeight="true" outlineLevel="0" collapsed="false">
      <c r="A204" s="7" t="n">
        <v>7130</v>
      </c>
      <c r="B204" s="7" t="s">
        <v>44</v>
      </c>
      <c r="C204" s="7" t="s">
        <v>777</v>
      </c>
      <c r="D204" s="7" t="s">
        <v>816</v>
      </c>
      <c r="E204" s="7" t="s">
        <v>743</v>
      </c>
      <c r="F204" s="7" t="n">
        <v>11</v>
      </c>
      <c r="G204" s="7" t="n">
        <v>5.77</v>
      </c>
      <c r="H204" s="7" t="n">
        <v>6.05</v>
      </c>
      <c r="I204" s="7" t="n">
        <v>1</v>
      </c>
      <c r="J204" s="7" t="n">
        <v>0</v>
      </c>
      <c r="K204" s="7" t="n">
        <v>0</v>
      </c>
      <c r="L204" s="7" t="n">
        <v>0</v>
      </c>
      <c r="M204" s="7" t="n">
        <v>0</v>
      </c>
      <c r="N204" s="7" t="n">
        <v>0</v>
      </c>
      <c r="O204" s="7" t="n">
        <v>0</v>
      </c>
      <c r="P204" s="7" t="n">
        <v>0</v>
      </c>
      <c r="Q204" s="7" t="n">
        <v>0</v>
      </c>
      <c r="R204" s="7" t="n">
        <v>0</v>
      </c>
    </row>
    <row r="205" customFormat="false" ht="15" hidden="false" customHeight="true" outlineLevel="0" collapsed="false">
      <c r="A205" s="7" t="n">
        <v>770</v>
      </c>
      <c r="B205" s="7" t="s">
        <v>44</v>
      </c>
      <c r="C205" s="7" t="s">
        <v>779</v>
      </c>
      <c r="D205" s="7" t="s">
        <v>817</v>
      </c>
      <c r="E205" s="7" t="s">
        <v>743</v>
      </c>
      <c r="F205" s="7" t="n">
        <v>31</v>
      </c>
      <c r="G205" s="7" t="n">
        <v>5.68</v>
      </c>
      <c r="H205" s="7" t="n">
        <v>5.55</v>
      </c>
      <c r="I205" s="7" t="n">
        <v>0</v>
      </c>
      <c r="J205" s="7" t="n">
        <v>0</v>
      </c>
      <c r="K205" s="7" t="n">
        <v>0</v>
      </c>
      <c r="L205" s="7" t="n">
        <v>0</v>
      </c>
      <c r="M205" s="7" t="n">
        <v>0</v>
      </c>
      <c r="N205" s="7" t="n">
        <v>0</v>
      </c>
      <c r="O205" s="7" t="n">
        <v>1</v>
      </c>
      <c r="P205" s="7" t="n">
        <v>8</v>
      </c>
      <c r="Q205" s="7" t="n">
        <v>1</v>
      </c>
      <c r="R205" s="7" t="n">
        <v>0</v>
      </c>
    </row>
    <row r="206" customFormat="false" ht="15" hidden="false" customHeight="true" outlineLevel="0" collapsed="false">
      <c r="A206" s="7" t="n">
        <v>6495</v>
      </c>
      <c r="B206" s="7" t="s">
        <v>44</v>
      </c>
      <c r="C206" s="7" t="s">
        <v>777</v>
      </c>
      <c r="D206" s="7" t="s">
        <v>259</v>
      </c>
      <c r="E206" s="7" t="s">
        <v>123</v>
      </c>
      <c r="F206" s="7" t="n">
        <v>24</v>
      </c>
      <c r="G206" s="7" t="n">
        <v>5.75</v>
      </c>
      <c r="H206" s="7" t="n">
        <v>5.75</v>
      </c>
      <c r="I206" s="7" t="n">
        <v>1</v>
      </c>
      <c r="J206" s="7" t="n">
        <v>0</v>
      </c>
      <c r="K206" s="7" t="n">
        <v>0</v>
      </c>
      <c r="L206" s="7" t="n">
        <v>0</v>
      </c>
      <c r="M206" s="7" t="n">
        <v>0</v>
      </c>
      <c r="N206" s="7" t="n">
        <v>0</v>
      </c>
      <c r="O206" s="7" t="n">
        <v>0</v>
      </c>
      <c r="P206" s="7" t="n">
        <v>2</v>
      </c>
      <c r="Q206" s="7" t="n">
        <v>0</v>
      </c>
      <c r="R206" s="7" t="n">
        <v>1</v>
      </c>
    </row>
    <row r="207" customFormat="false" ht="15" hidden="false" customHeight="true" outlineLevel="0" collapsed="false">
      <c r="A207" s="7" t="n">
        <v>6055</v>
      </c>
      <c r="B207" s="7" t="s">
        <v>44</v>
      </c>
      <c r="C207" s="7" t="s">
        <v>777</v>
      </c>
      <c r="D207" s="7" t="s">
        <v>818</v>
      </c>
      <c r="E207" s="7" t="s">
        <v>121</v>
      </c>
      <c r="F207" s="7" t="n">
        <v>0</v>
      </c>
      <c r="G207" s="7" t="n">
        <v>0</v>
      </c>
      <c r="H207" s="7" t="n">
        <v>0</v>
      </c>
      <c r="I207" s="7" t="n">
        <v>0</v>
      </c>
      <c r="J207" s="7" t="n">
        <v>0</v>
      </c>
      <c r="K207" s="7" t="n">
        <v>0</v>
      </c>
      <c r="L207" s="7" t="n">
        <v>0</v>
      </c>
      <c r="M207" s="7" t="n">
        <v>0</v>
      </c>
      <c r="N207" s="7" t="n">
        <v>0</v>
      </c>
      <c r="O207" s="7" t="n">
        <v>0</v>
      </c>
      <c r="P207" s="7" t="n">
        <v>0</v>
      </c>
      <c r="Q207" s="7" t="n">
        <v>0</v>
      </c>
      <c r="R207" s="7" t="n">
        <v>0</v>
      </c>
    </row>
    <row r="208" customFormat="false" ht="15" hidden="false" customHeight="true" outlineLevel="0" collapsed="false">
      <c r="A208" s="7" t="n">
        <v>256</v>
      </c>
      <c r="B208" s="7" t="s">
        <v>44</v>
      </c>
      <c r="C208" s="7" t="s">
        <v>784</v>
      </c>
      <c r="D208" s="7" t="s">
        <v>819</v>
      </c>
      <c r="E208" s="7" t="s">
        <v>125</v>
      </c>
      <c r="F208" s="7" t="n">
        <v>21</v>
      </c>
      <c r="G208" s="7" t="n">
        <v>5.86</v>
      </c>
      <c r="H208" s="7" t="n">
        <v>5.62</v>
      </c>
      <c r="I208" s="7" t="n">
        <v>0</v>
      </c>
      <c r="J208" s="7" t="n">
        <v>0</v>
      </c>
      <c r="K208" s="7" t="n">
        <v>0</v>
      </c>
      <c r="L208" s="7" t="n">
        <v>0</v>
      </c>
      <c r="M208" s="7" t="n">
        <v>0</v>
      </c>
      <c r="N208" s="7" t="n">
        <v>0</v>
      </c>
      <c r="O208" s="7" t="n">
        <v>0</v>
      </c>
      <c r="P208" s="7" t="n">
        <v>8</v>
      </c>
      <c r="Q208" s="7" t="n">
        <v>1</v>
      </c>
      <c r="R208" s="7" t="n">
        <v>0</v>
      </c>
    </row>
    <row r="209" customFormat="false" ht="15" hidden="false" customHeight="true" outlineLevel="0" collapsed="false">
      <c r="A209" s="7" t="n">
        <v>5481</v>
      </c>
      <c r="B209" s="7" t="s">
        <v>44</v>
      </c>
      <c r="C209" s="7" t="s">
        <v>795</v>
      </c>
      <c r="D209" s="7" t="s">
        <v>357</v>
      </c>
      <c r="E209" s="7" t="s">
        <v>125</v>
      </c>
      <c r="F209" s="7" t="n">
        <v>9</v>
      </c>
      <c r="G209" s="7" t="n">
        <v>5.94</v>
      </c>
      <c r="H209" s="7" t="n">
        <v>5.94</v>
      </c>
      <c r="I209" s="7" t="n">
        <v>0</v>
      </c>
      <c r="J209" s="7" t="n">
        <v>0</v>
      </c>
      <c r="K209" s="7" t="n">
        <v>0</v>
      </c>
      <c r="L209" s="7" t="n">
        <v>0</v>
      </c>
      <c r="M209" s="7" t="n">
        <v>0</v>
      </c>
      <c r="N209" s="7" t="n">
        <v>0</v>
      </c>
      <c r="O209" s="7" t="n">
        <v>1</v>
      </c>
      <c r="P209" s="7" t="n">
        <v>0</v>
      </c>
      <c r="Q209" s="7" t="n">
        <v>1</v>
      </c>
      <c r="R209" s="7" t="n">
        <v>0</v>
      </c>
    </row>
    <row r="210" customFormat="false" ht="15" hidden="false" customHeight="true" outlineLevel="0" collapsed="false">
      <c r="A210" s="7" t="n">
        <v>7020</v>
      </c>
      <c r="B210" s="7" t="s">
        <v>44</v>
      </c>
      <c r="C210" s="7" t="s">
        <v>776</v>
      </c>
      <c r="D210" s="7" t="s">
        <v>820</v>
      </c>
      <c r="E210" s="7" t="s">
        <v>113</v>
      </c>
      <c r="F210" s="7" t="n">
        <v>0</v>
      </c>
      <c r="G210" s="7" t="n">
        <v>0</v>
      </c>
      <c r="H210" s="7" t="n">
        <v>0</v>
      </c>
      <c r="I210" s="7" t="n">
        <v>0</v>
      </c>
      <c r="J210" s="7" t="n">
        <v>0</v>
      </c>
      <c r="K210" s="7" t="n">
        <v>0</v>
      </c>
      <c r="L210" s="7" t="n">
        <v>0</v>
      </c>
      <c r="M210" s="7" t="n">
        <v>0</v>
      </c>
      <c r="N210" s="7" t="n">
        <v>0</v>
      </c>
      <c r="O210" s="7" t="n">
        <v>0</v>
      </c>
      <c r="P210" s="7" t="n">
        <v>0</v>
      </c>
      <c r="Q210" s="7" t="n">
        <v>0</v>
      </c>
      <c r="R210" s="7" t="n">
        <v>0</v>
      </c>
    </row>
    <row r="211" customFormat="false" ht="15" hidden="false" customHeight="true" outlineLevel="0" collapsed="false">
      <c r="A211" s="7" t="n">
        <v>5851</v>
      </c>
      <c r="B211" s="7" t="s">
        <v>44</v>
      </c>
      <c r="C211" s="7" t="s">
        <v>779</v>
      </c>
      <c r="D211" s="7" t="s">
        <v>294</v>
      </c>
      <c r="E211" s="7" t="s">
        <v>144</v>
      </c>
      <c r="F211" s="7" t="n">
        <v>27</v>
      </c>
      <c r="G211" s="7" t="n">
        <v>5.85</v>
      </c>
      <c r="H211" s="7" t="n">
        <v>5.76</v>
      </c>
      <c r="I211" s="7" t="n">
        <v>0</v>
      </c>
      <c r="J211" s="7" t="n">
        <v>0</v>
      </c>
      <c r="K211" s="7" t="n">
        <v>0</v>
      </c>
      <c r="L211" s="7" t="n">
        <v>0</v>
      </c>
      <c r="M211" s="7" t="n">
        <v>0</v>
      </c>
      <c r="N211" s="7" t="n">
        <v>0</v>
      </c>
      <c r="O211" s="7" t="n">
        <v>0</v>
      </c>
      <c r="P211" s="7" t="n">
        <v>5</v>
      </c>
      <c r="Q211" s="7" t="n">
        <v>0</v>
      </c>
      <c r="R211" s="7" t="n">
        <v>0</v>
      </c>
    </row>
    <row r="212" customFormat="false" ht="15" hidden="false" customHeight="true" outlineLevel="0" collapsed="false">
      <c r="A212" s="7" t="n">
        <v>4385</v>
      </c>
      <c r="B212" s="7" t="s">
        <v>44</v>
      </c>
      <c r="C212" s="7" t="s">
        <v>785</v>
      </c>
      <c r="D212" s="7" t="s">
        <v>821</v>
      </c>
      <c r="E212" s="7" t="s">
        <v>184</v>
      </c>
      <c r="F212" s="7" t="n">
        <v>30</v>
      </c>
      <c r="G212" s="7" t="n">
        <v>5.7</v>
      </c>
      <c r="H212" s="7" t="n">
        <v>5.7</v>
      </c>
      <c r="I212" s="7" t="n">
        <v>0</v>
      </c>
      <c r="J212" s="7" t="n">
        <v>0</v>
      </c>
      <c r="K212" s="7" t="n">
        <v>0</v>
      </c>
      <c r="L212" s="7" t="n">
        <v>0</v>
      </c>
      <c r="M212" s="7" t="n">
        <v>0</v>
      </c>
      <c r="N212" s="7" t="n">
        <v>0</v>
      </c>
      <c r="O212" s="7" t="n">
        <v>2</v>
      </c>
      <c r="P212" s="7" t="n">
        <v>4</v>
      </c>
      <c r="Q212" s="7" t="n">
        <v>0</v>
      </c>
      <c r="R212" s="7" t="n">
        <v>0</v>
      </c>
    </row>
    <row r="213" customFormat="false" ht="15" hidden="false" customHeight="true" outlineLevel="0" collapsed="false">
      <c r="A213" s="7" t="n">
        <v>6894</v>
      </c>
      <c r="B213" s="7" t="s">
        <v>44</v>
      </c>
      <c r="C213" s="7" t="s">
        <v>777</v>
      </c>
      <c r="D213" s="7" t="s">
        <v>822</v>
      </c>
      <c r="E213" s="7" t="s">
        <v>745</v>
      </c>
      <c r="F213" s="7" t="n">
        <v>17</v>
      </c>
      <c r="G213" s="7" t="n">
        <v>5.85</v>
      </c>
      <c r="H213" s="7" t="n">
        <v>5.59</v>
      </c>
      <c r="I213" s="7" t="n">
        <v>0</v>
      </c>
      <c r="J213" s="7" t="n">
        <v>0</v>
      </c>
      <c r="K213" s="7" t="n">
        <v>0</v>
      </c>
      <c r="L213" s="7" t="n">
        <v>0</v>
      </c>
      <c r="M213" s="7" t="n">
        <v>0</v>
      </c>
      <c r="N213" s="7" t="n">
        <v>0</v>
      </c>
      <c r="O213" s="7" t="n">
        <v>0</v>
      </c>
      <c r="P213" s="7" t="n">
        <v>5</v>
      </c>
      <c r="Q213" s="7" t="n">
        <v>0</v>
      </c>
      <c r="R213" s="7" t="n">
        <v>1</v>
      </c>
    </row>
    <row r="214" customFormat="false" ht="15" hidden="false" customHeight="true" outlineLevel="0" collapsed="false">
      <c r="A214" s="7" t="n">
        <v>6992</v>
      </c>
      <c r="B214" s="7" t="s">
        <v>44</v>
      </c>
      <c r="C214" s="7" t="s">
        <v>781</v>
      </c>
      <c r="D214" s="7" t="s">
        <v>823</v>
      </c>
      <c r="E214" s="7" t="s">
        <v>745</v>
      </c>
      <c r="F214" s="7" t="n">
        <v>10</v>
      </c>
      <c r="G214" s="7" t="n">
        <v>5.8</v>
      </c>
      <c r="H214" s="7" t="n">
        <v>5.7</v>
      </c>
      <c r="I214" s="7" t="n">
        <v>0</v>
      </c>
      <c r="J214" s="7" t="n">
        <v>0</v>
      </c>
      <c r="K214" s="7" t="n">
        <v>0</v>
      </c>
      <c r="L214" s="7" t="n">
        <v>0</v>
      </c>
      <c r="M214" s="7" t="n">
        <v>0</v>
      </c>
      <c r="N214" s="7" t="n">
        <v>0</v>
      </c>
      <c r="O214" s="7" t="n">
        <v>0</v>
      </c>
      <c r="P214" s="7" t="n">
        <v>2</v>
      </c>
      <c r="Q214" s="7" t="n">
        <v>0</v>
      </c>
      <c r="R214" s="7" t="n">
        <v>0</v>
      </c>
    </row>
    <row r="215" customFormat="false" ht="15" hidden="false" customHeight="true" outlineLevel="0" collapsed="false">
      <c r="A215" s="7" t="n">
        <v>7212</v>
      </c>
      <c r="B215" s="7" t="s">
        <v>44</v>
      </c>
      <c r="C215" s="7" t="s">
        <v>784</v>
      </c>
      <c r="D215" s="7" t="s">
        <v>245</v>
      </c>
      <c r="E215" s="7" t="s">
        <v>127</v>
      </c>
      <c r="F215" s="7" t="n">
        <v>25</v>
      </c>
      <c r="G215" s="7" t="n">
        <v>5.84</v>
      </c>
      <c r="H215" s="7" t="n">
        <v>5.8</v>
      </c>
      <c r="I215" s="7" t="n">
        <v>0</v>
      </c>
      <c r="J215" s="7" t="n">
        <v>0</v>
      </c>
      <c r="K215" s="7" t="n">
        <v>0</v>
      </c>
      <c r="L215" s="7" t="n">
        <v>0</v>
      </c>
      <c r="M215" s="7" t="n">
        <v>0</v>
      </c>
      <c r="N215" s="7" t="n">
        <v>0</v>
      </c>
      <c r="O215" s="7" t="n">
        <v>0</v>
      </c>
      <c r="P215" s="7" t="n">
        <v>0</v>
      </c>
      <c r="Q215" s="7" t="n">
        <v>1</v>
      </c>
      <c r="R215" s="7" t="n">
        <v>0</v>
      </c>
    </row>
    <row r="216" customFormat="false" ht="15" hidden="false" customHeight="true" outlineLevel="0" collapsed="false">
      <c r="A216" s="7" t="n">
        <v>7255</v>
      </c>
      <c r="B216" s="7" t="s">
        <v>44</v>
      </c>
      <c r="C216" s="7" t="s">
        <v>795</v>
      </c>
      <c r="D216" s="7" t="s">
        <v>318</v>
      </c>
      <c r="E216" s="7" t="s">
        <v>141</v>
      </c>
      <c r="F216" s="7" t="n">
        <v>28</v>
      </c>
      <c r="G216" s="7" t="n">
        <v>5.75</v>
      </c>
      <c r="H216" s="7" t="n">
        <v>5.7</v>
      </c>
      <c r="I216" s="7" t="n">
        <v>0</v>
      </c>
      <c r="J216" s="7" t="n">
        <v>0</v>
      </c>
      <c r="K216" s="7" t="n">
        <v>0</v>
      </c>
      <c r="L216" s="7" t="n">
        <v>0</v>
      </c>
      <c r="M216" s="7" t="n">
        <v>0</v>
      </c>
      <c r="N216" s="7" t="n">
        <v>0</v>
      </c>
      <c r="O216" s="7" t="n">
        <v>2</v>
      </c>
      <c r="P216" s="7" t="n">
        <v>5</v>
      </c>
      <c r="Q216" s="7" t="n">
        <v>1</v>
      </c>
      <c r="R216" s="7" t="n">
        <v>0</v>
      </c>
    </row>
    <row r="217" customFormat="false" ht="15" hidden="false" customHeight="true" outlineLevel="0" collapsed="false">
      <c r="A217" s="7" t="n">
        <v>7268</v>
      </c>
      <c r="B217" s="7" t="s">
        <v>44</v>
      </c>
      <c r="C217" s="7" t="s">
        <v>784</v>
      </c>
      <c r="D217" s="7" t="s">
        <v>304</v>
      </c>
      <c r="E217" s="7" t="s">
        <v>129</v>
      </c>
      <c r="F217" s="7" t="n">
        <v>16</v>
      </c>
      <c r="G217" s="7" t="n">
        <v>5.62</v>
      </c>
      <c r="H217" s="7" t="n">
        <v>5.72</v>
      </c>
      <c r="I217" s="7" t="n">
        <v>1</v>
      </c>
      <c r="J217" s="7" t="n">
        <v>0</v>
      </c>
      <c r="K217" s="7" t="n">
        <v>0</v>
      </c>
      <c r="L217" s="7" t="n">
        <v>0</v>
      </c>
      <c r="M217" s="7" t="n">
        <v>0</v>
      </c>
      <c r="N217" s="7" t="n">
        <v>0</v>
      </c>
      <c r="O217" s="7" t="n">
        <v>0</v>
      </c>
      <c r="P217" s="7" t="n">
        <v>3</v>
      </c>
      <c r="Q217" s="7" t="n">
        <v>0</v>
      </c>
      <c r="R217" s="7" t="n">
        <v>0</v>
      </c>
    </row>
    <row r="218" customFormat="false" ht="15" hidden="false" customHeight="true" outlineLevel="0" collapsed="false">
      <c r="A218" s="7" t="n">
        <v>6665</v>
      </c>
      <c r="B218" s="7" t="s">
        <v>44</v>
      </c>
      <c r="C218" s="7" t="s">
        <v>795</v>
      </c>
      <c r="D218" s="7" t="s">
        <v>824</v>
      </c>
      <c r="E218" s="7" t="s">
        <v>144</v>
      </c>
      <c r="F218" s="7" t="n">
        <v>18</v>
      </c>
      <c r="G218" s="7" t="n">
        <v>5.69</v>
      </c>
      <c r="H218" s="7" t="n">
        <v>5.64</v>
      </c>
      <c r="I218" s="7" t="n">
        <v>0</v>
      </c>
      <c r="J218" s="7" t="n">
        <v>0</v>
      </c>
      <c r="K218" s="7" t="n">
        <v>0</v>
      </c>
      <c r="L218" s="7" t="n">
        <v>0</v>
      </c>
      <c r="M218" s="7" t="n">
        <v>0</v>
      </c>
      <c r="N218" s="7" t="n">
        <v>0</v>
      </c>
      <c r="O218" s="7" t="n">
        <v>0</v>
      </c>
      <c r="P218" s="7" t="n">
        <v>2</v>
      </c>
      <c r="Q218" s="7" t="n">
        <v>0</v>
      </c>
      <c r="R218" s="7" t="n">
        <v>0</v>
      </c>
    </row>
    <row r="219" customFormat="false" ht="15" hidden="false" customHeight="true" outlineLevel="0" collapsed="false">
      <c r="A219" s="7" t="n">
        <v>4982</v>
      </c>
      <c r="B219" s="7" t="s">
        <v>44</v>
      </c>
      <c r="C219" s="7" t="s">
        <v>777</v>
      </c>
      <c r="D219" s="7" t="s">
        <v>825</v>
      </c>
      <c r="E219" s="7" t="s">
        <v>127</v>
      </c>
      <c r="F219" s="7" t="n">
        <v>0</v>
      </c>
      <c r="G219" s="7" t="n">
        <v>0</v>
      </c>
      <c r="H219" s="7" t="n">
        <v>0</v>
      </c>
      <c r="I219" s="7" t="n">
        <v>0</v>
      </c>
      <c r="J219" s="7" t="n">
        <v>0</v>
      </c>
      <c r="K219" s="7" t="n">
        <v>0</v>
      </c>
      <c r="L219" s="7" t="n">
        <v>0</v>
      </c>
      <c r="M219" s="7" t="n">
        <v>0</v>
      </c>
      <c r="N219" s="7" t="n">
        <v>0</v>
      </c>
      <c r="O219" s="7" t="n">
        <v>0</v>
      </c>
      <c r="P219" s="7" t="n">
        <v>0</v>
      </c>
      <c r="Q219" s="7" t="n">
        <v>0</v>
      </c>
      <c r="R219" s="7" t="n">
        <v>0</v>
      </c>
    </row>
    <row r="220" customFormat="false" ht="15" hidden="false" customHeight="true" outlineLevel="0" collapsed="false">
      <c r="A220" s="7" t="n">
        <v>487</v>
      </c>
      <c r="B220" s="7" t="s">
        <v>44</v>
      </c>
      <c r="C220" s="7" t="s">
        <v>785</v>
      </c>
      <c r="D220" s="7" t="s">
        <v>339</v>
      </c>
      <c r="E220" s="7" t="s">
        <v>127</v>
      </c>
      <c r="F220" s="7" t="n">
        <v>10</v>
      </c>
      <c r="G220" s="7" t="n">
        <v>6.05</v>
      </c>
      <c r="H220" s="7" t="n">
        <v>5.95</v>
      </c>
      <c r="I220" s="7" t="n">
        <v>0</v>
      </c>
      <c r="J220" s="7" t="n">
        <v>0</v>
      </c>
      <c r="K220" s="7" t="n">
        <v>0</v>
      </c>
      <c r="L220" s="7" t="n">
        <v>0</v>
      </c>
      <c r="M220" s="7" t="n">
        <v>0</v>
      </c>
      <c r="N220" s="7" t="n">
        <v>0</v>
      </c>
      <c r="O220" s="7" t="n">
        <v>0</v>
      </c>
      <c r="P220" s="7" t="n">
        <v>2</v>
      </c>
      <c r="Q220" s="7" t="n">
        <v>0</v>
      </c>
      <c r="R220" s="7" t="n">
        <v>0</v>
      </c>
    </row>
    <row r="221" customFormat="false" ht="15" hidden="false" customHeight="true" outlineLevel="0" collapsed="false">
      <c r="A221" s="7" t="n">
        <v>6231</v>
      </c>
      <c r="B221" s="7" t="s">
        <v>44</v>
      </c>
      <c r="C221" s="7" t="s">
        <v>779</v>
      </c>
      <c r="D221" s="7" t="s">
        <v>826</v>
      </c>
      <c r="E221" s="7" t="s">
        <v>743</v>
      </c>
      <c r="F221" s="7" t="n">
        <v>0</v>
      </c>
      <c r="G221" s="7" t="n">
        <v>0</v>
      </c>
      <c r="H221" s="7" t="n">
        <v>0</v>
      </c>
      <c r="I221" s="7" t="n">
        <v>0</v>
      </c>
      <c r="J221" s="7" t="n">
        <v>0</v>
      </c>
      <c r="K221" s="7" t="n">
        <v>0</v>
      </c>
      <c r="L221" s="7" t="n">
        <v>0</v>
      </c>
      <c r="M221" s="7" t="n">
        <v>0</v>
      </c>
      <c r="N221" s="7" t="n">
        <v>0</v>
      </c>
      <c r="O221" s="7" t="n">
        <v>0</v>
      </c>
      <c r="P221" s="7" t="n">
        <v>0</v>
      </c>
      <c r="Q221" s="7" t="n">
        <v>0</v>
      </c>
      <c r="R221" s="7" t="n">
        <v>0</v>
      </c>
    </row>
    <row r="222" customFormat="false" ht="15" hidden="false" customHeight="true" outlineLevel="0" collapsed="false">
      <c r="A222" s="7" t="n">
        <v>6245</v>
      </c>
      <c r="B222" s="7" t="s">
        <v>44</v>
      </c>
      <c r="C222" s="7" t="s">
        <v>780</v>
      </c>
      <c r="D222" s="7" t="s">
        <v>347</v>
      </c>
      <c r="E222" s="7" t="s">
        <v>137</v>
      </c>
      <c r="F222" s="7" t="n">
        <v>0</v>
      </c>
      <c r="G222" s="7" t="n">
        <v>0</v>
      </c>
      <c r="H222" s="7" t="n">
        <v>0</v>
      </c>
      <c r="I222" s="7" t="n">
        <v>0</v>
      </c>
      <c r="J222" s="7" t="n">
        <v>0</v>
      </c>
      <c r="K222" s="7" t="n">
        <v>0</v>
      </c>
      <c r="L222" s="7" t="n">
        <v>0</v>
      </c>
      <c r="M222" s="7" t="n">
        <v>0</v>
      </c>
      <c r="N222" s="7" t="n">
        <v>0</v>
      </c>
      <c r="O222" s="7" t="n">
        <v>0</v>
      </c>
      <c r="P222" s="7" t="n">
        <v>0</v>
      </c>
      <c r="Q222" s="7" t="n">
        <v>0</v>
      </c>
      <c r="R222" s="7" t="n">
        <v>0</v>
      </c>
    </row>
    <row r="223" customFormat="false" ht="15" hidden="false" customHeight="true" outlineLevel="0" collapsed="false">
      <c r="A223" s="7" t="n">
        <v>791</v>
      </c>
      <c r="B223" s="7" t="s">
        <v>44</v>
      </c>
      <c r="C223" s="7" t="s">
        <v>795</v>
      </c>
      <c r="D223" s="7" t="s">
        <v>328</v>
      </c>
      <c r="E223" s="7" t="s">
        <v>137</v>
      </c>
      <c r="F223" s="7" t="n">
        <v>13</v>
      </c>
      <c r="G223" s="7" t="n">
        <v>5.81</v>
      </c>
      <c r="H223" s="7" t="n">
        <v>5.65</v>
      </c>
      <c r="I223" s="7" t="n">
        <v>0</v>
      </c>
      <c r="J223" s="7" t="n">
        <v>0</v>
      </c>
      <c r="K223" s="7" t="n">
        <v>0</v>
      </c>
      <c r="L223" s="7" t="n">
        <v>0</v>
      </c>
      <c r="M223" s="7" t="n">
        <v>0</v>
      </c>
      <c r="N223" s="7" t="n">
        <v>0</v>
      </c>
      <c r="O223" s="7" t="n">
        <v>0</v>
      </c>
      <c r="P223" s="7" t="n">
        <v>0</v>
      </c>
      <c r="Q223" s="7" t="n">
        <v>0</v>
      </c>
      <c r="R223" s="7" t="n">
        <v>1</v>
      </c>
    </row>
    <row r="224" customFormat="false" ht="15" hidden="false" customHeight="true" outlineLevel="0" collapsed="false">
      <c r="A224" s="7" t="n">
        <v>322</v>
      </c>
      <c r="B224" s="7" t="s">
        <v>44</v>
      </c>
      <c r="C224" s="7" t="s">
        <v>777</v>
      </c>
      <c r="D224" s="7" t="s">
        <v>827</v>
      </c>
      <c r="E224" s="7" t="s">
        <v>115</v>
      </c>
      <c r="F224" s="7" t="n">
        <v>8</v>
      </c>
      <c r="G224" s="7" t="n">
        <v>6.12</v>
      </c>
      <c r="H224" s="7" t="n">
        <v>6.06</v>
      </c>
      <c r="I224" s="7" t="n">
        <v>0</v>
      </c>
      <c r="J224" s="7" t="n">
        <v>0</v>
      </c>
      <c r="K224" s="7" t="n">
        <v>0</v>
      </c>
      <c r="L224" s="7" t="n">
        <v>0</v>
      </c>
      <c r="M224" s="7" t="n">
        <v>0</v>
      </c>
      <c r="N224" s="7" t="n">
        <v>0</v>
      </c>
      <c r="O224" s="7" t="n">
        <v>0</v>
      </c>
      <c r="P224" s="7" t="n">
        <v>1</v>
      </c>
      <c r="Q224" s="7" t="n">
        <v>0</v>
      </c>
      <c r="R224" s="7" t="n">
        <v>0</v>
      </c>
    </row>
    <row r="225" customFormat="false" ht="15" hidden="false" customHeight="true" outlineLevel="0" collapsed="false">
      <c r="A225" s="7" t="n">
        <v>2525</v>
      </c>
      <c r="B225" s="7" t="s">
        <v>44</v>
      </c>
      <c r="C225" s="7" t="s">
        <v>781</v>
      </c>
      <c r="D225" s="7" t="s">
        <v>828</v>
      </c>
      <c r="E225" s="7" t="s">
        <v>115</v>
      </c>
      <c r="F225" s="7" t="n">
        <v>5</v>
      </c>
      <c r="G225" s="7" t="n">
        <v>6</v>
      </c>
      <c r="H225" s="7" t="n">
        <v>6</v>
      </c>
      <c r="I225" s="7" t="n">
        <v>0</v>
      </c>
      <c r="J225" s="7" t="n">
        <v>0</v>
      </c>
      <c r="K225" s="7" t="n">
        <v>0</v>
      </c>
      <c r="L225" s="7" t="n">
        <v>0</v>
      </c>
      <c r="M225" s="7" t="n">
        <v>0</v>
      </c>
      <c r="N225" s="7" t="n">
        <v>0</v>
      </c>
      <c r="O225" s="7" t="n">
        <v>0</v>
      </c>
      <c r="P225" s="7" t="n">
        <v>0</v>
      </c>
      <c r="Q225" s="7" t="n">
        <v>0</v>
      </c>
      <c r="R225" s="7" t="n">
        <v>0</v>
      </c>
    </row>
    <row r="226" customFormat="false" ht="15" hidden="false" customHeight="true" outlineLevel="0" collapsed="false">
      <c r="A226" s="7" t="n">
        <v>6802</v>
      </c>
      <c r="B226" s="7" t="s">
        <v>44</v>
      </c>
      <c r="C226" s="7" t="s">
        <v>781</v>
      </c>
      <c r="D226" s="7" t="s">
        <v>829</v>
      </c>
      <c r="E226" s="7" t="s">
        <v>131</v>
      </c>
      <c r="F226" s="7" t="n">
        <v>0</v>
      </c>
      <c r="G226" s="7" t="n">
        <v>0</v>
      </c>
      <c r="H226" s="7" t="n">
        <v>0</v>
      </c>
      <c r="I226" s="7" t="n">
        <v>0</v>
      </c>
      <c r="J226" s="7" t="n">
        <v>0</v>
      </c>
      <c r="K226" s="7" t="n">
        <v>0</v>
      </c>
      <c r="L226" s="7" t="n">
        <v>0</v>
      </c>
      <c r="M226" s="7" t="n">
        <v>0</v>
      </c>
      <c r="N226" s="7" t="n">
        <v>0</v>
      </c>
      <c r="O226" s="7" t="n">
        <v>0</v>
      </c>
      <c r="P226" s="7" t="n">
        <v>0</v>
      </c>
      <c r="Q226" s="7" t="n">
        <v>0</v>
      </c>
      <c r="R226" s="7" t="n">
        <v>0</v>
      </c>
    </row>
    <row r="227" customFormat="false" ht="15" hidden="false" customHeight="true" outlineLevel="0" collapsed="false">
      <c r="A227" s="7" t="n">
        <v>327</v>
      </c>
      <c r="B227" s="7" t="s">
        <v>44</v>
      </c>
      <c r="C227" s="7" t="s">
        <v>780</v>
      </c>
      <c r="D227" s="7" t="s">
        <v>351</v>
      </c>
      <c r="E227" s="7" t="s">
        <v>133</v>
      </c>
      <c r="F227" s="7" t="n">
        <v>10</v>
      </c>
      <c r="G227" s="7" t="n">
        <v>5.85</v>
      </c>
      <c r="H227" s="7" t="n">
        <v>5.75</v>
      </c>
      <c r="I227" s="7" t="n">
        <v>0</v>
      </c>
      <c r="J227" s="7" t="n">
        <v>0</v>
      </c>
      <c r="K227" s="7" t="n">
        <v>0</v>
      </c>
      <c r="L227" s="7" t="n">
        <v>0</v>
      </c>
      <c r="M227" s="7" t="n">
        <v>0</v>
      </c>
      <c r="N227" s="7" t="n">
        <v>0</v>
      </c>
      <c r="O227" s="7" t="n">
        <v>0</v>
      </c>
      <c r="P227" s="7" t="n">
        <v>2</v>
      </c>
      <c r="Q227" s="7" t="n">
        <v>0</v>
      </c>
      <c r="R227" s="7" t="n">
        <v>0</v>
      </c>
    </row>
    <row r="228" customFormat="false" ht="15" hidden="false" customHeight="true" outlineLevel="0" collapsed="false">
      <c r="A228" s="7" t="n">
        <v>2263</v>
      </c>
      <c r="B228" s="7" t="s">
        <v>44</v>
      </c>
      <c r="C228" s="7" t="s">
        <v>785</v>
      </c>
      <c r="D228" s="7" t="s">
        <v>329</v>
      </c>
      <c r="E228" s="7" t="s">
        <v>133</v>
      </c>
      <c r="F228" s="7" t="n">
        <v>17</v>
      </c>
      <c r="G228" s="7" t="n">
        <v>5.79</v>
      </c>
      <c r="H228" s="7" t="n">
        <v>5.74</v>
      </c>
      <c r="I228" s="7" t="n">
        <v>0</v>
      </c>
      <c r="J228" s="7" t="n">
        <v>0</v>
      </c>
      <c r="K228" s="7" t="n">
        <v>0</v>
      </c>
      <c r="L228" s="7" t="n">
        <v>0</v>
      </c>
      <c r="M228" s="7" t="n">
        <v>0</v>
      </c>
      <c r="N228" s="7" t="n">
        <v>0</v>
      </c>
      <c r="O228" s="7" t="n">
        <v>0</v>
      </c>
      <c r="P228" s="7" t="n">
        <v>2</v>
      </c>
      <c r="Q228" s="7" t="n">
        <v>0</v>
      </c>
      <c r="R228" s="7" t="n">
        <v>0</v>
      </c>
    </row>
    <row r="229" customFormat="false" ht="15" hidden="false" customHeight="true" outlineLevel="0" collapsed="false">
      <c r="A229" s="7" t="n">
        <v>6809</v>
      </c>
      <c r="B229" s="7" t="s">
        <v>44</v>
      </c>
      <c r="C229" s="7" t="s">
        <v>777</v>
      </c>
      <c r="D229" s="7" t="s">
        <v>356</v>
      </c>
      <c r="E229" s="7" t="s">
        <v>184</v>
      </c>
      <c r="F229" s="7" t="n">
        <v>11</v>
      </c>
      <c r="G229" s="7" t="n">
        <v>5.73</v>
      </c>
      <c r="H229" s="7" t="n">
        <v>5.73</v>
      </c>
      <c r="I229" s="7" t="n">
        <v>0</v>
      </c>
      <c r="J229" s="7" t="n">
        <v>0</v>
      </c>
      <c r="K229" s="7" t="n">
        <v>0</v>
      </c>
      <c r="L229" s="7" t="n">
        <v>0</v>
      </c>
      <c r="M229" s="7" t="n">
        <v>0</v>
      </c>
      <c r="N229" s="7" t="n">
        <v>0</v>
      </c>
      <c r="O229" s="7" t="n">
        <v>1</v>
      </c>
      <c r="P229" s="7" t="n">
        <v>2</v>
      </c>
      <c r="Q229" s="7" t="n">
        <v>0</v>
      </c>
      <c r="R229" s="7" t="n">
        <v>0</v>
      </c>
    </row>
    <row r="230" customFormat="false" ht="15" hidden="false" customHeight="true" outlineLevel="0" collapsed="false">
      <c r="A230" s="7" t="n">
        <v>5353</v>
      </c>
      <c r="B230" s="7" t="s">
        <v>44</v>
      </c>
      <c r="C230" s="7" t="s">
        <v>777</v>
      </c>
      <c r="D230" s="7" t="s">
        <v>830</v>
      </c>
      <c r="E230" s="7" t="s">
        <v>141</v>
      </c>
      <c r="F230" s="7" t="n">
        <v>0</v>
      </c>
      <c r="G230" s="7" t="n">
        <v>0</v>
      </c>
      <c r="H230" s="7" t="n">
        <v>0</v>
      </c>
      <c r="I230" s="7" t="n">
        <v>0</v>
      </c>
      <c r="J230" s="7" t="n">
        <v>0</v>
      </c>
      <c r="K230" s="7" t="n">
        <v>0</v>
      </c>
      <c r="L230" s="7" t="n">
        <v>0</v>
      </c>
      <c r="M230" s="7" t="n">
        <v>0</v>
      </c>
      <c r="N230" s="7" t="n">
        <v>0</v>
      </c>
      <c r="O230" s="7" t="n">
        <v>0</v>
      </c>
      <c r="P230" s="7" t="n">
        <v>0</v>
      </c>
      <c r="Q230" s="7" t="n">
        <v>0</v>
      </c>
      <c r="R230" s="7" t="n">
        <v>0</v>
      </c>
    </row>
    <row r="231" customFormat="false" ht="15" hidden="false" customHeight="true" outlineLevel="0" collapsed="false">
      <c r="A231" s="7" t="n">
        <v>2745</v>
      </c>
      <c r="B231" s="7" t="s">
        <v>44</v>
      </c>
      <c r="C231" s="7" t="s">
        <v>781</v>
      </c>
      <c r="D231" s="7" t="s">
        <v>831</v>
      </c>
      <c r="E231" s="7" t="s">
        <v>748</v>
      </c>
      <c r="F231" s="7" t="n">
        <v>25</v>
      </c>
      <c r="G231" s="7" t="n">
        <v>5.74</v>
      </c>
      <c r="H231" s="7" t="n">
        <v>5.58</v>
      </c>
      <c r="I231" s="7" t="n">
        <v>0</v>
      </c>
      <c r="J231" s="7" t="n">
        <v>0</v>
      </c>
      <c r="K231" s="7" t="n">
        <v>0</v>
      </c>
      <c r="L231" s="7" t="n">
        <v>0</v>
      </c>
      <c r="M231" s="7" t="n">
        <v>0</v>
      </c>
      <c r="N231" s="7" t="n">
        <v>0</v>
      </c>
      <c r="O231" s="7" t="n">
        <v>0</v>
      </c>
      <c r="P231" s="7" t="n">
        <v>8</v>
      </c>
      <c r="Q231" s="7" t="n">
        <v>0</v>
      </c>
      <c r="R231" s="7" t="n">
        <v>0</v>
      </c>
    </row>
    <row r="232" customFormat="false" ht="15" hidden="false" customHeight="true" outlineLevel="0" collapsed="false">
      <c r="A232" s="7" t="n">
        <v>6533</v>
      </c>
      <c r="B232" s="7" t="s">
        <v>44</v>
      </c>
      <c r="C232" s="7" t="s">
        <v>777</v>
      </c>
      <c r="D232" s="7" t="s">
        <v>832</v>
      </c>
      <c r="E232" s="7" t="s">
        <v>135</v>
      </c>
      <c r="F232" s="7" t="n">
        <v>0</v>
      </c>
      <c r="G232" s="7" t="n">
        <v>0</v>
      </c>
      <c r="H232" s="7" t="n">
        <v>0</v>
      </c>
      <c r="I232" s="7" t="n">
        <v>0</v>
      </c>
      <c r="J232" s="7" t="n">
        <v>0</v>
      </c>
      <c r="K232" s="7" t="n">
        <v>0</v>
      </c>
      <c r="L232" s="7" t="n">
        <v>0</v>
      </c>
      <c r="M232" s="7" t="n">
        <v>0</v>
      </c>
      <c r="N232" s="7" t="n">
        <v>0</v>
      </c>
      <c r="O232" s="7" t="n">
        <v>0</v>
      </c>
      <c r="P232" s="7" t="n">
        <v>0</v>
      </c>
      <c r="Q232" s="7" t="n">
        <v>0</v>
      </c>
      <c r="R232" s="7" t="n">
        <v>0</v>
      </c>
    </row>
    <row r="233" customFormat="false" ht="15" hidden="false" customHeight="true" outlineLevel="0" collapsed="false">
      <c r="A233" s="7" t="n">
        <v>6211</v>
      </c>
      <c r="B233" s="7" t="s">
        <v>44</v>
      </c>
      <c r="C233" s="7" t="s">
        <v>779</v>
      </c>
      <c r="D233" s="7" t="s">
        <v>833</v>
      </c>
      <c r="E233" s="7" t="s">
        <v>135</v>
      </c>
      <c r="F233" s="7" t="n">
        <v>15</v>
      </c>
      <c r="G233" s="7" t="n">
        <v>5.87</v>
      </c>
      <c r="H233" s="7" t="n">
        <v>5.77</v>
      </c>
      <c r="I233" s="7" t="n">
        <v>0</v>
      </c>
      <c r="J233" s="7" t="n">
        <v>0</v>
      </c>
      <c r="K233" s="7" t="n">
        <v>0</v>
      </c>
      <c r="L233" s="7" t="n">
        <v>0</v>
      </c>
      <c r="M233" s="7" t="n">
        <v>0</v>
      </c>
      <c r="N233" s="7" t="n">
        <v>0</v>
      </c>
      <c r="O233" s="7" t="n">
        <v>0</v>
      </c>
      <c r="P233" s="7" t="n">
        <v>3</v>
      </c>
      <c r="Q233" s="7" t="n">
        <v>0</v>
      </c>
      <c r="R233" s="7" t="n">
        <v>0</v>
      </c>
    </row>
    <row r="234" customFormat="false" ht="15" hidden="false" customHeight="true" outlineLevel="0" collapsed="false">
      <c r="A234" s="7" t="n">
        <v>6957</v>
      </c>
      <c r="B234" s="7" t="s">
        <v>44</v>
      </c>
      <c r="C234" s="7" t="s">
        <v>777</v>
      </c>
      <c r="D234" s="7" t="s">
        <v>834</v>
      </c>
      <c r="E234" s="7" t="s">
        <v>745</v>
      </c>
      <c r="F234" s="7" t="n">
        <v>19</v>
      </c>
      <c r="G234" s="7" t="n">
        <v>5.79</v>
      </c>
      <c r="H234" s="7" t="n">
        <v>5.58</v>
      </c>
      <c r="I234" s="7" t="n">
        <v>0</v>
      </c>
      <c r="J234" s="7" t="n">
        <v>0</v>
      </c>
      <c r="K234" s="7" t="n">
        <v>0</v>
      </c>
      <c r="L234" s="7" t="n">
        <v>0</v>
      </c>
      <c r="M234" s="7" t="n">
        <v>0</v>
      </c>
      <c r="N234" s="7" t="n">
        <v>0</v>
      </c>
      <c r="O234" s="7" t="n">
        <v>0</v>
      </c>
      <c r="P234" s="7" t="n">
        <v>6</v>
      </c>
      <c r="Q234" s="7" t="n">
        <v>1</v>
      </c>
      <c r="R234" s="7" t="n">
        <v>0</v>
      </c>
    </row>
    <row r="235" customFormat="false" ht="15" hidden="false" customHeight="true" outlineLevel="0" collapsed="false">
      <c r="A235" s="7" t="n">
        <v>7253</v>
      </c>
      <c r="B235" s="7" t="s">
        <v>44</v>
      </c>
      <c r="C235" s="7" t="s">
        <v>777</v>
      </c>
      <c r="D235" s="7" t="s">
        <v>261</v>
      </c>
      <c r="E235" s="7" t="s">
        <v>745</v>
      </c>
      <c r="F235" s="7" t="n">
        <v>18</v>
      </c>
      <c r="G235" s="7" t="n">
        <v>5.83</v>
      </c>
      <c r="H235" s="7" t="n">
        <v>5.75</v>
      </c>
      <c r="I235" s="7" t="n">
        <v>0</v>
      </c>
      <c r="J235" s="7" t="n">
        <v>0</v>
      </c>
      <c r="K235" s="7" t="n">
        <v>0</v>
      </c>
      <c r="L235" s="7" t="n">
        <v>0</v>
      </c>
      <c r="M235" s="7" t="n">
        <v>0</v>
      </c>
      <c r="N235" s="7" t="n">
        <v>0</v>
      </c>
      <c r="O235" s="7" t="n">
        <v>0</v>
      </c>
      <c r="P235" s="7" t="n">
        <v>3</v>
      </c>
      <c r="Q235" s="7" t="n">
        <v>0</v>
      </c>
      <c r="R235" s="7" t="n">
        <v>0</v>
      </c>
    </row>
    <row r="236" customFormat="false" ht="15" hidden="false" customHeight="true" outlineLevel="0" collapsed="false">
      <c r="A236" s="7" t="n">
        <v>5168</v>
      </c>
      <c r="B236" s="7" t="s">
        <v>44</v>
      </c>
      <c r="C236" s="7" t="s">
        <v>779</v>
      </c>
      <c r="D236" s="7" t="s">
        <v>835</v>
      </c>
      <c r="E236" s="7" t="s">
        <v>113</v>
      </c>
      <c r="F236" s="7" t="n">
        <v>13</v>
      </c>
      <c r="G236" s="7" t="n">
        <v>5.73</v>
      </c>
      <c r="H236" s="7" t="n">
        <v>5.69</v>
      </c>
      <c r="I236" s="7" t="n">
        <v>0</v>
      </c>
      <c r="J236" s="7" t="n">
        <v>0</v>
      </c>
      <c r="K236" s="7" t="n">
        <v>0</v>
      </c>
      <c r="L236" s="7" t="n">
        <v>0</v>
      </c>
      <c r="M236" s="7" t="n">
        <v>0</v>
      </c>
      <c r="N236" s="7" t="n">
        <v>0</v>
      </c>
      <c r="O236" s="7" t="n">
        <v>0</v>
      </c>
      <c r="P236" s="7" t="n">
        <v>1</v>
      </c>
      <c r="Q236" s="7" t="n">
        <v>0</v>
      </c>
      <c r="R236" s="7" t="n">
        <v>0</v>
      </c>
    </row>
    <row r="237" customFormat="false" ht="15" hidden="false" customHeight="true" outlineLevel="0" collapsed="false">
      <c r="A237" s="7" t="n">
        <v>7335</v>
      </c>
      <c r="B237" s="7" t="s">
        <v>44</v>
      </c>
      <c r="C237" s="7" t="s">
        <v>777</v>
      </c>
      <c r="D237" s="7" t="s">
        <v>836</v>
      </c>
      <c r="E237" s="7" t="s">
        <v>137</v>
      </c>
      <c r="F237" s="7" t="n">
        <v>2</v>
      </c>
      <c r="G237" s="7" t="n">
        <v>6</v>
      </c>
      <c r="H237" s="7" t="n">
        <v>6</v>
      </c>
      <c r="I237" s="7" t="n">
        <v>0</v>
      </c>
      <c r="J237" s="7" t="n">
        <v>0</v>
      </c>
      <c r="K237" s="7" t="n">
        <v>0</v>
      </c>
      <c r="L237" s="7" t="n">
        <v>0</v>
      </c>
      <c r="M237" s="7" t="n">
        <v>0</v>
      </c>
      <c r="N237" s="7" t="n">
        <v>0</v>
      </c>
      <c r="O237" s="7" t="n">
        <v>0</v>
      </c>
      <c r="P237" s="7" t="n">
        <v>0</v>
      </c>
      <c r="Q237" s="7" t="n">
        <v>0</v>
      </c>
      <c r="R237" s="7" t="n">
        <v>0</v>
      </c>
    </row>
    <row r="238" customFormat="false" ht="15" hidden="false" customHeight="true" outlineLevel="0" collapsed="false">
      <c r="A238" s="7" t="n">
        <v>6149</v>
      </c>
      <c r="B238" s="7" t="s">
        <v>44</v>
      </c>
      <c r="C238" s="7" t="s">
        <v>779</v>
      </c>
      <c r="D238" s="7" t="s">
        <v>359</v>
      </c>
      <c r="E238" s="7" t="s">
        <v>141</v>
      </c>
      <c r="F238" s="7" t="n">
        <v>2</v>
      </c>
      <c r="G238" s="7" t="n">
        <v>6</v>
      </c>
      <c r="H238" s="7" t="n">
        <v>6</v>
      </c>
      <c r="I238" s="7" t="n">
        <v>0</v>
      </c>
      <c r="J238" s="7" t="n">
        <v>0</v>
      </c>
      <c r="K238" s="7" t="n">
        <v>0</v>
      </c>
      <c r="L238" s="7" t="n">
        <v>0</v>
      </c>
      <c r="M238" s="7" t="n">
        <v>0</v>
      </c>
      <c r="N238" s="7" t="n">
        <v>0</v>
      </c>
      <c r="O238" s="7" t="n">
        <v>0</v>
      </c>
      <c r="P238" s="7" t="n">
        <v>0</v>
      </c>
      <c r="Q238" s="7" t="n">
        <v>0</v>
      </c>
      <c r="R238" s="7" t="n">
        <v>0</v>
      </c>
    </row>
    <row r="239" customFormat="false" ht="15" hidden="false" customHeight="true" outlineLevel="0" collapsed="false">
      <c r="A239" s="7" t="n">
        <v>7353</v>
      </c>
      <c r="B239" s="7" t="s">
        <v>44</v>
      </c>
      <c r="C239" s="7" t="s">
        <v>777</v>
      </c>
      <c r="D239" s="7" t="s">
        <v>837</v>
      </c>
      <c r="E239" s="7" t="s">
        <v>144</v>
      </c>
      <c r="F239" s="7" t="n">
        <v>2</v>
      </c>
      <c r="G239" s="7" t="n">
        <v>5.75</v>
      </c>
      <c r="H239" s="7" t="n">
        <v>6.25</v>
      </c>
      <c r="I239" s="7" t="n">
        <v>0</v>
      </c>
      <c r="J239" s="7" t="n">
        <v>0</v>
      </c>
      <c r="K239" s="7" t="n">
        <v>0</v>
      </c>
      <c r="L239" s="7" t="n">
        <v>0</v>
      </c>
      <c r="M239" s="7" t="n">
        <v>0</v>
      </c>
      <c r="N239" s="7" t="n">
        <v>0</v>
      </c>
      <c r="O239" s="7" t="n">
        <v>1</v>
      </c>
      <c r="P239" s="7" t="n">
        <v>0</v>
      </c>
      <c r="Q239" s="7" t="n">
        <v>0</v>
      </c>
      <c r="R239" s="7" t="n">
        <v>0</v>
      </c>
    </row>
    <row r="240" customFormat="false" ht="15" hidden="false" customHeight="true" outlineLevel="0" collapsed="false">
      <c r="A240" s="7" t="n">
        <v>6444</v>
      </c>
      <c r="B240" s="7" t="s">
        <v>44</v>
      </c>
      <c r="C240" s="7" t="s">
        <v>777</v>
      </c>
      <c r="D240" s="7" t="s">
        <v>838</v>
      </c>
      <c r="E240" s="7" t="s">
        <v>748</v>
      </c>
      <c r="F240" s="7" t="n">
        <v>9</v>
      </c>
      <c r="G240" s="7" t="n">
        <v>5.61</v>
      </c>
      <c r="H240" s="7" t="n">
        <v>5.56</v>
      </c>
      <c r="I240" s="7" t="n">
        <v>0</v>
      </c>
      <c r="J240" s="7" t="n">
        <v>0</v>
      </c>
      <c r="K240" s="7" t="n">
        <v>0</v>
      </c>
      <c r="L240" s="7" t="n">
        <v>0</v>
      </c>
      <c r="M240" s="7" t="n">
        <v>0</v>
      </c>
      <c r="N240" s="7" t="n">
        <v>0</v>
      </c>
      <c r="O240" s="7" t="n">
        <v>0</v>
      </c>
      <c r="P240" s="7" t="n">
        <v>1</v>
      </c>
      <c r="Q240" s="7" t="n">
        <v>0</v>
      </c>
      <c r="R240" s="7" t="n">
        <v>0</v>
      </c>
    </row>
    <row r="241" customFormat="false" ht="15" hidden="false" customHeight="true" outlineLevel="0" collapsed="false">
      <c r="A241" s="7" t="n">
        <v>2653</v>
      </c>
      <c r="B241" s="7" t="s">
        <v>44</v>
      </c>
      <c r="C241" s="7" t="s">
        <v>779</v>
      </c>
      <c r="D241" s="7" t="s">
        <v>839</v>
      </c>
      <c r="E241" s="7" t="s">
        <v>127</v>
      </c>
      <c r="F241" s="7" t="n">
        <v>8</v>
      </c>
      <c r="G241" s="7" t="n">
        <v>5.62</v>
      </c>
      <c r="H241" s="7" t="n">
        <v>5.56</v>
      </c>
      <c r="I241" s="7" t="n">
        <v>0</v>
      </c>
      <c r="J241" s="7" t="n">
        <v>0</v>
      </c>
      <c r="K241" s="7" t="n">
        <v>0</v>
      </c>
      <c r="L241" s="7" t="n">
        <v>0</v>
      </c>
      <c r="M241" s="7" t="n">
        <v>0</v>
      </c>
      <c r="N241" s="7" t="n">
        <v>0</v>
      </c>
      <c r="O241" s="7" t="n">
        <v>1</v>
      </c>
      <c r="P241" s="7" t="n">
        <v>3</v>
      </c>
      <c r="Q241" s="7" t="n">
        <v>0</v>
      </c>
      <c r="R241" s="7" t="n">
        <v>0</v>
      </c>
    </row>
    <row r="242" customFormat="false" ht="15" hidden="false" customHeight="true" outlineLevel="0" collapsed="false">
      <c r="A242" s="7" t="n">
        <v>5406</v>
      </c>
      <c r="B242" s="7" t="s">
        <v>44</v>
      </c>
      <c r="C242" s="7" t="s">
        <v>785</v>
      </c>
      <c r="D242" s="7" t="s">
        <v>840</v>
      </c>
      <c r="E242" s="7" t="s">
        <v>129</v>
      </c>
      <c r="F242" s="7" t="n">
        <v>1</v>
      </c>
      <c r="G242" s="7" t="n">
        <v>5.5</v>
      </c>
      <c r="H242" s="7" t="n">
        <v>5.5</v>
      </c>
      <c r="I242" s="7" t="n">
        <v>0</v>
      </c>
      <c r="J242" s="7" t="n">
        <v>0</v>
      </c>
      <c r="K242" s="7" t="n">
        <v>0</v>
      </c>
      <c r="L242" s="7" t="n">
        <v>0</v>
      </c>
      <c r="M242" s="7" t="n">
        <v>0</v>
      </c>
      <c r="N242" s="7" t="n">
        <v>0</v>
      </c>
      <c r="O242" s="7" t="n">
        <v>0</v>
      </c>
      <c r="P242" s="7" t="n">
        <v>0</v>
      </c>
      <c r="Q242" s="7" t="n">
        <v>0</v>
      </c>
      <c r="R242" s="7" t="n">
        <v>0</v>
      </c>
    </row>
    <row r="243" customFormat="false" ht="15" hidden="false" customHeight="true" outlineLevel="0" collapsed="false">
      <c r="A243" s="7" t="n">
        <v>6944</v>
      </c>
      <c r="B243" s="7" t="s">
        <v>44</v>
      </c>
      <c r="C243" s="7" t="s">
        <v>784</v>
      </c>
      <c r="D243" s="7" t="s">
        <v>841</v>
      </c>
      <c r="E243" s="7" t="s">
        <v>119</v>
      </c>
      <c r="F243" s="7" t="n">
        <v>0</v>
      </c>
      <c r="G243" s="7" t="n">
        <v>0</v>
      </c>
      <c r="H243" s="7" t="n">
        <v>0</v>
      </c>
      <c r="I243" s="7" t="n">
        <v>0</v>
      </c>
      <c r="J243" s="7" t="n">
        <v>0</v>
      </c>
      <c r="K243" s="7" t="n">
        <v>0</v>
      </c>
      <c r="L243" s="7" t="n">
        <v>0</v>
      </c>
      <c r="M243" s="7" t="n">
        <v>0</v>
      </c>
      <c r="N243" s="7" t="n">
        <v>0</v>
      </c>
      <c r="O243" s="7" t="n">
        <v>0</v>
      </c>
      <c r="P243" s="7" t="n">
        <v>0</v>
      </c>
      <c r="Q243" s="7" t="n">
        <v>0</v>
      </c>
      <c r="R243" s="7" t="n">
        <v>0</v>
      </c>
    </row>
    <row r="244" customFormat="false" ht="15" hidden="false" customHeight="true" outlineLevel="0" collapsed="false">
      <c r="A244" s="7" t="n">
        <v>5860</v>
      </c>
      <c r="B244" s="7" t="s">
        <v>44</v>
      </c>
      <c r="C244" s="7" t="s">
        <v>777</v>
      </c>
      <c r="D244" s="7" t="s">
        <v>842</v>
      </c>
      <c r="E244" s="7" t="s">
        <v>743</v>
      </c>
      <c r="F244" s="7" t="n">
        <v>0</v>
      </c>
      <c r="G244" s="7" t="n">
        <v>0</v>
      </c>
      <c r="H244" s="7" t="n">
        <v>0</v>
      </c>
      <c r="I244" s="7" t="n">
        <v>0</v>
      </c>
      <c r="J244" s="7" t="n">
        <v>0</v>
      </c>
      <c r="K244" s="7" t="n">
        <v>0</v>
      </c>
      <c r="L244" s="7" t="n">
        <v>0</v>
      </c>
      <c r="M244" s="7" t="n">
        <v>0</v>
      </c>
      <c r="N244" s="7" t="n">
        <v>0</v>
      </c>
      <c r="O244" s="7" t="n">
        <v>0</v>
      </c>
      <c r="P244" s="7" t="n">
        <v>0</v>
      </c>
      <c r="Q244" s="7" t="n">
        <v>0</v>
      </c>
      <c r="R244" s="7" t="n">
        <v>0</v>
      </c>
    </row>
    <row r="245" customFormat="false" ht="15" hidden="false" customHeight="true" outlineLevel="0" collapsed="false">
      <c r="A245" s="7" t="n">
        <v>4904</v>
      </c>
      <c r="B245" s="7" t="s">
        <v>44</v>
      </c>
      <c r="C245" s="7" t="s">
        <v>777</v>
      </c>
      <c r="D245" s="7" t="s">
        <v>843</v>
      </c>
      <c r="E245" s="7" t="s">
        <v>123</v>
      </c>
      <c r="F245" s="7" t="n">
        <v>10</v>
      </c>
      <c r="G245" s="7" t="n">
        <v>5.45</v>
      </c>
      <c r="H245" s="7" t="n">
        <v>5.3</v>
      </c>
      <c r="I245" s="7" t="n">
        <v>0</v>
      </c>
      <c r="J245" s="7" t="n">
        <v>0</v>
      </c>
      <c r="K245" s="7" t="n">
        <v>0</v>
      </c>
      <c r="L245" s="7" t="n">
        <v>0</v>
      </c>
      <c r="M245" s="7" t="n">
        <v>0</v>
      </c>
      <c r="N245" s="7" t="n">
        <v>0</v>
      </c>
      <c r="O245" s="7" t="n">
        <v>0</v>
      </c>
      <c r="P245" s="7" t="n">
        <v>3</v>
      </c>
      <c r="Q245" s="7" t="n">
        <v>0</v>
      </c>
      <c r="R245" s="7" t="n">
        <v>0</v>
      </c>
    </row>
    <row r="246" customFormat="false" ht="15" hidden="false" customHeight="true" outlineLevel="0" collapsed="false">
      <c r="A246" s="7" t="n">
        <v>5718</v>
      </c>
      <c r="B246" s="7" t="s">
        <v>44</v>
      </c>
      <c r="C246" s="7" t="s">
        <v>777</v>
      </c>
      <c r="D246" s="7" t="s">
        <v>844</v>
      </c>
      <c r="E246" s="7" t="s">
        <v>123</v>
      </c>
      <c r="F246" s="7" t="n">
        <v>6</v>
      </c>
      <c r="G246" s="7" t="n">
        <v>5.58</v>
      </c>
      <c r="H246" s="7" t="n">
        <v>5.33</v>
      </c>
      <c r="I246" s="7" t="n">
        <v>0</v>
      </c>
      <c r="J246" s="7" t="n">
        <v>0</v>
      </c>
      <c r="K246" s="7" t="n">
        <v>0</v>
      </c>
      <c r="L246" s="7" t="n">
        <v>0</v>
      </c>
      <c r="M246" s="7" t="n">
        <v>0</v>
      </c>
      <c r="N246" s="7" t="n">
        <v>0</v>
      </c>
      <c r="O246" s="7" t="n">
        <v>0</v>
      </c>
      <c r="P246" s="7" t="n">
        <v>1</v>
      </c>
      <c r="Q246" s="7" t="n">
        <v>1</v>
      </c>
      <c r="R246" s="7" t="n">
        <v>0</v>
      </c>
    </row>
    <row r="247" customFormat="false" ht="15" hidden="false" customHeight="true" outlineLevel="0" collapsed="false">
      <c r="A247" s="7" t="n">
        <v>7069</v>
      </c>
      <c r="B247" s="7" t="s">
        <v>44</v>
      </c>
      <c r="C247" s="7" t="s">
        <v>776</v>
      </c>
      <c r="D247" s="7" t="s">
        <v>845</v>
      </c>
      <c r="E247" s="7" t="s">
        <v>123</v>
      </c>
      <c r="F247" s="7" t="n">
        <v>12</v>
      </c>
      <c r="G247" s="7" t="n">
        <v>5.96</v>
      </c>
      <c r="H247" s="7" t="n">
        <v>5.96</v>
      </c>
      <c r="I247" s="7" t="n">
        <v>0</v>
      </c>
      <c r="J247" s="7" t="n">
        <v>0</v>
      </c>
      <c r="K247" s="7" t="n">
        <v>0</v>
      </c>
      <c r="L247" s="7" t="n">
        <v>0</v>
      </c>
      <c r="M247" s="7" t="n">
        <v>0</v>
      </c>
      <c r="N247" s="7" t="n">
        <v>0</v>
      </c>
      <c r="O247" s="7" t="n">
        <v>0</v>
      </c>
      <c r="P247" s="7" t="n">
        <v>0</v>
      </c>
      <c r="Q247" s="7" t="n">
        <v>0</v>
      </c>
      <c r="R247" s="7" t="n">
        <v>0</v>
      </c>
    </row>
    <row r="248" customFormat="false" ht="15" hidden="false" customHeight="true" outlineLevel="0" collapsed="false">
      <c r="A248" s="7" t="n">
        <v>6977</v>
      </c>
      <c r="B248" s="7" t="s">
        <v>44</v>
      </c>
      <c r="C248" s="7" t="s">
        <v>777</v>
      </c>
      <c r="D248" s="7" t="s">
        <v>326</v>
      </c>
      <c r="E248" s="7" t="s">
        <v>137</v>
      </c>
      <c r="F248" s="7" t="n">
        <v>10</v>
      </c>
      <c r="G248" s="7" t="n">
        <v>5.6</v>
      </c>
      <c r="H248" s="7" t="n">
        <v>5.35</v>
      </c>
      <c r="I248" s="7" t="n">
        <v>0</v>
      </c>
      <c r="J248" s="7" t="n">
        <v>0</v>
      </c>
      <c r="K248" s="7" t="n">
        <v>0</v>
      </c>
      <c r="L248" s="7" t="n">
        <v>0</v>
      </c>
      <c r="M248" s="7" t="n">
        <v>0</v>
      </c>
      <c r="N248" s="7" t="n">
        <v>0</v>
      </c>
      <c r="O248" s="7" t="n">
        <v>0</v>
      </c>
      <c r="P248" s="7" t="n">
        <v>1</v>
      </c>
      <c r="Q248" s="7" t="n">
        <v>0</v>
      </c>
      <c r="R248" s="7" t="n">
        <v>1</v>
      </c>
    </row>
    <row r="249" customFormat="false" ht="15" hidden="false" customHeight="true" outlineLevel="0" collapsed="false">
      <c r="A249" s="7" t="n">
        <v>294</v>
      </c>
      <c r="B249" s="7" t="s">
        <v>44</v>
      </c>
      <c r="C249" s="7" t="s">
        <v>777</v>
      </c>
      <c r="D249" s="7" t="s">
        <v>349</v>
      </c>
      <c r="E249" s="7" t="s">
        <v>123</v>
      </c>
      <c r="F249" s="7" t="n">
        <v>8</v>
      </c>
      <c r="G249" s="7" t="n">
        <v>5.69</v>
      </c>
      <c r="H249" s="7" t="n">
        <v>5.56</v>
      </c>
      <c r="I249" s="7" t="n">
        <v>0</v>
      </c>
      <c r="J249" s="7" t="n">
        <v>0</v>
      </c>
      <c r="K249" s="7" t="n">
        <v>0</v>
      </c>
      <c r="L249" s="7" t="n">
        <v>0</v>
      </c>
      <c r="M249" s="7" t="n">
        <v>0</v>
      </c>
      <c r="N249" s="7" t="n">
        <v>0</v>
      </c>
      <c r="O249" s="7" t="n">
        <v>0</v>
      </c>
      <c r="P249" s="7" t="n">
        <v>2</v>
      </c>
      <c r="Q249" s="7" t="n">
        <v>0</v>
      </c>
      <c r="R249" s="7" t="n">
        <v>0</v>
      </c>
    </row>
    <row r="250" customFormat="false" ht="15" hidden="false" customHeight="true" outlineLevel="0" collapsed="false">
      <c r="A250" s="7" t="n">
        <v>6632</v>
      </c>
      <c r="B250" s="7" t="s">
        <v>44</v>
      </c>
      <c r="C250" s="7" t="s">
        <v>777</v>
      </c>
      <c r="D250" s="7" t="s">
        <v>274</v>
      </c>
      <c r="E250" s="7" t="s">
        <v>139</v>
      </c>
      <c r="F250" s="7" t="n">
        <v>21</v>
      </c>
      <c r="G250" s="7" t="n">
        <v>5.83</v>
      </c>
      <c r="H250" s="7" t="n">
        <v>5.64</v>
      </c>
      <c r="I250" s="7" t="n">
        <v>0</v>
      </c>
      <c r="J250" s="7" t="n">
        <v>0</v>
      </c>
      <c r="K250" s="7" t="n">
        <v>0</v>
      </c>
      <c r="L250" s="7" t="n">
        <v>0</v>
      </c>
      <c r="M250" s="7" t="n">
        <v>0</v>
      </c>
      <c r="N250" s="7" t="n">
        <v>0</v>
      </c>
      <c r="O250" s="7" t="n">
        <v>0</v>
      </c>
      <c r="P250" s="7" t="n">
        <v>6</v>
      </c>
      <c r="Q250" s="7" t="n">
        <v>1</v>
      </c>
      <c r="R250" s="7" t="n">
        <v>0</v>
      </c>
    </row>
    <row r="251" customFormat="false" ht="15" hidden="false" customHeight="true" outlineLevel="0" collapsed="false">
      <c r="A251" s="7" t="n">
        <v>6883</v>
      </c>
      <c r="B251" s="7" t="s">
        <v>44</v>
      </c>
      <c r="C251" s="7" t="s">
        <v>777</v>
      </c>
      <c r="D251" s="7" t="s">
        <v>331</v>
      </c>
      <c r="E251" s="7" t="s">
        <v>139</v>
      </c>
      <c r="F251" s="7" t="n">
        <v>5</v>
      </c>
      <c r="G251" s="7" t="n">
        <v>5.8</v>
      </c>
      <c r="H251" s="7" t="n">
        <v>5.7</v>
      </c>
      <c r="I251" s="7" t="n">
        <v>0</v>
      </c>
      <c r="J251" s="7" t="n">
        <v>0</v>
      </c>
      <c r="K251" s="7" t="n">
        <v>0</v>
      </c>
      <c r="L251" s="7" t="n">
        <v>0</v>
      </c>
      <c r="M251" s="7" t="n">
        <v>0</v>
      </c>
      <c r="N251" s="7" t="n">
        <v>0</v>
      </c>
      <c r="O251" s="7" t="n">
        <v>0</v>
      </c>
      <c r="P251" s="7" t="n">
        <v>1</v>
      </c>
      <c r="Q251" s="7" t="n">
        <v>0</v>
      </c>
      <c r="R251" s="7" t="n">
        <v>0</v>
      </c>
    </row>
    <row r="252" customFormat="false" ht="15" hidden="false" customHeight="true" outlineLevel="0" collapsed="false">
      <c r="A252" s="7" t="n">
        <v>5273</v>
      </c>
      <c r="B252" s="7" t="s">
        <v>44</v>
      </c>
      <c r="C252" s="7" t="s">
        <v>779</v>
      </c>
      <c r="D252" s="7" t="s">
        <v>314</v>
      </c>
      <c r="E252" s="7" t="s">
        <v>121</v>
      </c>
      <c r="F252" s="7" t="n">
        <v>14</v>
      </c>
      <c r="G252" s="7" t="n">
        <v>5.64</v>
      </c>
      <c r="H252" s="7" t="n">
        <v>5.71</v>
      </c>
      <c r="I252" s="7" t="n">
        <v>1</v>
      </c>
      <c r="J252" s="7" t="n">
        <v>0</v>
      </c>
      <c r="K252" s="7" t="n">
        <v>0</v>
      </c>
      <c r="L252" s="7" t="n">
        <v>0</v>
      </c>
      <c r="M252" s="7" t="n">
        <v>0</v>
      </c>
      <c r="N252" s="7" t="n">
        <v>0</v>
      </c>
      <c r="O252" s="7" t="n">
        <v>1</v>
      </c>
      <c r="P252" s="7" t="n">
        <v>5</v>
      </c>
      <c r="Q252" s="7" t="n">
        <v>1</v>
      </c>
      <c r="R252" s="7" t="n">
        <v>0</v>
      </c>
    </row>
    <row r="253" customFormat="false" ht="15" hidden="false" customHeight="true" outlineLevel="0" collapsed="false">
      <c r="A253" s="7" t="n">
        <v>6821</v>
      </c>
      <c r="B253" s="7" t="s">
        <v>44</v>
      </c>
      <c r="C253" s="7" t="s">
        <v>785</v>
      </c>
      <c r="D253" s="7" t="s">
        <v>322</v>
      </c>
      <c r="E253" s="7" t="s">
        <v>141</v>
      </c>
      <c r="F253" s="7" t="n">
        <v>0</v>
      </c>
      <c r="G253" s="7" t="n">
        <v>0</v>
      </c>
      <c r="H253" s="7" t="n">
        <v>0</v>
      </c>
      <c r="I253" s="7" t="n">
        <v>0</v>
      </c>
      <c r="J253" s="7" t="n">
        <v>0</v>
      </c>
      <c r="K253" s="7" t="n">
        <v>0</v>
      </c>
      <c r="L253" s="7" t="n">
        <v>0</v>
      </c>
      <c r="M253" s="7" t="n">
        <v>0</v>
      </c>
      <c r="N253" s="7" t="n">
        <v>0</v>
      </c>
      <c r="O253" s="7" t="n">
        <v>0</v>
      </c>
      <c r="P253" s="7" t="n">
        <v>0</v>
      </c>
      <c r="Q253" s="7" t="n">
        <v>0</v>
      </c>
      <c r="R253" s="7" t="n">
        <v>0</v>
      </c>
    </row>
    <row r="254" customFormat="false" ht="15" hidden="false" customHeight="true" outlineLevel="0" collapsed="false">
      <c r="A254" s="7" t="n">
        <v>6965</v>
      </c>
      <c r="B254" s="7" t="s">
        <v>44</v>
      </c>
      <c r="C254" s="7" t="s">
        <v>779</v>
      </c>
      <c r="D254" s="7" t="s">
        <v>846</v>
      </c>
      <c r="E254" s="7" t="s">
        <v>141</v>
      </c>
      <c r="F254" s="7" t="n">
        <v>6</v>
      </c>
      <c r="G254" s="7" t="n">
        <v>5.58</v>
      </c>
      <c r="H254" s="7" t="n">
        <v>5.58</v>
      </c>
      <c r="I254" s="7" t="n">
        <v>0</v>
      </c>
      <c r="J254" s="7" t="n">
        <v>0</v>
      </c>
      <c r="K254" s="7" t="n">
        <v>0</v>
      </c>
      <c r="L254" s="7" t="n">
        <v>0</v>
      </c>
      <c r="M254" s="7" t="n">
        <v>0</v>
      </c>
      <c r="N254" s="7" t="n">
        <v>0</v>
      </c>
      <c r="O254" s="7" t="n">
        <v>0</v>
      </c>
      <c r="P254" s="7" t="n">
        <v>0</v>
      </c>
      <c r="Q254" s="7" t="n">
        <v>0</v>
      </c>
      <c r="R254" s="7" t="n">
        <v>0</v>
      </c>
    </row>
    <row r="255" customFormat="false" ht="15" hidden="false" customHeight="true" outlineLevel="0" collapsed="false">
      <c r="A255" s="7" t="n">
        <v>6411</v>
      </c>
      <c r="B255" s="7" t="s">
        <v>44</v>
      </c>
      <c r="C255" s="7" t="s">
        <v>777</v>
      </c>
      <c r="D255" s="7" t="s">
        <v>847</v>
      </c>
      <c r="E255" s="7" t="s">
        <v>748</v>
      </c>
      <c r="F255" s="7" t="n">
        <v>3</v>
      </c>
      <c r="G255" s="7" t="n">
        <v>5.83</v>
      </c>
      <c r="H255" s="7" t="n">
        <v>5.67</v>
      </c>
      <c r="I255" s="7" t="n">
        <v>0</v>
      </c>
      <c r="J255" s="7" t="n">
        <v>0</v>
      </c>
      <c r="K255" s="7" t="n">
        <v>0</v>
      </c>
      <c r="L255" s="7" t="n">
        <v>0</v>
      </c>
      <c r="M255" s="7" t="n">
        <v>0</v>
      </c>
      <c r="N255" s="7" t="n">
        <v>0</v>
      </c>
      <c r="O255" s="7" t="n">
        <v>0</v>
      </c>
      <c r="P255" s="7" t="n">
        <v>1</v>
      </c>
      <c r="Q255" s="7" t="n">
        <v>0</v>
      </c>
      <c r="R255" s="7" t="n">
        <v>0</v>
      </c>
    </row>
    <row r="256" customFormat="false" ht="15" hidden="false" customHeight="true" outlineLevel="0" collapsed="false">
      <c r="A256" s="7" t="n">
        <v>7141</v>
      </c>
      <c r="B256" s="7" t="s">
        <v>44</v>
      </c>
      <c r="C256" s="7" t="s">
        <v>780</v>
      </c>
      <c r="D256" s="7" t="s">
        <v>848</v>
      </c>
      <c r="E256" s="7" t="s">
        <v>748</v>
      </c>
      <c r="F256" s="7" t="n">
        <v>0</v>
      </c>
      <c r="G256" s="7" t="n">
        <v>0</v>
      </c>
      <c r="H256" s="7" t="n">
        <v>0</v>
      </c>
      <c r="I256" s="7" t="n">
        <v>0</v>
      </c>
      <c r="J256" s="7" t="n">
        <v>0</v>
      </c>
      <c r="K256" s="7" t="n">
        <v>0</v>
      </c>
      <c r="L256" s="7" t="n">
        <v>0</v>
      </c>
      <c r="M256" s="7" t="n">
        <v>0</v>
      </c>
      <c r="N256" s="7" t="n">
        <v>0</v>
      </c>
      <c r="O256" s="7" t="n">
        <v>0</v>
      </c>
      <c r="P256" s="7" t="n">
        <v>0</v>
      </c>
      <c r="Q256" s="7" t="n">
        <v>0</v>
      </c>
      <c r="R256" s="7" t="n">
        <v>0</v>
      </c>
    </row>
    <row r="257" customFormat="false" ht="15" hidden="false" customHeight="true" outlineLevel="0" collapsed="false">
      <c r="A257" s="7" t="n">
        <v>4495</v>
      </c>
      <c r="B257" s="7" t="s">
        <v>44</v>
      </c>
      <c r="C257" s="7" t="s">
        <v>777</v>
      </c>
      <c r="D257" s="7" t="s">
        <v>849</v>
      </c>
      <c r="E257" s="7" t="s">
        <v>113</v>
      </c>
      <c r="F257" s="7" t="n">
        <v>0</v>
      </c>
      <c r="G257" s="7" t="n">
        <v>0</v>
      </c>
      <c r="H257" s="7" t="n">
        <v>0</v>
      </c>
      <c r="I257" s="7" t="n">
        <v>0</v>
      </c>
      <c r="J257" s="7" t="n">
        <v>0</v>
      </c>
      <c r="K257" s="7" t="n">
        <v>0</v>
      </c>
      <c r="L257" s="7" t="n">
        <v>0</v>
      </c>
      <c r="M257" s="7" t="n">
        <v>0</v>
      </c>
      <c r="N257" s="7" t="n">
        <v>0</v>
      </c>
      <c r="O257" s="7" t="n">
        <v>0</v>
      </c>
      <c r="P257" s="7" t="n">
        <v>0</v>
      </c>
      <c r="Q257" s="7" t="n">
        <v>0</v>
      </c>
      <c r="R257" s="7" t="n">
        <v>0</v>
      </c>
    </row>
    <row r="258" customFormat="false" ht="15" hidden="false" customHeight="true" outlineLevel="0" collapsed="false">
      <c r="A258" s="7" t="n">
        <v>6189</v>
      </c>
      <c r="B258" s="7" t="s">
        <v>44</v>
      </c>
      <c r="C258" s="7" t="s">
        <v>785</v>
      </c>
      <c r="D258" s="7" t="s">
        <v>361</v>
      </c>
      <c r="E258" s="7" t="s">
        <v>144</v>
      </c>
      <c r="F258" s="7" t="n">
        <v>0</v>
      </c>
      <c r="G258" s="7" t="n">
        <v>0</v>
      </c>
      <c r="H258" s="7" t="n">
        <v>0</v>
      </c>
      <c r="I258" s="7" t="n">
        <v>0</v>
      </c>
      <c r="J258" s="7" t="n">
        <v>0</v>
      </c>
      <c r="K258" s="7" t="n">
        <v>0</v>
      </c>
      <c r="L258" s="7" t="n">
        <v>0</v>
      </c>
      <c r="M258" s="7" t="n">
        <v>0</v>
      </c>
      <c r="N258" s="7" t="n">
        <v>0</v>
      </c>
      <c r="O258" s="7" t="n">
        <v>0</v>
      </c>
      <c r="P258" s="7" t="n">
        <v>0</v>
      </c>
      <c r="Q258" s="7" t="n">
        <v>0</v>
      </c>
      <c r="R258" s="7" t="n">
        <v>0</v>
      </c>
    </row>
    <row r="259" customFormat="false" ht="15" hidden="false" customHeight="true" outlineLevel="0" collapsed="false">
      <c r="A259" s="7" t="n">
        <v>49</v>
      </c>
      <c r="B259" s="7" t="s">
        <v>44</v>
      </c>
      <c r="C259" s="7" t="s">
        <v>786</v>
      </c>
      <c r="D259" s="7" t="s">
        <v>850</v>
      </c>
      <c r="E259" s="7" t="s">
        <v>184</v>
      </c>
      <c r="F259" s="7" t="n">
        <v>4</v>
      </c>
      <c r="G259" s="7" t="n">
        <v>5.38</v>
      </c>
      <c r="H259" s="7" t="n">
        <v>5.62</v>
      </c>
      <c r="I259" s="7" t="n">
        <v>0</v>
      </c>
      <c r="J259" s="7" t="n">
        <v>0</v>
      </c>
      <c r="K259" s="7" t="n">
        <v>0</v>
      </c>
      <c r="L259" s="7" t="n">
        <v>0</v>
      </c>
      <c r="M259" s="7" t="n">
        <v>0</v>
      </c>
      <c r="N259" s="7" t="n">
        <v>0</v>
      </c>
      <c r="O259" s="7" t="n">
        <v>1</v>
      </c>
      <c r="P259" s="7" t="n">
        <v>0</v>
      </c>
      <c r="Q259" s="7" t="n">
        <v>0</v>
      </c>
      <c r="R259" s="7" t="n">
        <v>0</v>
      </c>
    </row>
    <row r="260" customFormat="false" ht="15" hidden="false" customHeight="true" outlineLevel="0" collapsed="false">
      <c r="A260" s="7" t="n">
        <v>252</v>
      </c>
      <c r="B260" s="7" t="s">
        <v>44</v>
      </c>
      <c r="C260" s="7" t="s">
        <v>779</v>
      </c>
      <c r="D260" s="7" t="s">
        <v>334</v>
      </c>
      <c r="E260" s="7" t="s">
        <v>184</v>
      </c>
      <c r="F260" s="7" t="n">
        <v>11</v>
      </c>
      <c r="G260" s="7" t="n">
        <v>5.59</v>
      </c>
      <c r="H260" s="7" t="n">
        <v>5.59</v>
      </c>
      <c r="I260" s="7" t="n">
        <v>0</v>
      </c>
      <c r="J260" s="7" t="n">
        <v>0</v>
      </c>
      <c r="K260" s="7" t="n">
        <v>0</v>
      </c>
      <c r="L260" s="7" t="n">
        <v>0</v>
      </c>
      <c r="M260" s="7" t="n">
        <v>0</v>
      </c>
      <c r="N260" s="7" t="n">
        <v>0</v>
      </c>
      <c r="O260" s="7" t="n">
        <v>0</v>
      </c>
      <c r="P260" s="7" t="n">
        <v>0</v>
      </c>
      <c r="Q260" s="7" t="n">
        <v>0</v>
      </c>
      <c r="R260" s="7" t="n">
        <v>0</v>
      </c>
    </row>
    <row r="261" customFormat="false" ht="15" hidden="false" customHeight="true" outlineLevel="0" collapsed="false">
      <c r="A261" s="7" t="n">
        <v>6925</v>
      </c>
      <c r="B261" s="7" t="s">
        <v>44</v>
      </c>
      <c r="C261" s="7" t="s">
        <v>777</v>
      </c>
      <c r="D261" s="7" t="s">
        <v>335</v>
      </c>
      <c r="E261" s="7" t="s">
        <v>135</v>
      </c>
      <c r="F261" s="7" t="n">
        <v>4</v>
      </c>
      <c r="G261" s="7" t="n">
        <v>5.5</v>
      </c>
      <c r="H261" s="7" t="n">
        <v>5.5</v>
      </c>
      <c r="I261" s="7" t="n">
        <v>0</v>
      </c>
      <c r="J261" s="7" t="n">
        <v>0</v>
      </c>
      <c r="K261" s="7" t="n">
        <v>0</v>
      </c>
      <c r="L261" s="7" t="n">
        <v>0</v>
      </c>
      <c r="M261" s="7" t="n">
        <v>0</v>
      </c>
      <c r="N261" s="7" t="n">
        <v>0</v>
      </c>
      <c r="O261" s="7" t="n">
        <v>0</v>
      </c>
      <c r="P261" s="7" t="n">
        <v>0</v>
      </c>
      <c r="Q261" s="7" t="n">
        <v>0</v>
      </c>
      <c r="R261" s="7" t="n">
        <v>0</v>
      </c>
    </row>
    <row r="262" customFormat="false" ht="15" hidden="false" customHeight="true" outlineLevel="0" collapsed="false">
      <c r="A262" s="7" t="n">
        <v>7011</v>
      </c>
      <c r="B262" s="7" t="s">
        <v>44</v>
      </c>
      <c r="C262" s="7" t="s">
        <v>777</v>
      </c>
      <c r="D262" s="7" t="s">
        <v>851</v>
      </c>
      <c r="E262" s="7" t="s">
        <v>745</v>
      </c>
      <c r="F262" s="7" t="n">
        <v>6</v>
      </c>
      <c r="G262" s="7" t="n">
        <v>5.75</v>
      </c>
      <c r="H262" s="7" t="n">
        <v>5.75</v>
      </c>
      <c r="I262" s="7" t="n">
        <v>0</v>
      </c>
      <c r="J262" s="7" t="n">
        <v>0</v>
      </c>
      <c r="K262" s="7" t="n">
        <v>0</v>
      </c>
      <c r="L262" s="7" t="n">
        <v>0</v>
      </c>
      <c r="M262" s="7" t="n">
        <v>0</v>
      </c>
      <c r="N262" s="7" t="n">
        <v>0</v>
      </c>
      <c r="O262" s="7" t="n">
        <v>0</v>
      </c>
      <c r="P262" s="7" t="n">
        <v>0</v>
      </c>
      <c r="Q262" s="7" t="n">
        <v>0</v>
      </c>
      <c r="R262" s="7" t="n">
        <v>0</v>
      </c>
    </row>
    <row r="263" customFormat="false" ht="15" hidden="false" customHeight="true" outlineLevel="0" collapsed="false">
      <c r="A263" s="7" t="n">
        <v>7202</v>
      </c>
      <c r="B263" s="7" t="s">
        <v>44</v>
      </c>
      <c r="C263" s="7" t="s">
        <v>777</v>
      </c>
      <c r="D263" s="7" t="s">
        <v>358</v>
      </c>
      <c r="E263" s="7" t="s">
        <v>141</v>
      </c>
      <c r="F263" s="7" t="n">
        <v>11</v>
      </c>
      <c r="G263" s="7" t="n">
        <v>5.59</v>
      </c>
      <c r="H263" s="7" t="n">
        <v>5.36</v>
      </c>
      <c r="I263" s="7" t="n">
        <v>0</v>
      </c>
      <c r="J263" s="7" t="n">
        <v>0</v>
      </c>
      <c r="K263" s="7" t="n">
        <v>0</v>
      </c>
      <c r="L263" s="7" t="n">
        <v>0</v>
      </c>
      <c r="M263" s="7" t="n">
        <v>0</v>
      </c>
      <c r="N263" s="7" t="n">
        <v>0</v>
      </c>
      <c r="O263" s="7" t="n">
        <v>0</v>
      </c>
      <c r="P263" s="7" t="n">
        <v>3</v>
      </c>
      <c r="Q263" s="7" t="n">
        <v>1</v>
      </c>
      <c r="R263" s="7" t="n">
        <v>0</v>
      </c>
    </row>
    <row r="264" customFormat="false" ht="15" hidden="false" customHeight="true" outlineLevel="0" collapsed="false">
      <c r="A264" s="7" t="n">
        <v>6537</v>
      </c>
      <c r="B264" s="7" t="s">
        <v>44</v>
      </c>
      <c r="C264" s="7" t="s">
        <v>780</v>
      </c>
      <c r="D264" s="7" t="s">
        <v>852</v>
      </c>
      <c r="E264" s="7" t="s">
        <v>135</v>
      </c>
      <c r="F264" s="7" t="n">
        <v>6</v>
      </c>
      <c r="G264" s="7" t="n">
        <v>5.75</v>
      </c>
      <c r="H264" s="7" t="n">
        <v>5.58</v>
      </c>
      <c r="I264" s="7" t="n">
        <v>0</v>
      </c>
      <c r="J264" s="7" t="n">
        <v>0</v>
      </c>
      <c r="K264" s="7" t="n">
        <v>0</v>
      </c>
      <c r="L264" s="7" t="n">
        <v>0</v>
      </c>
      <c r="M264" s="7" t="n">
        <v>0</v>
      </c>
      <c r="N264" s="7" t="n">
        <v>0</v>
      </c>
      <c r="O264" s="7" t="n">
        <v>0</v>
      </c>
      <c r="P264" s="7" t="n">
        <v>2</v>
      </c>
      <c r="Q264" s="7" t="n">
        <v>0</v>
      </c>
      <c r="R264" s="7" t="n">
        <v>0</v>
      </c>
    </row>
    <row r="265" customFormat="false" ht="15" hidden="false" customHeight="true" outlineLevel="0" collapsed="false">
      <c r="A265" s="7" t="n">
        <v>7222</v>
      </c>
      <c r="B265" s="7" t="s">
        <v>44</v>
      </c>
      <c r="C265" s="7" t="s">
        <v>795</v>
      </c>
      <c r="D265" s="7" t="s">
        <v>853</v>
      </c>
      <c r="E265" s="7" t="s">
        <v>745</v>
      </c>
      <c r="F265" s="7" t="n">
        <v>3</v>
      </c>
      <c r="G265" s="7" t="n">
        <v>5.17</v>
      </c>
      <c r="H265" s="7" t="n">
        <v>5.17</v>
      </c>
      <c r="I265" s="7" t="n">
        <v>0</v>
      </c>
      <c r="J265" s="7" t="n">
        <v>0</v>
      </c>
      <c r="K265" s="7" t="n">
        <v>0</v>
      </c>
      <c r="L265" s="7" t="n">
        <v>0</v>
      </c>
      <c r="M265" s="7" t="n">
        <v>0</v>
      </c>
      <c r="N265" s="7" t="n">
        <v>0</v>
      </c>
      <c r="O265" s="7" t="n">
        <v>0</v>
      </c>
      <c r="P265" s="7" t="n">
        <v>0</v>
      </c>
      <c r="Q265" s="7" t="n">
        <v>0</v>
      </c>
      <c r="R265" s="7" t="n">
        <v>0</v>
      </c>
    </row>
    <row r="266" customFormat="false" ht="15" hidden="false" customHeight="true" outlineLevel="0" collapsed="false">
      <c r="A266" s="7" t="n">
        <v>7260</v>
      </c>
      <c r="B266" s="7" t="s">
        <v>44</v>
      </c>
      <c r="C266" s="7" t="s">
        <v>777</v>
      </c>
      <c r="D266" s="7" t="s">
        <v>360</v>
      </c>
      <c r="E266" s="7" t="s">
        <v>113</v>
      </c>
      <c r="F266" s="7" t="n">
        <v>9</v>
      </c>
      <c r="G266" s="7" t="n">
        <v>5.94</v>
      </c>
      <c r="H266" s="7" t="n">
        <v>5.78</v>
      </c>
      <c r="I266" s="7" t="n">
        <v>0</v>
      </c>
      <c r="J266" s="7" t="n">
        <v>0</v>
      </c>
      <c r="K266" s="7" t="n">
        <v>0</v>
      </c>
      <c r="L266" s="7" t="n">
        <v>0</v>
      </c>
      <c r="M266" s="7" t="n">
        <v>0</v>
      </c>
      <c r="N266" s="7" t="n">
        <v>0</v>
      </c>
      <c r="O266" s="7" t="n">
        <v>0</v>
      </c>
      <c r="P266" s="7" t="n">
        <v>3</v>
      </c>
      <c r="Q266" s="7" t="n">
        <v>0</v>
      </c>
      <c r="R266" s="7" t="n">
        <v>0</v>
      </c>
    </row>
    <row r="267" customFormat="false" ht="15" hidden="false" customHeight="true" outlineLevel="0" collapsed="false">
      <c r="A267" s="7" t="n">
        <v>5156</v>
      </c>
      <c r="B267" s="7" t="s">
        <v>44</v>
      </c>
      <c r="C267" s="7" t="s">
        <v>779</v>
      </c>
      <c r="D267" s="7" t="s">
        <v>854</v>
      </c>
      <c r="E267" s="7" t="s">
        <v>184</v>
      </c>
      <c r="F267" s="7" t="n">
        <v>8</v>
      </c>
      <c r="G267" s="7" t="n">
        <v>5.81</v>
      </c>
      <c r="H267" s="7" t="n">
        <v>5.81</v>
      </c>
      <c r="I267" s="7" t="n">
        <v>0</v>
      </c>
      <c r="J267" s="7" t="n">
        <v>0</v>
      </c>
      <c r="K267" s="7" t="n">
        <v>0</v>
      </c>
      <c r="L267" s="7" t="n">
        <v>0</v>
      </c>
      <c r="M267" s="7" t="n">
        <v>0</v>
      </c>
      <c r="N267" s="7" t="n">
        <v>0</v>
      </c>
      <c r="O267" s="7" t="n">
        <v>1</v>
      </c>
      <c r="P267" s="7" t="n">
        <v>3</v>
      </c>
      <c r="Q267" s="7" t="n">
        <v>0</v>
      </c>
      <c r="R267" s="7" t="n">
        <v>0</v>
      </c>
    </row>
    <row r="268" customFormat="false" ht="15" hidden="false" customHeight="true" outlineLevel="0" collapsed="false">
      <c r="A268" s="7" t="n">
        <v>7312</v>
      </c>
      <c r="B268" s="7" t="s">
        <v>44</v>
      </c>
      <c r="C268" s="7" t="s">
        <v>779</v>
      </c>
      <c r="D268" s="7" t="s">
        <v>299</v>
      </c>
      <c r="E268" s="7" t="s">
        <v>135</v>
      </c>
      <c r="F268" s="7" t="n">
        <v>5</v>
      </c>
      <c r="G268" s="7" t="n">
        <v>5.8</v>
      </c>
      <c r="H268" s="7" t="n">
        <v>5.8</v>
      </c>
      <c r="I268" s="7" t="n">
        <v>0</v>
      </c>
      <c r="J268" s="7" t="n">
        <v>0</v>
      </c>
      <c r="K268" s="7" t="n">
        <v>0</v>
      </c>
      <c r="L268" s="7" t="n">
        <v>0</v>
      </c>
      <c r="M268" s="7" t="n">
        <v>0</v>
      </c>
      <c r="N268" s="7" t="n">
        <v>0</v>
      </c>
      <c r="O268" s="7" t="n">
        <v>0</v>
      </c>
      <c r="P268" s="7" t="n">
        <v>0</v>
      </c>
      <c r="Q268" s="7" t="n">
        <v>0</v>
      </c>
      <c r="R268" s="7" t="n">
        <v>0</v>
      </c>
    </row>
    <row r="269" customFormat="false" ht="15" hidden="false" customHeight="true" outlineLevel="0" collapsed="false">
      <c r="A269" s="7" t="n">
        <v>7326</v>
      </c>
      <c r="B269" s="7" t="s">
        <v>44</v>
      </c>
      <c r="C269" s="7" t="s">
        <v>780</v>
      </c>
      <c r="D269" s="7" t="s">
        <v>323</v>
      </c>
      <c r="E269" s="7" t="s">
        <v>127</v>
      </c>
      <c r="F269" s="7" t="n">
        <v>6</v>
      </c>
      <c r="G269" s="7" t="n">
        <v>5.5</v>
      </c>
      <c r="H269" s="7" t="n">
        <v>5.33</v>
      </c>
      <c r="I269" s="7" t="n">
        <v>0</v>
      </c>
      <c r="J269" s="7" t="n">
        <v>0</v>
      </c>
      <c r="K269" s="7" t="n">
        <v>0</v>
      </c>
      <c r="L269" s="7" t="n">
        <v>0</v>
      </c>
      <c r="M269" s="7" t="n">
        <v>0</v>
      </c>
      <c r="N269" s="7" t="n">
        <v>0</v>
      </c>
      <c r="O269" s="7" t="n">
        <v>0</v>
      </c>
      <c r="P269" s="7" t="n">
        <v>2</v>
      </c>
      <c r="Q269" s="7" t="n">
        <v>0</v>
      </c>
      <c r="R269" s="7" t="n">
        <v>0</v>
      </c>
    </row>
    <row r="270" customFormat="false" ht="15" hidden="false" customHeight="true" outlineLevel="0" collapsed="false">
      <c r="A270" s="7" t="n">
        <v>2006</v>
      </c>
      <c r="B270" s="7" t="s">
        <v>44</v>
      </c>
      <c r="C270" s="7" t="s">
        <v>781</v>
      </c>
      <c r="D270" s="7" t="s">
        <v>855</v>
      </c>
      <c r="E270" s="7" t="s">
        <v>745</v>
      </c>
      <c r="F270" s="7" t="n">
        <v>5</v>
      </c>
      <c r="G270" s="7" t="n">
        <v>5.7</v>
      </c>
      <c r="H270" s="7" t="n">
        <v>5.6</v>
      </c>
      <c r="I270" s="7" t="n">
        <v>0</v>
      </c>
      <c r="J270" s="7" t="n">
        <v>0</v>
      </c>
      <c r="K270" s="7" t="n">
        <v>0</v>
      </c>
      <c r="L270" s="7" t="n">
        <v>0</v>
      </c>
      <c r="M270" s="7" t="n">
        <v>0</v>
      </c>
      <c r="N270" s="7" t="n">
        <v>0</v>
      </c>
      <c r="O270" s="7" t="n">
        <v>0</v>
      </c>
      <c r="P270" s="7" t="n">
        <v>1</v>
      </c>
      <c r="Q270" s="7" t="n">
        <v>0</v>
      </c>
      <c r="R270" s="7" t="n">
        <v>0</v>
      </c>
    </row>
    <row r="271" customFormat="false" ht="15" hidden="false" customHeight="true" outlineLevel="0" collapsed="false">
      <c r="A271" s="7" t="n">
        <v>7336</v>
      </c>
      <c r="B271" s="7" t="s">
        <v>44</v>
      </c>
      <c r="C271" s="7" t="s">
        <v>777</v>
      </c>
      <c r="D271" s="7" t="s">
        <v>856</v>
      </c>
      <c r="E271" s="7" t="s">
        <v>184</v>
      </c>
      <c r="F271" s="7" t="n">
        <v>0</v>
      </c>
      <c r="G271" s="7" t="n">
        <v>0</v>
      </c>
      <c r="H271" s="7" t="n">
        <v>0</v>
      </c>
      <c r="I271" s="7" t="n">
        <v>0</v>
      </c>
      <c r="J271" s="7" t="n">
        <v>0</v>
      </c>
      <c r="K271" s="7" t="n">
        <v>0</v>
      </c>
      <c r="L271" s="7" t="n">
        <v>0</v>
      </c>
      <c r="M271" s="7" t="n">
        <v>0</v>
      </c>
      <c r="N271" s="7" t="n">
        <v>0</v>
      </c>
      <c r="O271" s="7" t="n">
        <v>0</v>
      </c>
      <c r="P271" s="7" t="n">
        <v>0</v>
      </c>
      <c r="Q271" s="7" t="n">
        <v>0</v>
      </c>
      <c r="R271" s="7" t="n">
        <v>0</v>
      </c>
    </row>
    <row r="272" customFormat="false" ht="15" hidden="false" customHeight="true" outlineLevel="0" collapsed="false">
      <c r="A272" s="7" t="n">
        <v>7356</v>
      </c>
      <c r="B272" s="7" t="s">
        <v>44</v>
      </c>
      <c r="C272" s="7" t="s">
        <v>777</v>
      </c>
      <c r="D272" s="7" t="s">
        <v>363</v>
      </c>
      <c r="E272" s="7" t="s">
        <v>135</v>
      </c>
      <c r="F272" s="7" t="n">
        <v>3</v>
      </c>
      <c r="G272" s="7" t="n">
        <v>5.83</v>
      </c>
      <c r="H272" s="7" t="n">
        <v>5.67</v>
      </c>
      <c r="I272" s="7" t="n">
        <v>0</v>
      </c>
      <c r="J272" s="7" t="n">
        <v>0</v>
      </c>
      <c r="K272" s="7" t="n">
        <v>0</v>
      </c>
      <c r="L272" s="7" t="n">
        <v>0</v>
      </c>
      <c r="M272" s="7" t="n">
        <v>0</v>
      </c>
      <c r="N272" s="7" t="n">
        <v>0</v>
      </c>
      <c r="O272" s="7" t="n">
        <v>0</v>
      </c>
      <c r="P272" s="7" t="n">
        <v>2</v>
      </c>
      <c r="Q272" s="7" t="n">
        <v>0</v>
      </c>
      <c r="R272" s="7" t="n">
        <v>0</v>
      </c>
    </row>
    <row r="273" customFormat="false" ht="15" hidden="false" customHeight="true" outlineLevel="0" collapsed="false">
      <c r="A273" s="7" t="n">
        <v>7377</v>
      </c>
      <c r="B273" s="7" t="s">
        <v>44</v>
      </c>
      <c r="C273" s="7" t="s">
        <v>779</v>
      </c>
      <c r="D273" s="7" t="s">
        <v>857</v>
      </c>
      <c r="E273" s="7" t="s">
        <v>123</v>
      </c>
      <c r="F273" s="7" t="n">
        <v>4</v>
      </c>
      <c r="G273" s="7" t="n">
        <v>5.75</v>
      </c>
      <c r="H273" s="7" t="n">
        <v>5.75</v>
      </c>
      <c r="I273" s="7" t="n">
        <v>0</v>
      </c>
      <c r="J273" s="7" t="n">
        <v>0</v>
      </c>
      <c r="K273" s="7" t="n">
        <v>0</v>
      </c>
      <c r="L273" s="7" t="n">
        <v>0</v>
      </c>
      <c r="M273" s="7" t="n">
        <v>0</v>
      </c>
      <c r="N273" s="7" t="n">
        <v>0</v>
      </c>
      <c r="O273" s="7" t="n">
        <v>0</v>
      </c>
      <c r="P273" s="7" t="n">
        <v>0</v>
      </c>
      <c r="Q273" s="7" t="n">
        <v>0</v>
      </c>
      <c r="R273" s="7" t="n">
        <v>0</v>
      </c>
    </row>
    <row r="274" customFormat="false" ht="15" hidden="false" customHeight="true" outlineLevel="0" collapsed="false">
      <c r="A274" s="7" t="n">
        <v>5498</v>
      </c>
      <c r="B274" s="7" t="s">
        <v>44</v>
      </c>
      <c r="C274" s="7" t="s">
        <v>777</v>
      </c>
      <c r="D274" s="7" t="s">
        <v>303</v>
      </c>
      <c r="E274" s="7" t="s">
        <v>127</v>
      </c>
      <c r="F274" s="7" t="n">
        <v>10</v>
      </c>
      <c r="G274" s="7" t="n">
        <v>5.65</v>
      </c>
      <c r="H274" s="7" t="n">
        <v>5.65</v>
      </c>
      <c r="I274" s="7" t="n">
        <v>0</v>
      </c>
      <c r="J274" s="7" t="n">
        <v>0</v>
      </c>
      <c r="K274" s="7" t="n">
        <v>0</v>
      </c>
      <c r="L274" s="7" t="n">
        <v>0</v>
      </c>
      <c r="M274" s="7" t="n">
        <v>0</v>
      </c>
      <c r="N274" s="7" t="n">
        <v>0</v>
      </c>
      <c r="O274" s="7" t="n">
        <v>0</v>
      </c>
      <c r="P274" s="7" t="n">
        <v>0</v>
      </c>
      <c r="Q274" s="7" t="n">
        <v>0</v>
      </c>
      <c r="R274" s="7" t="n">
        <v>0</v>
      </c>
    </row>
    <row r="275" customFormat="false" ht="15" hidden="false" customHeight="true" outlineLevel="0" collapsed="false">
      <c r="A275" s="7" t="n">
        <v>6551</v>
      </c>
      <c r="B275" s="7" t="s">
        <v>44</v>
      </c>
      <c r="C275" s="7" t="s">
        <v>777</v>
      </c>
      <c r="D275" s="7" t="s">
        <v>858</v>
      </c>
      <c r="E275" s="7" t="s">
        <v>127</v>
      </c>
      <c r="F275" s="7" t="n">
        <v>0</v>
      </c>
      <c r="G275" s="7" t="n">
        <v>0</v>
      </c>
      <c r="H275" s="7" t="n">
        <v>0</v>
      </c>
      <c r="I275" s="7" t="n">
        <v>0</v>
      </c>
      <c r="J275" s="7" t="n">
        <v>0</v>
      </c>
      <c r="K275" s="7" t="n">
        <v>0</v>
      </c>
      <c r="L275" s="7" t="n">
        <v>0</v>
      </c>
      <c r="M275" s="7" t="n">
        <v>0</v>
      </c>
      <c r="N275" s="7" t="n">
        <v>0</v>
      </c>
      <c r="O275" s="7" t="n">
        <v>0</v>
      </c>
      <c r="P275" s="7" t="n">
        <v>0</v>
      </c>
      <c r="Q275" s="7" t="n">
        <v>0</v>
      </c>
      <c r="R275" s="7" t="n">
        <v>0</v>
      </c>
    </row>
    <row r="276" customFormat="false" ht="15" hidden="false" customHeight="true" outlineLevel="0" collapsed="false">
      <c r="A276" s="7" t="n">
        <v>6464</v>
      </c>
      <c r="B276" s="7" t="s">
        <v>44</v>
      </c>
      <c r="C276" s="7" t="s">
        <v>777</v>
      </c>
      <c r="D276" s="7" t="s">
        <v>859</v>
      </c>
      <c r="E276" s="7" t="s">
        <v>129</v>
      </c>
      <c r="F276" s="7" t="n">
        <v>0</v>
      </c>
      <c r="G276" s="7" t="n">
        <v>0</v>
      </c>
      <c r="H276" s="7" t="n">
        <v>0</v>
      </c>
      <c r="I276" s="7" t="n">
        <v>0</v>
      </c>
      <c r="J276" s="7" t="n">
        <v>0</v>
      </c>
      <c r="K276" s="7" t="n">
        <v>0</v>
      </c>
      <c r="L276" s="7" t="n">
        <v>0</v>
      </c>
      <c r="M276" s="7" t="n">
        <v>0</v>
      </c>
      <c r="N276" s="7" t="n">
        <v>0</v>
      </c>
      <c r="O276" s="7" t="n">
        <v>0</v>
      </c>
      <c r="P276" s="7" t="n">
        <v>0</v>
      </c>
      <c r="Q276" s="7" t="n">
        <v>0</v>
      </c>
      <c r="R276" s="7" t="n">
        <v>0</v>
      </c>
    </row>
    <row r="277" customFormat="false" ht="15" hidden="false" customHeight="true" outlineLevel="0" collapsed="false">
      <c r="A277" s="7" t="n">
        <v>6636</v>
      </c>
      <c r="B277" s="7" t="s">
        <v>44</v>
      </c>
      <c r="C277" s="7" t="s">
        <v>784</v>
      </c>
      <c r="D277" s="7" t="s">
        <v>860</v>
      </c>
      <c r="E277" s="7" t="s">
        <v>129</v>
      </c>
      <c r="F277" s="7" t="n">
        <v>0</v>
      </c>
      <c r="G277" s="7" t="n">
        <v>0</v>
      </c>
      <c r="H277" s="7" t="n">
        <v>0</v>
      </c>
      <c r="I277" s="7" t="n">
        <v>0</v>
      </c>
      <c r="J277" s="7" t="n">
        <v>0</v>
      </c>
      <c r="K277" s="7" t="n">
        <v>0</v>
      </c>
      <c r="L277" s="7" t="n">
        <v>0</v>
      </c>
      <c r="M277" s="7" t="n">
        <v>0</v>
      </c>
      <c r="N277" s="7" t="n">
        <v>0</v>
      </c>
      <c r="O277" s="7" t="n">
        <v>0</v>
      </c>
      <c r="P277" s="7" t="n">
        <v>0</v>
      </c>
      <c r="Q277" s="7" t="n">
        <v>0</v>
      </c>
      <c r="R277" s="7" t="n">
        <v>0</v>
      </c>
    </row>
    <row r="278" customFormat="false" ht="15" hidden="false" customHeight="true" outlineLevel="0" collapsed="false">
      <c r="A278" s="7" t="n">
        <v>418</v>
      </c>
      <c r="B278" s="7" t="s">
        <v>44</v>
      </c>
      <c r="C278" s="7" t="s">
        <v>777</v>
      </c>
      <c r="D278" s="7" t="s">
        <v>341</v>
      </c>
      <c r="E278" s="7" t="s">
        <v>119</v>
      </c>
      <c r="F278" s="7" t="n">
        <v>0</v>
      </c>
      <c r="G278" s="7" t="n">
        <v>0</v>
      </c>
      <c r="H278" s="7" t="n">
        <v>0</v>
      </c>
      <c r="I278" s="7" t="n">
        <v>0</v>
      </c>
      <c r="J278" s="7" t="n">
        <v>0</v>
      </c>
      <c r="K278" s="7" t="n">
        <v>0</v>
      </c>
      <c r="L278" s="7" t="n">
        <v>0</v>
      </c>
      <c r="M278" s="7" t="n">
        <v>0</v>
      </c>
      <c r="N278" s="7" t="n">
        <v>0</v>
      </c>
      <c r="O278" s="7" t="n">
        <v>0</v>
      </c>
      <c r="P278" s="7" t="n">
        <v>0</v>
      </c>
      <c r="Q278" s="7" t="n">
        <v>0</v>
      </c>
      <c r="R278" s="7" t="n">
        <v>0</v>
      </c>
    </row>
    <row r="279" customFormat="false" ht="15" hidden="false" customHeight="true" outlineLevel="0" collapsed="false">
      <c r="A279" s="7" t="n">
        <v>1891</v>
      </c>
      <c r="B279" s="7" t="s">
        <v>44</v>
      </c>
      <c r="C279" s="7" t="s">
        <v>780</v>
      </c>
      <c r="D279" s="7" t="s">
        <v>861</v>
      </c>
      <c r="E279" s="7" t="s">
        <v>743</v>
      </c>
      <c r="F279" s="7" t="n">
        <v>8</v>
      </c>
      <c r="G279" s="7" t="n">
        <v>5.56</v>
      </c>
      <c r="H279" s="7" t="n">
        <v>5.5</v>
      </c>
      <c r="I279" s="7" t="n">
        <v>0</v>
      </c>
      <c r="J279" s="7" t="n">
        <v>0</v>
      </c>
      <c r="K279" s="7" t="n">
        <v>0</v>
      </c>
      <c r="L279" s="7" t="n">
        <v>0</v>
      </c>
      <c r="M279" s="7" t="n">
        <v>0</v>
      </c>
      <c r="N279" s="7" t="n">
        <v>0</v>
      </c>
      <c r="O279" s="7" t="n">
        <v>1</v>
      </c>
      <c r="P279" s="7" t="n">
        <v>1</v>
      </c>
      <c r="Q279" s="7" t="n">
        <v>1</v>
      </c>
      <c r="R279" s="7" t="n">
        <v>0</v>
      </c>
    </row>
    <row r="280" customFormat="false" ht="15" hidden="false" customHeight="true" outlineLevel="0" collapsed="false">
      <c r="A280" s="7" t="n">
        <v>5891</v>
      </c>
      <c r="B280" s="7" t="s">
        <v>44</v>
      </c>
      <c r="C280" s="7" t="s">
        <v>779</v>
      </c>
      <c r="D280" s="7" t="s">
        <v>862</v>
      </c>
      <c r="E280" s="7" t="s">
        <v>743</v>
      </c>
      <c r="F280" s="7" t="n">
        <v>0</v>
      </c>
      <c r="G280" s="7" t="n">
        <v>0</v>
      </c>
      <c r="H280" s="7" t="n">
        <v>0</v>
      </c>
      <c r="I280" s="7" t="n">
        <v>0</v>
      </c>
      <c r="J280" s="7" t="n">
        <v>0</v>
      </c>
      <c r="K280" s="7" t="n">
        <v>0</v>
      </c>
      <c r="L280" s="7" t="n">
        <v>0</v>
      </c>
      <c r="M280" s="7" t="n">
        <v>0</v>
      </c>
      <c r="N280" s="7" t="n">
        <v>0</v>
      </c>
      <c r="O280" s="7" t="n">
        <v>0</v>
      </c>
      <c r="P280" s="7" t="n">
        <v>0</v>
      </c>
      <c r="Q280" s="7" t="n">
        <v>0</v>
      </c>
      <c r="R280" s="7" t="n">
        <v>0</v>
      </c>
    </row>
    <row r="281" customFormat="false" ht="15" hidden="false" customHeight="true" outlineLevel="0" collapsed="false">
      <c r="A281" s="7" t="n">
        <v>2847</v>
      </c>
      <c r="B281" s="7" t="s">
        <v>44</v>
      </c>
      <c r="C281" s="7" t="s">
        <v>795</v>
      </c>
      <c r="D281" s="7" t="s">
        <v>863</v>
      </c>
      <c r="E281" s="7" t="s">
        <v>743</v>
      </c>
      <c r="F281" s="7" t="n">
        <v>0</v>
      </c>
      <c r="G281" s="7" t="n">
        <v>0</v>
      </c>
      <c r="H281" s="7" t="n">
        <v>0</v>
      </c>
      <c r="I281" s="7" t="n">
        <v>0</v>
      </c>
      <c r="J281" s="7" t="n">
        <v>0</v>
      </c>
      <c r="K281" s="7" t="n">
        <v>0</v>
      </c>
      <c r="L281" s="7" t="n">
        <v>0</v>
      </c>
      <c r="M281" s="7" t="n">
        <v>0</v>
      </c>
      <c r="N281" s="7" t="n">
        <v>0</v>
      </c>
      <c r="O281" s="7" t="n">
        <v>0</v>
      </c>
      <c r="P281" s="7" t="n">
        <v>0</v>
      </c>
      <c r="Q281" s="7" t="n">
        <v>0</v>
      </c>
      <c r="R281" s="7" t="n">
        <v>0</v>
      </c>
    </row>
    <row r="282" customFormat="false" ht="15" hidden="false" customHeight="true" outlineLevel="0" collapsed="false">
      <c r="A282" s="7" t="n">
        <v>6803</v>
      </c>
      <c r="B282" s="7" t="s">
        <v>44</v>
      </c>
      <c r="C282" s="7" t="s">
        <v>779</v>
      </c>
      <c r="D282" s="7" t="s">
        <v>864</v>
      </c>
      <c r="E282" s="7" t="s">
        <v>131</v>
      </c>
      <c r="F282" s="7" t="n">
        <v>0</v>
      </c>
      <c r="G282" s="7" t="n">
        <v>0</v>
      </c>
      <c r="H282" s="7" t="n">
        <v>0</v>
      </c>
      <c r="I282" s="7" t="n">
        <v>0</v>
      </c>
      <c r="J282" s="7" t="n">
        <v>0</v>
      </c>
      <c r="K282" s="7" t="n">
        <v>0</v>
      </c>
      <c r="L282" s="7" t="n">
        <v>0</v>
      </c>
      <c r="M282" s="7" t="n">
        <v>0</v>
      </c>
      <c r="N282" s="7" t="n">
        <v>0</v>
      </c>
      <c r="O282" s="7" t="n">
        <v>0</v>
      </c>
      <c r="P282" s="7" t="n">
        <v>0</v>
      </c>
      <c r="Q282" s="7" t="n">
        <v>0</v>
      </c>
      <c r="R282" s="7" t="n">
        <v>0</v>
      </c>
    </row>
    <row r="283" customFormat="false" ht="15" hidden="false" customHeight="true" outlineLevel="0" collapsed="false">
      <c r="A283" s="7" t="n">
        <v>5899</v>
      </c>
      <c r="B283" s="7" t="s">
        <v>44</v>
      </c>
      <c r="C283" s="7" t="s">
        <v>777</v>
      </c>
      <c r="D283" s="7" t="s">
        <v>865</v>
      </c>
      <c r="E283" s="7" t="s">
        <v>133</v>
      </c>
      <c r="F283" s="7" t="n">
        <v>0</v>
      </c>
      <c r="G283" s="7" t="n">
        <v>0</v>
      </c>
      <c r="H283" s="7" t="n">
        <v>0</v>
      </c>
      <c r="I283" s="7" t="n">
        <v>0</v>
      </c>
      <c r="J283" s="7" t="n">
        <v>0</v>
      </c>
      <c r="K283" s="7" t="n">
        <v>0</v>
      </c>
      <c r="L283" s="7" t="n">
        <v>0</v>
      </c>
      <c r="M283" s="7" t="n">
        <v>0</v>
      </c>
      <c r="N283" s="7" t="n">
        <v>0</v>
      </c>
      <c r="O283" s="7" t="n">
        <v>0</v>
      </c>
      <c r="P283" s="7" t="n">
        <v>0</v>
      </c>
      <c r="Q283" s="7" t="n">
        <v>0</v>
      </c>
      <c r="R283" s="7" t="n">
        <v>0</v>
      </c>
    </row>
    <row r="284" customFormat="false" ht="15" hidden="false" customHeight="true" outlineLevel="0" collapsed="false">
      <c r="A284" s="7" t="n">
        <v>140</v>
      </c>
      <c r="B284" s="7" t="s">
        <v>44</v>
      </c>
      <c r="C284" s="7" t="s">
        <v>795</v>
      </c>
      <c r="D284" s="7" t="s">
        <v>866</v>
      </c>
      <c r="E284" s="7" t="s">
        <v>133</v>
      </c>
      <c r="F284" s="7" t="n">
        <v>2</v>
      </c>
      <c r="G284" s="7" t="n">
        <v>5.5</v>
      </c>
      <c r="H284" s="7" t="n">
        <v>5.5</v>
      </c>
      <c r="I284" s="7" t="n">
        <v>0</v>
      </c>
      <c r="J284" s="7" t="n">
        <v>0</v>
      </c>
      <c r="K284" s="7" t="n">
        <v>0</v>
      </c>
      <c r="L284" s="7" t="n">
        <v>0</v>
      </c>
      <c r="M284" s="7" t="n">
        <v>0</v>
      </c>
      <c r="N284" s="7" t="n">
        <v>0</v>
      </c>
      <c r="O284" s="7" t="n">
        <v>0</v>
      </c>
      <c r="P284" s="7" t="n">
        <v>0</v>
      </c>
      <c r="Q284" s="7" t="n">
        <v>0</v>
      </c>
      <c r="R284" s="7" t="n">
        <v>0</v>
      </c>
    </row>
    <row r="285" customFormat="false" ht="15" hidden="false" customHeight="true" outlineLevel="0" collapsed="false">
      <c r="A285" s="7" t="n">
        <v>7164</v>
      </c>
      <c r="B285" s="7" t="s">
        <v>44</v>
      </c>
      <c r="C285" s="7" t="s">
        <v>780</v>
      </c>
      <c r="D285" s="7" t="s">
        <v>352</v>
      </c>
      <c r="E285" s="7" t="s">
        <v>139</v>
      </c>
      <c r="F285" s="7" t="n">
        <v>1</v>
      </c>
      <c r="G285" s="7" t="n">
        <v>5</v>
      </c>
      <c r="H285" s="7" t="n">
        <v>5</v>
      </c>
      <c r="I285" s="7" t="n">
        <v>0</v>
      </c>
      <c r="J285" s="7" t="n">
        <v>0</v>
      </c>
      <c r="K285" s="7" t="n">
        <v>0</v>
      </c>
      <c r="L285" s="7" t="n">
        <v>0</v>
      </c>
      <c r="M285" s="7" t="n">
        <v>0</v>
      </c>
      <c r="N285" s="7" t="n">
        <v>0</v>
      </c>
      <c r="O285" s="7" t="n">
        <v>0</v>
      </c>
      <c r="P285" s="7" t="n">
        <v>0</v>
      </c>
      <c r="Q285" s="7" t="n">
        <v>0</v>
      </c>
      <c r="R285" s="7" t="n">
        <v>0</v>
      </c>
    </row>
    <row r="286" customFormat="false" ht="15" hidden="false" customHeight="true" outlineLevel="0" collapsed="false">
      <c r="A286" s="7" t="n">
        <v>7136</v>
      </c>
      <c r="B286" s="7" t="s">
        <v>44</v>
      </c>
      <c r="C286" s="7" t="s">
        <v>780</v>
      </c>
      <c r="D286" s="7" t="s">
        <v>867</v>
      </c>
      <c r="E286" s="7" t="s">
        <v>139</v>
      </c>
      <c r="F286" s="7" t="n">
        <v>4</v>
      </c>
      <c r="G286" s="7" t="n">
        <v>5.5</v>
      </c>
      <c r="H286" s="7" t="n">
        <v>5.5</v>
      </c>
      <c r="I286" s="7" t="n">
        <v>0</v>
      </c>
      <c r="J286" s="7" t="n">
        <v>0</v>
      </c>
      <c r="K286" s="7" t="n">
        <v>0</v>
      </c>
      <c r="L286" s="7" t="n">
        <v>0</v>
      </c>
      <c r="M286" s="7" t="n">
        <v>0</v>
      </c>
      <c r="N286" s="7" t="n">
        <v>0</v>
      </c>
      <c r="O286" s="7" t="n">
        <v>0</v>
      </c>
      <c r="P286" s="7" t="n">
        <v>0</v>
      </c>
      <c r="Q286" s="7" t="n">
        <v>0</v>
      </c>
      <c r="R286" s="7" t="n">
        <v>0</v>
      </c>
    </row>
    <row r="287" customFormat="false" ht="15" hidden="false" customHeight="true" outlineLevel="0" collapsed="false">
      <c r="A287" s="7" t="n">
        <v>7182</v>
      </c>
      <c r="B287" s="7" t="s">
        <v>44</v>
      </c>
      <c r="C287" s="7" t="s">
        <v>779</v>
      </c>
      <c r="D287" s="7" t="s">
        <v>353</v>
      </c>
      <c r="E287" s="7" t="s">
        <v>139</v>
      </c>
      <c r="F287" s="7" t="n">
        <v>9</v>
      </c>
      <c r="G287" s="7" t="n">
        <v>5.5</v>
      </c>
      <c r="H287" s="7" t="n">
        <v>5.5</v>
      </c>
      <c r="I287" s="7" t="n">
        <v>0</v>
      </c>
      <c r="J287" s="7" t="n">
        <v>0</v>
      </c>
      <c r="K287" s="7" t="n">
        <v>0</v>
      </c>
      <c r="L287" s="7" t="n">
        <v>0</v>
      </c>
      <c r="M287" s="7" t="n">
        <v>0</v>
      </c>
      <c r="N287" s="7" t="n">
        <v>0</v>
      </c>
      <c r="O287" s="7" t="n">
        <v>0</v>
      </c>
      <c r="P287" s="7" t="n">
        <v>0</v>
      </c>
      <c r="Q287" s="7" t="n">
        <v>0</v>
      </c>
      <c r="R287" s="7" t="n">
        <v>0</v>
      </c>
    </row>
    <row r="288" customFormat="false" ht="15" hidden="false" customHeight="true" outlineLevel="0" collapsed="false">
      <c r="A288" s="7" t="n">
        <v>7140</v>
      </c>
      <c r="B288" s="7" t="s">
        <v>44</v>
      </c>
      <c r="C288" s="7" t="s">
        <v>777</v>
      </c>
      <c r="D288" s="7" t="s">
        <v>868</v>
      </c>
      <c r="E288" s="7" t="s">
        <v>748</v>
      </c>
      <c r="F288" s="7" t="n">
        <v>5</v>
      </c>
      <c r="G288" s="7" t="n">
        <v>5.1</v>
      </c>
      <c r="H288" s="7" t="n">
        <v>4.9</v>
      </c>
      <c r="I288" s="7" t="n">
        <v>0</v>
      </c>
      <c r="J288" s="7" t="n">
        <v>0</v>
      </c>
      <c r="K288" s="7" t="n">
        <v>0</v>
      </c>
      <c r="L288" s="7" t="n">
        <v>0</v>
      </c>
      <c r="M288" s="7" t="n">
        <v>0</v>
      </c>
      <c r="N288" s="7" t="n">
        <v>0</v>
      </c>
      <c r="O288" s="7" t="n">
        <v>0</v>
      </c>
      <c r="P288" s="7" t="n">
        <v>3</v>
      </c>
      <c r="Q288" s="7" t="n">
        <v>0</v>
      </c>
      <c r="R288" s="7" t="n">
        <v>0</v>
      </c>
    </row>
    <row r="289" customFormat="false" ht="15" hidden="false" customHeight="true" outlineLevel="0" collapsed="false">
      <c r="A289" s="7" t="n">
        <v>7170</v>
      </c>
      <c r="B289" s="7" t="s">
        <v>44</v>
      </c>
      <c r="C289" s="7" t="s">
        <v>777</v>
      </c>
      <c r="D289" s="7" t="s">
        <v>869</v>
      </c>
      <c r="E289" s="7" t="s">
        <v>748</v>
      </c>
      <c r="F289" s="7" t="n">
        <v>0</v>
      </c>
      <c r="G289" s="7" t="n">
        <v>0</v>
      </c>
      <c r="H289" s="7" t="n">
        <v>0</v>
      </c>
      <c r="I289" s="7" t="n">
        <v>0</v>
      </c>
      <c r="J289" s="7" t="n">
        <v>0</v>
      </c>
      <c r="K289" s="7" t="n">
        <v>0</v>
      </c>
      <c r="L289" s="7" t="n">
        <v>0</v>
      </c>
      <c r="M289" s="7" t="n">
        <v>0</v>
      </c>
      <c r="N289" s="7" t="n">
        <v>0</v>
      </c>
      <c r="O289" s="7" t="n">
        <v>0</v>
      </c>
      <c r="P289" s="7" t="n">
        <v>0</v>
      </c>
      <c r="Q289" s="7" t="n">
        <v>0</v>
      </c>
      <c r="R289" s="7" t="n">
        <v>0</v>
      </c>
    </row>
    <row r="290" customFormat="false" ht="15" hidden="false" customHeight="true" outlineLevel="0" collapsed="false">
      <c r="A290" s="7" t="n">
        <v>7142</v>
      </c>
      <c r="B290" s="7" t="s">
        <v>44</v>
      </c>
      <c r="C290" s="7" t="s">
        <v>785</v>
      </c>
      <c r="D290" s="7" t="s">
        <v>870</v>
      </c>
      <c r="E290" s="7" t="s">
        <v>748</v>
      </c>
      <c r="F290" s="7" t="n">
        <v>0</v>
      </c>
      <c r="G290" s="7" t="n">
        <v>0</v>
      </c>
      <c r="H290" s="7" t="n">
        <v>0</v>
      </c>
      <c r="I290" s="7" t="n">
        <v>0</v>
      </c>
      <c r="J290" s="7" t="n">
        <v>0</v>
      </c>
      <c r="K290" s="7" t="n">
        <v>0</v>
      </c>
      <c r="L290" s="7" t="n">
        <v>0</v>
      </c>
      <c r="M290" s="7" t="n">
        <v>0</v>
      </c>
      <c r="N290" s="7" t="n">
        <v>0</v>
      </c>
      <c r="O290" s="7" t="n">
        <v>0</v>
      </c>
      <c r="P290" s="7" t="n">
        <v>0</v>
      </c>
      <c r="Q290" s="7" t="n">
        <v>0</v>
      </c>
      <c r="R290" s="7" t="n">
        <v>0</v>
      </c>
    </row>
    <row r="291" customFormat="false" ht="15" hidden="false" customHeight="true" outlineLevel="0" collapsed="false">
      <c r="A291" s="7" t="n">
        <v>6885</v>
      </c>
      <c r="B291" s="7" t="s">
        <v>44</v>
      </c>
      <c r="C291" s="7" t="s">
        <v>785</v>
      </c>
      <c r="D291" s="7" t="s">
        <v>871</v>
      </c>
      <c r="E291" s="7" t="s">
        <v>113</v>
      </c>
      <c r="F291" s="7" t="n">
        <v>0</v>
      </c>
      <c r="G291" s="7" t="n">
        <v>0</v>
      </c>
      <c r="H291" s="7" t="n">
        <v>0</v>
      </c>
      <c r="I291" s="7" t="n">
        <v>0</v>
      </c>
      <c r="J291" s="7" t="n">
        <v>0</v>
      </c>
      <c r="K291" s="7" t="n">
        <v>0</v>
      </c>
      <c r="L291" s="7" t="n">
        <v>0</v>
      </c>
      <c r="M291" s="7" t="n">
        <v>0</v>
      </c>
      <c r="N291" s="7" t="n">
        <v>0</v>
      </c>
      <c r="O291" s="7" t="n">
        <v>0</v>
      </c>
      <c r="P291" s="7" t="n">
        <v>0</v>
      </c>
      <c r="Q291" s="7" t="n">
        <v>0</v>
      </c>
      <c r="R291" s="7" t="n">
        <v>0</v>
      </c>
    </row>
    <row r="292" customFormat="false" ht="15" hidden="false" customHeight="true" outlineLevel="0" collapsed="false">
      <c r="A292" s="7" t="n">
        <v>7154</v>
      </c>
      <c r="B292" s="7" t="s">
        <v>44</v>
      </c>
      <c r="C292" s="7" t="s">
        <v>777</v>
      </c>
      <c r="D292" s="7" t="s">
        <v>872</v>
      </c>
      <c r="E292" s="7" t="s">
        <v>144</v>
      </c>
      <c r="F292" s="7" t="n">
        <v>0</v>
      </c>
      <c r="G292" s="7" t="n">
        <v>0</v>
      </c>
      <c r="H292" s="7" t="n">
        <v>0</v>
      </c>
      <c r="I292" s="7" t="n">
        <v>0</v>
      </c>
      <c r="J292" s="7" t="n">
        <v>0</v>
      </c>
      <c r="K292" s="7" t="n">
        <v>0</v>
      </c>
      <c r="L292" s="7" t="n">
        <v>0</v>
      </c>
      <c r="M292" s="7" t="n">
        <v>0</v>
      </c>
      <c r="N292" s="7" t="n">
        <v>0</v>
      </c>
      <c r="O292" s="7" t="n">
        <v>0</v>
      </c>
      <c r="P292" s="7" t="n">
        <v>0</v>
      </c>
      <c r="Q292" s="7" t="n">
        <v>0</v>
      </c>
      <c r="R292" s="7" t="n">
        <v>0</v>
      </c>
    </row>
    <row r="293" customFormat="false" ht="15" hidden="false" customHeight="true" outlineLevel="0" collapsed="false">
      <c r="A293" s="7" t="n">
        <v>2279</v>
      </c>
      <c r="B293" s="7" t="s">
        <v>44</v>
      </c>
      <c r="C293" s="7" t="s">
        <v>777</v>
      </c>
      <c r="D293" s="7" t="s">
        <v>873</v>
      </c>
      <c r="E293" s="7" t="s">
        <v>144</v>
      </c>
      <c r="F293" s="7" t="n">
        <v>5</v>
      </c>
      <c r="G293" s="7" t="n">
        <v>5.7</v>
      </c>
      <c r="H293" s="7" t="n">
        <v>5.7</v>
      </c>
      <c r="I293" s="7" t="n">
        <v>0</v>
      </c>
      <c r="J293" s="7" t="n">
        <v>0</v>
      </c>
      <c r="K293" s="7" t="n">
        <v>0</v>
      </c>
      <c r="L293" s="7" t="n">
        <v>0</v>
      </c>
      <c r="M293" s="7" t="n">
        <v>0</v>
      </c>
      <c r="N293" s="7" t="n">
        <v>0</v>
      </c>
      <c r="O293" s="7" t="n">
        <v>0</v>
      </c>
      <c r="P293" s="7" t="n">
        <v>0</v>
      </c>
      <c r="Q293" s="7" t="n">
        <v>0</v>
      </c>
      <c r="R293" s="7" t="n">
        <v>0</v>
      </c>
    </row>
    <row r="294" customFormat="false" ht="15" hidden="false" customHeight="true" outlineLevel="0" collapsed="false">
      <c r="A294" s="7" t="n">
        <v>6431</v>
      </c>
      <c r="B294" s="7" t="s">
        <v>44</v>
      </c>
      <c r="C294" s="7" t="s">
        <v>785</v>
      </c>
      <c r="D294" s="7" t="s">
        <v>874</v>
      </c>
      <c r="E294" s="7" t="s">
        <v>144</v>
      </c>
      <c r="F294" s="7" t="n">
        <v>0</v>
      </c>
      <c r="G294" s="7" t="n">
        <v>0</v>
      </c>
      <c r="H294" s="7" t="n">
        <v>0</v>
      </c>
      <c r="I294" s="7" t="n">
        <v>0</v>
      </c>
      <c r="J294" s="7" t="n">
        <v>0</v>
      </c>
      <c r="K294" s="7" t="n">
        <v>0</v>
      </c>
      <c r="L294" s="7" t="n">
        <v>0</v>
      </c>
      <c r="M294" s="7" t="n">
        <v>0</v>
      </c>
      <c r="N294" s="7" t="n">
        <v>0</v>
      </c>
      <c r="O294" s="7" t="n">
        <v>0</v>
      </c>
      <c r="P294" s="7" t="n">
        <v>0</v>
      </c>
      <c r="Q294" s="7" t="n">
        <v>0</v>
      </c>
      <c r="R294" s="7" t="n">
        <v>0</v>
      </c>
    </row>
    <row r="295" customFormat="false" ht="15" hidden="false" customHeight="true" outlineLevel="0" collapsed="false">
      <c r="A295" s="7" t="n">
        <v>7156</v>
      </c>
      <c r="B295" s="7" t="s">
        <v>44</v>
      </c>
      <c r="C295" s="7" t="s">
        <v>779</v>
      </c>
      <c r="D295" s="7" t="s">
        <v>362</v>
      </c>
      <c r="E295" s="7" t="s">
        <v>144</v>
      </c>
      <c r="F295" s="7" t="n">
        <v>0</v>
      </c>
      <c r="G295" s="7" t="n">
        <v>0</v>
      </c>
      <c r="H295" s="7" t="n">
        <v>0</v>
      </c>
      <c r="I295" s="7" t="n">
        <v>0</v>
      </c>
      <c r="J295" s="7" t="n">
        <v>0</v>
      </c>
      <c r="K295" s="7" t="n">
        <v>0</v>
      </c>
      <c r="L295" s="7" t="n">
        <v>0</v>
      </c>
      <c r="M295" s="7" t="n">
        <v>0</v>
      </c>
      <c r="N295" s="7" t="n">
        <v>0</v>
      </c>
      <c r="O295" s="7" t="n">
        <v>0</v>
      </c>
      <c r="P295" s="7" t="n">
        <v>0</v>
      </c>
      <c r="Q295" s="7" t="n">
        <v>0</v>
      </c>
      <c r="R295" s="7" t="n">
        <v>0</v>
      </c>
    </row>
    <row r="296" customFormat="false" ht="15" hidden="false" customHeight="true" outlineLevel="0" collapsed="false">
      <c r="A296" s="7" t="n">
        <v>6041</v>
      </c>
      <c r="B296" s="7" t="s">
        <v>44</v>
      </c>
      <c r="C296" s="7" t="s">
        <v>777</v>
      </c>
      <c r="D296" s="7" t="s">
        <v>875</v>
      </c>
      <c r="E296" s="7" t="s">
        <v>184</v>
      </c>
      <c r="F296" s="7" t="n">
        <v>0</v>
      </c>
      <c r="G296" s="7" t="n">
        <v>0</v>
      </c>
      <c r="H296" s="7" t="n">
        <v>0</v>
      </c>
      <c r="I296" s="7" t="n">
        <v>0</v>
      </c>
      <c r="J296" s="7" t="n">
        <v>0</v>
      </c>
      <c r="K296" s="7" t="n">
        <v>0</v>
      </c>
      <c r="L296" s="7" t="n">
        <v>0</v>
      </c>
      <c r="M296" s="7" t="n">
        <v>0</v>
      </c>
      <c r="N296" s="7" t="n">
        <v>0</v>
      </c>
      <c r="O296" s="7" t="n">
        <v>0</v>
      </c>
      <c r="P296" s="7" t="n">
        <v>0</v>
      </c>
      <c r="Q296" s="7" t="n">
        <v>0</v>
      </c>
      <c r="R296" s="7" t="n">
        <v>0</v>
      </c>
    </row>
    <row r="297" customFormat="false" ht="15" hidden="false" customHeight="true" outlineLevel="0" collapsed="false">
      <c r="A297" s="7" t="n">
        <v>6826</v>
      </c>
      <c r="B297" s="7" t="s">
        <v>44</v>
      </c>
      <c r="C297" s="7" t="s">
        <v>785</v>
      </c>
      <c r="D297" s="7" t="s">
        <v>876</v>
      </c>
      <c r="E297" s="7" t="s">
        <v>184</v>
      </c>
      <c r="F297" s="7" t="n">
        <v>1</v>
      </c>
      <c r="G297" s="7" t="n">
        <v>5</v>
      </c>
      <c r="H297" s="7" t="n">
        <v>5</v>
      </c>
      <c r="I297" s="7" t="n">
        <v>0</v>
      </c>
      <c r="J297" s="7" t="n">
        <v>0</v>
      </c>
      <c r="K297" s="7" t="n">
        <v>0</v>
      </c>
      <c r="L297" s="7" t="n">
        <v>0</v>
      </c>
      <c r="M297" s="7" t="n">
        <v>0</v>
      </c>
      <c r="N297" s="7" t="n">
        <v>0</v>
      </c>
      <c r="O297" s="7" t="n">
        <v>0</v>
      </c>
      <c r="P297" s="7" t="n">
        <v>0</v>
      </c>
      <c r="Q297" s="7" t="n">
        <v>0</v>
      </c>
      <c r="R297" s="7" t="n">
        <v>0</v>
      </c>
    </row>
    <row r="298" customFormat="false" ht="15" hidden="false" customHeight="true" outlineLevel="0" collapsed="false">
      <c r="A298" s="7" t="n">
        <v>6900</v>
      </c>
      <c r="B298" s="7" t="s">
        <v>44</v>
      </c>
      <c r="C298" s="7" t="s">
        <v>776</v>
      </c>
      <c r="D298" s="7" t="s">
        <v>877</v>
      </c>
      <c r="E298" s="7" t="s">
        <v>135</v>
      </c>
      <c r="F298" s="7" t="n">
        <v>2</v>
      </c>
      <c r="G298" s="7" t="n">
        <v>5.75</v>
      </c>
      <c r="H298" s="7" t="n">
        <v>6.25</v>
      </c>
      <c r="I298" s="7" t="n">
        <v>0</v>
      </c>
      <c r="J298" s="7" t="n">
        <v>0</v>
      </c>
      <c r="K298" s="7" t="n">
        <v>0</v>
      </c>
      <c r="L298" s="7" t="n">
        <v>0</v>
      </c>
      <c r="M298" s="7" t="n">
        <v>0</v>
      </c>
      <c r="N298" s="7" t="n">
        <v>0</v>
      </c>
      <c r="O298" s="7" t="n">
        <v>1</v>
      </c>
      <c r="P298" s="7" t="n">
        <v>0</v>
      </c>
      <c r="Q298" s="7" t="n">
        <v>0</v>
      </c>
      <c r="R298" s="7" t="n">
        <v>0</v>
      </c>
    </row>
    <row r="299" customFormat="false" ht="15" hidden="false" customHeight="true" outlineLevel="0" collapsed="false">
      <c r="A299" s="7" t="n">
        <v>7196</v>
      </c>
      <c r="B299" s="7" t="s">
        <v>44</v>
      </c>
      <c r="C299" s="7" t="s">
        <v>777</v>
      </c>
      <c r="D299" s="7" t="s">
        <v>878</v>
      </c>
      <c r="E299" s="7" t="s">
        <v>748</v>
      </c>
      <c r="F299" s="7" t="n">
        <v>2</v>
      </c>
      <c r="G299" s="7" t="n">
        <v>5.5</v>
      </c>
      <c r="H299" s="7" t="n">
        <v>5.25</v>
      </c>
      <c r="I299" s="7" t="n">
        <v>0</v>
      </c>
      <c r="J299" s="7" t="n">
        <v>0</v>
      </c>
      <c r="K299" s="7" t="n">
        <v>0</v>
      </c>
      <c r="L299" s="7" t="n">
        <v>0</v>
      </c>
      <c r="M299" s="7" t="n">
        <v>0</v>
      </c>
      <c r="N299" s="7" t="n">
        <v>0</v>
      </c>
      <c r="O299" s="7" t="n">
        <v>0</v>
      </c>
      <c r="P299" s="7" t="n">
        <v>1</v>
      </c>
      <c r="Q299" s="7" t="n">
        <v>0</v>
      </c>
      <c r="R299" s="7" t="n">
        <v>0</v>
      </c>
    </row>
    <row r="300" customFormat="false" ht="15" hidden="false" customHeight="true" outlineLevel="0" collapsed="false">
      <c r="A300" s="7" t="n">
        <v>6985</v>
      </c>
      <c r="B300" s="7" t="s">
        <v>44</v>
      </c>
      <c r="C300" s="7" t="s">
        <v>784</v>
      </c>
      <c r="D300" s="7" t="s">
        <v>319</v>
      </c>
      <c r="E300" s="7" t="s">
        <v>144</v>
      </c>
      <c r="F300" s="7" t="n">
        <v>8</v>
      </c>
      <c r="G300" s="7" t="n">
        <v>5.69</v>
      </c>
      <c r="H300" s="7" t="n">
        <v>5.56</v>
      </c>
      <c r="I300" s="7" t="n">
        <v>0</v>
      </c>
      <c r="J300" s="7" t="n">
        <v>0</v>
      </c>
      <c r="K300" s="7" t="n">
        <v>0</v>
      </c>
      <c r="L300" s="7" t="n">
        <v>0</v>
      </c>
      <c r="M300" s="7" t="n">
        <v>0</v>
      </c>
      <c r="N300" s="7" t="n">
        <v>0</v>
      </c>
      <c r="O300" s="7" t="n">
        <v>0</v>
      </c>
      <c r="P300" s="7" t="n">
        <v>2</v>
      </c>
      <c r="Q300" s="7" t="n">
        <v>0</v>
      </c>
      <c r="R300" s="7" t="n">
        <v>0</v>
      </c>
    </row>
    <row r="301" customFormat="false" ht="15" hidden="false" customHeight="true" outlineLevel="0" collapsed="false">
      <c r="A301" s="7" t="n">
        <v>5324</v>
      </c>
      <c r="B301" s="7" t="s">
        <v>44</v>
      </c>
      <c r="C301" s="7" t="s">
        <v>879</v>
      </c>
      <c r="D301" s="7" t="s">
        <v>880</v>
      </c>
      <c r="E301" s="7" t="s">
        <v>117</v>
      </c>
      <c r="F301" s="7" t="n">
        <v>0</v>
      </c>
      <c r="G301" s="7" t="n">
        <v>0</v>
      </c>
      <c r="H301" s="7" t="n">
        <v>0</v>
      </c>
      <c r="I301" s="7" t="n">
        <v>0</v>
      </c>
      <c r="J301" s="7" t="n">
        <v>0</v>
      </c>
      <c r="K301" s="7" t="n">
        <v>0</v>
      </c>
      <c r="L301" s="7" t="n">
        <v>0</v>
      </c>
      <c r="M301" s="7" t="n">
        <v>0</v>
      </c>
      <c r="N301" s="7" t="n">
        <v>0</v>
      </c>
      <c r="O301" s="7" t="n">
        <v>0</v>
      </c>
      <c r="P301" s="7" t="n">
        <v>0</v>
      </c>
      <c r="Q301" s="7" t="n">
        <v>0</v>
      </c>
      <c r="R301" s="7" t="n">
        <v>0</v>
      </c>
    </row>
    <row r="302" customFormat="false" ht="15" hidden="false" customHeight="true" outlineLevel="0" collapsed="false">
      <c r="A302" s="7" t="n">
        <v>7238</v>
      </c>
      <c r="B302" s="7" t="s">
        <v>44</v>
      </c>
      <c r="C302" s="7" t="s">
        <v>777</v>
      </c>
      <c r="D302" s="7" t="s">
        <v>315</v>
      </c>
      <c r="E302" s="7" t="s">
        <v>123</v>
      </c>
      <c r="F302" s="7" t="n">
        <v>1</v>
      </c>
      <c r="G302" s="7" t="n">
        <v>6</v>
      </c>
      <c r="H302" s="7" t="n">
        <v>6</v>
      </c>
      <c r="I302" s="7" t="n">
        <v>0</v>
      </c>
      <c r="J302" s="7" t="n">
        <v>0</v>
      </c>
      <c r="K302" s="7" t="n">
        <v>0</v>
      </c>
      <c r="L302" s="7" t="n">
        <v>0</v>
      </c>
      <c r="M302" s="7" t="n">
        <v>0</v>
      </c>
      <c r="N302" s="7" t="n">
        <v>0</v>
      </c>
      <c r="O302" s="7" t="n">
        <v>0</v>
      </c>
      <c r="P302" s="7" t="n">
        <v>0</v>
      </c>
      <c r="Q302" s="7" t="n">
        <v>0</v>
      </c>
      <c r="R302" s="7" t="n">
        <v>0</v>
      </c>
    </row>
    <row r="303" customFormat="false" ht="15" hidden="false" customHeight="true" outlineLevel="0" collapsed="false">
      <c r="A303" s="7" t="n">
        <v>6351</v>
      </c>
      <c r="B303" s="7" t="s">
        <v>44</v>
      </c>
      <c r="C303" s="7" t="s">
        <v>795</v>
      </c>
      <c r="D303" s="7" t="s">
        <v>881</v>
      </c>
      <c r="E303" s="7" t="s">
        <v>123</v>
      </c>
      <c r="F303" s="7" t="n">
        <v>1</v>
      </c>
      <c r="G303" s="7" t="n">
        <v>6</v>
      </c>
      <c r="H303" s="7" t="n">
        <v>6</v>
      </c>
      <c r="I303" s="7" t="n">
        <v>0</v>
      </c>
      <c r="J303" s="7" t="n">
        <v>0</v>
      </c>
      <c r="K303" s="7" t="n">
        <v>0</v>
      </c>
      <c r="L303" s="7" t="n">
        <v>0</v>
      </c>
      <c r="M303" s="7" t="n">
        <v>0</v>
      </c>
      <c r="N303" s="7" t="n">
        <v>0</v>
      </c>
      <c r="O303" s="7" t="n">
        <v>0</v>
      </c>
      <c r="P303" s="7" t="n">
        <v>0</v>
      </c>
      <c r="Q303" s="7" t="n">
        <v>0</v>
      </c>
      <c r="R303" s="7" t="n">
        <v>0</v>
      </c>
    </row>
    <row r="304" customFormat="false" ht="15" hidden="false" customHeight="true" outlineLevel="0" collapsed="false">
      <c r="A304" s="7" t="n">
        <v>6870</v>
      </c>
      <c r="B304" s="7" t="s">
        <v>44</v>
      </c>
      <c r="C304" s="7" t="s">
        <v>777</v>
      </c>
      <c r="D304" s="7" t="s">
        <v>882</v>
      </c>
      <c r="E304" s="7" t="s">
        <v>743</v>
      </c>
      <c r="F304" s="7" t="n">
        <v>7</v>
      </c>
      <c r="G304" s="7" t="n">
        <v>5.71</v>
      </c>
      <c r="H304" s="7" t="n">
        <v>5.64</v>
      </c>
      <c r="I304" s="7" t="n">
        <v>0</v>
      </c>
      <c r="J304" s="7" t="n">
        <v>0</v>
      </c>
      <c r="K304" s="7" t="n">
        <v>0</v>
      </c>
      <c r="L304" s="7" t="n">
        <v>0</v>
      </c>
      <c r="M304" s="7" t="n">
        <v>0</v>
      </c>
      <c r="N304" s="7" t="n">
        <v>0</v>
      </c>
      <c r="O304" s="7" t="n">
        <v>0</v>
      </c>
      <c r="P304" s="7" t="n">
        <v>1</v>
      </c>
      <c r="Q304" s="7" t="n">
        <v>0</v>
      </c>
      <c r="R304" s="7" t="n">
        <v>0</v>
      </c>
    </row>
    <row r="305" customFormat="false" ht="15" hidden="false" customHeight="true" outlineLevel="0" collapsed="false">
      <c r="A305" s="7" t="n">
        <v>7271</v>
      </c>
      <c r="B305" s="7" t="s">
        <v>44</v>
      </c>
      <c r="C305" s="7" t="s">
        <v>777</v>
      </c>
      <c r="D305" s="7" t="s">
        <v>883</v>
      </c>
      <c r="E305" s="7" t="s">
        <v>121</v>
      </c>
      <c r="F305" s="7" t="n">
        <v>0</v>
      </c>
      <c r="G305" s="7" t="n">
        <v>0</v>
      </c>
      <c r="H305" s="7" t="n">
        <v>0</v>
      </c>
      <c r="I305" s="7" t="n">
        <v>0</v>
      </c>
      <c r="J305" s="7" t="n">
        <v>0</v>
      </c>
      <c r="K305" s="7" t="n">
        <v>0</v>
      </c>
      <c r="L305" s="7" t="n">
        <v>0</v>
      </c>
      <c r="M305" s="7" t="n">
        <v>0</v>
      </c>
      <c r="N305" s="7" t="n">
        <v>0</v>
      </c>
      <c r="O305" s="7" t="n">
        <v>0</v>
      </c>
      <c r="P305" s="7" t="n">
        <v>0</v>
      </c>
      <c r="Q305" s="7" t="n">
        <v>0</v>
      </c>
      <c r="R305" s="7" t="n">
        <v>0</v>
      </c>
    </row>
    <row r="306" customFormat="false" ht="15" hidden="false" customHeight="true" outlineLevel="0" collapsed="false">
      <c r="A306" s="7" t="n">
        <v>388</v>
      </c>
      <c r="B306" s="7" t="s">
        <v>44</v>
      </c>
      <c r="C306" s="7" t="s">
        <v>777</v>
      </c>
      <c r="D306" s="7" t="s">
        <v>884</v>
      </c>
      <c r="E306" s="7" t="s">
        <v>748</v>
      </c>
      <c r="F306" s="7" t="n">
        <v>8</v>
      </c>
      <c r="G306" s="7" t="n">
        <v>5.62</v>
      </c>
      <c r="H306" s="7" t="n">
        <v>5.69</v>
      </c>
      <c r="I306" s="7" t="n">
        <v>0</v>
      </c>
      <c r="J306" s="7" t="n">
        <v>0</v>
      </c>
      <c r="K306" s="7" t="n">
        <v>0</v>
      </c>
      <c r="L306" s="7" t="n">
        <v>0</v>
      </c>
      <c r="M306" s="7" t="n">
        <v>0</v>
      </c>
      <c r="N306" s="7" t="n">
        <v>0</v>
      </c>
      <c r="O306" s="7" t="n">
        <v>1</v>
      </c>
      <c r="P306" s="7" t="n">
        <v>1</v>
      </c>
      <c r="Q306" s="7" t="n">
        <v>0</v>
      </c>
      <c r="R306" s="7" t="n">
        <v>0</v>
      </c>
    </row>
    <row r="307" customFormat="false" ht="15" hidden="false" customHeight="true" outlineLevel="0" collapsed="false">
      <c r="A307" s="7" t="n">
        <v>6874</v>
      </c>
      <c r="B307" s="7" t="s">
        <v>44</v>
      </c>
      <c r="C307" s="7" t="s">
        <v>777</v>
      </c>
      <c r="D307" s="7" t="s">
        <v>885</v>
      </c>
      <c r="E307" s="7" t="s">
        <v>115</v>
      </c>
      <c r="F307" s="7" t="n">
        <v>0</v>
      </c>
      <c r="G307" s="7" t="n">
        <v>0</v>
      </c>
      <c r="H307" s="7" t="n">
        <v>0</v>
      </c>
      <c r="I307" s="7" t="n">
        <v>0</v>
      </c>
      <c r="J307" s="7" t="n">
        <v>0</v>
      </c>
      <c r="K307" s="7" t="n">
        <v>0</v>
      </c>
      <c r="L307" s="7" t="n">
        <v>0</v>
      </c>
      <c r="M307" s="7" t="n">
        <v>0</v>
      </c>
      <c r="N307" s="7" t="n">
        <v>0</v>
      </c>
      <c r="O307" s="7" t="n">
        <v>0</v>
      </c>
      <c r="P307" s="7" t="n">
        <v>0</v>
      </c>
      <c r="Q307" s="7" t="n">
        <v>0</v>
      </c>
      <c r="R307" s="7" t="n">
        <v>0</v>
      </c>
    </row>
    <row r="308" customFormat="false" ht="15" hidden="false" customHeight="true" outlineLevel="0" collapsed="false">
      <c r="A308" s="7" t="n">
        <v>7325</v>
      </c>
      <c r="B308" s="7" t="s">
        <v>44</v>
      </c>
      <c r="C308" s="7" t="s">
        <v>777</v>
      </c>
      <c r="D308" s="7" t="s">
        <v>886</v>
      </c>
      <c r="E308" s="7" t="s">
        <v>748</v>
      </c>
      <c r="F308" s="7" t="n">
        <v>8</v>
      </c>
      <c r="G308" s="7" t="n">
        <v>5.25</v>
      </c>
      <c r="H308" s="7" t="n">
        <v>5.06</v>
      </c>
      <c r="I308" s="7" t="n">
        <v>0</v>
      </c>
      <c r="J308" s="7" t="n">
        <v>0</v>
      </c>
      <c r="K308" s="7" t="n">
        <v>0</v>
      </c>
      <c r="L308" s="7" t="n">
        <v>0</v>
      </c>
      <c r="M308" s="7" t="n">
        <v>0</v>
      </c>
      <c r="N308" s="7" t="n">
        <v>0</v>
      </c>
      <c r="O308" s="7" t="n">
        <v>0</v>
      </c>
      <c r="P308" s="7" t="n">
        <v>1</v>
      </c>
      <c r="Q308" s="7" t="n">
        <v>1</v>
      </c>
      <c r="R308" s="7" t="n">
        <v>0</v>
      </c>
    </row>
    <row r="309" customFormat="false" ht="15" hidden="false" customHeight="true" outlineLevel="0" collapsed="false">
      <c r="A309" s="7" t="n">
        <v>7346</v>
      </c>
      <c r="B309" s="7" t="s">
        <v>44</v>
      </c>
      <c r="C309" s="7" t="s">
        <v>785</v>
      </c>
      <c r="D309" s="7" t="s">
        <v>340</v>
      </c>
      <c r="E309" s="7" t="s">
        <v>129</v>
      </c>
      <c r="F309" s="7" t="n">
        <v>0</v>
      </c>
      <c r="G309" s="7" t="n">
        <v>0</v>
      </c>
      <c r="H309" s="7" t="n">
        <v>0</v>
      </c>
      <c r="I309" s="7" t="n">
        <v>0</v>
      </c>
      <c r="J309" s="7" t="n">
        <v>0</v>
      </c>
      <c r="K309" s="7" t="n">
        <v>0</v>
      </c>
      <c r="L309" s="7" t="n">
        <v>0</v>
      </c>
      <c r="M309" s="7" t="n">
        <v>0</v>
      </c>
      <c r="N309" s="7" t="n">
        <v>0</v>
      </c>
      <c r="O309" s="7" t="n">
        <v>0</v>
      </c>
      <c r="P309" s="7" t="n">
        <v>0</v>
      </c>
      <c r="Q309" s="7" t="n">
        <v>0</v>
      </c>
      <c r="R309" s="7" t="n">
        <v>0</v>
      </c>
    </row>
    <row r="310" customFormat="false" ht="15" hidden="false" customHeight="true" outlineLevel="0" collapsed="false">
      <c r="A310" s="7" t="n">
        <v>6875</v>
      </c>
      <c r="B310" s="7" t="s">
        <v>45</v>
      </c>
      <c r="C310" s="7" t="s">
        <v>887</v>
      </c>
      <c r="D310" s="7" t="s">
        <v>366</v>
      </c>
      <c r="E310" s="7" t="s">
        <v>119</v>
      </c>
      <c r="F310" s="7" t="n">
        <v>35</v>
      </c>
      <c r="G310" s="7" t="n">
        <v>6.37</v>
      </c>
      <c r="H310" s="7" t="n">
        <v>7.3</v>
      </c>
      <c r="I310" s="7" t="n">
        <v>12</v>
      </c>
      <c r="J310" s="7" t="n">
        <v>0</v>
      </c>
      <c r="K310" s="7" t="n">
        <v>0</v>
      </c>
      <c r="L310" s="7" t="n">
        <v>2</v>
      </c>
      <c r="M310" s="7" t="n">
        <v>0</v>
      </c>
      <c r="N310" s="7" t="n">
        <v>2</v>
      </c>
      <c r="O310" s="7" t="n">
        <v>5</v>
      </c>
      <c r="P310" s="7" t="n">
        <v>5</v>
      </c>
      <c r="Q310" s="7" t="n">
        <v>0</v>
      </c>
      <c r="R310" s="7" t="n">
        <v>0</v>
      </c>
    </row>
    <row r="311" customFormat="false" ht="15" hidden="false" customHeight="true" outlineLevel="0" collapsed="false">
      <c r="A311" s="7" t="n">
        <v>4777</v>
      </c>
      <c r="B311" s="7" t="s">
        <v>45</v>
      </c>
      <c r="C311" s="7" t="s">
        <v>888</v>
      </c>
      <c r="D311" s="7" t="s">
        <v>367</v>
      </c>
      <c r="E311" s="7" t="s">
        <v>125</v>
      </c>
      <c r="F311" s="7" t="n">
        <v>33</v>
      </c>
      <c r="G311" s="7" t="n">
        <v>6.39</v>
      </c>
      <c r="H311" s="7" t="n">
        <v>7.26</v>
      </c>
      <c r="I311" s="7" t="n">
        <v>10</v>
      </c>
      <c r="J311" s="7" t="n">
        <v>0</v>
      </c>
      <c r="K311" s="7" t="n">
        <v>0</v>
      </c>
      <c r="L311" s="7" t="n">
        <v>1</v>
      </c>
      <c r="M311" s="7" t="n">
        <v>0</v>
      </c>
      <c r="N311" s="7" t="n">
        <v>1</v>
      </c>
      <c r="O311" s="7" t="n">
        <v>2</v>
      </c>
      <c r="P311" s="7" t="n">
        <v>1</v>
      </c>
      <c r="Q311" s="7" t="n">
        <v>0</v>
      </c>
      <c r="R311" s="7" t="n">
        <v>0</v>
      </c>
    </row>
    <row r="312" customFormat="false" ht="15" hidden="false" customHeight="true" outlineLevel="0" collapsed="false">
      <c r="A312" s="7" t="n">
        <v>7126</v>
      </c>
      <c r="B312" s="7" t="s">
        <v>45</v>
      </c>
      <c r="C312" s="7" t="s">
        <v>889</v>
      </c>
      <c r="D312" s="7" t="s">
        <v>372</v>
      </c>
      <c r="E312" s="7" t="s">
        <v>119</v>
      </c>
      <c r="F312" s="7" t="n">
        <v>25</v>
      </c>
      <c r="G312" s="7" t="n">
        <v>6.3</v>
      </c>
      <c r="H312" s="7" t="n">
        <v>7.14</v>
      </c>
      <c r="I312" s="7" t="n">
        <v>6</v>
      </c>
      <c r="J312" s="7" t="n">
        <v>0</v>
      </c>
      <c r="K312" s="7" t="n">
        <v>0</v>
      </c>
      <c r="L312" s="7" t="n">
        <v>0</v>
      </c>
      <c r="M312" s="7" t="n">
        <v>0</v>
      </c>
      <c r="N312" s="7" t="n">
        <v>0</v>
      </c>
      <c r="O312" s="7" t="n">
        <v>3</v>
      </c>
      <c r="P312" s="7" t="n">
        <v>0</v>
      </c>
      <c r="Q312" s="7" t="n">
        <v>0</v>
      </c>
      <c r="R312" s="7" t="n">
        <v>0</v>
      </c>
    </row>
    <row r="313" customFormat="false" ht="15" hidden="false" customHeight="true" outlineLevel="0" collapsed="false">
      <c r="A313" s="7" t="n">
        <v>2194</v>
      </c>
      <c r="B313" s="7" t="s">
        <v>45</v>
      </c>
      <c r="C313" s="7" t="s">
        <v>890</v>
      </c>
      <c r="D313" s="7" t="s">
        <v>368</v>
      </c>
      <c r="E313" s="7" t="s">
        <v>115</v>
      </c>
      <c r="F313" s="7" t="n">
        <v>22</v>
      </c>
      <c r="G313" s="7" t="n">
        <v>6.52</v>
      </c>
      <c r="H313" s="7" t="n">
        <v>7.64</v>
      </c>
      <c r="I313" s="7" t="n">
        <v>9</v>
      </c>
      <c r="J313" s="7" t="n">
        <v>0</v>
      </c>
      <c r="K313" s="7" t="n">
        <v>0</v>
      </c>
      <c r="L313" s="7" t="n">
        <v>5</v>
      </c>
      <c r="M313" s="7" t="n">
        <v>4</v>
      </c>
      <c r="N313" s="7" t="n">
        <v>1</v>
      </c>
      <c r="O313" s="7" t="n">
        <v>4</v>
      </c>
      <c r="P313" s="7" t="n">
        <v>7</v>
      </c>
      <c r="Q313" s="7" t="n">
        <v>0</v>
      </c>
      <c r="R313" s="7" t="n">
        <v>0</v>
      </c>
    </row>
    <row r="314" customFormat="false" ht="15" hidden="false" customHeight="true" outlineLevel="0" collapsed="false">
      <c r="A314" s="7" t="n">
        <v>2423</v>
      </c>
      <c r="B314" s="7" t="s">
        <v>45</v>
      </c>
      <c r="C314" s="7" t="s">
        <v>887</v>
      </c>
      <c r="D314" s="7" t="s">
        <v>370</v>
      </c>
      <c r="E314" s="7" t="s">
        <v>121</v>
      </c>
      <c r="F314" s="7" t="n">
        <v>27</v>
      </c>
      <c r="G314" s="7" t="n">
        <v>6.15</v>
      </c>
      <c r="H314" s="7" t="n">
        <v>7.07</v>
      </c>
      <c r="I314" s="7" t="n">
        <v>8</v>
      </c>
      <c r="J314" s="7" t="n">
        <v>0</v>
      </c>
      <c r="K314" s="7" t="n">
        <v>0</v>
      </c>
      <c r="L314" s="7" t="n">
        <v>1</v>
      </c>
      <c r="M314" s="7" t="n">
        <v>0</v>
      </c>
      <c r="N314" s="7" t="n">
        <v>1</v>
      </c>
      <c r="O314" s="7" t="n">
        <v>4</v>
      </c>
      <c r="P314" s="7" t="n">
        <v>0</v>
      </c>
      <c r="Q314" s="7" t="n">
        <v>0</v>
      </c>
      <c r="R314" s="7" t="n">
        <v>0</v>
      </c>
    </row>
    <row r="315" customFormat="false" ht="15" hidden="false" customHeight="true" outlineLevel="0" collapsed="false">
      <c r="A315" s="7" t="n">
        <v>2379</v>
      </c>
      <c r="B315" s="7" t="s">
        <v>45</v>
      </c>
      <c r="C315" s="7" t="s">
        <v>888</v>
      </c>
      <c r="D315" s="7" t="s">
        <v>371</v>
      </c>
      <c r="E315" s="7" t="s">
        <v>121</v>
      </c>
      <c r="F315" s="7" t="n">
        <v>29</v>
      </c>
      <c r="G315" s="7" t="n">
        <v>6.33</v>
      </c>
      <c r="H315" s="7" t="n">
        <v>6.98</v>
      </c>
      <c r="I315" s="7" t="n">
        <v>6</v>
      </c>
      <c r="J315" s="7" t="n">
        <v>0</v>
      </c>
      <c r="K315" s="7" t="n">
        <v>0</v>
      </c>
      <c r="L315" s="7" t="n">
        <v>0</v>
      </c>
      <c r="M315" s="7" t="n">
        <v>0</v>
      </c>
      <c r="N315" s="7" t="n">
        <v>0</v>
      </c>
      <c r="O315" s="7" t="n">
        <v>4</v>
      </c>
      <c r="P315" s="7" t="n">
        <v>4</v>
      </c>
      <c r="Q315" s="7" t="n">
        <v>1</v>
      </c>
      <c r="R315" s="7" t="n">
        <v>0</v>
      </c>
    </row>
    <row r="316" customFormat="false" ht="15" hidden="false" customHeight="true" outlineLevel="0" collapsed="false">
      <c r="A316" s="7" t="n">
        <v>2517</v>
      </c>
      <c r="B316" s="7" t="s">
        <v>45</v>
      </c>
      <c r="C316" s="7" t="s">
        <v>889</v>
      </c>
      <c r="D316" s="7" t="s">
        <v>379</v>
      </c>
      <c r="E316" s="7" t="s">
        <v>125</v>
      </c>
      <c r="F316" s="7" t="n">
        <v>17</v>
      </c>
      <c r="G316" s="7" t="n">
        <v>6.26</v>
      </c>
      <c r="H316" s="7" t="n">
        <v>7.24</v>
      </c>
      <c r="I316" s="7" t="n">
        <v>5</v>
      </c>
      <c r="J316" s="7" t="n">
        <v>0</v>
      </c>
      <c r="K316" s="7" t="n">
        <v>0</v>
      </c>
      <c r="L316" s="7" t="n">
        <v>3</v>
      </c>
      <c r="M316" s="7" t="n">
        <v>3</v>
      </c>
      <c r="N316" s="7" t="n">
        <v>0</v>
      </c>
      <c r="O316" s="7" t="n">
        <v>2</v>
      </c>
      <c r="P316" s="7" t="n">
        <v>1</v>
      </c>
      <c r="Q316" s="7" t="n">
        <v>0</v>
      </c>
      <c r="R316" s="7" t="n">
        <v>0</v>
      </c>
    </row>
    <row r="317" customFormat="false" ht="15" hidden="false" customHeight="true" outlineLevel="0" collapsed="false">
      <c r="A317" s="7" t="n">
        <v>5559</v>
      </c>
      <c r="B317" s="7" t="s">
        <v>45</v>
      </c>
      <c r="C317" s="7" t="s">
        <v>891</v>
      </c>
      <c r="D317" s="7" t="s">
        <v>373</v>
      </c>
      <c r="E317" s="7" t="s">
        <v>119</v>
      </c>
      <c r="F317" s="7" t="n">
        <v>35</v>
      </c>
      <c r="G317" s="7" t="n">
        <v>6.34</v>
      </c>
      <c r="H317" s="7" t="n">
        <v>6.91</v>
      </c>
      <c r="I317" s="7" t="n">
        <v>6</v>
      </c>
      <c r="J317" s="7" t="n">
        <v>0</v>
      </c>
      <c r="K317" s="7" t="n">
        <v>0</v>
      </c>
      <c r="L317" s="7" t="n">
        <v>4</v>
      </c>
      <c r="M317" s="7" t="n">
        <v>4</v>
      </c>
      <c r="N317" s="7" t="n">
        <v>0</v>
      </c>
      <c r="O317" s="7" t="n">
        <v>4</v>
      </c>
      <c r="P317" s="7" t="n">
        <v>4</v>
      </c>
      <c r="Q317" s="7" t="n">
        <v>0</v>
      </c>
      <c r="R317" s="7" t="n">
        <v>0</v>
      </c>
    </row>
    <row r="318" customFormat="false" ht="15" hidden="false" customHeight="true" outlineLevel="0" collapsed="false">
      <c r="A318" s="7" t="n">
        <v>152</v>
      </c>
      <c r="B318" s="7" t="s">
        <v>45</v>
      </c>
      <c r="C318" s="7" t="s">
        <v>888</v>
      </c>
      <c r="D318" s="7" t="s">
        <v>393</v>
      </c>
      <c r="E318" s="7" t="s">
        <v>115</v>
      </c>
      <c r="F318" s="7" t="n">
        <v>30</v>
      </c>
      <c r="G318" s="7" t="n">
        <v>6.25</v>
      </c>
      <c r="H318" s="7" t="n">
        <v>6.8</v>
      </c>
      <c r="I318" s="7" t="n">
        <v>6</v>
      </c>
      <c r="J318" s="7" t="n">
        <v>0</v>
      </c>
      <c r="K318" s="7" t="n">
        <v>0</v>
      </c>
      <c r="L318" s="7" t="n">
        <v>1</v>
      </c>
      <c r="M318" s="7" t="n">
        <v>1</v>
      </c>
      <c r="N318" s="7" t="n">
        <v>0</v>
      </c>
      <c r="O318" s="7" t="n">
        <v>2</v>
      </c>
      <c r="P318" s="7" t="n">
        <v>3</v>
      </c>
      <c r="Q318" s="7" t="n">
        <v>0</v>
      </c>
      <c r="R318" s="7" t="n">
        <v>1</v>
      </c>
    </row>
    <row r="319" customFormat="false" ht="15" hidden="false" customHeight="true" outlineLevel="0" collapsed="false">
      <c r="A319" s="7" t="n">
        <v>6908</v>
      </c>
      <c r="B319" s="7" t="s">
        <v>45</v>
      </c>
      <c r="C319" s="7" t="s">
        <v>45</v>
      </c>
      <c r="D319" s="7" t="s">
        <v>375</v>
      </c>
      <c r="E319" s="7" t="s">
        <v>135</v>
      </c>
      <c r="F319" s="7" t="n">
        <v>32</v>
      </c>
      <c r="G319" s="7" t="n">
        <v>6.36</v>
      </c>
      <c r="H319" s="7" t="n">
        <v>6.88</v>
      </c>
      <c r="I319" s="7" t="n">
        <v>5</v>
      </c>
      <c r="J319" s="7" t="n">
        <v>0</v>
      </c>
      <c r="K319" s="7" t="n">
        <v>0</v>
      </c>
      <c r="L319" s="7" t="n">
        <v>0</v>
      </c>
      <c r="M319" s="7" t="n">
        <v>0</v>
      </c>
      <c r="N319" s="7" t="n">
        <v>0</v>
      </c>
      <c r="O319" s="7" t="n">
        <v>3</v>
      </c>
      <c r="P319" s="7" t="n">
        <v>3</v>
      </c>
      <c r="Q319" s="7" t="n">
        <v>0</v>
      </c>
      <c r="R319" s="7" t="n">
        <v>0</v>
      </c>
    </row>
    <row r="320" customFormat="false" ht="15" hidden="false" customHeight="true" outlineLevel="0" collapsed="false">
      <c r="A320" s="7" t="n">
        <v>5564</v>
      </c>
      <c r="B320" s="7" t="s">
        <v>45</v>
      </c>
      <c r="C320" s="7" t="s">
        <v>892</v>
      </c>
      <c r="D320" s="7" t="s">
        <v>893</v>
      </c>
      <c r="E320" s="7" t="s">
        <v>127</v>
      </c>
      <c r="F320" s="7" t="n">
        <v>0</v>
      </c>
      <c r="G320" s="7" t="n">
        <v>0</v>
      </c>
      <c r="H320" s="7" t="n">
        <v>0</v>
      </c>
      <c r="I320" s="7" t="n">
        <v>0</v>
      </c>
      <c r="J320" s="7" t="n">
        <v>0</v>
      </c>
      <c r="K320" s="7" t="n">
        <v>0</v>
      </c>
      <c r="L320" s="7" t="n">
        <v>0</v>
      </c>
      <c r="M320" s="7" t="n">
        <v>0</v>
      </c>
      <c r="N320" s="7" t="n">
        <v>0</v>
      </c>
      <c r="O320" s="7" t="n">
        <v>0</v>
      </c>
      <c r="P320" s="7" t="n">
        <v>0</v>
      </c>
      <c r="Q320" s="7" t="n">
        <v>0</v>
      </c>
      <c r="R320" s="7" t="n">
        <v>0</v>
      </c>
    </row>
    <row r="321" customFormat="false" ht="15" hidden="false" customHeight="true" outlineLevel="0" collapsed="false">
      <c r="A321" s="7" t="n">
        <v>2167</v>
      </c>
      <c r="B321" s="7" t="s">
        <v>45</v>
      </c>
      <c r="C321" s="7" t="s">
        <v>894</v>
      </c>
      <c r="D321" s="7" t="s">
        <v>369</v>
      </c>
      <c r="E321" s="7" t="s">
        <v>127</v>
      </c>
      <c r="F321" s="7" t="n">
        <v>34</v>
      </c>
      <c r="G321" s="7" t="n">
        <v>6.06</v>
      </c>
      <c r="H321" s="7" t="n">
        <v>6.76</v>
      </c>
      <c r="I321" s="7" t="n">
        <v>10</v>
      </c>
      <c r="J321" s="7" t="n">
        <v>0</v>
      </c>
      <c r="K321" s="7" t="n">
        <v>0</v>
      </c>
      <c r="L321" s="7" t="n">
        <v>6</v>
      </c>
      <c r="M321" s="7" t="n">
        <v>4</v>
      </c>
      <c r="N321" s="7" t="n">
        <v>2</v>
      </c>
      <c r="O321" s="7" t="n">
        <v>1</v>
      </c>
      <c r="P321" s="7" t="n">
        <v>2</v>
      </c>
      <c r="Q321" s="7" t="n">
        <v>0</v>
      </c>
      <c r="R321" s="7" t="n">
        <v>0</v>
      </c>
    </row>
    <row r="322" customFormat="false" ht="15" hidden="false" customHeight="true" outlineLevel="0" collapsed="false">
      <c r="A322" s="7" t="n">
        <v>2766</v>
      </c>
      <c r="B322" s="7" t="s">
        <v>45</v>
      </c>
      <c r="C322" s="7" t="s">
        <v>887</v>
      </c>
      <c r="D322" s="7" t="s">
        <v>374</v>
      </c>
      <c r="E322" s="7" t="s">
        <v>135</v>
      </c>
      <c r="F322" s="7" t="n">
        <v>31</v>
      </c>
      <c r="G322" s="7" t="n">
        <v>6.26</v>
      </c>
      <c r="H322" s="7" t="n">
        <v>6.77</v>
      </c>
      <c r="I322" s="7" t="n">
        <v>5</v>
      </c>
      <c r="J322" s="7" t="n">
        <v>0</v>
      </c>
      <c r="K322" s="7" t="n">
        <v>0</v>
      </c>
      <c r="L322" s="7" t="n">
        <v>0</v>
      </c>
      <c r="M322" s="7" t="n">
        <v>0</v>
      </c>
      <c r="N322" s="7" t="n">
        <v>0</v>
      </c>
      <c r="O322" s="7" t="n">
        <v>5</v>
      </c>
      <c r="P322" s="7" t="n">
        <v>8</v>
      </c>
      <c r="Q322" s="7" t="n">
        <v>0</v>
      </c>
      <c r="R322" s="7" t="n">
        <v>0</v>
      </c>
    </row>
    <row r="323" customFormat="false" ht="15" hidden="false" customHeight="true" outlineLevel="0" collapsed="false">
      <c r="A323" s="7" t="n">
        <v>1870</v>
      </c>
      <c r="B323" s="7" t="s">
        <v>45</v>
      </c>
      <c r="C323" s="7" t="s">
        <v>45</v>
      </c>
      <c r="D323" s="7" t="s">
        <v>376</v>
      </c>
      <c r="E323" s="7" t="s">
        <v>115</v>
      </c>
      <c r="F323" s="7" t="n">
        <v>34</v>
      </c>
      <c r="G323" s="7" t="n">
        <v>6.28</v>
      </c>
      <c r="H323" s="7" t="n">
        <v>6.71</v>
      </c>
      <c r="I323" s="7" t="n">
        <v>3</v>
      </c>
      <c r="J323" s="7" t="n">
        <v>0</v>
      </c>
      <c r="K323" s="7" t="n">
        <v>0</v>
      </c>
      <c r="L323" s="7" t="n">
        <v>0</v>
      </c>
      <c r="M323" s="7" t="n">
        <v>0</v>
      </c>
      <c r="N323" s="7" t="n">
        <v>0</v>
      </c>
      <c r="O323" s="7" t="n">
        <v>9</v>
      </c>
      <c r="P323" s="7" t="n">
        <v>7</v>
      </c>
      <c r="Q323" s="7" t="n">
        <v>0</v>
      </c>
      <c r="R323" s="7" t="n">
        <v>0</v>
      </c>
    </row>
    <row r="324" customFormat="false" ht="15" hidden="false" customHeight="true" outlineLevel="0" collapsed="false">
      <c r="A324" s="7" t="n">
        <v>4973</v>
      </c>
      <c r="B324" s="7" t="s">
        <v>45</v>
      </c>
      <c r="C324" s="7" t="s">
        <v>890</v>
      </c>
      <c r="D324" s="7" t="s">
        <v>377</v>
      </c>
      <c r="E324" s="7" t="s">
        <v>131</v>
      </c>
      <c r="F324" s="7" t="n">
        <v>34</v>
      </c>
      <c r="G324" s="7" t="n">
        <v>6.13</v>
      </c>
      <c r="H324" s="7" t="n">
        <v>6.68</v>
      </c>
      <c r="I324" s="7" t="n">
        <v>5</v>
      </c>
      <c r="J324" s="7" t="n">
        <v>0</v>
      </c>
      <c r="K324" s="7" t="n">
        <v>0</v>
      </c>
      <c r="L324" s="7" t="n">
        <v>0</v>
      </c>
      <c r="M324" s="7" t="n">
        <v>0</v>
      </c>
      <c r="N324" s="7" t="n">
        <v>0</v>
      </c>
      <c r="O324" s="7" t="n">
        <v>6</v>
      </c>
      <c r="P324" s="7" t="n">
        <v>5</v>
      </c>
      <c r="Q324" s="7" t="n">
        <v>0</v>
      </c>
      <c r="R324" s="7" t="n">
        <v>0</v>
      </c>
    </row>
    <row r="325" customFormat="false" ht="15" hidden="false" customHeight="true" outlineLevel="0" collapsed="false">
      <c r="A325" s="7" t="n">
        <v>6884</v>
      </c>
      <c r="B325" s="7" t="s">
        <v>45</v>
      </c>
      <c r="C325" s="7" t="s">
        <v>894</v>
      </c>
      <c r="D325" s="7" t="s">
        <v>387</v>
      </c>
      <c r="E325" s="7" t="s">
        <v>131</v>
      </c>
      <c r="F325" s="7" t="n">
        <v>30</v>
      </c>
      <c r="G325" s="7" t="n">
        <v>6.28</v>
      </c>
      <c r="H325" s="7" t="n">
        <v>6.7</v>
      </c>
      <c r="I325" s="7" t="n">
        <v>3</v>
      </c>
      <c r="J325" s="7" t="n">
        <v>0</v>
      </c>
      <c r="K325" s="7" t="n">
        <v>0</v>
      </c>
      <c r="L325" s="7" t="n">
        <v>0</v>
      </c>
      <c r="M325" s="7" t="n">
        <v>0</v>
      </c>
      <c r="N325" s="7" t="n">
        <v>0</v>
      </c>
      <c r="O325" s="7" t="n">
        <v>5</v>
      </c>
      <c r="P325" s="7" t="n">
        <v>3</v>
      </c>
      <c r="Q325" s="7" t="n">
        <v>0</v>
      </c>
      <c r="R325" s="7" t="n">
        <v>0</v>
      </c>
    </row>
    <row r="326" customFormat="false" ht="15" hidden="false" customHeight="true" outlineLevel="0" collapsed="false">
      <c r="A326" s="7" t="n">
        <v>2606</v>
      </c>
      <c r="B326" s="7" t="s">
        <v>45</v>
      </c>
      <c r="C326" s="7" t="s">
        <v>45</v>
      </c>
      <c r="D326" s="7" t="s">
        <v>388</v>
      </c>
      <c r="E326" s="7" t="s">
        <v>121</v>
      </c>
      <c r="F326" s="7" t="n">
        <v>33</v>
      </c>
      <c r="G326" s="7" t="n">
        <v>6.45</v>
      </c>
      <c r="H326" s="7" t="n">
        <v>6.67</v>
      </c>
      <c r="I326" s="7" t="n">
        <v>2</v>
      </c>
      <c r="J326" s="7" t="n">
        <v>0</v>
      </c>
      <c r="K326" s="7" t="n">
        <v>0</v>
      </c>
      <c r="L326" s="7" t="n">
        <v>0</v>
      </c>
      <c r="M326" s="7" t="n">
        <v>0</v>
      </c>
      <c r="N326" s="7" t="n">
        <v>0</v>
      </c>
      <c r="O326" s="7" t="n">
        <v>3</v>
      </c>
      <c r="P326" s="7" t="n">
        <v>4</v>
      </c>
      <c r="Q326" s="7" t="n">
        <v>0</v>
      </c>
      <c r="R326" s="7" t="n">
        <v>0</v>
      </c>
    </row>
    <row r="327" customFormat="false" ht="15" hidden="false" customHeight="true" outlineLevel="0" collapsed="false">
      <c r="A327" s="7" t="n">
        <v>1933</v>
      </c>
      <c r="B327" s="7" t="s">
        <v>45</v>
      </c>
      <c r="C327" s="7" t="s">
        <v>890</v>
      </c>
      <c r="D327" s="7" t="s">
        <v>403</v>
      </c>
      <c r="E327" s="7" t="s">
        <v>123</v>
      </c>
      <c r="F327" s="7" t="n">
        <v>34</v>
      </c>
      <c r="G327" s="7" t="n">
        <v>6.04</v>
      </c>
      <c r="H327" s="7" t="n">
        <v>6.62</v>
      </c>
      <c r="I327" s="7" t="n">
        <v>7</v>
      </c>
      <c r="J327" s="7" t="n">
        <v>0</v>
      </c>
      <c r="K327" s="7" t="n">
        <v>0</v>
      </c>
      <c r="L327" s="7" t="n">
        <v>1</v>
      </c>
      <c r="M327" s="7" t="n">
        <v>1</v>
      </c>
      <c r="N327" s="7" t="n">
        <v>0</v>
      </c>
      <c r="O327" s="7" t="n">
        <v>2</v>
      </c>
      <c r="P327" s="7" t="n">
        <v>7</v>
      </c>
      <c r="Q327" s="7" t="n">
        <v>0</v>
      </c>
      <c r="R327" s="7" t="n">
        <v>0</v>
      </c>
    </row>
    <row r="328" customFormat="false" ht="15" hidden="false" customHeight="true" outlineLevel="0" collapsed="false">
      <c r="A328" s="7" t="n">
        <v>6717</v>
      </c>
      <c r="B328" s="7" t="s">
        <v>45</v>
      </c>
      <c r="C328" s="7" t="s">
        <v>890</v>
      </c>
      <c r="D328" s="7" t="s">
        <v>406</v>
      </c>
      <c r="E328" s="7" t="s">
        <v>144</v>
      </c>
      <c r="F328" s="7" t="n">
        <v>35</v>
      </c>
      <c r="G328" s="7" t="n">
        <v>6.19</v>
      </c>
      <c r="H328" s="7" t="n">
        <v>6.63</v>
      </c>
      <c r="I328" s="7" t="n">
        <v>6</v>
      </c>
      <c r="J328" s="7" t="n">
        <v>0</v>
      </c>
      <c r="K328" s="7" t="n">
        <v>0</v>
      </c>
      <c r="L328" s="7" t="n">
        <v>0</v>
      </c>
      <c r="M328" s="7" t="n">
        <v>0</v>
      </c>
      <c r="N328" s="7" t="n">
        <v>0</v>
      </c>
      <c r="O328" s="7" t="n">
        <v>0</v>
      </c>
      <c r="P328" s="7" t="n">
        <v>3</v>
      </c>
      <c r="Q328" s="7" t="n">
        <v>1</v>
      </c>
      <c r="R328" s="7" t="n">
        <v>0</v>
      </c>
    </row>
    <row r="329" customFormat="false" ht="15" hidden="false" customHeight="true" outlineLevel="0" collapsed="false">
      <c r="A329" s="7" t="n">
        <v>5687</v>
      </c>
      <c r="B329" s="7" t="s">
        <v>45</v>
      </c>
      <c r="C329" s="7" t="s">
        <v>889</v>
      </c>
      <c r="D329" s="7" t="s">
        <v>380</v>
      </c>
      <c r="E329" s="7" t="s">
        <v>184</v>
      </c>
      <c r="F329" s="7" t="n">
        <v>37</v>
      </c>
      <c r="G329" s="7" t="n">
        <v>6.03</v>
      </c>
      <c r="H329" s="7" t="n">
        <v>6.66</v>
      </c>
      <c r="I329" s="7" t="n">
        <v>8</v>
      </c>
      <c r="J329" s="7" t="n">
        <v>0</v>
      </c>
      <c r="K329" s="7" t="n">
        <v>0</v>
      </c>
      <c r="L329" s="7" t="n">
        <v>5</v>
      </c>
      <c r="M329" s="7" t="n">
        <v>5</v>
      </c>
      <c r="N329" s="7" t="n">
        <v>0</v>
      </c>
      <c r="O329" s="7" t="n">
        <v>3</v>
      </c>
      <c r="P329" s="7" t="n">
        <v>7</v>
      </c>
      <c r="Q329" s="7" t="n">
        <v>0</v>
      </c>
      <c r="R329" s="7" t="n">
        <v>0</v>
      </c>
    </row>
    <row r="330" customFormat="false" ht="15" hidden="false" customHeight="true" outlineLevel="0" collapsed="false">
      <c r="A330" s="7" t="n">
        <v>6151</v>
      </c>
      <c r="B330" s="7" t="s">
        <v>45</v>
      </c>
      <c r="C330" s="7" t="s">
        <v>890</v>
      </c>
      <c r="D330" s="7" t="s">
        <v>392</v>
      </c>
      <c r="E330" s="7" t="s">
        <v>119</v>
      </c>
      <c r="F330" s="7" t="n">
        <v>36</v>
      </c>
      <c r="G330" s="7" t="n">
        <v>6.22</v>
      </c>
      <c r="H330" s="7" t="n">
        <v>6.47</v>
      </c>
      <c r="I330" s="7" t="n">
        <v>3</v>
      </c>
      <c r="J330" s="7" t="n">
        <v>0</v>
      </c>
      <c r="K330" s="7" t="n">
        <v>0</v>
      </c>
      <c r="L330" s="7" t="n">
        <v>0</v>
      </c>
      <c r="M330" s="7" t="n">
        <v>0</v>
      </c>
      <c r="N330" s="7" t="n">
        <v>0</v>
      </c>
      <c r="O330" s="7" t="n">
        <v>4</v>
      </c>
      <c r="P330" s="7" t="n">
        <v>8</v>
      </c>
      <c r="Q330" s="7" t="n">
        <v>0</v>
      </c>
      <c r="R330" s="7" t="n">
        <v>0</v>
      </c>
    </row>
    <row r="331" customFormat="false" ht="15" hidden="false" customHeight="true" outlineLevel="0" collapsed="false">
      <c r="A331" s="7" t="n">
        <v>4970</v>
      </c>
      <c r="B331" s="7" t="s">
        <v>45</v>
      </c>
      <c r="C331" s="7" t="s">
        <v>895</v>
      </c>
      <c r="D331" s="7" t="s">
        <v>498</v>
      </c>
      <c r="E331" s="7" t="s">
        <v>137</v>
      </c>
      <c r="F331" s="7" t="n">
        <v>19</v>
      </c>
      <c r="G331" s="7" t="n">
        <v>6.18</v>
      </c>
      <c r="H331" s="7" t="n">
        <v>6.68</v>
      </c>
      <c r="I331" s="7" t="n">
        <v>3</v>
      </c>
      <c r="J331" s="7" t="n">
        <v>0</v>
      </c>
      <c r="K331" s="7" t="n">
        <v>0</v>
      </c>
      <c r="L331" s="7" t="n">
        <v>1</v>
      </c>
      <c r="M331" s="7" t="n">
        <v>1</v>
      </c>
      <c r="N331" s="7" t="n">
        <v>0</v>
      </c>
      <c r="O331" s="7" t="n">
        <v>1</v>
      </c>
      <c r="P331" s="7" t="n">
        <v>1</v>
      </c>
      <c r="Q331" s="7" t="n">
        <v>0</v>
      </c>
      <c r="R331" s="7" t="n">
        <v>0</v>
      </c>
    </row>
    <row r="332" customFormat="false" ht="15" hidden="false" customHeight="true" outlineLevel="0" collapsed="false">
      <c r="A332" s="7" t="n">
        <v>6398</v>
      </c>
      <c r="B332" s="7" t="s">
        <v>45</v>
      </c>
      <c r="C332" s="7" t="s">
        <v>894</v>
      </c>
      <c r="D332" s="7" t="s">
        <v>405</v>
      </c>
      <c r="E332" s="7" t="s">
        <v>133</v>
      </c>
      <c r="F332" s="7" t="n">
        <v>27</v>
      </c>
      <c r="G332" s="7" t="n">
        <v>6.04</v>
      </c>
      <c r="H332" s="7" t="n">
        <v>6.63</v>
      </c>
      <c r="I332" s="7" t="n">
        <v>5</v>
      </c>
      <c r="J332" s="7" t="n">
        <v>0</v>
      </c>
      <c r="K332" s="7" t="n">
        <v>0</v>
      </c>
      <c r="L332" s="7" t="n">
        <v>0</v>
      </c>
      <c r="M332" s="7" t="n">
        <v>0</v>
      </c>
      <c r="N332" s="7" t="n">
        <v>0</v>
      </c>
      <c r="O332" s="7" t="n">
        <v>1</v>
      </c>
      <c r="P332" s="7" t="n">
        <v>0</v>
      </c>
      <c r="Q332" s="7" t="n">
        <v>0</v>
      </c>
      <c r="R332" s="7" t="n">
        <v>0</v>
      </c>
    </row>
    <row r="333" customFormat="false" ht="15" hidden="false" customHeight="true" outlineLevel="0" collapsed="false">
      <c r="A333" s="7" t="n">
        <v>4427</v>
      </c>
      <c r="B333" s="7" t="s">
        <v>45</v>
      </c>
      <c r="C333" s="7" t="s">
        <v>888</v>
      </c>
      <c r="D333" s="7" t="s">
        <v>896</v>
      </c>
      <c r="E333" s="7" t="s">
        <v>137</v>
      </c>
      <c r="F333" s="7" t="n">
        <v>34</v>
      </c>
      <c r="G333" s="7" t="n">
        <v>6.07</v>
      </c>
      <c r="H333" s="7" t="n">
        <v>6.54</v>
      </c>
      <c r="I333" s="7" t="n">
        <v>6</v>
      </c>
      <c r="J333" s="7" t="n">
        <v>0</v>
      </c>
      <c r="K333" s="7" t="n">
        <v>0</v>
      </c>
      <c r="L333" s="7" t="n">
        <v>3</v>
      </c>
      <c r="M333" s="7" t="n">
        <v>3</v>
      </c>
      <c r="N333" s="7" t="n">
        <v>0</v>
      </c>
      <c r="O333" s="7" t="n">
        <v>3</v>
      </c>
      <c r="P333" s="7" t="n">
        <v>10</v>
      </c>
      <c r="Q333" s="7" t="n">
        <v>0</v>
      </c>
      <c r="R333" s="7" t="n">
        <v>0</v>
      </c>
    </row>
    <row r="334" customFormat="false" ht="15" hidden="false" customHeight="true" outlineLevel="0" collapsed="false">
      <c r="A334" s="7" t="n">
        <v>4892</v>
      </c>
      <c r="B334" s="7" t="s">
        <v>45</v>
      </c>
      <c r="C334" s="7" t="s">
        <v>897</v>
      </c>
      <c r="D334" s="7" t="s">
        <v>395</v>
      </c>
      <c r="E334" s="7" t="s">
        <v>121</v>
      </c>
      <c r="F334" s="7" t="n">
        <v>35</v>
      </c>
      <c r="G334" s="7" t="n">
        <v>6.14</v>
      </c>
      <c r="H334" s="7" t="n">
        <v>6.41</v>
      </c>
      <c r="I334" s="7" t="n">
        <v>3</v>
      </c>
      <c r="J334" s="7" t="n">
        <v>0</v>
      </c>
      <c r="K334" s="7" t="n">
        <v>0</v>
      </c>
      <c r="L334" s="7" t="n">
        <v>0</v>
      </c>
      <c r="M334" s="7" t="n">
        <v>0</v>
      </c>
      <c r="N334" s="7" t="n">
        <v>0</v>
      </c>
      <c r="O334" s="7" t="n">
        <v>3</v>
      </c>
      <c r="P334" s="7" t="n">
        <v>5</v>
      </c>
      <c r="Q334" s="7" t="n">
        <v>0</v>
      </c>
      <c r="R334" s="7" t="n">
        <v>0</v>
      </c>
    </row>
    <row r="335" customFormat="false" ht="15" hidden="false" customHeight="true" outlineLevel="0" collapsed="false">
      <c r="A335" s="7" t="n">
        <v>4220</v>
      </c>
      <c r="B335" s="7" t="s">
        <v>45</v>
      </c>
      <c r="C335" s="7" t="s">
        <v>890</v>
      </c>
      <c r="D335" s="7" t="s">
        <v>391</v>
      </c>
      <c r="E335" s="7" t="s">
        <v>125</v>
      </c>
      <c r="F335" s="7" t="n">
        <v>18</v>
      </c>
      <c r="G335" s="7" t="n">
        <v>6.17</v>
      </c>
      <c r="H335" s="7" t="n">
        <v>6.86</v>
      </c>
      <c r="I335" s="7" t="n">
        <v>4</v>
      </c>
      <c r="J335" s="7" t="n">
        <v>0</v>
      </c>
      <c r="K335" s="7" t="n">
        <v>0</v>
      </c>
      <c r="L335" s="7" t="n">
        <v>0</v>
      </c>
      <c r="M335" s="7" t="n">
        <v>0</v>
      </c>
      <c r="N335" s="7" t="n">
        <v>0</v>
      </c>
      <c r="O335" s="7" t="n">
        <v>1</v>
      </c>
      <c r="P335" s="7" t="n">
        <v>1</v>
      </c>
      <c r="Q335" s="7" t="n">
        <v>0</v>
      </c>
      <c r="R335" s="7" t="n">
        <v>0</v>
      </c>
    </row>
    <row r="336" customFormat="false" ht="15" hidden="false" customHeight="true" outlineLevel="0" collapsed="false">
      <c r="A336" s="7" t="n">
        <v>6666</v>
      </c>
      <c r="B336" s="7" t="s">
        <v>45</v>
      </c>
      <c r="C336" s="7" t="s">
        <v>45</v>
      </c>
      <c r="D336" s="7" t="s">
        <v>425</v>
      </c>
      <c r="E336" s="7" t="s">
        <v>141</v>
      </c>
      <c r="F336" s="7" t="n">
        <v>32</v>
      </c>
      <c r="G336" s="7" t="n">
        <v>6.17</v>
      </c>
      <c r="H336" s="7" t="n">
        <v>6.48</v>
      </c>
      <c r="I336" s="7" t="n">
        <v>3</v>
      </c>
      <c r="J336" s="7" t="n">
        <v>0</v>
      </c>
      <c r="K336" s="7" t="n">
        <v>0</v>
      </c>
      <c r="L336" s="7" t="n">
        <v>0</v>
      </c>
      <c r="M336" s="7" t="n">
        <v>0</v>
      </c>
      <c r="N336" s="7" t="n">
        <v>0</v>
      </c>
      <c r="O336" s="7" t="n">
        <v>1</v>
      </c>
      <c r="P336" s="7" t="n">
        <v>0</v>
      </c>
      <c r="Q336" s="7" t="n">
        <v>0</v>
      </c>
      <c r="R336" s="7" t="n">
        <v>0</v>
      </c>
    </row>
    <row r="337" customFormat="false" ht="15" hidden="false" customHeight="true" outlineLevel="0" collapsed="false">
      <c r="A337" s="7" t="n">
        <v>5844</v>
      </c>
      <c r="B337" s="7" t="s">
        <v>45</v>
      </c>
      <c r="C337" s="7" t="s">
        <v>888</v>
      </c>
      <c r="D337" s="7" t="s">
        <v>398</v>
      </c>
      <c r="E337" s="7" t="s">
        <v>144</v>
      </c>
      <c r="F337" s="7" t="n">
        <v>31</v>
      </c>
      <c r="G337" s="7" t="n">
        <v>6.15</v>
      </c>
      <c r="H337" s="7" t="n">
        <v>6.48</v>
      </c>
      <c r="I337" s="7" t="n">
        <v>4</v>
      </c>
      <c r="J337" s="7" t="n">
        <v>0</v>
      </c>
      <c r="K337" s="7" t="n">
        <v>0</v>
      </c>
      <c r="L337" s="7" t="n">
        <v>0</v>
      </c>
      <c r="M337" s="7" t="n">
        <v>0</v>
      </c>
      <c r="N337" s="7" t="n">
        <v>0</v>
      </c>
      <c r="O337" s="7" t="n">
        <v>3</v>
      </c>
      <c r="P337" s="7" t="n">
        <v>9</v>
      </c>
      <c r="Q337" s="7" t="n">
        <v>0</v>
      </c>
      <c r="R337" s="7" t="n">
        <v>0</v>
      </c>
    </row>
    <row r="338" customFormat="false" ht="15" hidden="false" customHeight="true" outlineLevel="0" collapsed="false">
      <c r="A338" s="7" t="n">
        <v>6844</v>
      </c>
      <c r="B338" s="7" t="s">
        <v>45</v>
      </c>
      <c r="C338" s="7" t="s">
        <v>898</v>
      </c>
      <c r="D338" s="7" t="s">
        <v>389</v>
      </c>
      <c r="E338" s="7" t="s">
        <v>127</v>
      </c>
      <c r="F338" s="7" t="n">
        <v>28</v>
      </c>
      <c r="G338" s="7" t="n">
        <v>6.2</v>
      </c>
      <c r="H338" s="7" t="n">
        <v>6.59</v>
      </c>
      <c r="I338" s="7" t="n">
        <v>3</v>
      </c>
      <c r="J338" s="7" t="n">
        <v>0</v>
      </c>
      <c r="K338" s="7" t="n">
        <v>0</v>
      </c>
      <c r="L338" s="7" t="n">
        <v>0</v>
      </c>
      <c r="M338" s="7" t="n">
        <v>0</v>
      </c>
      <c r="N338" s="7" t="n">
        <v>0</v>
      </c>
      <c r="O338" s="7" t="n">
        <v>3</v>
      </c>
      <c r="P338" s="7" t="n">
        <v>2</v>
      </c>
      <c r="Q338" s="7" t="n">
        <v>0</v>
      </c>
      <c r="R338" s="7" t="n">
        <v>0</v>
      </c>
    </row>
    <row r="339" customFormat="false" ht="15" hidden="false" customHeight="true" outlineLevel="0" collapsed="false">
      <c r="A339" s="7" t="n">
        <v>5422</v>
      </c>
      <c r="B339" s="7" t="s">
        <v>45</v>
      </c>
      <c r="C339" s="7" t="s">
        <v>897</v>
      </c>
      <c r="D339" s="7" t="s">
        <v>429</v>
      </c>
      <c r="E339" s="7" t="s">
        <v>117</v>
      </c>
      <c r="F339" s="7" t="n">
        <v>31</v>
      </c>
      <c r="G339" s="7" t="n">
        <v>6.1</v>
      </c>
      <c r="H339" s="7" t="n">
        <v>6.4</v>
      </c>
      <c r="I339" s="7" t="n">
        <v>2</v>
      </c>
      <c r="J339" s="7" t="n">
        <v>0</v>
      </c>
      <c r="K339" s="7" t="n">
        <v>0</v>
      </c>
      <c r="L339" s="7" t="n">
        <v>0</v>
      </c>
      <c r="M339" s="7" t="n">
        <v>0</v>
      </c>
      <c r="N339" s="7" t="n">
        <v>0</v>
      </c>
      <c r="O339" s="7" t="n">
        <v>5</v>
      </c>
      <c r="P339" s="7" t="n">
        <v>3</v>
      </c>
      <c r="Q339" s="7" t="n">
        <v>0</v>
      </c>
      <c r="R339" s="7" t="n">
        <v>0</v>
      </c>
    </row>
    <row r="340" customFormat="false" ht="15" hidden="false" customHeight="true" outlineLevel="0" collapsed="false">
      <c r="A340" s="7" t="n">
        <v>2529</v>
      </c>
      <c r="B340" s="7" t="s">
        <v>45</v>
      </c>
      <c r="C340" s="7" t="s">
        <v>888</v>
      </c>
      <c r="D340" s="7" t="s">
        <v>454</v>
      </c>
      <c r="E340" s="7" t="s">
        <v>115</v>
      </c>
      <c r="F340" s="7" t="n">
        <v>28</v>
      </c>
      <c r="G340" s="7" t="n">
        <v>6.21</v>
      </c>
      <c r="H340" s="7" t="n">
        <v>6.59</v>
      </c>
      <c r="I340" s="7" t="n">
        <v>4</v>
      </c>
      <c r="J340" s="7" t="n">
        <v>0</v>
      </c>
      <c r="K340" s="7" t="n">
        <v>0</v>
      </c>
      <c r="L340" s="7" t="n">
        <v>0</v>
      </c>
      <c r="M340" s="7" t="n">
        <v>0</v>
      </c>
      <c r="N340" s="7" t="n">
        <v>0</v>
      </c>
      <c r="O340" s="7" t="n">
        <v>1</v>
      </c>
      <c r="P340" s="7" t="n">
        <v>5</v>
      </c>
      <c r="Q340" s="7" t="n">
        <v>0</v>
      </c>
      <c r="R340" s="7" t="n">
        <v>0</v>
      </c>
    </row>
    <row r="341" customFormat="false" ht="15" hidden="false" customHeight="true" outlineLevel="0" collapsed="false">
      <c r="A341" s="7" t="n">
        <v>5562</v>
      </c>
      <c r="B341" s="7" t="s">
        <v>45</v>
      </c>
      <c r="C341" s="7" t="s">
        <v>890</v>
      </c>
      <c r="D341" s="7" t="s">
        <v>394</v>
      </c>
      <c r="E341" s="7" t="s">
        <v>131</v>
      </c>
      <c r="F341" s="7" t="n">
        <v>34</v>
      </c>
      <c r="G341" s="7" t="n">
        <v>6.1</v>
      </c>
      <c r="H341" s="7" t="n">
        <v>6.4</v>
      </c>
      <c r="I341" s="7" t="n">
        <v>3</v>
      </c>
      <c r="J341" s="7" t="n">
        <v>0</v>
      </c>
      <c r="K341" s="7" t="n">
        <v>0</v>
      </c>
      <c r="L341" s="7" t="n">
        <v>0</v>
      </c>
      <c r="M341" s="7" t="n">
        <v>0</v>
      </c>
      <c r="N341" s="7" t="n">
        <v>0</v>
      </c>
      <c r="O341" s="7" t="n">
        <v>2</v>
      </c>
      <c r="P341" s="7" t="n">
        <v>2</v>
      </c>
      <c r="Q341" s="7" t="n">
        <v>0</v>
      </c>
      <c r="R341" s="7" t="n">
        <v>0</v>
      </c>
    </row>
    <row r="342" customFormat="false" ht="15" hidden="false" customHeight="true" outlineLevel="0" collapsed="false">
      <c r="A342" s="7" t="n">
        <v>6190</v>
      </c>
      <c r="B342" s="7" t="s">
        <v>45</v>
      </c>
      <c r="C342" s="7" t="s">
        <v>45</v>
      </c>
      <c r="D342" s="7" t="s">
        <v>462</v>
      </c>
      <c r="E342" s="7" t="s">
        <v>113</v>
      </c>
      <c r="F342" s="7" t="n">
        <v>22</v>
      </c>
      <c r="G342" s="7" t="n">
        <v>6.09</v>
      </c>
      <c r="H342" s="7" t="n">
        <v>6.48</v>
      </c>
      <c r="I342" s="7" t="n">
        <v>2</v>
      </c>
      <c r="J342" s="7" t="n">
        <v>0</v>
      </c>
      <c r="K342" s="7" t="n">
        <v>0</v>
      </c>
      <c r="L342" s="7" t="n">
        <v>0</v>
      </c>
      <c r="M342" s="7" t="n">
        <v>0</v>
      </c>
      <c r="N342" s="7" t="n">
        <v>0</v>
      </c>
      <c r="O342" s="7" t="n">
        <v>4</v>
      </c>
      <c r="P342" s="7" t="n">
        <v>3</v>
      </c>
      <c r="Q342" s="7" t="n">
        <v>0</v>
      </c>
      <c r="R342" s="7" t="n">
        <v>0</v>
      </c>
    </row>
    <row r="343" customFormat="false" ht="15" hidden="false" customHeight="true" outlineLevel="0" collapsed="false">
      <c r="A343" s="7" t="n">
        <v>6684</v>
      </c>
      <c r="B343" s="7" t="s">
        <v>45</v>
      </c>
      <c r="C343" s="7" t="s">
        <v>888</v>
      </c>
      <c r="D343" s="7" t="s">
        <v>400</v>
      </c>
      <c r="E343" s="7" t="s">
        <v>135</v>
      </c>
      <c r="F343" s="7" t="n">
        <v>31</v>
      </c>
      <c r="G343" s="7" t="n">
        <v>6.05</v>
      </c>
      <c r="H343" s="7" t="n">
        <v>6.61</v>
      </c>
      <c r="I343" s="7" t="n">
        <v>5</v>
      </c>
      <c r="J343" s="7" t="n">
        <v>0</v>
      </c>
      <c r="K343" s="7" t="n">
        <v>0</v>
      </c>
      <c r="L343" s="7" t="n">
        <v>0</v>
      </c>
      <c r="M343" s="7" t="n">
        <v>0</v>
      </c>
      <c r="N343" s="7" t="n">
        <v>0</v>
      </c>
      <c r="O343" s="7" t="n">
        <v>3</v>
      </c>
      <c r="P343" s="7" t="n">
        <v>1</v>
      </c>
      <c r="Q343" s="7" t="n">
        <v>0</v>
      </c>
      <c r="R343" s="7" t="n">
        <v>0</v>
      </c>
    </row>
    <row r="344" customFormat="false" ht="15" hidden="false" customHeight="true" outlineLevel="0" collapsed="false">
      <c r="A344" s="7" t="n">
        <v>7314</v>
      </c>
      <c r="B344" s="7" t="s">
        <v>45</v>
      </c>
      <c r="C344" s="7" t="s">
        <v>888</v>
      </c>
      <c r="D344" s="7" t="s">
        <v>382</v>
      </c>
      <c r="E344" s="7" t="s">
        <v>133</v>
      </c>
      <c r="F344" s="7" t="n">
        <v>17</v>
      </c>
      <c r="G344" s="7" t="n">
        <v>6.06</v>
      </c>
      <c r="H344" s="7" t="n">
        <v>6.56</v>
      </c>
      <c r="I344" s="7" t="n">
        <v>3</v>
      </c>
      <c r="J344" s="7" t="n">
        <v>0</v>
      </c>
      <c r="K344" s="7" t="n">
        <v>0</v>
      </c>
      <c r="L344" s="7" t="n">
        <v>0</v>
      </c>
      <c r="M344" s="7" t="n">
        <v>0</v>
      </c>
      <c r="N344" s="7" t="n">
        <v>0</v>
      </c>
      <c r="O344" s="7" t="n">
        <v>2</v>
      </c>
      <c r="P344" s="7" t="n">
        <v>5</v>
      </c>
      <c r="Q344" s="7" t="n">
        <v>0</v>
      </c>
      <c r="R344" s="7" t="n">
        <v>0</v>
      </c>
    </row>
    <row r="345" customFormat="false" ht="15" hidden="false" customHeight="true" outlineLevel="0" collapsed="false">
      <c r="A345" s="7" t="n">
        <v>5792</v>
      </c>
      <c r="B345" s="7" t="s">
        <v>45</v>
      </c>
      <c r="C345" s="7" t="s">
        <v>890</v>
      </c>
      <c r="D345" s="7" t="s">
        <v>383</v>
      </c>
      <c r="E345" s="7" t="s">
        <v>117</v>
      </c>
      <c r="F345" s="7" t="n">
        <v>30</v>
      </c>
      <c r="G345" s="7" t="n">
        <v>6.25</v>
      </c>
      <c r="H345" s="7" t="n">
        <v>6.43</v>
      </c>
      <c r="I345" s="7" t="n">
        <v>2</v>
      </c>
      <c r="J345" s="7" t="n">
        <v>0</v>
      </c>
      <c r="K345" s="7" t="n">
        <v>0</v>
      </c>
      <c r="L345" s="7" t="n">
        <v>1</v>
      </c>
      <c r="M345" s="7" t="n">
        <v>1</v>
      </c>
      <c r="N345" s="7" t="n">
        <v>0</v>
      </c>
      <c r="O345" s="7" t="n">
        <v>1</v>
      </c>
      <c r="P345" s="7" t="n">
        <v>3</v>
      </c>
      <c r="Q345" s="7" t="n">
        <v>0</v>
      </c>
      <c r="R345" s="7" t="n">
        <v>0</v>
      </c>
    </row>
    <row r="346" customFormat="false" ht="15" hidden="false" customHeight="true" outlineLevel="0" collapsed="false">
      <c r="A346" s="7" t="n">
        <v>184</v>
      </c>
      <c r="B346" s="7" t="s">
        <v>45</v>
      </c>
      <c r="C346" s="7" t="s">
        <v>894</v>
      </c>
      <c r="D346" s="7" t="s">
        <v>402</v>
      </c>
      <c r="E346" s="7" t="s">
        <v>127</v>
      </c>
      <c r="F346" s="7" t="n">
        <v>24</v>
      </c>
      <c r="G346" s="7" t="n">
        <v>6.04</v>
      </c>
      <c r="H346" s="7" t="n">
        <v>6.56</v>
      </c>
      <c r="I346" s="7" t="n">
        <v>4</v>
      </c>
      <c r="J346" s="7" t="n">
        <v>0</v>
      </c>
      <c r="K346" s="7" t="n">
        <v>0</v>
      </c>
      <c r="L346" s="7" t="n">
        <v>1</v>
      </c>
      <c r="M346" s="7" t="n">
        <v>1</v>
      </c>
      <c r="N346" s="7" t="n">
        <v>0</v>
      </c>
      <c r="O346" s="7" t="n">
        <v>2</v>
      </c>
      <c r="P346" s="7" t="n">
        <v>3</v>
      </c>
      <c r="Q346" s="7" t="n">
        <v>0</v>
      </c>
      <c r="R346" s="7" t="n">
        <v>0</v>
      </c>
    </row>
    <row r="347" customFormat="false" ht="15" hidden="false" customHeight="true" outlineLevel="0" collapsed="false">
      <c r="A347" s="7" t="n">
        <v>2765</v>
      </c>
      <c r="B347" s="7" t="s">
        <v>45</v>
      </c>
      <c r="C347" s="7" t="s">
        <v>887</v>
      </c>
      <c r="D347" s="7" t="s">
        <v>407</v>
      </c>
      <c r="E347" s="7" t="s">
        <v>127</v>
      </c>
      <c r="F347" s="7" t="n">
        <v>22</v>
      </c>
      <c r="G347" s="7" t="n">
        <v>5.91</v>
      </c>
      <c r="H347" s="7" t="n">
        <v>6.61</v>
      </c>
      <c r="I347" s="7" t="n">
        <v>5</v>
      </c>
      <c r="J347" s="7" t="n">
        <v>0</v>
      </c>
      <c r="K347" s="7" t="n">
        <v>0</v>
      </c>
      <c r="L347" s="7" t="n">
        <v>0</v>
      </c>
      <c r="M347" s="7" t="n">
        <v>0</v>
      </c>
      <c r="N347" s="7" t="n">
        <v>0</v>
      </c>
      <c r="O347" s="7" t="n">
        <v>1</v>
      </c>
      <c r="P347" s="7" t="n">
        <v>1</v>
      </c>
      <c r="Q347" s="7" t="n">
        <v>0</v>
      </c>
      <c r="R347" s="7" t="n">
        <v>0</v>
      </c>
    </row>
    <row r="348" customFormat="false" ht="15" hidden="false" customHeight="true" outlineLevel="0" collapsed="false">
      <c r="A348" s="7" t="n">
        <v>4364</v>
      </c>
      <c r="B348" s="7" t="s">
        <v>45</v>
      </c>
      <c r="C348" s="7" t="s">
        <v>889</v>
      </c>
      <c r="D348" s="7" t="s">
        <v>417</v>
      </c>
      <c r="E348" s="7" t="s">
        <v>129</v>
      </c>
      <c r="F348" s="7" t="n">
        <v>32</v>
      </c>
      <c r="G348" s="7" t="n">
        <v>6.06</v>
      </c>
      <c r="H348" s="7" t="n">
        <v>6.31</v>
      </c>
      <c r="I348" s="7" t="n">
        <v>2</v>
      </c>
      <c r="J348" s="7" t="n">
        <v>0</v>
      </c>
      <c r="K348" s="7" t="n">
        <v>0</v>
      </c>
      <c r="L348" s="7" t="n">
        <v>0</v>
      </c>
      <c r="M348" s="7" t="n">
        <v>0</v>
      </c>
      <c r="N348" s="7" t="n">
        <v>0</v>
      </c>
      <c r="O348" s="7" t="n">
        <v>4</v>
      </c>
      <c r="P348" s="7" t="n">
        <v>4</v>
      </c>
      <c r="Q348" s="7" t="n">
        <v>0</v>
      </c>
      <c r="R348" s="7" t="n">
        <v>0</v>
      </c>
    </row>
    <row r="349" customFormat="false" ht="15" hidden="false" customHeight="true" outlineLevel="0" collapsed="false">
      <c r="A349" s="7" t="n">
        <v>5036</v>
      </c>
      <c r="B349" s="7" t="s">
        <v>45</v>
      </c>
      <c r="C349" s="7" t="s">
        <v>888</v>
      </c>
      <c r="D349" s="7" t="s">
        <v>433</v>
      </c>
      <c r="E349" s="7" t="s">
        <v>119</v>
      </c>
      <c r="F349" s="7" t="n">
        <v>28</v>
      </c>
      <c r="G349" s="7" t="n">
        <v>6.11</v>
      </c>
      <c r="H349" s="7" t="n">
        <v>6.41</v>
      </c>
      <c r="I349" s="7" t="n">
        <v>2</v>
      </c>
      <c r="J349" s="7" t="n">
        <v>0</v>
      </c>
      <c r="K349" s="7" t="n">
        <v>0</v>
      </c>
      <c r="L349" s="7" t="n">
        <v>0</v>
      </c>
      <c r="M349" s="7" t="n">
        <v>0</v>
      </c>
      <c r="N349" s="7" t="n">
        <v>0</v>
      </c>
      <c r="O349" s="7" t="n">
        <v>4</v>
      </c>
      <c r="P349" s="7" t="n">
        <v>3</v>
      </c>
      <c r="Q349" s="7" t="n">
        <v>0</v>
      </c>
      <c r="R349" s="7" t="n">
        <v>0</v>
      </c>
    </row>
    <row r="350" customFormat="false" ht="15" hidden="false" customHeight="true" outlineLevel="0" collapsed="false">
      <c r="A350" s="7" t="n">
        <v>4486</v>
      </c>
      <c r="B350" s="7" t="s">
        <v>45</v>
      </c>
      <c r="C350" s="7" t="s">
        <v>894</v>
      </c>
      <c r="D350" s="7" t="s">
        <v>899</v>
      </c>
      <c r="E350" s="7" t="s">
        <v>141</v>
      </c>
      <c r="F350" s="7" t="n">
        <v>14</v>
      </c>
      <c r="G350" s="7" t="n">
        <v>6.21</v>
      </c>
      <c r="H350" s="7" t="n">
        <v>6.68</v>
      </c>
      <c r="I350" s="7" t="n">
        <v>2</v>
      </c>
      <c r="J350" s="7" t="n">
        <v>0</v>
      </c>
      <c r="K350" s="7" t="n">
        <v>0</v>
      </c>
      <c r="L350" s="7" t="n">
        <v>0</v>
      </c>
      <c r="M350" s="7" t="n">
        <v>0</v>
      </c>
      <c r="N350" s="7" t="n">
        <v>0</v>
      </c>
      <c r="O350" s="7" t="n">
        <v>2</v>
      </c>
      <c r="P350" s="7" t="n">
        <v>3</v>
      </c>
      <c r="Q350" s="7" t="n">
        <v>0</v>
      </c>
      <c r="R350" s="7" t="n">
        <v>0</v>
      </c>
    </row>
    <row r="351" customFormat="false" ht="15" hidden="false" customHeight="true" outlineLevel="0" collapsed="false">
      <c r="A351" s="7" t="n">
        <v>449</v>
      </c>
      <c r="B351" s="7" t="s">
        <v>45</v>
      </c>
      <c r="C351" s="7" t="s">
        <v>887</v>
      </c>
      <c r="D351" s="7" t="s">
        <v>900</v>
      </c>
      <c r="E351" s="7" t="s">
        <v>743</v>
      </c>
      <c r="F351" s="7" t="n">
        <v>13</v>
      </c>
      <c r="G351" s="7" t="n">
        <v>6.15</v>
      </c>
      <c r="H351" s="7" t="n">
        <v>6.54</v>
      </c>
      <c r="I351" s="7" t="n">
        <v>1</v>
      </c>
      <c r="J351" s="7" t="n">
        <v>0</v>
      </c>
      <c r="K351" s="7" t="n">
        <v>0</v>
      </c>
      <c r="L351" s="7" t="n">
        <v>0</v>
      </c>
      <c r="M351" s="7" t="n">
        <v>0</v>
      </c>
      <c r="N351" s="7" t="n">
        <v>0</v>
      </c>
      <c r="O351" s="7" t="n">
        <v>2</v>
      </c>
      <c r="P351" s="7" t="n">
        <v>1</v>
      </c>
      <c r="Q351" s="7" t="n">
        <v>0</v>
      </c>
      <c r="R351" s="7" t="n">
        <v>0</v>
      </c>
    </row>
    <row r="352" customFormat="false" ht="15" hidden="false" customHeight="true" outlineLevel="0" collapsed="false">
      <c r="A352" s="7" t="n">
        <v>5800</v>
      </c>
      <c r="B352" s="7" t="s">
        <v>45</v>
      </c>
      <c r="C352" s="7" t="s">
        <v>887</v>
      </c>
      <c r="D352" s="7" t="s">
        <v>381</v>
      </c>
      <c r="E352" s="7" t="s">
        <v>123</v>
      </c>
      <c r="F352" s="7" t="n">
        <v>32</v>
      </c>
      <c r="G352" s="7" t="n">
        <v>5.88</v>
      </c>
      <c r="H352" s="7" t="n">
        <v>6.34</v>
      </c>
      <c r="I352" s="7" t="n">
        <v>5</v>
      </c>
      <c r="J352" s="7" t="n">
        <v>0</v>
      </c>
      <c r="K352" s="7" t="n">
        <v>0</v>
      </c>
      <c r="L352" s="7" t="n">
        <v>3</v>
      </c>
      <c r="M352" s="7" t="n">
        <v>3</v>
      </c>
      <c r="N352" s="7" t="n">
        <v>0</v>
      </c>
      <c r="O352" s="7" t="n">
        <v>3</v>
      </c>
      <c r="P352" s="7" t="n">
        <v>4</v>
      </c>
      <c r="Q352" s="7" t="n">
        <v>1</v>
      </c>
      <c r="R352" s="7" t="n">
        <v>0</v>
      </c>
    </row>
    <row r="353" customFormat="false" ht="15" hidden="false" customHeight="true" outlineLevel="0" collapsed="false">
      <c r="A353" s="7" t="n">
        <v>4186</v>
      </c>
      <c r="B353" s="7" t="s">
        <v>45</v>
      </c>
      <c r="C353" s="7" t="s">
        <v>45</v>
      </c>
      <c r="D353" s="7" t="s">
        <v>901</v>
      </c>
      <c r="E353" s="7" t="s">
        <v>133</v>
      </c>
      <c r="F353" s="7" t="n">
        <v>16</v>
      </c>
      <c r="G353" s="7" t="n">
        <v>6.16</v>
      </c>
      <c r="H353" s="7" t="n">
        <v>6.31</v>
      </c>
      <c r="I353" s="7" t="n">
        <v>2</v>
      </c>
      <c r="J353" s="7" t="n">
        <v>0</v>
      </c>
      <c r="K353" s="7" t="n">
        <v>0</v>
      </c>
      <c r="L353" s="7" t="n">
        <v>0</v>
      </c>
      <c r="M353" s="7" t="n">
        <v>0</v>
      </c>
      <c r="N353" s="7" t="n">
        <v>0</v>
      </c>
      <c r="O353" s="7" t="n">
        <v>0</v>
      </c>
      <c r="P353" s="7" t="n">
        <v>5</v>
      </c>
      <c r="Q353" s="7" t="n">
        <v>1</v>
      </c>
      <c r="R353" s="7" t="n">
        <v>0</v>
      </c>
    </row>
    <row r="354" customFormat="false" ht="15" hidden="false" customHeight="true" outlineLevel="0" collapsed="false">
      <c r="A354" s="7" t="n">
        <v>632</v>
      </c>
      <c r="B354" s="7" t="s">
        <v>45</v>
      </c>
      <c r="C354" s="7" t="s">
        <v>894</v>
      </c>
      <c r="D354" s="7" t="s">
        <v>378</v>
      </c>
      <c r="E354" s="7" t="s">
        <v>133</v>
      </c>
      <c r="F354" s="7" t="n">
        <v>26</v>
      </c>
      <c r="G354" s="7" t="n">
        <v>5.88</v>
      </c>
      <c r="H354" s="7" t="n">
        <v>5.96</v>
      </c>
      <c r="I354" s="7" t="n">
        <v>3</v>
      </c>
      <c r="J354" s="7" t="n">
        <v>0</v>
      </c>
      <c r="K354" s="7" t="n">
        <v>0</v>
      </c>
      <c r="L354" s="7" t="n">
        <v>1</v>
      </c>
      <c r="M354" s="7" t="n">
        <v>0</v>
      </c>
      <c r="N354" s="7" t="n">
        <v>1</v>
      </c>
      <c r="O354" s="7" t="n">
        <v>0</v>
      </c>
      <c r="P354" s="7" t="n">
        <v>6</v>
      </c>
      <c r="Q354" s="7" t="n">
        <v>1</v>
      </c>
      <c r="R354" s="7" t="n">
        <v>0</v>
      </c>
    </row>
    <row r="355" customFormat="false" ht="15" hidden="false" customHeight="true" outlineLevel="0" collapsed="false">
      <c r="A355" s="7" t="n">
        <v>5504</v>
      </c>
      <c r="B355" s="7" t="s">
        <v>45</v>
      </c>
      <c r="C355" s="7" t="s">
        <v>890</v>
      </c>
      <c r="D355" s="7" t="s">
        <v>439</v>
      </c>
      <c r="E355" s="7" t="s">
        <v>139</v>
      </c>
      <c r="F355" s="7" t="n">
        <v>33</v>
      </c>
      <c r="G355" s="7" t="n">
        <v>6.05</v>
      </c>
      <c r="H355" s="7" t="n">
        <v>6.29</v>
      </c>
      <c r="I355" s="7" t="n">
        <v>3</v>
      </c>
      <c r="J355" s="7" t="n">
        <v>0</v>
      </c>
      <c r="K355" s="7" t="n">
        <v>0</v>
      </c>
      <c r="L355" s="7" t="n">
        <v>0</v>
      </c>
      <c r="M355" s="7" t="n">
        <v>0</v>
      </c>
      <c r="N355" s="7" t="n">
        <v>0</v>
      </c>
      <c r="O355" s="7" t="n">
        <v>1</v>
      </c>
      <c r="P355" s="7" t="n">
        <v>4</v>
      </c>
      <c r="Q355" s="7" t="n">
        <v>0</v>
      </c>
      <c r="R355" s="7" t="n">
        <v>0</v>
      </c>
    </row>
    <row r="356" customFormat="false" ht="15" hidden="false" customHeight="true" outlineLevel="0" collapsed="false">
      <c r="A356" s="7" t="n">
        <v>536</v>
      </c>
      <c r="B356" s="7" t="s">
        <v>45</v>
      </c>
      <c r="C356" s="7" t="s">
        <v>892</v>
      </c>
      <c r="D356" s="7" t="s">
        <v>396</v>
      </c>
      <c r="E356" s="7" t="s">
        <v>125</v>
      </c>
      <c r="F356" s="7" t="n">
        <v>33</v>
      </c>
      <c r="G356" s="7" t="n">
        <v>6.09</v>
      </c>
      <c r="H356" s="7" t="n">
        <v>6.36</v>
      </c>
      <c r="I356" s="7" t="n">
        <v>2</v>
      </c>
      <c r="J356" s="7" t="n">
        <v>0</v>
      </c>
      <c r="K356" s="7" t="n">
        <v>0</v>
      </c>
      <c r="L356" s="7" t="n">
        <v>0</v>
      </c>
      <c r="M356" s="7" t="n">
        <v>0</v>
      </c>
      <c r="N356" s="7" t="n">
        <v>0</v>
      </c>
      <c r="O356" s="7" t="n">
        <v>5</v>
      </c>
      <c r="P356" s="7" t="n">
        <v>4</v>
      </c>
      <c r="Q356" s="7" t="n">
        <v>0</v>
      </c>
      <c r="R356" s="7" t="n">
        <v>0</v>
      </c>
    </row>
    <row r="357" customFormat="false" ht="15" hidden="false" customHeight="true" outlineLevel="0" collapsed="false">
      <c r="A357" s="7" t="n">
        <v>779</v>
      </c>
      <c r="B357" s="7" t="s">
        <v>45</v>
      </c>
      <c r="C357" s="7" t="s">
        <v>890</v>
      </c>
      <c r="D357" s="7" t="s">
        <v>416</v>
      </c>
      <c r="E357" s="7" t="s">
        <v>113</v>
      </c>
      <c r="F357" s="7" t="n">
        <v>37</v>
      </c>
      <c r="G357" s="7" t="n">
        <v>6.11</v>
      </c>
      <c r="H357" s="7" t="n">
        <v>6.22</v>
      </c>
      <c r="I357" s="7" t="n">
        <v>2</v>
      </c>
      <c r="J357" s="7" t="n">
        <v>0</v>
      </c>
      <c r="K357" s="7" t="n">
        <v>0</v>
      </c>
      <c r="L357" s="7" t="n">
        <v>0</v>
      </c>
      <c r="M357" s="7" t="n">
        <v>0</v>
      </c>
      <c r="N357" s="7" t="n">
        <v>0</v>
      </c>
      <c r="O357" s="7" t="n">
        <v>1</v>
      </c>
      <c r="P357" s="7" t="n">
        <v>6</v>
      </c>
      <c r="Q357" s="7" t="n">
        <v>0</v>
      </c>
      <c r="R357" s="7" t="n">
        <v>0</v>
      </c>
    </row>
    <row r="358" customFormat="false" ht="15" hidden="false" customHeight="true" outlineLevel="0" collapsed="false">
      <c r="A358" s="7" t="n">
        <v>5589</v>
      </c>
      <c r="B358" s="7" t="s">
        <v>45</v>
      </c>
      <c r="C358" s="7" t="s">
        <v>890</v>
      </c>
      <c r="D358" s="7" t="s">
        <v>397</v>
      </c>
      <c r="E358" s="7" t="s">
        <v>113</v>
      </c>
      <c r="F358" s="7" t="n">
        <v>29</v>
      </c>
      <c r="G358" s="7" t="n">
        <v>6.26</v>
      </c>
      <c r="H358" s="7" t="n">
        <v>6.53</v>
      </c>
      <c r="I358" s="7" t="n">
        <v>2</v>
      </c>
      <c r="J358" s="7" t="n">
        <v>0</v>
      </c>
      <c r="K358" s="7" t="n">
        <v>0</v>
      </c>
      <c r="L358" s="7" t="n">
        <v>0</v>
      </c>
      <c r="M358" s="7" t="n">
        <v>0</v>
      </c>
      <c r="N358" s="7" t="n">
        <v>0</v>
      </c>
      <c r="O358" s="7" t="n">
        <v>3</v>
      </c>
      <c r="P358" s="7" t="n">
        <v>2</v>
      </c>
      <c r="Q358" s="7" t="n">
        <v>0</v>
      </c>
      <c r="R358" s="7" t="n">
        <v>0</v>
      </c>
    </row>
    <row r="359" customFormat="false" ht="15" hidden="false" customHeight="true" outlineLevel="0" collapsed="false">
      <c r="A359" s="7" t="n">
        <v>530</v>
      </c>
      <c r="B359" s="7" t="s">
        <v>45</v>
      </c>
      <c r="C359" s="7" t="s">
        <v>888</v>
      </c>
      <c r="D359" s="7" t="s">
        <v>902</v>
      </c>
      <c r="E359" s="7" t="s">
        <v>113</v>
      </c>
      <c r="F359" s="7" t="n">
        <v>24</v>
      </c>
      <c r="G359" s="7" t="n">
        <v>6.04</v>
      </c>
      <c r="H359" s="7" t="n">
        <v>6.58</v>
      </c>
      <c r="I359" s="7" t="n">
        <v>4</v>
      </c>
      <c r="J359" s="7" t="n">
        <v>0</v>
      </c>
      <c r="K359" s="7" t="n">
        <v>0</v>
      </c>
      <c r="L359" s="7" t="n">
        <v>2</v>
      </c>
      <c r="M359" s="7" t="n">
        <v>2</v>
      </c>
      <c r="N359" s="7" t="n">
        <v>0</v>
      </c>
      <c r="O359" s="7" t="n">
        <v>2</v>
      </c>
      <c r="P359" s="7" t="n">
        <v>2</v>
      </c>
      <c r="Q359" s="7" t="n">
        <v>0</v>
      </c>
      <c r="R359" s="7" t="n">
        <v>0</v>
      </c>
    </row>
    <row r="360" customFormat="false" ht="15" hidden="false" customHeight="true" outlineLevel="0" collapsed="false">
      <c r="A360" s="7" t="n">
        <v>5735</v>
      </c>
      <c r="B360" s="7" t="s">
        <v>45</v>
      </c>
      <c r="C360" s="7" t="s">
        <v>898</v>
      </c>
      <c r="D360" s="7" t="s">
        <v>426</v>
      </c>
      <c r="E360" s="7" t="s">
        <v>144</v>
      </c>
      <c r="F360" s="7" t="n">
        <v>21</v>
      </c>
      <c r="G360" s="7" t="n">
        <v>6.14</v>
      </c>
      <c r="H360" s="7" t="n">
        <v>6.52</v>
      </c>
      <c r="I360" s="7" t="n">
        <v>2</v>
      </c>
      <c r="J360" s="7" t="n">
        <v>0</v>
      </c>
      <c r="K360" s="7" t="n">
        <v>0</v>
      </c>
      <c r="L360" s="7" t="n">
        <v>0</v>
      </c>
      <c r="M360" s="7" t="n">
        <v>0</v>
      </c>
      <c r="N360" s="7" t="n">
        <v>0</v>
      </c>
      <c r="O360" s="7" t="n">
        <v>4</v>
      </c>
      <c r="P360" s="7" t="n">
        <v>4</v>
      </c>
      <c r="Q360" s="7" t="n">
        <v>0</v>
      </c>
      <c r="R360" s="7" t="n">
        <v>0</v>
      </c>
    </row>
    <row r="361" customFormat="false" ht="15" hidden="false" customHeight="true" outlineLevel="0" collapsed="false">
      <c r="A361" s="7" t="n">
        <v>5888</v>
      </c>
      <c r="B361" s="7" t="s">
        <v>45</v>
      </c>
      <c r="C361" s="7" t="s">
        <v>888</v>
      </c>
      <c r="D361" s="7" t="s">
        <v>399</v>
      </c>
      <c r="E361" s="7" t="s">
        <v>184</v>
      </c>
      <c r="F361" s="7" t="n">
        <v>32</v>
      </c>
      <c r="G361" s="7" t="n">
        <v>5.97</v>
      </c>
      <c r="H361" s="7" t="n">
        <v>6.45</v>
      </c>
      <c r="I361" s="7" t="n">
        <v>6</v>
      </c>
      <c r="J361" s="7" t="n">
        <v>0</v>
      </c>
      <c r="K361" s="7" t="n">
        <v>0</v>
      </c>
      <c r="L361" s="7" t="n">
        <v>0</v>
      </c>
      <c r="M361" s="7" t="n">
        <v>0</v>
      </c>
      <c r="N361" s="7" t="n">
        <v>0</v>
      </c>
      <c r="O361" s="7" t="n">
        <v>0</v>
      </c>
      <c r="P361" s="7" t="n">
        <v>5</v>
      </c>
      <c r="Q361" s="7" t="n">
        <v>0</v>
      </c>
      <c r="R361" s="7" t="n">
        <v>0</v>
      </c>
    </row>
    <row r="362" customFormat="false" ht="15" hidden="false" customHeight="true" outlineLevel="0" collapsed="false">
      <c r="A362" s="7" t="n">
        <v>2077</v>
      </c>
      <c r="B362" s="7" t="s">
        <v>45</v>
      </c>
      <c r="C362" s="7" t="s">
        <v>888</v>
      </c>
      <c r="D362" s="7" t="s">
        <v>401</v>
      </c>
      <c r="E362" s="7" t="s">
        <v>117</v>
      </c>
      <c r="F362" s="7" t="n">
        <v>31</v>
      </c>
      <c r="G362" s="7" t="n">
        <v>5.94</v>
      </c>
      <c r="H362" s="7" t="n">
        <v>6.27</v>
      </c>
      <c r="I362" s="7" t="n">
        <v>3</v>
      </c>
      <c r="J362" s="7" t="n">
        <v>0</v>
      </c>
      <c r="K362" s="7" t="n">
        <v>0</v>
      </c>
      <c r="L362" s="7" t="n">
        <v>0</v>
      </c>
      <c r="M362" s="7" t="n">
        <v>0</v>
      </c>
      <c r="N362" s="7" t="n">
        <v>0</v>
      </c>
      <c r="O362" s="7" t="n">
        <v>3</v>
      </c>
      <c r="P362" s="7" t="n">
        <v>3</v>
      </c>
      <c r="Q362" s="7" t="n">
        <v>0</v>
      </c>
      <c r="R362" s="7" t="n">
        <v>0</v>
      </c>
    </row>
    <row r="363" customFormat="false" ht="15" hidden="false" customHeight="true" outlineLevel="0" collapsed="false">
      <c r="A363" s="7" t="n">
        <v>4404</v>
      </c>
      <c r="B363" s="7" t="s">
        <v>45</v>
      </c>
      <c r="C363" s="7" t="s">
        <v>888</v>
      </c>
      <c r="D363" s="7" t="s">
        <v>903</v>
      </c>
      <c r="E363" s="7" t="s">
        <v>743</v>
      </c>
      <c r="F363" s="7" t="n">
        <v>21</v>
      </c>
      <c r="G363" s="7" t="n">
        <v>6.1</v>
      </c>
      <c r="H363" s="7" t="n">
        <v>6.48</v>
      </c>
      <c r="I363" s="7" t="n">
        <v>3</v>
      </c>
      <c r="J363" s="7" t="n">
        <v>0</v>
      </c>
      <c r="K363" s="7" t="n">
        <v>0</v>
      </c>
      <c r="L363" s="7" t="n">
        <v>0</v>
      </c>
      <c r="M363" s="7" t="n">
        <v>0</v>
      </c>
      <c r="N363" s="7" t="n">
        <v>0</v>
      </c>
      <c r="O363" s="7" t="n">
        <v>1</v>
      </c>
      <c r="P363" s="7" t="n">
        <v>4</v>
      </c>
      <c r="Q363" s="7" t="n">
        <v>0</v>
      </c>
      <c r="R363" s="7" t="n">
        <v>0</v>
      </c>
    </row>
    <row r="364" customFormat="false" ht="15" hidden="false" customHeight="true" outlineLevel="0" collapsed="false">
      <c r="A364" s="7" t="n">
        <v>827</v>
      </c>
      <c r="B364" s="7" t="s">
        <v>45</v>
      </c>
      <c r="C364" s="7" t="s">
        <v>890</v>
      </c>
      <c r="D364" s="7" t="s">
        <v>413</v>
      </c>
      <c r="E364" s="7" t="s">
        <v>131</v>
      </c>
      <c r="F364" s="7" t="n">
        <v>36</v>
      </c>
      <c r="G364" s="7" t="n">
        <v>6.26</v>
      </c>
      <c r="H364" s="7" t="n">
        <v>6.19</v>
      </c>
      <c r="I364" s="7" t="n">
        <v>1</v>
      </c>
      <c r="J364" s="7" t="n">
        <v>0</v>
      </c>
      <c r="K364" s="7" t="n">
        <v>0</v>
      </c>
      <c r="L364" s="7" t="n">
        <v>1</v>
      </c>
      <c r="M364" s="7" t="n">
        <v>0</v>
      </c>
      <c r="N364" s="7" t="n">
        <v>1</v>
      </c>
      <c r="O364" s="7" t="n">
        <v>2</v>
      </c>
      <c r="P364" s="7" t="n">
        <v>9</v>
      </c>
      <c r="Q364" s="7" t="n">
        <v>0</v>
      </c>
      <c r="R364" s="7" t="n">
        <v>0</v>
      </c>
    </row>
    <row r="365" customFormat="false" ht="15" hidden="false" customHeight="true" outlineLevel="0" collapsed="false">
      <c r="A365" s="7" t="n">
        <v>7351</v>
      </c>
      <c r="B365" s="7" t="s">
        <v>45</v>
      </c>
      <c r="C365" s="7" t="s">
        <v>894</v>
      </c>
      <c r="D365" s="7" t="s">
        <v>558</v>
      </c>
      <c r="E365" s="7" t="s">
        <v>125</v>
      </c>
      <c r="F365" s="7" t="n">
        <v>13</v>
      </c>
      <c r="G365" s="7" t="n">
        <v>6.35</v>
      </c>
      <c r="H365" s="7" t="n">
        <v>7.23</v>
      </c>
      <c r="I365" s="7" t="n">
        <v>4</v>
      </c>
      <c r="J365" s="7" t="n">
        <v>0</v>
      </c>
      <c r="K365" s="7" t="n">
        <v>0</v>
      </c>
      <c r="L365" s="7" t="n">
        <v>0</v>
      </c>
      <c r="M365" s="7" t="n">
        <v>0</v>
      </c>
      <c r="N365" s="7" t="n">
        <v>0</v>
      </c>
      <c r="O365" s="7" t="n">
        <v>0</v>
      </c>
      <c r="P365" s="7" t="n">
        <v>1</v>
      </c>
      <c r="Q365" s="7" t="n">
        <v>0</v>
      </c>
      <c r="R365" s="7" t="n">
        <v>0</v>
      </c>
    </row>
    <row r="366" customFormat="false" ht="15" hidden="false" customHeight="true" outlineLevel="0" collapsed="false">
      <c r="A366" s="7" t="n">
        <v>7133</v>
      </c>
      <c r="B366" s="7" t="s">
        <v>45</v>
      </c>
      <c r="C366" s="7" t="s">
        <v>898</v>
      </c>
      <c r="D366" s="7" t="s">
        <v>904</v>
      </c>
      <c r="E366" s="7" t="s">
        <v>743</v>
      </c>
      <c r="F366" s="7" t="n">
        <v>31</v>
      </c>
      <c r="G366" s="7" t="n">
        <v>6.06</v>
      </c>
      <c r="H366" s="7" t="n">
        <v>6.27</v>
      </c>
      <c r="I366" s="7" t="n">
        <v>1</v>
      </c>
      <c r="J366" s="7" t="n">
        <v>0</v>
      </c>
      <c r="K366" s="7" t="n">
        <v>0</v>
      </c>
      <c r="L366" s="7" t="n">
        <v>0</v>
      </c>
      <c r="M366" s="7" t="n">
        <v>0</v>
      </c>
      <c r="N366" s="7" t="n">
        <v>0</v>
      </c>
      <c r="O366" s="7" t="n">
        <v>5</v>
      </c>
      <c r="P366" s="7" t="n">
        <v>3</v>
      </c>
      <c r="Q366" s="7" t="n">
        <v>0</v>
      </c>
      <c r="R366" s="7" t="n">
        <v>0</v>
      </c>
    </row>
    <row r="367" customFormat="false" ht="15" hidden="false" customHeight="true" outlineLevel="0" collapsed="false">
      <c r="A367" s="7" t="n">
        <v>4465</v>
      </c>
      <c r="B367" s="7" t="s">
        <v>45</v>
      </c>
      <c r="C367" s="7" t="s">
        <v>45</v>
      </c>
      <c r="D367" s="7" t="s">
        <v>409</v>
      </c>
      <c r="E367" s="7" t="s">
        <v>123</v>
      </c>
      <c r="F367" s="7" t="n">
        <v>33</v>
      </c>
      <c r="G367" s="7" t="n">
        <v>6.03</v>
      </c>
      <c r="H367" s="7" t="n">
        <v>6.23</v>
      </c>
      <c r="I367" s="7" t="n">
        <v>2</v>
      </c>
      <c r="J367" s="7" t="n">
        <v>0</v>
      </c>
      <c r="K367" s="7" t="n">
        <v>0</v>
      </c>
      <c r="L367" s="7" t="n">
        <v>0</v>
      </c>
      <c r="M367" s="7" t="n">
        <v>0</v>
      </c>
      <c r="N367" s="7" t="n">
        <v>0</v>
      </c>
      <c r="O367" s="7" t="n">
        <v>3</v>
      </c>
      <c r="P367" s="7" t="n">
        <v>5</v>
      </c>
      <c r="Q367" s="7" t="n">
        <v>0</v>
      </c>
      <c r="R367" s="7" t="n">
        <v>0</v>
      </c>
    </row>
    <row r="368" customFormat="false" ht="15" hidden="false" customHeight="true" outlineLevel="0" collapsed="false">
      <c r="A368" s="7" t="n">
        <v>7070</v>
      </c>
      <c r="B368" s="7" t="s">
        <v>45</v>
      </c>
      <c r="C368" s="7" t="s">
        <v>45</v>
      </c>
      <c r="D368" s="7" t="s">
        <v>412</v>
      </c>
      <c r="E368" s="7" t="s">
        <v>115</v>
      </c>
      <c r="F368" s="7" t="n">
        <v>28</v>
      </c>
      <c r="G368" s="7" t="n">
        <v>6.07</v>
      </c>
      <c r="H368" s="7" t="n">
        <v>6.27</v>
      </c>
      <c r="I368" s="7" t="n">
        <v>2</v>
      </c>
      <c r="J368" s="7" t="n">
        <v>0</v>
      </c>
      <c r="K368" s="7" t="n">
        <v>0</v>
      </c>
      <c r="L368" s="7" t="n">
        <v>0</v>
      </c>
      <c r="M368" s="7" t="n">
        <v>0</v>
      </c>
      <c r="N368" s="7" t="n">
        <v>0</v>
      </c>
      <c r="O368" s="7" t="n">
        <v>2</v>
      </c>
      <c r="P368" s="7" t="n">
        <v>5</v>
      </c>
      <c r="Q368" s="7" t="n">
        <v>0</v>
      </c>
      <c r="R368" s="7" t="n">
        <v>0</v>
      </c>
    </row>
    <row r="369" customFormat="false" ht="15" hidden="false" customHeight="true" outlineLevel="0" collapsed="false">
      <c r="A369" s="7" t="n">
        <v>333</v>
      </c>
      <c r="B369" s="7" t="s">
        <v>45</v>
      </c>
      <c r="C369" s="7" t="s">
        <v>890</v>
      </c>
      <c r="D369" s="7" t="s">
        <v>481</v>
      </c>
      <c r="E369" s="7" t="s">
        <v>133</v>
      </c>
      <c r="F369" s="7" t="n">
        <v>27</v>
      </c>
      <c r="G369" s="7" t="n">
        <v>6.07</v>
      </c>
      <c r="H369" s="7" t="n">
        <v>6.41</v>
      </c>
      <c r="I369" s="7" t="n">
        <v>3</v>
      </c>
      <c r="J369" s="7" t="n">
        <v>0</v>
      </c>
      <c r="K369" s="7" t="n">
        <v>0</v>
      </c>
      <c r="L369" s="7" t="n">
        <v>2</v>
      </c>
      <c r="M369" s="7" t="n">
        <v>2</v>
      </c>
      <c r="N369" s="7" t="n">
        <v>0</v>
      </c>
      <c r="O369" s="7" t="n">
        <v>3</v>
      </c>
      <c r="P369" s="7" t="n">
        <v>6</v>
      </c>
      <c r="Q369" s="7" t="n">
        <v>0</v>
      </c>
      <c r="R369" s="7" t="n">
        <v>0</v>
      </c>
    </row>
    <row r="370" customFormat="false" ht="15" hidden="false" customHeight="true" outlineLevel="0" collapsed="false">
      <c r="A370" s="7" t="n">
        <v>5674</v>
      </c>
      <c r="B370" s="7" t="s">
        <v>45</v>
      </c>
      <c r="C370" s="7" t="s">
        <v>45</v>
      </c>
      <c r="D370" s="7" t="s">
        <v>445</v>
      </c>
      <c r="E370" s="7" t="s">
        <v>133</v>
      </c>
      <c r="F370" s="7" t="n">
        <v>23</v>
      </c>
      <c r="G370" s="7" t="n">
        <v>6.09</v>
      </c>
      <c r="H370" s="7" t="n">
        <v>6.43</v>
      </c>
      <c r="I370" s="7" t="n">
        <v>2</v>
      </c>
      <c r="J370" s="7" t="n">
        <v>0</v>
      </c>
      <c r="K370" s="7" t="n">
        <v>0</v>
      </c>
      <c r="L370" s="7" t="n">
        <v>0</v>
      </c>
      <c r="M370" s="7" t="n">
        <v>0</v>
      </c>
      <c r="N370" s="7" t="n">
        <v>0</v>
      </c>
      <c r="O370" s="7" t="n">
        <v>3</v>
      </c>
      <c r="P370" s="7" t="n">
        <v>0</v>
      </c>
      <c r="Q370" s="7" t="n">
        <v>1</v>
      </c>
      <c r="R370" s="7" t="n">
        <v>0</v>
      </c>
    </row>
    <row r="371" customFormat="false" ht="15" hidden="false" customHeight="true" outlineLevel="0" collapsed="false">
      <c r="A371" s="7" t="n">
        <v>5453</v>
      </c>
      <c r="B371" s="7" t="s">
        <v>45</v>
      </c>
      <c r="C371" s="7" t="s">
        <v>890</v>
      </c>
      <c r="D371" s="7" t="s">
        <v>483</v>
      </c>
      <c r="E371" s="7" t="s">
        <v>121</v>
      </c>
      <c r="F371" s="7" t="n">
        <v>28</v>
      </c>
      <c r="G371" s="7" t="n">
        <v>6</v>
      </c>
      <c r="H371" s="7" t="n">
        <v>6.18</v>
      </c>
      <c r="I371" s="7" t="n">
        <v>1</v>
      </c>
      <c r="J371" s="7" t="n">
        <v>0</v>
      </c>
      <c r="K371" s="7" t="n">
        <v>0</v>
      </c>
      <c r="L371" s="7" t="n">
        <v>0</v>
      </c>
      <c r="M371" s="7" t="n">
        <v>0</v>
      </c>
      <c r="N371" s="7" t="n">
        <v>0</v>
      </c>
      <c r="O371" s="7" t="n">
        <v>3</v>
      </c>
      <c r="P371" s="7" t="n">
        <v>3</v>
      </c>
      <c r="Q371" s="7" t="n">
        <v>0</v>
      </c>
      <c r="R371" s="7" t="n">
        <v>0</v>
      </c>
    </row>
    <row r="372" customFormat="false" ht="15" hidden="false" customHeight="true" outlineLevel="0" collapsed="false">
      <c r="A372" s="7" t="n">
        <v>6898</v>
      </c>
      <c r="B372" s="7" t="s">
        <v>45</v>
      </c>
      <c r="C372" s="7" t="s">
        <v>890</v>
      </c>
      <c r="D372" s="7" t="s">
        <v>460</v>
      </c>
      <c r="E372" s="7" t="s">
        <v>141</v>
      </c>
      <c r="F372" s="7" t="n">
        <v>36</v>
      </c>
      <c r="G372" s="7" t="n">
        <v>6.01</v>
      </c>
      <c r="H372" s="7" t="n">
        <v>6.06</v>
      </c>
      <c r="I372" s="7" t="n">
        <v>1</v>
      </c>
      <c r="J372" s="7" t="n">
        <v>0</v>
      </c>
      <c r="K372" s="7" t="n">
        <v>0</v>
      </c>
      <c r="L372" s="7" t="n">
        <v>0</v>
      </c>
      <c r="M372" s="7" t="n">
        <v>0</v>
      </c>
      <c r="N372" s="7" t="n">
        <v>0</v>
      </c>
      <c r="O372" s="7" t="n">
        <v>1</v>
      </c>
      <c r="P372" s="7" t="n">
        <v>1</v>
      </c>
      <c r="Q372" s="7" t="n">
        <v>0</v>
      </c>
      <c r="R372" s="7" t="n">
        <v>1</v>
      </c>
    </row>
    <row r="373" customFormat="false" ht="15" hidden="false" customHeight="true" outlineLevel="0" collapsed="false">
      <c r="A373" s="7" t="n">
        <v>5393</v>
      </c>
      <c r="B373" s="7" t="s">
        <v>45</v>
      </c>
      <c r="C373" s="7" t="s">
        <v>894</v>
      </c>
      <c r="D373" s="7" t="s">
        <v>905</v>
      </c>
      <c r="E373" s="7" t="s">
        <v>141</v>
      </c>
      <c r="F373" s="7" t="n">
        <v>0</v>
      </c>
      <c r="G373" s="7" t="n">
        <v>0</v>
      </c>
      <c r="H373" s="7" t="n">
        <v>0</v>
      </c>
      <c r="I373" s="7" t="n">
        <v>0</v>
      </c>
      <c r="J373" s="7" t="n">
        <v>0</v>
      </c>
      <c r="K373" s="7" t="n">
        <v>0</v>
      </c>
      <c r="L373" s="7" t="n">
        <v>0</v>
      </c>
      <c r="M373" s="7" t="n">
        <v>0</v>
      </c>
      <c r="N373" s="7" t="n">
        <v>0</v>
      </c>
      <c r="O373" s="7" t="n">
        <v>0</v>
      </c>
      <c r="P373" s="7" t="n">
        <v>0</v>
      </c>
      <c r="Q373" s="7" t="n">
        <v>0</v>
      </c>
      <c r="R373" s="7" t="n">
        <v>0</v>
      </c>
    </row>
    <row r="374" customFormat="false" ht="15" hidden="false" customHeight="true" outlineLevel="0" collapsed="false">
      <c r="A374" s="7" t="n">
        <v>5651</v>
      </c>
      <c r="B374" s="7" t="s">
        <v>45</v>
      </c>
      <c r="C374" s="7" t="s">
        <v>892</v>
      </c>
      <c r="D374" s="7" t="s">
        <v>906</v>
      </c>
      <c r="E374" s="7" t="s">
        <v>123</v>
      </c>
      <c r="F374" s="7" t="n">
        <v>15</v>
      </c>
      <c r="G374" s="7" t="n">
        <v>5.9</v>
      </c>
      <c r="H374" s="7" t="n">
        <v>6.27</v>
      </c>
      <c r="I374" s="7" t="n">
        <v>1</v>
      </c>
      <c r="J374" s="7" t="n">
        <v>0</v>
      </c>
      <c r="K374" s="7" t="n">
        <v>0</v>
      </c>
      <c r="L374" s="7" t="n">
        <v>0</v>
      </c>
      <c r="M374" s="7" t="n">
        <v>0</v>
      </c>
      <c r="N374" s="7" t="n">
        <v>0</v>
      </c>
      <c r="O374" s="7" t="n">
        <v>3</v>
      </c>
      <c r="P374" s="7" t="n">
        <v>1</v>
      </c>
      <c r="Q374" s="7" t="n">
        <v>0</v>
      </c>
      <c r="R374" s="7" t="n">
        <v>0</v>
      </c>
    </row>
    <row r="375" customFormat="false" ht="15" hidden="false" customHeight="true" outlineLevel="0" collapsed="false">
      <c r="A375" s="7" t="n">
        <v>4947</v>
      </c>
      <c r="B375" s="7" t="s">
        <v>45</v>
      </c>
      <c r="C375" s="7" t="s">
        <v>888</v>
      </c>
      <c r="D375" s="7" t="s">
        <v>495</v>
      </c>
      <c r="E375" s="7" t="s">
        <v>123</v>
      </c>
      <c r="F375" s="7" t="n">
        <v>18</v>
      </c>
      <c r="G375" s="7" t="n">
        <v>5.97</v>
      </c>
      <c r="H375" s="7" t="n">
        <v>6.31</v>
      </c>
      <c r="I375" s="7" t="n">
        <v>2</v>
      </c>
      <c r="J375" s="7" t="n">
        <v>0</v>
      </c>
      <c r="K375" s="7" t="n">
        <v>0</v>
      </c>
      <c r="L375" s="7" t="n">
        <v>0</v>
      </c>
      <c r="M375" s="7" t="n">
        <v>0</v>
      </c>
      <c r="N375" s="7" t="n">
        <v>0</v>
      </c>
      <c r="O375" s="7" t="n">
        <v>1</v>
      </c>
      <c r="P375" s="7" t="n">
        <v>2</v>
      </c>
      <c r="Q375" s="7" t="n">
        <v>0</v>
      </c>
      <c r="R375" s="7" t="n">
        <v>0</v>
      </c>
    </row>
    <row r="376" customFormat="false" ht="15" hidden="false" customHeight="true" outlineLevel="0" collapsed="false">
      <c r="A376" s="7" t="n">
        <v>4896</v>
      </c>
      <c r="B376" s="7" t="s">
        <v>45</v>
      </c>
      <c r="C376" s="7" t="s">
        <v>887</v>
      </c>
      <c r="D376" s="7" t="s">
        <v>593</v>
      </c>
      <c r="E376" s="7" t="s">
        <v>133</v>
      </c>
      <c r="F376" s="7" t="n">
        <v>18</v>
      </c>
      <c r="G376" s="7" t="n">
        <v>5.94</v>
      </c>
      <c r="H376" s="7" t="n">
        <v>6.31</v>
      </c>
      <c r="I376" s="7" t="n">
        <v>2</v>
      </c>
      <c r="J376" s="7" t="n">
        <v>0</v>
      </c>
      <c r="K376" s="7" t="n">
        <v>0</v>
      </c>
      <c r="L376" s="7" t="n">
        <v>0</v>
      </c>
      <c r="M376" s="7" t="n">
        <v>0</v>
      </c>
      <c r="N376" s="7" t="n">
        <v>0</v>
      </c>
      <c r="O376" s="7" t="n">
        <v>1</v>
      </c>
      <c r="P376" s="7" t="n">
        <v>1</v>
      </c>
      <c r="Q376" s="7" t="n">
        <v>0</v>
      </c>
      <c r="R376" s="7" t="n">
        <v>0</v>
      </c>
    </row>
    <row r="377" customFormat="false" ht="15" hidden="false" customHeight="true" outlineLevel="0" collapsed="false">
      <c r="A377" s="7" t="n">
        <v>6252</v>
      </c>
      <c r="B377" s="7" t="s">
        <v>45</v>
      </c>
      <c r="C377" s="7" t="s">
        <v>888</v>
      </c>
      <c r="D377" s="7" t="s">
        <v>486</v>
      </c>
      <c r="E377" s="7" t="s">
        <v>129</v>
      </c>
      <c r="F377" s="7" t="n">
        <v>26</v>
      </c>
      <c r="G377" s="7" t="n">
        <v>6.04</v>
      </c>
      <c r="H377" s="7" t="n">
        <v>6.21</v>
      </c>
      <c r="I377" s="7" t="n">
        <v>2</v>
      </c>
      <c r="J377" s="7" t="n">
        <v>0</v>
      </c>
      <c r="K377" s="7" t="n">
        <v>0</v>
      </c>
      <c r="L377" s="7" t="n">
        <v>0</v>
      </c>
      <c r="M377" s="7" t="n">
        <v>0</v>
      </c>
      <c r="N377" s="7" t="n">
        <v>0</v>
      </c>
      <c r="O377" s="7" t="n">
        <v>0</v>
      </c>
      <c r="P377" s="7" t="n">
        <v>3</v>
      </c>
      <c r="Q377" s="7" t="n">
        <v>0</v>
      </c>
      <c r="R377" s="7" t="n">
        <v>0</v>
      </c>
    </row>
    <row r="378" customFormat="false" ht="15" hidden="false" customHeight="true" outlineLevel="0" collapsed="false">
      <c r="A378" s="7" t="n">
        <v>4686</v>
      </c>
      <c r="B378" s="7" t="s">
        <v>45</v>
      </c>
      <c r="C378" s="7" t="s">
        <v>890</v>
      </c>
      <c r="D378" s="7" t="s">
        <v>459</v>
      </c>
      <c r="E378" s="7" t="s">
        <v>121</v>
      </c>
      <c r="F378" s="7" t="n">
        <v>33</v>
      </c>
      <c r="G378" s="7" t="n">
        <v>5.85</v>
      </c>
      <c r="H378" s="7" t="n">
        <v>6.06</v>
      </c>
      <c r="I378" s="7" t="n">
        <v>2</v>
      </c>
      <c r="J378" s="7" t="n">
        <v>0</v>
      </c>
      <c r="K378" s="7" t="n">
        <v>0</v>
      </c>
      <c r="L378" s="7" t="n">
        <v>0</v>
      </c>
      <c r="M378" s="7" t="n">
        <v>0</v>
      </c>
      <c r="N378" s="7" t="n">
        <v>0</v>
      </c>
      <c r="O378" s="7" t="n">
        <v>3</v>
      </c>
      <c r="P378" s="7" t="n">
        <v>4</v>
      </c>
      <c r="Q378" s="7" t="n">
        <v>0</v>
      </c>
      <c r="R378" s="7" t="n">
        <v>0</v>
      </c>
    </row>
    <row r="379" customFormat="false" ht="15" hidden="false" customHeight="true" outlineLevel="0" collapsed="false">
      <c r="A379" s="7" t="n">
        <v>4199</v>
      </c>
      <c r="B379" s="7" t="s">
        <v>45</v>
      </c>
      <c r="C379" s="7" t="s">
        <v>888</v>
      </c>
      <c r="D379" s="7" t="s">
        <v>485</v>
      </c>
      <c r="E379" s="7" t="s">
        <v>121</v>
      </c>
      <c r="F379" s="7" t="n">
        <v>21</v>
      </c>
      <c r="G379" s="7" t="n">
        <v>6.1</v>
      </c>
      <c r="H379" s="7" t="n">
        <v>6.52</v>
      </c>
      <c r="I379" s="7" t="n">
        <v>3</v>
      </c>
      <c r="J379" s="7" t="n">
        <v>0</v>
      </c>
      <c r="K379" s="7" t="n">
        <v>0</v>
      </c>
      <c r="L379" s="7" t="n">
        <v>0</v>
      </c>
      <c r="M379" s="7" t="n">
        <v>0</v>
      </c>
      <c r="N379" s="7" t="n">
        <v>0</v>
      </c>
      <c r="O379" s="7" t="n">
        <v>1</v>
      </c>
      <c r="P379" s="7" t="n">
        <v>2</v>
      </c>
      <c r="Q379" s="7" t="n">
        <v>0</v>
      </c>
      <c r="R379" s="7" t="n">
        <v>0</v>
      </c>
    </row>
    <row r="380" customFormat="false" ht="15" hidden="false" customHeight="true" outlineLevel="0" collapsed="false">
      <c r="A380" s="7" t="n">
        <v>4287</v>
      </c>
      <c r="B380" s="7" t="s">
        <v>45</v>
      </c>
      <c r="C380" s="7" t="s">
        <v>890</v>
      </c>
      <c r="D380" s="7" t="s">
        <v>424</v>
      </c>
      <c r="E380" s="7" t="s">
        <v>125</v>
      </c>
      <c r="F380" s="7" t="n">
        <v>31</v>
      </c>
      <c r="G380" s="7" t="n">
        <v>6.05</v>
      </c>
      <c r="H380" s="7" t="n">
        <v>6.1</v>
      </c>
      <c r="I380" s="7" t="n">
        <v>1</v>
      </c>
      <c r="J380" s="7" t="n">
        <v>0</v>
      </c>
      <c r="K380" s="7" t="n">
        <v>0</v>
      </c>
      <c r="L380" s="7" t="n">
        <v>0</v>
      </c>
      <c r="M380" s="7" t="n">
        <v>0</v>
      </c>
      <c r="N380" s="7" t="n">
        <v>0</v>
      </c>
      <c r="O380" s="7" t="n">
        <v>0</v>
      </c>
      <c r="P380" s="7" t="n">
        <v>3</v>
      </c>
      <c r="Q380" s="7" t="n">
        <v>0</v>
      </c>
      <c r="R380" s="7" t="n">
        <v>0</v>
      </c>
    </row>
    <row r="381" customFormat="false" ht="15" hidden="false" customHeight="true" outlineLevel="0" collapsed="false">
      <c r="A381" s="7" t="n">
        <v>6831</v>
      </c>
      <c r="B381" s="7" t="s">
        <v>45</v>
      </c>
      <c r="C381" s="7" t="s">
        <v>894</v>
      </c>
      <c r="D381" s="7" t="s">
        <v>592</v>
      </c>
      <c r="E381" s="7" t="s">
        <v>125</v>
      </c>
      <c r="F381" s="7" t="n">
        <v>16</v>
      </c>
      <c r="G381" s="7" t="n">
        <v>6.19</v>
      </c>
      <c r="H381" s="7" t="n">
        <v>6.84</v>
      </c>
      <c r="I381" s="7" t="n">
        <v>3</v>
      </c>
      <c r="J381" s="7" t="n">
        <v>0</v>
      </c>
      <c r="K381" s="7" t="n">
        <v>0</v>
      </c>
      <c r="L381" s="7" t="n">
        <v>0</v>
      </c>
      <c r="M381" s="7" t="n">
        <v>0</v>
      </c>
      <c r="N381" s="7" t="n">
        <v>0</v>
      </c>
      <c r="O381" s="7" t="n">
        <v>3</v>
      </c>
      <c r="P381" s="7" t="n">
        <v>3</v>
      </c>
      <c r="Q381" s="7" t="n">
        <v>0</v>
      </c>
      <c r="R381" s="7" t="n">
        <v>0</v>
      </c>
    </row>
    <row r="382" customFormat="false" ht="15" hidden="false" customHeight="true" outlineLevel="0" collapsed="false">
      <c r="A382" s="7" t="n">
        <v>2334</v>
      </c>
      <c r="B382" s="7" t="s">
        <v>45</v>
      </c>
      <c r="C382" s="7" t="s">
        <v>892</v>
      </c>
      <c r="D382" s="7" t="s">
        <v>907</v>
      </c>
      <c r="E382" s="7" t="s">
        <v>748</v>
      </c>
      <c r="F382" s="7" t="n">
        <v>32</v>
      </c>
      <c r="G382" s="7" t="n">
        <v>5.94</v>
      </c>
      <c r="H382" s="7" t="n">
        <v>6.19</v>
      </c>
      <c r="I382" s="7" t="n">
        <v>2</v>
      </c>
      <c r="J382" s="7" t="n">
        <v>0</v>
      </c>
      <c r="K382" s="7" t="n">
        <v>0</v>
      </c>
      <c r="L382" s="7" t="n">
        <v>0</v>
      </c>
      <c r="M382" s="7" t="n">
        <v>0</v>
      </c>
      <c r="N382" s="7" t="n">
        <v>0</v>
      </c>
      <c r="O382" s="7" t="n">
        <v>3</v>
      </c>
      <c r="P382" s="7" t="n">
        <v>2</v>
      </c>
      <c r="Q382" s="7" t="n">
        <v>0</v>
      </c>
      <c r="R382" s="7" t="n">
        <v>0</v>
      </c>
    </row>
    <row r="383" customFormat="false" ht="15" hidden="false" customHeight="true" outlineLevel="0" collapsed="false">
      <c r="A383" s="7" t="n">
        <v>1976</v>
      </c>
      <c r="B383" s="7" t="s">
        <v>45</v>
      </c>
      <c r="C383" s="7" t="s">
        <v>890</v>
      </c>
      <c r="D383" s="7" t="s">
        <v>908</v>
      </c>
      <c r="E383" s="7" t="s">
        <v>129</v>
      </c>
      <c r="F383" s="7" t="n">
        <v>14</v>
      </c>
      <c r="G383" s="7" t="n">
        <v>6.07</v>
      </c>
      <c r="H383" s="7" t="n">
        <v>6.57</v>
      </c>
      <c r="I383" s="7" t="n">
        <v>2</v>
      </c>
      <c r="J383" s="7" t="n">
        <v>0</v>
      </c>
      <c r="K383" s="7" t="n">
        <v>0</v>
      </c>
      <c r="L383" s="7" t="n">
        <v>0</v>
      </c>
      <c r="M383" s="7" t="n">
        <v>0</v>
      </c>
      <c r="N383" s="7" t="n">
        <v>0</v>
      </c>
      <c r="O383" s="7" t="n">
        <v>2</v>
      </c>
      <c r="P383" s="7" t="n">
        <v>3</v>
      </c>
      <c r="Q383" s="7" t="n">
        <v>0</v>
      </c>
      <c r="R383" s="7" t="n">
        <v>0</v>
      </c>
    </row>
    <row r="384" customFormat="false" ht="15" hidden="false" customHeight="true" outlineLevel="0" collapsed="false">
      <c r="A384" s="7" t="n">
        <v>22</v>
      </c>
      <c r="B384" s="7" t="s">
        <v>45</v>
      </c>
      <c r="C384" s="7" t="s">
        <v>890</v>
      </c>
      <c r="D384" s="7" t="s">
        <v>472</v>
      </c>
      <c r="E384" s="7" t="s">
        <v>117</v>
      </c>
      <c r="F384" s="7" t="n">
        <v>34</v>
      </c>
      <c r="G384" s="7" t="n">
        <v>5.97</v>
      </c>
      <c r="H384" s="7" t="n">
        <v>6</v>
      </c>
      <c r="I384" s="7" t="n">
        <v>1</v>
      </c>
      <c r="J384" s="7" t="n">
        <v>0</v>
      </c>
      <c r="K384" s="7" t="n">
        <v>0</v>
      </c>
      <c r="L384" s="7" t="n">
        <v>0</v>
      </c>
      <c r="M384" s="7" t="n">
        <v>0</v>
      </c>
      <c r="N384" s="7" t="n">
        <v>0</v>
      </c>
      <c r="O384" s="7" t="n">
        <v>2</v>
      </c>
      <c r="P384" s="7" t="n">
        <v>6</v>
      </c>
      <c r="Q384" s="7" t="n">
        <v>1</v>
      </c>
      <c r="R384" s="7" t="n">
        <v>0</v>
      </c>
    </row>
    <row r="385" customFormat="false" ht="15" hidden="false" customHeight="true" outlineLevel="0" collapsed="false">
      <c r="A385" s="7" t="n">
        <v>5119</v>
      </c>
      <c r="B385" s="7" t="s">
        <v>45</v>
      </c>
      <c r="C385" s="7" t="s">
        <v>889</v>
      </c>
      <c r="D385" s="7" t="s">
        <v>384</v>
      </c>
      <c r="E385" s="7" t="s">
        <v>117</v>
      </c>
      <c r="F385" s="7" t="n">
        <v>21</v>
      </c>
      <c r="G385" s="7" t="n">
        <v>5.93</v>
      </c>
      <c r="H385" s="7" t="n">
        <v>6.29</v>
      </c>
      <c r="I385" s="7" t="n">
        <v>2</v>
      </c>
      <c r="J385" s="7" t="n">
        <v>0</v>
      </c>
      <c r="K385" s="7" t="n">
        <v>0</v>
      </c>
      <c r="L385" s="7" t="n">
        <v>0</v>
      </c>
      <c r="M385" s="7" t="n">
        <v>0</v>
      </c>
      <c r="N385" s="7" t="n">
        <v>0</v>
      </c>
      <c r="O385" s="7" t="n">
        <v>2</v>
      </c>
      <c r="P385" s="7" t="n">
        <v>1</v>
      </c>
      <c r="Q385" s="7" t="n">
        <v>0</v>
      </c>
      <c r="R385" s="7" t="n">
        <v>0</v>
      </c>
    </row>
    <row r="386" customFormat="false" ht="15" hidden="false" customHeight="true" outlineLevel="0" collapsed="false">
      <c r="A386" s="7" t="n">
        <v>6054</v>
      </c>
      <c r="B386" s="7" t="s">
        <v>45</v>
      </c>
      <c r="C386" s="7" t="s">
        <v>890</v>
      </c>
      <c r="D386" s="7" t="s">
        <v>473</v>
      </c>
      <c r="E386" s="7" t="s">
        <v>127</v>
      </c>
      <c r="F386" s="7" t="n">
        <v>28</v>
      </c>
      <c r="G386" s="7" t="n">
        <v>5.93</v>
      </c>
      <c r="H386" s="7" t="n">
        <v>6.12</v>
      </c>
      <c r="I386" s="7" t="n">
        <v>2</v>
      </c>
      <c r="J386" s="7" t="n">
        <v>0</v>
      </c>
      <c r="K386" s="7" t="n">
        <v>0</v>
      </c>
      <c r="L386" s="7" t="n">
        <v>0</v>
      </c>
      <c r="M386" s="7" t="n">
        <v>0</v>
      </c>
      <c r="N386" s="7" t="n">
        <v>0</v>
      </c>
      <c r="O386" s="7" t="n">
        <v>0</v>
      </c>
      <c r="P386" s="7" t="n">
        <v>1</v>
      </c>
      <c r="Q386" s="7" t="n">
        <v>0</v>
      </c>
      <c r="R386" s="7" t="n">
        <v>0</v>
      </c>
    </row>
    <row r="387" customFormat="false" ht="15" hidden="false" customHeight="true" outlineLevel="0" collapsed="false">
      <c r="A387" s="7" t="n">
        <v>6294</v>
      </c>
      <c r="B387" s="7" t="s">
        <v>45</v>
      </c>
      <c r="C387" s="7" t="s">
        <v>890</v>
      </c>
      <c r="D387" s="7" t="s">
        <v>410</v>
      </c>
      <c r="E387" s="7" t="s">
        <v>123</v>
      </c>
      <c r="F387" s="7" t="n">
        <v>30</v>
      </c>
      <c r="G387" s="7" t="n">
        <v>5.8</v>
      </c>
      <c r="H387" s="7" t="n">
        <v>6.07</v>
      </c>
      <c r="I387" s="7" t="n">
        <v>3</v>
      </c>
      <c r="J387" s="7" t="n">
        <v>0</v>
      </c>
      <c r="K387" s="7" t="n">
        <v>0</v>
      </c>
      <c r="L387" s="7" t="n">
        <v>0</v>
      </c>
      <c r="M387" s="7" t="n">
        <v>0</v>
      </c>
      <c r="N387" s="7" t="n">
        <v>0</v>
      </c>
      <c r="O387" s="7" t="n">
        <v>0</v>
      </c>
      <c r="P387" s="7" t="n">
        <v>2</v>
      </c>
      <c r="Q387" s="7" t="n">
        <v>0</v>
      </c>
      <c r="R387" s="7" t="n">
        <v>0</v>
      </c>
    </row>
    <row r="388" customFormat="false" ht="15" hidden="false" customHeight="true" outlineLevel="0" collapsed="false">
      <c r="A388" s="7" t="n">
        <v>5791</v>
      </c>
      <c r="B388" s="7" t="s">
        <v>45</v>
      </c>
      <c r="C388" s="7" t="s">
        <v>890</v>
      </c>
      <c r="D388" s="7" t="s">
        <v>421</v>
      </c>
      <c r="E388" s="7" t="s">
        <v>137</v>
      </c>
      <c r="F388" s="7" t="n">
        <v>36</v>
      </c>
      <c r="G388" s="7" t="n">
        <v>5.96</v>
      </c>
      <c r="H388" s="7" t="n">
        <v>5.97</v>
      </c>
      <c r="I388" s="7" t="n">
        <v>1</v>
      </c>
      <c r="J388" s="7" t="n">
        <v>0</v>
      </c>
      <c r="K388" s="7" t="n">
        <v>0</v>
      </c>
      <c r="L388" s="7" t="n">
        <v>0</v>
      </c>
      <c r="M388" s="7" t="n">
        <v>0</v>
      </c>
      <c r="N388" s="7" t="n">
        <v>0</v>
      </c>
      <c r="O388" s="7" t="n">
        <v>0</v>
      </c>
      <c r="P388" s="7" t="n">
        <v>5</v>
      </c>
      <c r="Q388" s="7" t="n">
        <v>0</v>
      </c>
      <c r="R388" s="7" t="n">
        <v>0</v>
      </c>
    </row>
    <row r="389" customFormat="false" ht="15" hidden="false" customHeight="true" outlineLevel="0" collapsed="false">
      <c r="A389" s="7" t="n">
        <v>4711</v>
      </c>
      <c r="B389" s="7" t="s">
        <v>45</v>
      </c>
      <c r="C389" s="7" t="s">
        <v>897</v>
      </c>
      <c r="D389" s="7" t="s">
        <v>909</v>
      </c>
      <c r="E389" s="7" t="s">
        <v>131</v>
      </c>
      <c r="F389" s="7" t="n">
        <v>10</v>
      </c>
      <c r="G389" s="7" t="n">
        <v>6.2</v>
      </c>
      <c r="H389" s="7" t="n">
        <v>7.2</v>
      </c>
      <c r="I389" s="7" t="n">
        <v>3</v>
      </c>
      <c r="J389" s="7" t="n">
        <v>0</v>
      </c>
      <c r="K389" s="7" t="n">
        <v>0</v>
      </c>
      <c r="L389" s="7" t="n">
        <v>0</v>
      </c>
      <c r="M389" s="7" t="n">
        <v>0</v>
      </c>
      <c r="N389" s="7" t="n">
        <v>0</v>
      </c>
      <c r="O389" s="7" t="n">
        <v>1</v>
      </c>
      <c r="P389" s="7" t="n">
        <v>1</v>
      </c>
      <c r="Q389" s="7" t="n">
        <v>0</v>
      </c>
      <c r="R389" s="7" t="n">
        <v>0</v>
      </c>
    </row>
    <row r="390" customFormat="false" ht="15" hidden="false" customHeight="true" outlineLevel="0" collapsed="false">
      <c r="A390" s="7" t="n">
        <v>795</v>
      </c>
      <c r="B390" s="7" t="s">
        <v>45</v>
      </c>
      <c r="C390" s="7" t="s">
        <v>892</v>
      </c>
      <c r="D390" s="7" t="s">
        <v>910</v>
      </c>
      <c r="E390" s="7" t="s">
        <v>113</v>
      </c>
      <c r="F390" s="7" t="n">
        <v>18</v>
      </c>
      <c r="G390" s="7" t="n">
        <v>6.14</v>
      </c>
      <c r="H390" s="7" t="n">
        <v>6.33</v>
      </c>
      <c r="I390" s="7" t="n">
        <v>1</v>
      </c>
      <c r="J390" s="7" t="n">
        <v>0</v>
      </c>
      <c r="K390" s="7" t="n">
        <v>0</v>
      </c>
      <c r="L390" s="7" t="n">
        <v>0</v>
      </c>
      <c r="M390" s="7" t="n">
        <v>0</v>
      </c>
      <c r="N390" s="7" t="n">
        <v>0</v>
      </c>
      <c r="O390" s="7" t="n">
        <v>2</v>
      </c>
      <c r="P390" s="7" t="n">
        <v>4</v>
      </c>
      <c r="Q390" s="7" t="n">
        <v>0</v>
      </c>
      <c r="R390" s="7" t="n">
        <v>0</v>
      </c>
    </row>
    <row r="391" customFormat="false" ht="15" hidden="false" customHeight="true" outlineLevel="0" collapsed="false">
      <c r="A391" s="7" t="n">
        <v>5823</v>
      </c>
      <c r="B391" s="7" t="s">
        <v>45</v>
      </c>
      <c r="C391" s="7" t="s">
        <v>887</v>
      </c>
      <c r="D391" s="7" t="s">
        <v>390</v>
      </c>
      <c r="E391" s="7" t="s">
        <v>137</v>
      </c>
      <c r="F391" s="7" t="n">
        <v>17</v>
      </c>
      <c r="G391" s="7" t="n">
        <v>6.15</v>
      </c>
      <c r="H391" s="7" t="n">
        <v>6.38</v>
      </c>
      <c r="I391" s="7" t="n">
        <v>1</v>
      </c>
      <c r="J391" s="7" t="n">
        <v>0</v>
      </c>
      <c r="K391" s="7" t="n">
        <v>0</v>
      </c>
      <c r="L391" s="7" t="n">
        <v>0</v>
      </c>
      <c r="M391" s="7" t="n">
        <v>0</v>
      </c>
      <c r="N391" s="7" t="n">
        <v>0</v>
      </c>
      <c r="O391" s="7" t="n">
        <v>2</v>
      </c>
      <c r="P391" s="7" t="n">
        <v>2</v>
      </c>
      <c r="Q391" s="7" t="n">
        <v>0</v>
      </c>
      <c r="R391" s="7" t="n">
        <v>0</v>
      </c>
    </row>
    <row r="392" customFormat="false" ht="15" hidden="false" customHeight="true" outlineLevel="0" collapsed="false">
      <c r="A392" s="7" t="n">
        <v>6680</v>
      </c>
      <c r="B392" s="7" t="s">
        <v>45</v>
      </c>
      <c r="C392" s="7" t="s">
        <v>890</v>
      </c>
      <c r="D392" s="7" t="s">
        <v>444</v>
      </c>
      <c r="E392" s="7" t="s">
        <v>135</v>
      </c>
      <c r="F392" s="7" t="n">
        <v>36</v>
      </c>
      <c r="G392" s="7" t="n">
        <v>5.96</v>
      </c>
      <c r="H392" s="7" t="n">
        <v>5.96</v>
      </c>
      <c r="I392" s="7" t="n">
        <v>1</v>
      </c>
      <c r="J392" s="7" t="n">
        <v>0</v>
      </c>
      <c r="K392" s="7" t="n">
        <v>0</v>
      </c>
      <c r="L392" s="7" t="n">
        <v>0</v>
      </c>
      <c r="M392" s="7" t="n">
        <v>0</v>
      </c>
      <c r="N392" s="7" t="n">
        <v>0</v>
      </c>
      <c r="O392" s="7" t="n">
        <v>0</v>
      </c>
      <c r="P392" s="7" t="n">
        <v>6</v>
      </c>
      <c r="Q392" s="7" t="n">
        <v>0</v>
      </c>
      <c r="R392" s="7" t="n">
        <v>0</v>
      </c>
    </row>
    <row r="393" customFormat="false" ht="15" hidden="false" customHeight="true" outlineLevel="0" collapsed="false">
      <c r="A393" s="7" t="n">
        <v>5761</v>
      </c>
      <c r="B393" s="7" t="s">
        <v>45</v>
      </c>
      <c r="C393" s="7" t="s">
        <v>892</v>
      </c>
      <c r="D393" s="7" t="s">
        <v>437</v>
      </c>
      <c r="E393" s="7" t="s">
        <v>131</v>
      </c>
      <c r="F393" s="7" t="n">
        <v>12</v>
      </c>
      <c r="G393" s="7" t="n">
        <v>5.96</v>
      </c>
      <c r="H393" s="7" t="n">
        <v>5.96</v>
      </c>
      <c r="I393" s="7" t="n">
        <v>0</v>
      </c>
      <c r="J393" s="7" t="n">
        <v>0</v>
      </c>
      <c r="K393" s="7" t="n">
        <v>0</v>
      </c>
      <c r="L393" s="7" t="n">
        <v>0</v>
      </c>
      <c r="M393" s="7" t="n">
        <v>0</v>
      </c>
      <c r="N393" s="7" t="n">
        <v>0</v>
      </c>
      <c r="O393" s="7" t="n">
        <v>0</v>
      </c>
      <c r="P393" s="7" t="n">
        <v>1</v>
      </c>
      <c r="Q393" s="7" t="n">
        <v>0</v>
      </c>
      <c r="R393" s="7" t="n">
        <v>0</v>
      </c>
    </row>
    <row r="394" customFormat="false" ht="15" hidden="false" customHeight="true" outlineLevel="0" collapsed="false">
      <c r="A394" s="7" t="n">
        <v>7318</v>
      </c>
      <c r="B394" s="7" t="s">
        <v>45</v>
      </c>
      <c r="C394" s="7" t="s">
        <v>888</v>
      </c>
      <c r="D394" s="7" t="s">
        <v>458</v>
      </c>
      <c r="E394" s="7" t="s">
        <v>139</v>
      </c>
      <c r="F394" s="7" t="n">
        <v>16</v>
      </c>
      <c r="G394" s="7" t="n">
        <v>5.97</v>
      </c>
      <c r="H394" s="7" t="n">
        <v>6.41</v>
      </c>
      <c r="I394" s="7" t="n">
        <v>2</v>
      </c>
      <c r="J394" s="7" t="n">
        <v>0</v>
      </c>
      <c r="K394" s="7" t="n">
        <v>0</v>
      </c>
      <c r="L394" s="7" t="n">
        <v>0</v>
      </c>
      <c r="M394" s="7" t="n">
        <v>0</v>
      </c>
      <c r="N394" s="7" t="n">
        <v>0</v>
      </c>
      <c r="O394" s="7" t="n">
        <v>1</v>
      </c>
      <c r="P394" s="7" t="n">
        <v>0</v>
      </c>
      <c r="Q394" s="7" t="n">
        <v>0</v>
      </c>
      <c r="R394" s="7" t="n">
        <v>0</v>
      </c>
    </row>
    <row r="395" customFormat="false" ht="15" hidden="false" customHeight="true" outlineLevel="0" collapsed="false">
      <c r="A395" s="7" t="n">
        <v>788</v>
      </c>
      <c r="B395" s="7" t="s">
        <v>45</v>
      </c>
      <c r="C395" s="7" t="s">
        <v>890</v>
      </c>
      <c r="D395" s="7" t="s">
        <v>911</v>
      </c>
      <c r="E395" s="7" t="s">
        <v>127</v>
      </c>
      <c r="F395" s="7" t="n">
        <v>28</v>
      </c>
      <c r="G395" s="7" t="n">
        <v>6.02</v>
      </c>
      <c r="H395" s="7" t="n">
        <v>6.04</v>
      </c>
      <c r="I395" s="7" t="n">
        <v>1</v>
      </c>
      <c r="J395" s="7" t="n">
        <v>0</v>
      </c>
      <c r="K395" s="7" t="n">
        <v>0</v>
      </c>
      <c r="L395" s="7" t="n">
        <v>0</v>
      </c>
      <c r="M395" s="7" t="n">
        <v>0</v>
      </c>
      <c r="N395" s="7" t="n">
        <v>0</v>
      </c>
      <c r="O395" s="7" t="n">
        <v>2</v>
      </c>
      <c r="P395" s="7" t="n">
        <v>5</v>
      </c>
      <c r="Q395" s="7" t="n">
        <v>0</v>
      </c>
      <c r="R395" s="7" t="n">
        <v>1</v>
      </c>
    </row>
    <row r="396" customFormat="false" ht="15" hidden="false" customHeight="true" outlineLevel="0" collapsed="false">
      <c r="A396" s="7" t="n">
        <v>5298</v>
      </c>
      <c r="B396" s="7" t="s">
        <v>45</v>
      </c>
      <c r="C396" s="7" t="s">
        <v>890</v>
      </c>
      <c r="D396" s="7" t="s">
        <v>430</v>
      </c>
      <c r="E396" s="7" t="s">
        <v>127</v>
      </c>
      <c r="F396" s="7" t="n">
        <v>23</v>
      </c>
      <c r="G396" s="7" t="n">
        <v>5.83</v>
      </c>
      <c r="H396" s="7" t="n">
        <v>6.17</v>
      </c>
      <c r="I396" s="7" t="n">
        <v>3</v>
      </c>
      <c r="J396" s="7" t="n">
        <v>0</v>
      </c>
      <c r="K396" s="7" t="n">
        <v>0</v>
      </c>
      <c r="L396" s="7" t="n">
        <v>0</v>
      </c>
      <c r="M396" s="7" t="n">
        <v>0</v>
      </c>
      <c r="N396" s="7" t="n">
        <v>0</v>
      </c>
      <c r="O396" s="7" t="n">
        <v>1</v>
      </c>
      <c r="P396" s="7" t="n">
        <v>2</v>
      </c>
      <c r="Q396" s="7" t="n">
        <v>1</v>
      </c>
      <c r="R396" s="7" t="n">
        <v>0</v>
      </c>
    </row>
    <row r="397" customFormat="false" ht="15" hidden="false" customHeight="true" outlineLevel="0" collapsed="false">
      <c r="A397" s="7" t="n">
        <v>4870</v>
      </c>
      <c r="B397" s="7" t="s">
        <v>45</v>
      </c>
      <c r="C397" s="7" t="s">
        <v>890</v>
      </c>
      <c r="D397" s="7" t="s">
        <v>431</v>
      </c>
      <c r="E397" s="7" t="s">
        <v>129</v>
      </c>
      <c r="F397" s="7" t="n">
        <v>38</v>
      </c>
      <c r="G397" s="7" t="n">
        <v>5.83</v>
      </c>
      <c r="H397" s="7" t="n">
        <v>5.88</v>
      </c>
      <c r="I397" s="7" t="n">
        <v>1</v>
      </c>
      <c r="J397" s="7" t="n">
        <v>0</v>
      </c>
      <c r="K397" s="7" t="n">
        <v>0</v>
      </c>
      <c r="L397" s="7" t="n">
        <v>0</v>
      </c>
      <c r="M397" s="7" t="n">
        <v>0</v>
      </c>
      <c r="N397" s="7" t="n">
        <v>0</v>
      </c>
      <c r="O397" s="7" t="n">
        <v>1</v>
      </c>
      <c r="P397" s="7" t="n">
        <v>4</v>
      </c>
      <c r="Q397" s="7" t="n">
        <v>0</v>
      </c>
      <c r="R397" s="7" t="n">
        <v>0</v>
      </c>
    </row>
    <row r="398" customFormat="false" ht="15" hidden="false" customHeight="true" outlineLevel="0" collapsed="false">
      <c r="A398" s="7" t="n">
        <v>6020</v>
      </c>
      <c r="B398" s="7" t="s">
        <v>45</v>
      </c>
      <c r="C398" s="7" t="s">
        <v>895</v>
      </c>
      <c r="D398" s="7" t="s">
        <v>436</v>
      </c>
      <c r="E398" s="7" t="s">
        <v>137</v>
      </c>
      <c r="F398" s="7" t="n">
        <v>35</v>
      </c>
      <c r="G398" s="7" t="n">
        <v>5.84</v>
      </c>
      <c r="H398" s="7" t="n">
        <v>5.91</v>
      </c>
      <c r="I398" s="7" t="n">
        <v>1</v>
      </c>
      <c r="J398" s="7" t="n">
        <v>0</v>
      </c>
      <c r="K398" s="7" t="n">
        <v>0</v>
      </c>
      <c r="L398" s="7" t="n">
        <v>0</v>
      </c>
      <c r="M398" s="7" t="n">
        <v>0</v>
      </c>
      <c r="N398" s="7" t="n">
        <v>0</v>
      </c>
      <c r="O398" s="7" t="n">
        <v>1</v>
      </c>
      <c r="P398" s="7" t="n">
        <v>1</v>
      </c>
      <c r="Q398" s="7" t="n">
        <v>1</v>
      </c>
      <c r="R398" s="7" t="n">
        <v>0</v>
      </c>
    </row>
    <row r="399" customFormat="false" ht="15" hidden="false" customHeight="true" outlineLevel="0" collapsed="false">
      <c r="A399" s="7" t="n">
        <v>5301</v>
      </c>
      <c r="B399" s="7" t="s">
        <v>45</v>
      </c>
      <c r="C399" s="7" t="s">
        <v>897</v>
      </c>
      <c r="D399" s="7" t="s">
        <v>479</v>
      </c>
      <c r="E399" s="7" t="s">
        <v>115</v>
      </c>
      <c r="F399" s="7" t="n">
        <v>27</v>
      </c>
      <c r="G399" s="7" t="n">
        <v>5.89</v>
      </c>
      <c r="H399" s="7" t="n">
        <v>6.06</v>
      </c>
      <c r="I399" s="7" t="n">
        <v>1</v>
      </c>
      <c r="J399" s="7" t="n">
        <v>0</v>
      </c>
      <c r="K399" s="7" t="n">
        <v>0</v>
      </c>
      <c r="L399" s="7" t="n">
        <v>0</v>
      </c>
      <c r="M399" s="7" t="n">
        <v>0</v>
      </c>
      <c r="N399" s="7" t="n">
        <v>0</v>
      </c>
      <c r="O399" s="7" t="n">
        <v>2</v>
      </c>
      <c r="P399" s="7" t="n">
        <v>1</v>
      </c>
      <c r="Q399" s="7" t="n">
        <v>0</v>
      </c>
      <c r="R399" s="7" t="n">
        <v>0</v>
      </c>
    </row>
    <row r="400" customFormat="false" ht="15" hidden="false" customHeight="true" outlineLevel="0" collapsed="false">
      <c r="A400" s="7" t="n">
        <v>6394</v>
      </c>
      <c r="B400" s="7" t="s">
        <v>45</v>
      </c>
      <c r="C400" s="7" t="s">
        <v>890</v>
      </c>
      <c r="D400" s="7" t="s">
        <v>912</v>
      </c>
      <c r="E400" s="7" t="s">
        <v>139</v>
      </c>
      <c r="F400" s="7" t="n">
        <v>37</v>
      </c>
      <c r="G400" s="7" t="n">
        <v>5.91</v>
      </c>
      <c r="H400" s="7" t="n">
        <v>5.85</v>
      </c>
      <c r="I400" s="7" t="n">
        <v>1</v>
      </c>
      <c r="J400" s="7" t="n">
        <v>0</v>
      </c>
      <c r="K400" s="7" t="n">
        <v>0</v>
      </c>
      <c r="L400" s="7" t="n">
        <v>0</v>
      </c>
      <c r="M400" s="7" t="n">
        <v>0</v>
      </c>
      <c r="N400" s="7" t="n">
        <v>0</v>
      </c>
      <c r="O400" s="7" t="n">
        <v>0</v>
      </c>
      <c r="P400" s="7" t="n">
        <v>10</v>
      </c>
      <c r="Q400" s="7" t="n">
        <v>0</v>
      </c>
      <c r="R400" s="7" t="n">
        <v>0</v>
      </c>
    </row>
    <row r="401" customFormat="false" ht="15" hidden="false" customHeight="true" outlineLevel="0" collapsed="false">
      <c r="A401" s="7" t="n">
        <v>6271</v>
      </c>
      <c r="B401" s="7" t="s">
        <v>45</v>
      </c>
      <c r="C401" s="7" t="s">
        <v>890</v>
      </c>
      <c r="D401" s="7" t="s">
        <v>488</v>
      </c>
      <c r="E401" s="7" t="s">
        <v>113</v>
      </c>
      <c r="F401" s="7" t="n">
        <v>21</v>
      </c>
      <c r="G401" s="7" t="n">
        <v>5.98</v>
      </c>
      <c r="H401" s="7" t="n">
        <v>6.1</v>
      </c>
      <c r="I401" s="7" t="n">
        <v>1</v>
      </c>
      <c r="J401" s="7" t="n">
        <v>0</v>
      </c>
      <c r="K401" s="7" t="n">
        <v>0</v>
      </c>
      <c r="L401" s="7" t="n">
        <v>0</v>
      </c>
      <c r="M401" s="7" t="n">
        <v>0</v>
      </c>
      <c r="N401" s="7" t="n">
        <v>0</v>
      </c>
      <c r="O401" s="7" t="n">
        <v>2</v>
      </c>
      <c r="P401" s="7" t="n">
        <v>5</v>
      </c>
      <c r="Q401" s="7" t="n">
        <v>0</v>
      </c>
      <c r="R401" s="7" t="n">
        <v>0</v>
      </c>
    </row>
    <row r="402" customFormat="false" ht="15" hidden="false" customHeight="true" outlineLevel="0" collapsed="false">
      <c r="A402" s="7" t="n">
        <v>6815</v>
      </c>
      <c r="B402" s="7" t="s">
        <v>45</v>
      </c>
      <c r="C402" s="7" t="s">
        <v>892</v>
      </c>
      <c r="D402" s="7" t="s">
        <v>509</v>
      </c>
      <c r="E402" s="7" t="s">
        <v>144</v>
      </c>
      <c r="F402" s="7" t="n">
        <v>24</v>
      </c>
      <c r="G402" s="7" t="n">
        <v>5.92</v>
      </c>
      <c r="H402" s="7" t="n">
        <v>6.15</v>
      </c>
      <c r="I402" s="7" t="n">
        <v>2</v>
      </c>
      <c r="J402" s="7" t="n">
        <v>0</v>
      </c>
      <c r="K402" s="7" t="n">
        <v>0</v>
      </c>
      <c r="L402" s="7" t="n">
        <v>0</v>
      </c>
      <c r="M402" s="7" t="n">
        <v>0</v>
      </c>
      <c r="N402" s="7" t="n">
        <v>0</v>
      </c>
      <c r="O402" s="7" t="n">
        <v>1</v>
      </c>
      <c r="P402" s="7" t="n">
        <v>5</v>
      </c>
      <c r="Q402" s="7" t="n">
        <v>0</v>
      </c>
      <c r="R402" s="7" t="n">
        <v>0</v>
      </c>
    </row>
    <row r="403" customFormat="false" ht="15" hidden="false" customHeight="true" outlineLevel="0" collapsed="false">
      <c r="A403" s="7" t="n">
        <v>2839</v>
      </c>
      <c r="B403" s="7" t="s">
        <v>45</v>
      </c>
      <c r="C403" s="7" t="s">
        <v>894</v>
      </c>
      <c r="D403" s="7" t="s">
        <v>913</v>
      </c>
      <c r="E403" s="7" t="s">
        <v>139</v>
      </c>
      <c r="F403" s="7" t="n">
        <v>21</v>
      </c>
      <c r="G403" s="7" t="n">
        <v>6.02</v>
      </c>
      <c r="H403" s="7" t="n">
        <v>6.24</v>
      </c>
      <c r="I403" s="7" t="n">
        <v>1</v>
      </c>
      <c r="J403" s="7" t="n">
        <v>0</v>
      </c>
      <c r="K403" s="7" t="n">
        <v>0</v>
      </c>
      <c r="L403" s="7" t="n">
        <v>0</v>
      </c>
      <c r="M403" s="7" t="n">
        <v>0</v>
      </c>
      <c r="N403" s="7" t="n">
        <v>0</v>
      </c>
      <c r="O403" s="7" t="n">
        <v>2</v>
      </c>
      <c r="P403" s="7" t="n">
        <v>1</v>
      </c>
      <c r="Q403" s="7" t="n">
        <v>0</v>
      </c>
      <c r="R403" s="7" t="n">
        <v>0</v>
      </c>
    </row>
    <row r="404" customFormat="false" ht="15" hidden="false" customHeight="true" outlineLevel="0" collapsed="false">
      <c r="A404" s="7" t="n">
        <v>7223</v>
      </c>
      <c r="B404" s="7" t="s">
        <v>45</v>
      </c>
      <c r="C404" s="7" t="s">
        <v>898</v>
      </c>
      <c r="D404" s="7" t="s">
        <v>415</v>
      </c>
      <c r="E404" s="7" t="s">
        <v>125</v>
      </c>
      <c r="F404" s="7" t="n">
        <v>8</v>
      </c>
      <c r="G404" s="7" t="n">
        <v>6.25</v>
      </c>
      <c r="H404" s="7" t="n">
        <v>6.5</v>
      </c>
      <c r="I404" s="7" t="n">
        <v>1</v>
      </c>
      <c r="J404" s="7" t="n">
        <v>0</v>
      </c>
      <c r="K404" s="7" t="n">
        <v>0</v>
      </c>
      <c r="L404" s="7" t="n">
        <v>0</v>
      </c>
      <c r="M404" s="7" t="n">
        <v>0</v>
      </c>
      <c r="N404" s="7" t="n">
        <v>0</v>
      </c>
      <c r="O404" s="7" t="n">
        <v>0</v>
      </c>
      <c r="P404" s="7" t="n">
        <v>2</v>
      </c>
      <c r="Q404" s="7" t="n">
        <v>0</v>
      </c>
      <c r="R404" s="7" t="n">
        <v>0</v>
      </c>
    </row>
    <row r="405" customFormat="false" ht="15" hidden="false" customHeight="true" outlineLevel="0" collapsed="false">
      <c r="A405" s="7" t="n">
        <v>2670</v>
      </c>
      <c r="B405" s="7" t="s">
        <v>45</v>
      </c>
      <c r="C405" s="7" t="s">
        <v>894</v>
      </c>
      <c r="D405" s="7" t="s">
        <v>914</v>
      </c>
      <c r="E405" s="7" t="s">
        <v>113</v>
      </c>
      <c r="F405" s="7" t="n">
        <v>5</v>
      </c>
      <c r="G405" s="7" t="n">
        <v>5.7</v>
      </c>
      <c r="H405" s="7" t="n">
        <v>5.7</v>
      </c>
      <c r="I405" s="7" t="n">
        <v>0</v>
      </c>
      <c r="J405" s="7" t="n">
        <v>0</v>
      </c>
      <c r="K405" s="7" t="n">
        <v>0</v>
      </c>
      <c r="L405" s="7" t="n">
        <v>0</v>
      </c>
      <c r="M405" s="7" t="n">
        <v>0</v>
      </c>
      <c r="N405" s="7" t="n">
        <v>0</v>
      </c>
      <c r="O405" s="7" t="n">
        <v>0</v>
      </c>
      <c r="P405" s="7" t="n">
        <v>0</v>
      </c>
      <c r="Q405" s="7" t="n">
        <v>0</v>
      </c>
      <c r="R405" s="7" t="n">
        <v>0</v>
      </c>
    </row>
    <row r="406" customFormat="false" ht="15" hidden="false" customHeight="true" outlineLevel="0" collapsed="false">
      <c r="A406" s="7" t="n">
        <v>2528</v>
      </c>
      <c r="B406" s="7" t="s">
        <v>45</v>
      </c>
      <c r="C406" s="7" t="s">
        <v>890</v>
      </c>
      <c r="D406" s="7" t="s">
        <v>463</v>
      </c>
      <c r="E406" s="7" t="s">
        <v>144</v>
      </c>
      <c r="F406" s="7" t="n">
        <v>34</v>
      </c>
      <c r="G406" s="7" t="n">
        <v>5.96</v>
      </c>
      <c r="H406" s="7" t="n">
        <v>5.96</v>
      </c>
      <c r="I406" s="7" t="n">
        <v>1</v>
      </c>
      <c r="J406" s="7" t="n">
        <v>0</v>
      </c>
      <c r="K406" s="7" t="n">
        <v>0</v>
      </c>
      <c r="L406" s="7" t="n">
        <v>0</v>
      </c>
      <c r="M406" s="7" t="n">
        <v>0</v>
      </c>
      <c r="N406" s="7" t="n">
        <v>0</v>
      </c>
      <c r="O406" s="7" t="n">
        <v>1</v>
      </c>
      <c r="P406" s="7" t="n">
        <v>6</v>
      </c>
      <c r="Q406" s="7" t="n">
        <v>1</v>
      </c>
      <c r="R406" s="7" t="n">
        <v>0</v>
      </c>
    </row>
    <row r="407" customFormat="false" ht="15" hidden="false" customHeight="true" outlineLevel="0" collapsed="false">
      <c r="A407" s="7" t="n">
        <v>4349</v>
      </c>
      <c r="B407" s="7" t="s">
        <v>45</v>
      </c>
      <c r="C407" s="7" t="s">
        <v>890</v>
      </c>
      <c r="D407" s="7" t="s">
        <v>443</v>
      </c>
      <c r="E407" s="7" t="s">
        <v>141</v>
      </c>
      <c r="F407" s="7" t="n">
        <v>23</v>
      </c>
      <c r="G407" s="7" t="n">
        <v>5.89</v>
      </c>
      <c r="H407" s="7" t="n">
        <v>6.02</v>
      </c>
      <c r="I407" s="7" t="n">
        <v>0</v>
      </c>
      <c r="J407" s="7" t="n">
        <v>0</v>
      </c>
      <c r="K407" s="7" t="n">
        <v>0</v>
      </c>
      <c r="L407" s="7" t="n">
        <v>0</v>
      </c>
      <c r="M407" s="7" t="n">
        <v>0</v>
      </c>
      <c r="N407" s="7" t="n">
        <v>0</v>
      </c>
      <c r="O407" s="7" t="n">
        <v>4</v>
      </c>
      <c r="P407" s="7" t="n">
        <v>4</v>
      </c>
      <c r="Q407" s="7" t="n">
        <v>0</v>
      </c>
      <c r="R407" s="7" t="n">
        <v>0</v>
      </c>
    </row>
    <row r="408" customFormat="false" ht="15" hidden="false" customHeight="true" outlineLevel="0" collapsed="false">
      <c r="A408" s="7" t="n">
        <v>6424</v>
      </c>
      <c r="B408" s="7" t="s">
        <v>45</v>
      </c>
      <c r="C408" s="7" t="s">
        <v>890</v>
      </c>
      <c r="D408" s="7" t="s">
        <v>474</v>
      </c>
      <c r="E408" s="7" t="s">
        <v>184</v>
      </c>
      <c r="F408" s="7" t="n">
        <v>32</v>
      </c>
      <c r="G408" s="7" t="n">
        <v>5.88</v>
      </c>
      <c r="H408" s="7" t="n">
        <v>5.88</v>
      </c>
      <c r="I408" s="7" t="n">
        <v>1</v>
      </c>
      <c r="J408" s="7" t="n">
        <v>0</v>
      </c>
      <c r="K408" s="7" t="n">
        <v>0</v>
      </c>
      <c r="L408" s="7" t="n">
        <v>0</v>
      </c>
      <c r="M408" s="7" t="n">
        <v>0</v>
      </c>
      <c r="N408" s="7" t="n">
        <v>0</v>
      </c>
      <c r="O408" s="7" t="n">
        <v>0</v>
      </c>
      <c r="P408" s="7" t="n">
        <v>6</v>
      </c>
      <c r="Q408" s="7" t="n">
        <v>0</v>
      </c>
      <c r="R408" s="7" t="n">
        <v>0</v>
      </c>
    </row>
    <row r="409" customFormat="false" ht="15" hidden="false" customHeight="true" outlineLevel="0" collapsed="false">
      <c r="A409" s="7" t="n">
        <v>6640</v>
      </c>
      <c r="B409" s="7" t="s">
        <v>45</v>
      </c>
      <c r="C409" s="7" t="s">
        <v>892</v>
      </c>
      <c r="D409" s="7" t="s">
        <v>448</v>
      </c>
      <c r="E409" s="7" t="s">
        <v>129</v>
      </c>
      <c r="F409" s="7" t="n">
        <v>11</v>
      </c>
      <c r="G409" s="7" t="n">
        <v>6.05</v>
      </c>
      <c r="H409" s="7" t="n">
        <v>6.55</v>
      </c>
      <c r="I409" s="7" t="n">
        <v>2</v>
      </c>
      <c r="J409" s="7" t="n">
        <v>0</v>
      </c>
      <c r="K409" s="7" t="n">
        <v>0</v>
      </c>
      <c r="L409" s="7" t="n">
        <v>0</v>
      </c>
      <c r="M409" s="7" t="n">
        <v>0</v>
      </c>
      <c r="N409" s="7" t="n">
        <v>0</v>
      </c>
      <c r="O409" s="7" t="n">
        <v>1</v>
      </c>
      <c r="P409" s="7" t="n">
        <v>3</v>
      </c>
      <c r="Q409" s="7" t="n">
        <v>0</v>
      </c>
      <c r="R409" s="7" t="n">
        <v>0</v>
      </c>
    </row>
    <row r="410" customFormat="false" ht="15" hidden="false" customHeight="true" outlineLevel="0" collapsed="false">
      <c r="A410" s="7" t="n">
        <v>4662</v>
      </c>
      <c r="B410" s="7" t="s">
        <v>45</v>
      </c>
      <c r="C410" s="7" t="s">
        <v>897</v>
      </c>
      <c r="D410" s="7" t="s">
        <v>915</v>
      </c>
      <c r="E410" s="7" t="s">
        <v>131</v>
      </c>
      <c r="F410" s="7" t="n">
        <v>0</v>
      </c>
      <c r="G410" s="7" t="n">
        <v>0</v>
      </c>
      <c r="H410" s="7" t="n">
        <v>0</v>
      </c>
      <c r="I410" s="7" t="n">
        <v>0</v>
      </c>
      <c r="J410" s="7" t="n">
        <v>0</v>
      </c>
      <c r="K410" s="7" t="n">
        <v>0</v>
      </c>
      <c r="L410" s="7" t="n">
        <v>0</v>
      </c>
      <c r="M410" s="7" t="n">
        <v>0</v>
      </c>
      <c r="N410" s="7" t="n">
        <v>0</v>
      </c>
      <c r="O410" s="7" t="n">
        <v>0</v>
      </c>
      <c r="P410" s="7" t="n">
        <v>0</v>
      </c>
      <c r="Q410" s="7" t="n">
        <v>0</v>
      </c>
      <c r="R410" s="7" t="n">
        <v>0</v>
      </c>
    </row>
    <row r="411" customFormat="false" ht="15" hidden="false" customHeight="true" outlineLevel="0" collapsed="false">
      <c r="A411" s="7" t="n">
        <v>5813</v>
      </c>
      <c r="B411" s="7" t="s">
        <v>45</v>
      </c>
      <c r="C411" s="7" t="s">
        <v>888</v>
      </c>
      <c r="D411" s="7" t="s">
        <v>500</v>
      </c>
      <c r="E411" s="7" t="s">
        <v>131</v>
      </c>
      <c r="F411" s="7" t="n">
        <v>15</v>
      </c>
      <c r="G411" s="7" t="n">
        <v>5.97</v>
      </c>
      <c r="H411" s="7" t="n">
        <v>6.2</v>
      </c>
      <c r="I411" s="7" t="n">
        <v>1</v>
      </c>
      <c r="J411" s="7" t="n">
        <v>0</v>
      </c>
      <c r="K411" s="7" t="n">
        <v>0</v>
      </c>
      <c r="L411" s="7" t="n">
        <v>0</v>
      </c>
      <c r="M411" s="7" t="n">
        <v>0</v>
      </c>
      <c r="N411" s="7" t="n">
        <v>0</v>
      </c>
      <c r="O411" s="7" t="n">
        <v>1</v>
      </c>
      <c r="P411" s="7" t="n">
        <v>1</v>
      </c>
      <c r="Q411" s="7" t="n">
        <v>0</v>
      </c>
      <c r="R411" s="7" t="n">
        <v>0</v>
      </c>
    </row>
    <row r="412" customFormat="false" ht="15" hidden="false" customHeight="true" outlineLevel="0" collapsed="false">
      <c r="A412" s="7" t="n">
        <v>6015</v>
      </c>
      <c r="B412" s="7" t="s">
        <v>45</v>
      </c>
      <c r="C412" s="7" t="s">
        <v>888</v>
      </c>
      <c r="D412" s="7" t="s">
        <v>457</v>
      </c>
      <c r="E412" s="7" t="s">
        <v>139</v>
      </c>
      <c r="F412" s="7" t="n">
        <v>12</v>
      </c>
      <c r="G412" s="7" t="n">
        <v>6.17</v>
      </c>
      <c r="H412" s="7" t="n">
        <v>6.92</v>
      </c>
      <c r="I412" s="7" t="n">
        <v>2</v>
      </c>
      <c r="J412" s="7" t="n">
        <v>0</v>
      </c>
      <c r="K412" s="7" t="n">
        <v>0</v>
      </c>
      <c r="L412" s="7" t="n">
        <v>0</v>
      </c>
      <c r="M412" s="7" t="n">
        <v>0</v>
      </c>
      <c r="N412" s="7" t="n">
        <v>0</v>
      </c>
      <c r="O412" s="7" t="n">
        <v>3</v>
      </c>
      <c r="P412" s="7" t="n">
        <v>0</v>
      </c>
      <c r="Q412" s="7" t="n">
        <v>0</v>
      </c>
      <c r="R412" s="7" t="n">
        <v>0</v>
      </c>
    </row>
    <row r="413" customFormat="false" ht="15" hidden="false" customHeight="true" outlineLevel="0" collapsed="false">
      <c r="A413" s="7" t="n">
        <v>6549</v>
      </c>
      <c r="B413" s="7" t="s">
        <v>45</v>
      </c>
      <c r="C413" s="7" t="s">
        <v>894</v>
      </c>
      <c r="D413" s="7" t="s">
        <v>440</v>
      </c>
      <c r="E413" s="7" t="s">
        <v>139</v>
      </c>
      <c r="F413" s="7" t="n">
        <v>37</v>
      </c>
      <c r="G413" s="7" t="n">
        <v>5.8</v>
      </c>
      <c r="H413" s="7" t="n">
        <v>5.85</v>
      </c>
      <c r="I413" s="7" t="n">
        <v>1</v>
      </c>
      <c r="J413" s="7" t="n">
        <v>0</v>
      </c>
      <c r="K413" s="7" t="n">
        <v>0</v>
      </c>
      <c r="L413" s="7" t="n">
        <v>0</v>
      </c>
      <c r="M413" s="7" t="n">
        <v>0</v>
      </c>
      <c r="N413" s="7" t="n">
        <v>0</v>
      </c>
      <c r="O413" s="7" t="n">
        <v>1</v>
      </c>
      <c r="P413" s="7" t="n">
        <v>4</v>
      </c>
      <c r="Q413" s="7" t="n">
        <v>0</v>
      </c>
      <c r="R413" s="7" t="n">
        <v>0</v>
      </c>
    </row>
    <row r="414" customFormat="false" ht="15" hidden="false" customHeight="true" outlineLevel="0" collapsed="false">
      <c r="A414" s="7" t="n">
        <v>5131</v>
      </c>
      <c r="B414" s="7" t="s">
        <v>45</v>
      </c>
      <c r="C414" s="7" t="s">
        <v>890</v>
      </c>
      <c r="D414" s="7" t="s">
        <v>502</v>
      </c>
      <c r="E414" s="7" t="s">
        <v>125</v>
      </c>
      <c r="F414" s="7" t="n">
        <v>13</v>
      </c>
      <c r="G414" s="7" t="n">
        <v>6.08</v>
      </c>
      <c r="H414" s="7" t="n">
        <v>6.27</v>
      </c>
      <c r="I414" s="7" t="n">
        <v>1</v>
      </c>
      <c r="J414" s="7" t="n">
        <v>0</v>
      </c>
      <c r="K414" s="7" t="n">
        <v>0</v>
      </c>
      <c r="L414" s="7" t="n">
        <v>0</v>
      </c>
      <c r="M414" s="7" t="n">
        <v>0</v>
      </c>
      <c r="N414" s="7" t="n">
        <v>0</v>
      </c>
      <c r="O414" s="7" t="n">
        <v>0</v>
      </c>
      <c r="P414" s="7" t="n">
        <v>1</v>
      </c>
      <c r="Q414" s="7" t="n">
        <v>0</v>
      </c>
      <c r="R414" s="7" t="n">
        <v>0</v>
      </c>
    </row>
    <row r="415" customFormat="false" ht="15" hidden="false" customHeight="true" outlineLevel="0" collapsed="false">
      <c r="A415" s="7" t="n">
        <v>6170</v>
      </c>
      <c r="B415" s="7" t="s">
        <v>45</v>
      </c>
      <c r="C415" s="7" t="s">
        <v>45</v>
      </c>
      <c r="D415" s="7" t="s">
        <v>467</v>
      </c>
      <c r="E415" s="7" t="s">
        <v>184</v>
      </c>
      <c r="F415" s="7" t="n">
        <v>27</v>
      </c>
      <c r="G415" s="7" t="n">
        <v>5.87</v>
      </c>
      <c r="H415" s="7" t="n">
        <v>5.81</v>
      </c>
      <c r="I415" s="7" t="n">
        <v>0</v>
      </c>
      <c r="J415" s="7" t="n">
        <v>0</v>
      </c>
      <c r="K415" s="7" t="n">
        <v>0</v>
      </c>
      <c r="L415" s="7" t="n">
        <v>0</v>
      </c>
      <c r="M415" s="7" t="n">
        <v>0</v>
      </c>
      <c r="N415" s="7" t="n">
        <v>0</v>
      </c>
      <c r="O415" s="7" t="n">
        <v>1</v>
      </c>
      <c r="P415" s="7" t="n">
        <v>5</v>
      </c>
      <c r="Q415" s="7" t="n">
        <v>0</v>
      </c>
      <c r="R415" s="7" t="n">
        <v>0</v>
      </c>
    </row>
    <row r="416" customFormat="false" ht="15" hidden="false" customHeight="true" outlineLevel="0" collapsed="false">
      <c r="A416" s="7" t="n">
        <v>7028</v>
      </c>
      <c r="B416" s="7" t="s">
        <v>45</v>
      </c>
      <c r="C416" s="7" t="s">
        <v>45</v>
      </c>
      <c r="D416" s="7" t="s">
        <v>916</v>
      </c>
      <c r="E416" s="7" t="s">
        <v>745</v>
      </c>
      <c r="F416" s="7" t="n">
        <v>31</v>
      </c>
      <c r="G416" s="7" t="n">
        <v>5.87</v>
      </c>
      <c r="H416" s="7" t="n">
        <v>6</v>
      </c>
      <c r="I416" s="7" t="n">
        <v>1</v>
      </c>
      <c r="J416" s="7" t="n">
        <v>0</v>
      </c>
      <c r="K416" s="7" t="n">
        <v>0</v>
      </c>
      <c r="L416" s="7" t="n">
        <v>0</v>
      </c>
      <c r="M416" s="7" t="n">
        <v>0</v>
      </c>
      <c r="N416" s="7" t="n">
        <v>0</v>
      </c>
      <c r="O416" s="7" t="n">
        <v>2</v>
      </c>
      <c r="P416" s="7" t="n">
        <v>2</v>
      </c>
      <c r="Q416" s="7" t="n">
        <v>0</v>
      </c>
      <c r="R416" s="7" t="n">
        <v>0</v>
      </c>
    </row>
    <row r="417" customFormat="false" ht="15" hidden="false" customHeight="true" outlineLevel="0" collapsed="false">
      <c r="A417" s="7" t="n">
        <v>7198</v>
      </c>
      <c r="B417" s="7" t="s">
        <v>45</v>
      </c>
      <c r="C417" s="7" t="s">
        <v>45</v>
      </c>
      <c r="D417" s="7" t="s">
        <v>468</v>
      </c>
      <c r="E417" s="7" t="s">
        <v>135</v>
      </c>
      <c r="F417" s="7" t="n">
        <v>30</v>
      </c>
      <c r="G417" s="7" t="n">
        <v>5.88</v>
      </c>
      <c r="H417" s="7" t="n">
        <v>5.95</v>
      </c>
      <c r="I417" s="7" t="n">
        <v>1</v>
      </c>
      <c r="J417" s="7" t="n">
        <v>0</v>
      </c>
      <c r="K417" s="7" t="n">
        <v>0</v>
      </c>
      <c r="L417" s="7" t="n">
        <v>0</v>
      </c>
      <c r="M417" s="7" t="n">
        <v>0</v>
      </c>
      <c r="N417" s="7" t="n">
        <v>0</v>
      </c>
      <c r="O417" s="7" t="n">
        <v>0</v>
      </c>
      <c r="P417" s="7" t="n">
        <v>2</v>
      </c>
      <c r="Q417" s="7" t="n">
        <v>0</v>
      </c>
      <c r="R417" s="7" t="n">
        <v>0</v>
      </c>
    </row>
    <row r="418" customFormat="false" ht="15" hidden="false" customHeight="true" outlineLevel="0" collapsed="false">
      <c r="A418" s="7" t="n">
        <v>7208</v>
      </c>
      <c r="B418" s="7" t="s">
        <v>45</v>
      </c>
      <c r="C418" s="7" t="s">
        <v>890</v>
      </c>
      <c r="D418" s="7" t="s">
        <v>506</v>
      </c>
      <c r="E418" s="7" t="s">
        <v>135</v>
      </c>
      <c r="F418" s="7" t="n">
        <v>19</v>
      </c>
      <c r="G418" s="7" t="n">
        <v>5.92</v>
      </c>
      <c r="H418" s="7" t="n">
        <v>5.95</v>
      </c>
      <c r="I418" s="7" t="n">
        <v>0</v>
      </c>
      <c r="J418" s="7" t="n">
        <v>0</v>
      </c>
      <c r="K418" s="7" t="n">
        <v>0</v>
      </c>
      <c r="L418" s="7" t="n">
        <v>0</v>
      </c>
      <c r="M418" s="7" t="n">
        <v>0</v>
      </c>
      <c r="N418" s="7" t="n">
        <v>0</v>
      </c>
      <c r="O418" s="7" t="n">
        <v>2</v>
      </c>
      <c r="P418" s="7" t="n">
        <v>4</v>
      </c>
      <c r="Q418" s="7" t="n">
        <v>0</v>
      </c>
      <c r="R418" s="7" t="n">
        <v>0</v>
      </c>
    </row>
    <row r="419" customFormat="false" ht="15" hidden="false" customHeight="true" outlineLevel="0" collapsed="false">
      <c r="A419" s="7" t="n">
        <v>7209</v>
      </c>
      <c r="B419" s="7" t="s">
        <v>45</v>
      </c>
      <c r="C419" s="7" t="s">
        <v>45</v>
      </c>
      <c r="D419" s="7" t="s">
        <v>503</v>
      </c>
      <c r="E419" s="7" t="s">
        <v>141</v>
      </c>
      <c r="F419" s="7" t="n">
        <v>30</v>
      </c>
      <c r="G419" s="7" t="n">
        <v>5.85</v>
      </c>
      <c r="H419" s="7" t="n">
        <v>5.95</v>
      </c>
      <c r="I419" s="7" t="n">
        <v>1</v>
      </c>
      <c r="J419" s="7" t="n">
        <v>0</v>
      </c>
      <c r="K419" s="7" t="n">
        <v>0</v>
      </c>
      <c r="L419" s="7" t="n">
        <v>0</v>
      </c>
      <c r="M419" s="7" t="n">
        <v>0</v>
      </c>
      <c r="N419" s="7" t="n">
        <v>0</v>
      </c>
      <c r="O419" s="7" t="n">
        <v>1</v>
      </c>
      <c r="P419" s="7" t="n">
        <v>2</v>
      </c>
      <c r="Q419" s="7" t="n">
        <v>0</v>
      </c>
      <c r="R419" s="7" t="n">
        <v>0</v>
      </c>
    </row>
    <row r="420" customFormat="false" ht="15" hidden="false" customHeight="true" outlineLevel="0" collapsed="false">
      <c r="A420" s="7" t="n">
        <v>6005</v>
      </c>
      <c r="B420" s="7" t="s">
        <v>45</v>
      </c>
      <c r="C420" s="7" t="s">
        <v>888</v>
      </c>
      <c r="D420" s="7" t="s">
        <v>490</v>
      </c>
      <c r="E420" s="7" t="s">
        <v>184</v>
      </c>
      <c r="F420" s="7" t="n">
        <v>17</v>
      </c>
      <c r="G420" s="7" t="n">
        <v>5.82</v>
      </c>
      <c r="H420" s="7" t="n">
        <v>6</v>
      </c>
      <c r="I420" s="7" t="n">
        <v>1</v>
      </c>
      <c r="J420" s="7" t="n">
        <v>0</v>
      </c>
      <c r="K420" s="7" t="n">
        <v>0</v>
      </c>
      <c r="L420" s="7" t="n">
        <v>0</v>
      </c>
      <c r="M420" s="7" t="n">
        <v>0</v>
      </c>
      <c r="N420" s="7" t="n">
        <v>0</v>
      </c>
      <c r="O420" s="7" t="n">
        <v>2</v>
      </c>
      <c r="P420" s="7" t="n">
        <v>2</v>
      </c>
      <c r="Q420" s="7" t="n">
        <v>1</v>
      </c>
      <c r="R420" s="7" t="n">
        <v>0</v>
      </c>
    </row>
    <row r="421" customFormat="false" ht="15" hidden="false" customHeight="true" outlineLevel="0" collapsed="false">
      <c r="A421" s="7" t="n">
        <v>6274</v>
      </c>
      <c r="B421" s="7" t="s">
        <v>45</v>
      </c>
      <c r="C421" s="7" t="s">
        <v>45</v>
      </c>
      <c r="D421" s="7" t="s">
        <v>411</v>
      </c>
      <c r="E421" s="7" t="s">
        <v>115</v>
      </c>
      <c r="F421" s="7" t="n">
        <v>10</v>
      </c>
      <c r="G421" s="7" t="n">
        <v>6.15</v>
      </c>
      <c r="H421" s="7" t="n">
        <v>6.45</v>
      </c>
      <c r="I421" s="7" t="n">
        <v>1</v>
      </c>
      <c r="J421" s="7" t="n">
        <v>0</v>
      </c>
      <c r="K421" s="7" t="n">
        <v>0</v>
      </c>
      <c r="L421" s="7" t="n">
        <v>0</v>
      </c>
      <c r="M421" s="7" t="n">
        <v>0</v>
      </c>
      <c r="N421" s="7" t="n">
        <v>0</v>
      </c>
      <c r="O421" s="7" t="n">
        <v>0</v>
      </c>
      <c r="P421" s="7" t="n">
        <v>1</v>
      </c>
      <c r="Q421" s="7" t="n">
        <v>0</v>
      </c>
      <c r="R421" s="7" t="n">
        <v>0</v>
      </c>
    </row>
    <row r="422" customFormat="false" ht="15" hidden="false" customHeight="true" outlineLevel="0" collapsed="false">
      <c r="A422" s="7" t="n">
        <v>4479</v>
      </c>
      <c r="B422" s="7" t="s">
        <v>45</v>
      </c>
      <c r="C422" s="7" t="s">
        <v>898</v>
      </c>
      <c r="D422" s="7" t="s">
        <v>917</v>
      </c>
      <c r="E422" s="7" t="s">
        <v>125</v>
      </c>
      <c r="F422" s="7" t="n">
        <v>28</v>
      </c>
      <c r="G422" s="7" t="n">
        <v>5.8</v>
      </c>
      <c r="H422" s="7" t="n">
        <v>5.96</v>
      </c>
      <c r="I422" s="7" t="n">
        <v>1</v>
      </c>
      <c r="J422" s="7" t="n">
        <v>0</v>
      </c>
      <c r="K422" s="7" t="n">
        <v>0</v>
      </c>
      <c r="L422" s="7" t="n">
        <v>0</v>
      </c>
      <c r="M422" s="7" t="n">
        <v>0</v>
      </c>
      <c r="N422" s="7" t="n">
        <v>0</v>
      </c>
      <c r="O422" s="7" t="n">
        <v>3</v>
      </c>
      <c r="P422" s="7" t="n">
        <v>3</v>
      </c>
      <c r="Q422" s="7" t="n">
        <v>0</v>
      </c>
      <c r="R422" s="7" t="n">
        <v>0</v>
      </c>
    </row>
    <row r="423" customFormat="false" ht="15" hidden="false" customHeight="true" outlineLevel="0" collapsed="false">
      <c r="A423" s="7" t="n">
        <v>801</v>
      </c>
      <c r="B423" s="7" t="s">
        <v>45</v>
      </c>
      <c r="C423" s="7" t="s">
        <v>890</v>
      </c>
      <c r="D423" s="7" t="s">
        <v>918</v>
      </c>
      <c r="E423" s="7" t="s">
        <v>745</v>
      </c>
      <c r="F423" s="7" t="n">
        <v>29</v>
      </c>
      <c r="G423" s="7" t="n">
        <v>5.91</v>
      </c>
      <c r="H423" s="7" t="n">
        <v>5.84</v>
      </c>
      <c r="I423" s="7" t="n">
        <v>1</v>
      </c>
      <c r="J423" s="7" t="n">
        <v>0</v>
      </c>
      <c r="K423" s="7" t="n">
        <v>0</v>
      </c>
      <c r="L423" s="7" t="n">
        <v>0</v>
      </c>
      <c r="M423" s="7" t="n">
        <v>0</v>
      </c>
      <c r="N423" s="7" t="n">
        <v>0</v>
      </c>
      <c r="O423" s="7" t="n">
        <v>0</v>
      </c>
      <c r="P423" s="7" t="n">
        <v>10</v>
      </c>
      <c r="Q423" s="7" t="n">
        <v>0</v>
      </c>
      <c r="R423" s="7" t="n">
        <v>0</v>
      </c>
    </row>
    <row r="424" customFormat="false" ht="15" hidden="false" customHeight="true" outlineLevel="0" collapsed="false">
      <c r="A424" s="7" t="n">
        <v>6024</v>
      </c>
      <c r="B424" s="7" t="s">
        <v>45</v>
      </c>
      <c r="C424" s="7" t="s">
        <v>890</v>
      </c>
      <c r="D424" s="7" t="s">
        <v>492</v>
      </c>
      <c r="E424" s="7" t="s">
        <v>129</v>
      </c>
      <c r="F424" s="7" t="n">
        <v>18</v>
      </c>
      <c r="G424" s="7" t="n">
        <v>5.69</v>
      </c>
      <c r="H424" s="7" t="n">
        <v>5.78</v>
      </c>
      <c r="I424" s="7" t="n">
        <v>1</v>
      </c>
      <c r="J424" s="7" t="n">
        <v>0</v>
      </c>
      <c r="K424" s="7" t="n">
        <v>0</v>
      </c>
      <c r="L424" s="7" t="n">
        <v>0</v>
      </c>
      <c r="M424" s="7" t="n">
        <v>0</v>
      </c>
      <c r="N424" s="7" t="n">
        <v>0</v>
      </c>
      <c r="O424" s="7" t="n">
        <v>0</v>
      </c>
      <c r="P424" s="7" t="n">
        <v>3</v>
      </c>
      <c r="Q424" s="7" t="n">
        <v>0</v>
      </c>
      <c r="R424" s="7" t="n">
        <v>0</v>
      </c>
    </row>
    <row r="425" customFormat="false" ht="15" hidden="false" customHeight="true" outlineLevel="0" collapsed="false">
      <c r="A425" s="7" t="n">
        <v>5784</v>
      </c>
      <c r="B425" s="7" t="s">
        <v>45</v>
      </c>
      <c r="C425" s="7" t="s">
        <v>45</v>
      </c>
      <c r="D425" s="7" t="s">
        <v>919</v>
      </c>
      <c r="E425" s="7" t="s">
        <v>748</v>
      </c>
      <c r="F425" s="7" t="n">
        <v>35</v>
      </c>
      <c r="G425" s="7" t="n">
        <v>5.8</v>
      </c>
      <c r="H425" s="7" t="n">
        <v>5.8</v>
      </c>
      <c r="I425" s="7" t="n">
        <v>1</v>
      </c>
      <c r="J425" s="7" t="n">
        <v>0</v>
      </c>
      <c r="K425" s="7" t="n">
        <v>0</v>
      </c>
      <c r="L425" s="7" t="n">
        <v>0</v>
      </c>
      <c r="M425" s="7" t="n">
        <v>0</v>
      </c>
      <c r="N425" s="7" t="n">
        <v>0</v>
      </c>
      <c r="O425" s="7" t="n">
        <v>1</v>
      </c>
      <c r="P425" s="7" t="n">
        <v>8</v>
      </c>
      <c r="Q425" s="7" t="n">
        <v>0</v>
      </c>
      <c r="R425" s="7" t="n">
        <v>0</v>
      </c>
    </row>
    <row r="426" customFormat="false" ht="15" hidden="false" customHeight="true" outlineLevel="0" collapsed="false">
      <c r="A426" s="7" t="n">
        <v>6206</v>
      </c>
      <c r="B426" s="7" t="s">
        <v>45</v>
      </c>
      <c r="C426" s="7" t="s">
        <v>888</v>
      </c>
      <c r="D426" s="7" t="s">
        <v>475</v>
      </c>
      <c r="E426" s="7" t="s">
        <v>123</v>
      </c>
      <c r="F426" s="7" t="n">
        <v>22</v>
      </c>
      <c r="G426" s="7" t="n">
        <v>5.8</v>
      </c>
      <c r="H426" s="7" t="n">
        <v>6.05</v>
      </c>
      <c r="I426" s="7" t="n">
        <v>2</v>
      </c>
      <c r="J426" s="7" t="n">
        <v>0</v>
      </c>
      <c r="K426" s="7" t="n">
        <v>0</v>
      </c>
      <c r="L426" s="7" t="n">
        <v>0</v>
      </c>
      <c r="M426" s="7" t="n">
        <v>0</v>
      </c>
      <c r="N426" s="7" t="n">
        <v>0</v>
      </c>
      <c r="O426" s="7" t="n">
        <v>0</v>
      </c>
      <c r="P426" s="7" t="n">
        <v>2</v>
      </c>
      <c r="Q426" s="7" t="n">
        <v>0</v>
      </c>
      <c r="R426" s="7" t="n">
        <v>0</v>
      </c>
    </row>
    <row r="427" customFormat="false" ht="15" hidden="false" customHeight="true" outlineLevel="0" collapsed="false">
      <c r="A427" s="7" t="n">
        <v>1871</v>
      </c>
      <c r="B427" s="7" t="s">
        <v>45</v>
      </c>
      <c r="C427" s="7" t="s">
        <v>890</v>
      </c>
      <c r="D427" s="7" t="s">
        <v>494</v>
      </c>
      <c r="E427" s="7" t="s">
        <v>129</v>
      </c>
      <c r="F427" s="7" t="n">
        <v>20</v>
      </c>
      <c r="G427" s="7" t="n">
        <v>5.98</v>
      </c>
      <c r="H427" s="7" t="n">
        <v>5.95</v>
      </c>
      <c r="I427" s="7" t="n">
        <v>0</v>
      </c>
      <c r="J427" s="7" t="n">
        <v>0</v>
      </c>
      <c r="K427" s="7" t="n">
        <v>0</v>
      </c>
      <c r="L427" s="7" t="n">
        <v>0</v>
      </c>
      <c r="M427" s="7" t="n">
        <v>0</v>
      </c>
      <c r="N427" s="7" t="n">
        <v>0</v>
      </c>
      <c r="O427" s="7" t="n">
        <v>1</v>
      </c>
      <c r="P427" s="7" t="n">
        <v>3</v>
      </c>
      <c r="Q427" s="7" t="n">
        <v>0</v>
      </c>
      <c r="R427" s="7" t="n">
        <v>0</v>
      </c>
    </row>
    <row r="428" customFormat="false" ht="15" hidden="false" customHeight="true" outlineLevel="0" collapsed="false">
      <c r="A428" s="7" t="n">
        <v>181</v>
      </c>
      <c r="B428" s="7" t="s">
        <v>45</v>
      </c>
      <c r="C428" s="7" t="s">
        <v>890</v>
      </c>
      <c r="D428" s="7" t="s">
        <v>920</v>
      </c>
      <c r="E428" s="7" t="s">
        <v>133</v>
      </c>
      <c r="F428" s="7" t="n">
        <v>12</v>
      </c>
      <c r="G428" s="7" t="n">
        <v>5.92</v>
      </c>
      <c r="H428" s="7" t="n">
        <v>5.96</v>
      </c>
      <c r="I428" s="7" t="n">
        <v>0</v>
      </c>
      <c r="J428" s="7" t="n">
        <v>0</v>
      </c>
      <c r="K428" s="7" t="n">
        <v>0</v>
      </c>
      <c r="L428" s="7" t="n">
        <v>0</v>
      </c>
      <c r="M428" s="7" t="n">
        <v>0</v>
      </c>
      <c r="N428" s="7" t="n">
        <v>0</v>
      </c>
      <c r="O428" s="7" t="n">
        <v>1</v>
      </c>
      <c r="P428" s="7" t="n">
        <v>1</v>
      </c>
      <c r="Q428" s="7" t="n">
        <v>0</v>
      </c>
      <c r="R428" s="7" t="n">
        <v>0</v>
      </c>
    </row>
    <row r="429" customFormat="false" ht="15" hidden="false" customHeight="true" outlineLevel="0" collapsed="false">
      <c r="A429" s="7" t="n">
        <v>6629</v>
      </c>
      <c r="B429" s="7" t="s">
        <v>45</v>
      </c>
      <c r="C429" s="7" t="s">
        <v>888</v>
      </c>
      <c r="D429" s="7" t="s">
        <v>456</v>
      </c>
      <c r="E429" s="7" t="s">
        <v>133</v>
      </c>
      <c r="F429" s="7" t="n">
        <v>21</v>
      </c>
      <c r="G429" s="7" t="n">
        <v>5.69</v>
      </c>
      <c r="H429" s="7" t="n">
        <v>5.83</v>
      </c>
      <c r="I429" s="7" t="n">
        <v>1</v>
      </c>
      <c r="J429" s="7" t="n">
        <v>0</v>
      </c>
      <c r="K429" s="7" t="n">
        <v>0</v>
      </c>
      <c r="L429" s="7" t="n">
        <v>0</v>
      </c>
      <c r="M429" s="7" t="n">
        <v>0</v>
      </c>
      <c r="N429" s="7" t="n">
        <v>0</v>
      </c>
      <c r="O429" s="7" t="n">
        <v>0</v>
      </c>
      <c r="P429" s="7" t="n">
        <v>0</v>
      </c>
      <c r="Q429" s="7" t="n">
        <v>0</v>
      </c>
      <c r="R429" s="7" t="n">
        <v>0</v>
      </c>
    </row>
    <row r="430" customFormat="false" ht="15" hidden="false" customHeight="true" outlineLevel="0" collapsed="false">
      <c r="A430" s="7" t="n">
        <v>5998</v>
      </c>
      <c r="B430" s="7" t="s">
        <v>45</v>
      </c>
      <c r="C430" s="7" t="s">
        <v>897</v>
      </c>
      <c r="D430" s="7" t="s">
        <v>451</v>
      </c>
      <c r="E430" s="7" t="s">
        <v>743</v>
      </c>
      <c r="F430" s="7" t="n">
        <v>29</v>
      </c>
      <c r="G430" s="7" t="n">
        <v>5.76</v>
      </c>
      <c r="H430" s="7" t="n">
        <v>5.79</v>
      </c>
      <c r="I430" s="7" t="n">
        <v>0</v>
      </c>
      <c r="J430" s="7" t="n">
        <v>0</v>
      </c>
      <c r="K430" s="7" t="n">
        <v>0</v>
      </c>
      <c r="L430" s="7" t="n">
        <v>0</v>
      </c>
      <c r="M430" s="7" t="n">
        <v>0</v>
      </c>
      <c r="N430" s="7" t="n">
        <v>0</v>
      </c>
      <c r="O430" s="7" t="n">
        <v>2</v>
      </c>
      <c r="P430" s="7" t="n">
        <v>2</v>
      </c>
      <c r="Q430" s="7" t="n">
        <v>0</v>
      </c>
      <c r="R430" s="7" t="n">
        <v>0</v>
      </c>
    </row>
    <row r="431" customFormat="false" ht="15" hidden="false" customHeight="true" outlineLevel="0" collapsed="false">
      <c r="A431" s="7" t="n">
        <v>7138</v>
      </c>
      <c r="B431" s="7" t="s">
        <v>45</v>
      </c>
      <c r="C431" s="7" t="s">
        <v>890</v>
      </c>
      <c r="D431" s="7" t="s">
        <v>516</v>
      </c>
      <c r="E431" s="7" t="s">
        <v>141</v>
      </c>
      <c r="F431" s="7" t="n">
        <v>21</v>
      </c>
      <c r="G431" s="7" t="n">
        <v>5.79</v>
      </c>
      <c r="H431" s="7" t="n">
        <v>5.81</v>
      </c>
      <c r="I431" s="7" t="n">
        <v>1</v>
      </c>
      <c r="J431" s="7" t="n">
        <v>0</v>
      </c>
      <c r="K431" s="7" t="n">
        <v>0</v>
      </c>
      <c r="L431" s="7" t="n">
        <v>0</v>
      </c>
      <c r="M431" s="7" t="n">
        <v>0</v>
      </c>
      <c r="N431" s="7" t="n">
        <v>0</v>
      </c>
      <c r="O431" s="7" t="n">
        <v>0</v>
      </c>
      <c r="P431" s="7" t="n">
        <v>3</v>
      </c>
      <c r="Q431" s="7" t="n">
        <v>1</v>
      </c>
      <c r="R431" s="7" t="n">
        <v>0</v>
      </c>
    </row>
    <row r="432" customFormat="false" ht="15" hidden="false" customHeight="true" outlineLevel="0" collapsed="false">
      <c r="A432" s="7" t="n">
        <v>5318</v>
      </c>
      <c r="B432" s="7" t="s">
        <v>45</v>
      </c>
      <c r="C432" s="7" t="s">
        <v>898</v>
      </c>
      <c r="D432" s="7" t="s">
        <v>921</v>
      </c>
      <c r="E432" s="7" t="s">
        <v>748</v>
      </c>
      <c r="F432" s="7" t="n">
        <v>25</v>
      </c>
      <c r="G432" s="7" t="n">
        <v>5.72</v>
      </c>
      <c r="H432" s="7" t="n">
        <v>6</v>
      </c>
      <c r="I432" s="7" t="n">
        <v>2</v>
      </c>
      <c r="J432" s="7" t="n">
        <v>0</v>
      </c>
      <c r="K432" s="7" t="n">
        <v>0</v>
      </c>
      <c r="L432" s="7" t="n">
        <v>1</v>
      </c>
      <c r="M432" s="7" t="n">
        <v>1</v>
      </c>
      <c r="N432" s="7" t="n">
        <v>0</v>
      </c>
      <c r="O432" s="7" t="n">
        <v>2</v>
      </c>
      <c r="P432" s="7" t="n">
        <v>3</v>
      </c>
      <c r="Q432" s="7" t="n">
        <v>0</v>
      </c>
      <c r="R432" s="7" t="n">
        <v>0</v>
      </c>
    </row>
    <row r="433" customFormat="false" ht="15" hidden="false" customHeight="true" outlineLevel="0" collapsed="false">
      <c r="A433" s="7" t="n">
        <v>6246</v>
      </c>
      <c r="B433" s="7" t="s">
        <v>45</v>
      </c>
      <c r="C433" s="7" t="s">
        <v>890</v>
      </c>
      <c r="D433" s="7" t="s">
        <v>518</v>
      </c>
      <c r="E433" s="7" t="s">
        <v>144</v>
      </c>
      <c r="F433" s="7" t="n">
        <v>21</v>
      </c>
      <c r="G433" s="7" t="n">
        <v>5.93</v>
      </c>
      <c r="H433" s="7" t="n">
        <v>5.9</v>
      </c>
      <c r="I433" s="7" t="n">
        <v>0</v>
      </c>
      <c r="J433" s="7" t="n">
        <v>0</v>
      </c>
      <c r="K433" s="7" t="n">
        <v>0</v>
      </c>
      <c r="L433" s="7" t="n">
        <v>0</v>
      </c>
      <c r="M433" s="7" t="n">
        <v>0</v>
      </c>
      <c r="N433" s="7" t="n">
        <v>0</v>
      </c>
      <c r="O433" s="7" t="n">
        <v>1</v>
      </c>
      <c r="P433" s="7" t="n">
        <v>3</v>
      </c>
      <c r="Q433" s="7" t="n">
        <v>0</v>
      </c>
      <c r="R433" s="7" t="n">
        <v>0</v>
      </c>
    </row>
    <row r="434" customFormat="false" ht="15" hidden="false" customHeight="true" outlineLevel="0" collapsed="false">
      <c r="A434" s="7" t="n">
        <v>6458</v>
      </c>
      <c r="B434" s="7" t="s">
        <v>45</v>
      </c>
      <c r="C434" s="7" t="s">
        <v>45</v>
      </c>
      <c r="D434" s="7" t="s">
        <v>922</v>
      </c>
      <c r="E434" s="7" t="s">
        <v>745</v>
      </c>
      <c r="F434" s="7" t="n">
        <v>18</v>
      </c>
      <c r="G434" s="7" t="n">
        <v>5.97</v>
      </c>
      <c r="H434" s="7" t="n">
        <v>6.22</v>
      </c>
      <c r="I434" s="7" t="n">
        <v>2</v>
      </c>
      <c r="J434" s="7" t="n">
        <v>0</v>
      </c>
      <c r="K434" s="7" t="n">
        <v>0</v>
      </c>
      <c r="L434" s="7" t="n">
        <v>0</v>
      </c>
      <c r="M434" s="7" t="n">
        <v>0</v>
      </c>
      <c r="N434" s="7" t="n">
        <v>0</v>
      </c>
      <c r="O434" s="7" t="n">
        <v>0</v>
      </c>
      <c r="P434" s="7" t="n">
        <v>3</v>
      </c>
      <c r="Q434" s="7" t="n">
        <v>0</v>
      </c>
      <c r="R434" s="7" t="n">
        <v>0</v>
      </c>
    </row>
    <row r="435" customFormat="false" ht="15" hidden="false" customHeight="true" outlineLevel="0" collapsed="false">
      <c r="A435" s="7" t="n">
        <v>5858</v>
      </c>
      <c r="B435" s="7" t="s">
        <v>45</v>
      </c>
      <c r="C435" s="7" t="s">
        <v>888</v>
      </c>
      <c r="D435" s="7" t="s">
        <v>418</v>
      </c>
      <c r="E435" s="7" t="s">
        <v>127</v>
      </c>
      <c r="F435" s="7" t="n">
        <v>23</v>
      </c>
      <c r="G435" s="7" t="n">
        <v>5.8</v>
      </c>
      <c r="H435" s="7" t="n">
        <v>5.78</v>
      </c>
      <c r="I435" s="7" t="n">
        <v>1</v>
      </c>
      <c r="J435" s="7" t="n">
        <v>0</v>
      </c>
      <c r="K435" s="7" t="n">
        <v>0</v>
      </c>
      <c r="L435" s="7" t="n">
        <v>0</v>
      </c>
      <c r="M435" s="7" t="n">
        <v>0</v>
      </c>
      <c r="N435" s="7" t="n">
        <v>0</v>
      </c>
      <c r="O435" s="7" t="n">
        <v>0</v>
      </c>
      <c r="P435" s="7" t="n">
        <v>5</v>
      </c>
      <c r="Q435" s="7" t="n">
        <v>1</v>
      </c>
      <c r="R435" s="7" t="n">
        <v>0</v>
      </c>
    </row>
    <row r="436" customFormat="false" ht="15" hidden="false" customHeight="true" outlineLevel="0" collapsed="false">
      <c r="A436" s="7" t="n">
        <v>27</v>
      </c>
      <c r="B436" s="7" t="s">
        <v>45</v>
      </c>
      <c r="C436" s="7" t="s">
        <v>890</v>
      </c>
      <c r="D436" s="7" t="s">
        <v>923</v>
      </c>
      <c r="E436" s="7" t="s">
        <v>743</v>
      </c>
      <c r="F436" s="7" t="n">
        <v>28</v>
      </c>
      <c r="G436" s="7" t="n">
        <v>5.79</v>
      </c>
      <c r="H436" s="7" t="n">
        <v>5.7</v>
      </c>
      <c r="I436" s="7" t="n">
        <v>0</v>
      </c>
      <c r="J436" s="7" t="n">
        <v>0</v>
      </c>
      <c r="K436" s="7" t="n">
        <v>0</v>
      </c>
      <c r="L436" s="7" t="n">
        <v>0</v>
      </c>
      <c r="M436" s="7" t="n">
        <v>0</v>
      </c>
      <c r="N436" s="7" t="n">
        <v>0</v>
      </c>
      <c r="O436" s="7" t="n">
        <v>0</v>
      </c>
      <c r="P436" s="7" t="n">
        <v>3</v>
      </c>
      <c r="Q436" s="7" t="n">
        <v>1</v>
      </c>
      <c r="R436" s="7" t="n">
        <v>0</v>
      </c>
    </row>
    <row r="437" customFormat="false" ht="15" hidden="false" customHeight="true" outlineLevel="0" collapsed="false">
      <c r="A437" s="7" t="n">
        <v>2842</v>
      </c>
      <c r="B437" s="7" t="s">
        <v>45</v>
      </c>
      <c r="C437" s="7" t="s">
        <v>892</v>
      </c>
      <c r="D437" s="7" t="s">
        <v>924</v>
      </c>
      <c r="E437" s="7" t="s">
        <v>743</v>
      </c>
      <c r="F437" s="7" t="n">
        <v>0</v>
      </c>
      <c r="G437" s="7" t="n">
        <v>0</v>
      </c>
      <c r="H437" s="7" t="n">
        <v>0</v>
      </c>
      <c r="I437" s="7" t="n">
        <v>0</v>
      </c>
      <c r="J437" s="7" t="n">
        <v>0</v>
      </c>
      <c r="K437" s="7" t="n">
        <v>0</v>
      </c>
      <c r="L437" s="7" t="n">
        <v>0</v>
      </c>
      <c r="M437" s="7" t="n">
        <v>0</v>
      </c>
      <c r="N437" s="7" t="n">
        <v>0</v>
      </c>
      <c r="O437" s="7" t="n">
        <v>0</v>
      </c>
      <c r="P437" s="7" t="n">
        <v>0</v>
      </c>
      <c r="Q437" s="7" t="n">
        <v>0</v>
      </c>
      <c r="R437" s="7" t="n">
        <v>0</v>
      </c>
    </row>
    <row r="438" customFormat="false" ht="15" hidden="false" customHeight="true" outlineLevel="0" collapsed="false">
      <c r="A438" s="7" t="n">
        <v>6917</v>
      </c>
      <c r="B438" s="7" t="s">
        <v>45</v>
      </c>
      <c r="C438" s="7" t="s">
        <v>890</v>
      </c>
      <c r="D438" s="7" t="s">
        <v>511</v>
      </c>
      <c r="E438" s="7" t="s">
        <v>137</v>
      </c>
      <c r="F438" s="7" t="n">
        <v>21</v>
      </c>
      <c r="G438" s="7" t="n">
        <v>5.98</v>
      </c>
      <c r="H438" s="7" t="n">
        <v>5.9</v>
      </c>
      <c r="I438" s="7" t="n">
        <v>0</v>
      </c>
      <c r="J438" s="7" t="n">
        <v>0</v>
      </c>
      <c r="K438" s="7" t="n">
        <v>0</v>
      </c>
      <c r="L438" s="7" t="n">
        <v>0</v>
      </c>
      <c r="M438" s="7" t="n">
        <v>0</v>
      </c>
      <c r="N438" s="7" t="n">
        <v>0</v>
      </c>
      <c r="O438" s="7" t="n">
        <v>1</v>
      </c>
      <c r="P438" s="7" t="n">
        <v>5</v>
      </c>
      <c r="Q438" s="7" t="n">
        <v>0</v>
      </c>
      <c r="R438" s="7" t="n">
        <v>0</v>
      </c>
    </row>
    <row r="439" customFormat="false" ht="15" hidden="false" customHeight="true" outlineLevel="0" collapsed="false">
      <c r="A439" s="7" t="n">
        <v>5457</v>
      </c>
      <c r="B439" s="7" t="s">
        <v>45</v>
      </c>
      <c r="C439" s="7" t="s">
        <v>890</v>
      </c>
      <c r="D439" s="7" t="s">
        <v>513</v>
      </c>
      <c r="E439" s="7" t="s">
        <v>743</v>
      </c>
      <c r="F439" s="7" t="n">
        <v>21</v>
      </c>
      <c r="G439" s="7" t="n">
        <v>5.69</v>
      </c>
      <c r="H439" s="7" t="n">
        <v>5.71</v>
      </c>
      <c r="I439" s="7" t="n">
        <v>1</v>
      </c>
      <c r="J439" s="7" t="n">
        <v>0</v>
      </c>
      <c r="K439" s="7" t="n">
        <v>0</v>
      </c>
      <c r="L439" s="7" t="n">
        <v>0</v>
      </c>
      <c r="M439" s="7" t="n">
        <v>0</v>
      </c>
      <c r="N439" s="7" t="n">
        <v>0</v>
      </c>
      <c r="O439" s="7" t="n">
        <v>0</v>
      </c>
      <c r="P439" s="7" t="n">
        <v>3</v>
      </c>
      <c r="Q439" s="7" t="n">
        <v>1</v>
      </c>
      <c r="R439" s="7" t="n">
        <v>0</v>
      </c>
    </row>
    <row r="440" customFormat="false" ht="15" hidden="false" customHeight="true" outlineLevel="0" collapsed="false">
      <c r="A440" s="7" t="n">
        <v>5992</v>
      </c>
      <c r="B440" s="7" t="s">
        <v>45</v>
      </c>
      <c r="C440" s="7" t="s">
        <v>890</v>
      </c>
      <c r="D440" s="7" t="s">
        <v>925</v>
      </c>
      <c r="E440" s="7" t="s">
        <v>743</v>
      </c>
      <c r="F440" s="7" t="n">
        <v>27</v>
      </c>
      <c r="G440" s="7" t="n">
        <v>5.85</v>
      </c>
      <c r="H440" s="7" t="n">
        <v>5.76</v>
      </c>
      <c r="I440" s="7" t="n">
        <v>0</v>
      </c>
      <c r="J440" s="7" t="n">
        <v>0</v>
      </c>
      <c r="K440" s="7" t="n">
        <v>0</v>
      </c>
      <c r="L440" s="7" t="n">
        <v>0</v>
      </c>
      <c r="M440" s="7" t="n">
        <v>0</v>
      </c>
      <c r="N440" s="7" t="n">
        <v>0</v>
      </c>
      <c r="O440" s="7" t="n">
        <v>0</v>
      </c>
      <c r="P440" s="7" t="n">
        <v>5</v>
      </c>
      <c r="Q440" s="7" t="n">
        <v>0</v>
      </c>
      <c r="R440" s="7" t="n">
        <v>0</v>
      </c>
    </row>
    <row r="441" customFormat="false" ht="15" hidden="false" customHeight="true" outlineLevel="0" collapsed="false">
      <c r="A441" s="7" t="n">
        <v>5295</v>
      </c>
      <c r="B441" s="7" t="s">
        <v>45</v>
      </c>
      <c r="C441" s="7" t="s">
        <v>895</v>
      </c>
      <c r="D441" s="7" t="s">
        <v>514</v>
      </c>
      <c r="E441" s="7" t="s">
        <v>117</v>
      </c>
      <c r="F441" s="7" t="n">
        <v>16</v>
      </c>
      <c r="G441" s="7" t="n">
        <v>5.94</v>
      </c>
      <c r="H441" s="7" t="n">
        <v>6.09</v>
      </c>
      <c r="I441" s="7" t="n">
        <v>1</v>
      </c>
      <c r="J441" s="7" t="n">
        <v>0</v>
      </c>
      <c r="K441" s="7" t="n">
        <v>0</v>
      </c>
      <c r="L441" s="7" t="n">
        <v>0</v>
      </c>
      <c r="M441" s="7" t="n">
        <v>0</v>
      </c>
      <c r="N441" s="7" t="n">
        <v>0</v>
      </c>
      <c r="O441" s="7" t="n">
        <v>0</v>
      </c>
      <c r="P441" s="7" t="n">
        <v>1</v>
      </c>
      <c r="Q441" s="7" t="n">
        <v>0</v>
      </c>
      <c r="R441" s="7" t="n">
        <v>0</v>
      </c>
    </row>
    <row r="442" customFormat="false" ht="15" hidden="false" customHeight="true" outlineLevel="0" collapsed="false">
      <c r="A442" s="7" t="n">
        <v>5290</v>
      </c>
      <c r="B442" s="7" t="s">
        <v>45</v>
      </c>
      <c r="C442" s="7" t="s">
        <v>890</v>
      </c>
      <c r="D442" s="7" t="s">
        <v>926</v>
      </c>
      <c r="E442" s="7" t="s">
        <v>141</v>
      </c>
      <c r="F442" s="7" t="n">
        <v>22</v>
      </c>
      <c r="G442" s="7" t="n">
        <v>5.8</v>
      </c>
      <c r="H442" s="7" t="n">
        <v>5.8</v>
      </c>
      <c r="I442" s="7" t="n">
        <v>0</v>
      </c>
      <c r="J442" s="7" t="n">
        <v>0</v>
      </c>
      <c r="K442" s="7" t="n">
        <v>0</v>
      </c>
      <c r="L442" s="7" t="n">
        <v>0</v>
      </c>
      <c r="M442" s="7" t="n">
        <v>0</v>
      </c>
      <c r="N442" s="7" t="n">
        <v>0</v>
      </c>
      <c r="O442" s="7" t="n">
        <v>1</v>
      </c>
      <c r="P442" s="7" t="n">
        <v>2</v>
      </c>
      <c r="Q442" s="7" t="n">
        <v>0</v>
      </c>
      <c r="R442" s="7" t="n">
        <v>0</v>
      </c>
    </row>
    <row r="443" customFormat="false" ht="15" hidden="false" customHeight="true" outlineLevel="0" collapsed="false">
      <c r="A443" s="7" t="n">
        <v>7146</v>
      </c>
      <c r="B443" s="7" t="s">
        <v>45</v>
      </c>
      <c r="C443" s="7" t="s">
        <v>927</v>
      </c>
      <c r="D443" s="7" t="s">
        <v>928</v>
      </c>
      <c r="E443" s="7" t="s">
        <v>748</v>
      </c>
      <c r="F443" s="7" t="n">
        <v>30</v>
      </c>
      <c r="G443" s="7" t="n">
        <v>5.82</v>
      </c>
      <c r="H443" s="7" t="n">
        <v>5.82</v>
      </c>
      <c r="I443" s="7" t="n">
        <v>1</v>
      </c>
      <c r="J443" s="7" t="n">
        <v>0</v>
      </c>
      <c r="K443" s="7" t="n">
        <v>0</v>
      </c>
      <c r="L443" s="7" t="n">
        <v>0</v>
      </c>
      <c r="M443" s="7" t="n">
        <v>0</v>
      </c>
      <c r="N443" s="7" t="n">
        <v>0</v>
      </c>
      <c r="O443" s="7" t="n">
        <v>0</v>
      </c>
      <c r="P443" s="7" t="n">
        <v>4</v>
      </c>
      <c r="Q443" s="7" t="n">
        <v>1</v>
      </c>
      <c r="R443" s="7" t="n">
        <v>0</v>
      </c>
    </row>
    <row r="444" customFormat="false" ht="15" hidden="false" customHeight="true" outlineLevel="0" collapsed="false">
      <c r="A444" s="7" t="n">
        <v>6593</v>
      </c>
      <c r="B444" s="7" t="s">
        <v>45</v>
      </c>
      <c r="C444" s="7" t="s">
        <v>888</v>
      </c>
      <c r="D444" s="7" t="s">
        <v>442</v>
      </c>
      <c r="E444" s="7" t="s">
        <v>748</v>
      </c>
      <c r="F444" s="7" t="n">
        <v>23</v>
      </c>
      <c r="G444" s="7" t="n">
        <v>5.8</v>
      </c>
      <c r="H444" s="7" t="n">
        <v>5.8</v>
      </c>
      <c r="I444" s="7" t="n">
        <v>0</v>
      </c>
      <c r="J444" s="7" t="n">
        <v>0</v>
      </c>
      <c r="K444" s="7" t="n">
        <v>0</v>
      </c>
      <c r="L444" s="7" t="n">
        <v>0</v>
      </c>
      <c r="M444" s="7" t="n">
        <v>0</v>
      </c>
      <c r="N444" s="7" t="n">
        <v>0</v>
      </c>
      <c r="O444" s="7" t="n">
        <v>1</v>
      </c>
      <c r="P444" s="7" t="n">
        <v>2</v>
      </c>
      <c r="Q444" s="7" t="n">
        <v>0</v>
      </c>
      <c r="R444" s="7" t="n">
        <v>0</v>
      </c>
    </row>
    <row r="445" customFormat="false" ht="15" hidden="false" customHeight="true" outlineLevel="0" collapsed="false">
      <c r="A445" s="7" t="n">
        <v>6481</v>
      </c>
      <c r="B445" s="7" t="s">
        <v>45</v>
      </c>
      <c r="C445" s="7" t="s">
        <v>45</v>
      </c>
      <c r="D445" s="7" t="s">
        <v>929</v>
      </c>
      <c r="E445" s="7" t="s">
        <v>743</v>
      </c>
      <c r="F445" s="7" t="n">
        <v>25</v>
      </c>
      <c r="G445" s="7" t="n">
        <v>5.9</v>
      </c>
      <c r="H445" s="7" t="n">
        <v>5.86</v>
      </c>
      <c r="I445" s="7" t="n">
        <v>1</v>
      </c>
      <c r="J445" s="7" t="n">
        <v>0</v>
      </c>
      <c r="K445" s="7" t="n">
        <v>0</v>
      </c>
      <c r="L445" s="7" t="n">
        <v>0</v>
      </c>
      <c r="M445" s="7" t="n">
        <v>0</v>
      </c>
      <c r="N445" s="7" t="n">
        <v>0</v>
      </c>
      <c r="O445" s="7" t="n">
        <v>0</v>
      </c>
      <c r="P445" s="7" t="n">
        <v>8</v>
      </c>
      <c r="Q445" s="7" t="n">
        <v>0</v>
      </c>
      <c r="R445" s="7" t="n">
        <v>0</v>
      </c>
    </row>
    <row r="446" customFormat="false" ht="15" hidden="false" customHeight="true" outlineLevel="0" collapsed="false">
      <c r="A446" s="7" t="n">
        <v>5286</v>
      </c>
      <c r="B446" s="7" t="s">
        <v>45</v>
      </c>
      <c r="C446" s="7" t="s">
        <v>890</v>
      </c>
      <c r="D446" s="7" t="s">
        <v>930</v>
      </c>
      <c r="E446" s="7" t="s">
        <v>745</v>
      </c>
      <c r="F446" s="7" t="n">
        <v>22</v>
      </c>
      <c r="G446" s="7" t="n">
        <v>5.86</v>
      </c>
      <c r="H446" s="7" t="n">
        <v>5.8</v>
      </c>
      <c r="I446" s="7" t="n">
        <v>1</v>
      </c>
      <c r="J446" s="7" t="n">
        <v>0</v>
      </c>
      <c r="K446" s="7" t="n">
        <v>0</v>
      </c>
      <c r="L446" s="7" t="n">
        <v>0</v>
      </c>
      <c r="M446" s="7" t="n">
        <v>0</v>
      </c>
      <c r="N446" s="7" t="n">
        <v>0</v>
      </c>
      <c r="O446" s="7" t="n">
        <v>0</v>
      </c>
      <c r="P446" s="7" t="n">
        <v>9</v>
      </c>
      <c r="Q446" s="7" t="n">
        <v>0</v>
      </c>
      <c r="R446" s="7" t="n">
        <v>0</v>
      </c>
    </row>
    <row r="447" customFormat="false" ht="15" hidden="false" customHeight="true" outlineLevel="0" collapsed="false">
      <c r="A447" s="7" t="n">
        <v>7322</v>
      </c>
      <c r="B447" s="7" t="s">
        <v>45</v>
      </c>
      <c r="C447" s="7" t="s">
        <v>890</v>
      </c>
      <c r="D447" s="7" t="s">
        <v>482</v>
      </c>
      <c r="E447" s="7" t="s">
        <v>139</v>
      </c>
      <c r="F447" s="7" t="n">
        <v>13</v>
      </c>
      <c r="G447" s="7" t="n">
        <v>5.69</v>
      </c>
      <c r="H447" s="7" t="n">
        <v>5.65</v>
      </c>
      <c r="I447" s="7" t="n">
        <v>0</v>
      </c>
      <c r="J447" s="7" t="n">
        <v>0</v>
      </c>
      <c r="K447" s="7" t="n">
        <v>0</v>
      </c>
      <c r="L447" s="7" t="n">
        <v>0</v>
      </c>
      <c r="M447" s="7" t="n">
        <v>0</v>
      </c>
      <c r="N447" s="7" t="n">
        <v>0</v>
      </c>
      <c r="O447" s="7" t="n">
        <v>0</v>
      </c>
      <c r="P447" s="7" t="n">
        <v>1</v>
      </c>
      <c r="Q447" s="7" t="n">
        <v>0</v>
      </c>
      <c r="R447" s="7" t="n">
        <v>0</v>
      </c>
    </row>
    <row r="448" customFormat="false" ht="15" hidden="false" customHeight="true" outlineLevel="0" collapsed="false">
      <c r="A448" s="7" t="n">
        <v>7331</v>
      </c>
      <c r="B448" s="7" t="s">
        <v>45</v>
      </c>
      <c r="C448" s="7" t="s">
        <v>890</v>
      </c>
      <c r="D448" s="7" t="s">
        <v>931</v>
      </c>
      <c r="E448" s="7" t="s">
        <v>748</v>
      </c>
      <c r="F448" s="7" t="n">
        <v>11</v>
      </c>
      <c r="G448" s="7" t="n">
        <v>5.55</v>
      </c>
      <c r="H448" s="7" t="n">
        <v>5.73</v>
      </c>
      <c r="I448" s="7" t="n">
        <v>1</v>
      </c>
      <c r="J448" s="7" t="n">
        <v>0</v>
      </c>
      <c r="K448" s="7" t="n">
        <v>0</v>
      </c>
      <c r="L448" s="7" t="n">
        <v>0</v>
      </c>
      <c r="M448" s="7" t="n">
        <v>0</v>
      </c>
      <c r="N448" s="7" t="n">
        <v>0</v>
      </c>
      <c r="O448" s="7" t="n">
        <v>0</v>
      </c>
      <c r="P448" s="7" t="n">
        <v>0</v>
      </c>
      <c r="Q448" s="7" t="n">
        <v>1</v>
      </c>
      <c r="R448" s="7" t="n">
        <v>0</v>
      </c>
    </row>
    <row r="449" customFormat="false" ht="15" hidden="false" customHeight="true" outlineLevel="0" collapsed="false">
      <c r="A449" s="7" t="n">
        <v>7341</v>
      </c>
      <c r="B449" s="7" t="s">
        <v>45</v>
      </c>
      <c r="C449" s="7" t="s">
        <v>890</v>
      </c>
      <c r="D449" s="7" t="s">
        <v>478</v>
      </c>
      <c r="E449" s="7" t="s">
        <v>137</v>
      </c>
      <c r="F449" s="7" t="n">
        <v>9</v>
      </c>
      <c r="G449" s="7" t="n">
        <v>5.72</v>
      </c>
      <c r="H449" s="7" t="n">
        <v>5.67</v>
      </c>
      <c r="I449" s="7" t="n">
        <v>0</v>
      </c>
      <c r="J449" s="7" t="n">
        <v>0</v>
      </c>
      <c r="K449" s="7" t="n">
        <v>0</v>
      </c>
      <c r="L449" s="7" t="n">
        <v>0</v>
      </c>
      <c r="M449" s="7" t="n">
        <v>0</v>
      </c>
      <c r="N449" s="7" t="n">
        <v>0</v>
      </c>
      <c r="O449" s="7" t="n">
        <v>0</v>
      </c>
      <c r="P449" s="7" t="n">
        <v>1</v>
      </c>
      <c r="Q449" s="7" t="n">
        <v>0</v>
      </c>
      <c r="R449" s="7" t="n">
        <v>0</v>
      </c>
    </row>
    <row r="450" customFormat="false" ht="15" hidden="false" customHeight="true" outlineLevel="0" collapsed="false">
      <c r="A450" s="7" t="n">
        <v>6106</v>
      </c>
      <c r="B450" s="7" t="s">
        <v>45</v>
      </c>
      <c r="C450" s="7" t="s">
        <v>887</v>
      </c>
      <c r="D450" s="7" t="s">
        <v>932</v>
      </c>
      <c r="E450" s="7" t="s">
        <v>137</v>
      </c>
      <c r="F450" s="7" t="n">
        <v>10</v>
      </c>
      <c r="G450" s="7" t="n">
        <v>5.7</v>
      </c>
      <c r="H450" s="7" t="n">
        <v>5.6</v>
      </c>
      <c r="I450" s="7" t="n">
        <v>0</v>
      </c>
      <c r="J450" s="7" t="n">
        <v>0</v>
      </c>
      <c r="K450" s="7" t="n">
        <v>0</v>
      </c>
      <c r="L450" s="7" t="n">
        <v>0</v>
      </c>
      <c r="M450" s="7" t="n">
        <v>0</v>
      </c>
      <c r="N450" s="7" t="n">
        <v>0</v>
      </c>
      <c r="O450" s="7" t="n">
        <v>0</v>
      </c>
      <c r="P450" s="7" t="n">
        <v>2</v>
      </c>
      <c r="Q450" s="7" t="n">
        <v>0</v>
      </c>
      <c r="R450" s="7" t="n">
        <v>0</v>
      </c>
    </row>
    <row r="451" customFormat="false" ht="15" hidden="false" customHeight="true" outlineLevel="0" collapsed="false">
      <c r="A451" s="7" t="n">
        <v>2848</v>
      </c>
      <c r="B451" s="7" t="s">
        <v>45</v>
      </c>
      <c r="C451" s="7" t="s">
        <v>888</v>
      </c>
      <c r="D451" s="7" t="s">
        <v>422</v>
      </c>
      <c r="E451" s="7" t="s">
        <v>115</v>
      </c>
      <c r="F451" s="7" t="n">
        <v>14</v>
      </c>
      <c r="G451" s="7" t="n">
        <v>5.89</v>
      </c>
      <c r="H451" s="7" t="n">
        <v>5.89</v>
      </c>
      <c r="I451" s="7" t="n">
        <v>0</v>
      </c>
      <c r="J451" s="7" t="n">
        <v>0</v>
      </c>
      <c r="K451" s="7" t="n">
        <v>0</v>
      </c>
      <c r="L451" s="7" t="n">
        <v>0</v>
      </c>
      <c r="M451" s="7" t="n">
        <v>0</v>
      </c>
      <c r="N451" s="7" t="n">
        <v>0</v>
      </c>
      <c r="O451" s="7" t="n">
        <v>0</v>
      </c>
      <c r="P451" s="7" t="n">
        <v>0</v>
      </c>
      <c r="Q451" s="7" t="n">
        <v>0</v>
      </c>
      <c r="R451" s="7" t="n">
        <v>0</v>
      </c>
    </row>
    <row r="452" customFormat="false" ht="15" hidden="false" customHeight="true" outlineLevel="0" collapsed="false">
      <c r="A452" s="7" t="n">
        <v>5685</v>
      </c>
      <c r="B452" s="7" t="s">
        <v>45</v>
      </c>
      <c r="C452" s="7" t="s">
        <v>888</v>
      </c>
      <c r="D452" s="7" t="s">
        <v>455</v>
      </c>
      <c r="E452" s="7" t="s">
        <v>131</v>
      </c>
      <c r="F452" s="7" t="n">
        <v>29</v>
      </c>
      <c r="G452" s="7" t="n">
        <v>5.64</v>
      </c>
      <c r="H452" s="7" t="n">
        <v>5.55</v>
      </c>
      <c r="I452" s="7" t="n">
        <v>0</v>
      </c>
      <c r="J452" s="7" t="n">
        <v>0</v>
      </c>
      <c r="K452" s="7" t="n">
        <v>0</v>
      </c>
      <c r="L452" s="7" t="n">
        <v>0</v>
      </c>
      <c r="M452" s="7" t="n">
        <v>0</v>
      </c>
      <c r="N452" s="7" t="n">
        <v>0</v>
      </c>
      <c r="O452" s="7" t="n">
        <v>0</v>
      </c>
      <c r="P452" s="7" t="n">
        <v>5</v>
      </c>
      <c r="Q452" s="7" t="n">
        <v>0</v>
      </c>
      <c r="R452" s="7" t="n">
        <v>0</v>
      </c>
    </row>
    <row r="453" customFormat="false" ht="15" hidden="false" customHeight="true" outlineLevel="0" collapsed="false">
      <c r="A453" s="7" t="n">
        <v>4856</v>
      </c>
      <c r="B453" s="7" t="s">
        <v>45</v>
      </c>
      <c r="C453" s="7" t="s">
        <v>892</v>
      </c>
      <c r="D453" s="7" t="s">
        <v>441</v>
      </c>
      <c r="E453" s="7" t="s">
        <v>121</v>
      </c>
      <c r="F453" s="7" t="n">
        <v>1</v>
      </c>
      <c r="G453" s="7" t="n">
        <v>5.5</v>
      </c>
      <c r="H453" s="7" t="n">
        <v>5.5</v>
      </c>
      <c r="I453" s="7" t="n">
        <v>0</v>
      </c>
      <c r="J453" s="7" t="n">
        <v>0</v>
      </c>
      <c r="K453" s="7" t="n">
        <v>0</v>
      </c>
      <c r="L453" s="7" t="n">
        <v>0</v>
      </c>
      <c r="M453" s="7" t="n">
        <v>0</v>
      </c>
      <c r="N453" s="7" t="n">
        <v>0</v>
      </c>
      <c r="O453" s="7" t="n">
        <v>0</v>
      </c>
      <c r="P453" s="7" t="n">
        <v>0</v>
      </c>
      <c r="Q453" s="7" t="n">
        <v>0</v>
      </c>
      <c r="R453" s="7" t="n">
        <v>0</v>
      </c>
    </row>
    <row r="454" customFormat="false" ht="15" hidden="false" customHeight="true" outlineLevel="0" collapsed="false">
      <c r="A454" s="7" t="n">
        <v>5319</v>
      </c>
      <c r="B454" s="7" t="s">
        <v>45</v>
      </c>
      <c r="C454" s="7" t="s">
        <v>45</v>
      </c>
      <c r="D454" s="7" t="s">
        <v>470</v>
      </c>
      <c r="E454" s="7" t="s">
        <v>127</v>
      </c>
      <c r="F454" s="7" t="n">
        <v>24</v>
      </c>
      <c r="G454" s="7" t="n">
        <v>5.65</v>
      </c>
      <c r="H454" s="7" t="n">
        <v>5.62</v>
      </c>
      <c r="I454" s="7" t="n">
        <v>0</v>
      </c>
      <c r="J454" s="7" t="n">
        <v>0</v>
      </c>
      <c r="K454" s="7" t="n">
        <v>0</v>
      </c>
      <c r="L454" s="7" t="n">
        <v>0</v>
      </c>
      <c r="M454" s="7" t="n">
        <v>0</v>
      </c>
      <c r="N454" s="7" t="n">
        <v>0</v>
      </c>
      <c r="O454" s="7" t="n">
        <v>1</v>
      </c>
      <c r="P454" s="7" t="n">
        <v>3</v>
      </c>
      <c r="Q454" s="7" t="n">
        <v>0</v>
      </c>
      <c r="R454" s="7" t="n">
        <v>0</v>
      </c>
    </row>
    <row r="455" customFormat="false" ht="15" hidden="false" customHeight="true" outlineLevel="0" collapsed="false">
      <c r="A455" s="7" t="n">
        <v>7145</v>
      </c>
      <c r="B455" s="7" t="s">
        <v>45</v>
      </c>
      <c r="C455" s="7" t="s">
        <v>927</v>
      </c>
      <c r="D455" s="7" t="s">
        <v>933</v>
      </c>
      <c r="E455" s="7" t="s">
        <v>748</v>
      </c>
      <c r="F455" s="7" t="n">
        <v>22</v>
      </c>
      <c r="G455" s="7" t="n">
        <v>5.77</v>
      </c>
      <c r="H455" s="7" t="n">
        <v>5.7</v>
      </c>
      <c r="I455" s="7" t="n">
        <v>0</v>
      </c>
      <c r="J455" s="7" t="n">
        <v>0</v>
      </c>
      <c r="K455" s="7" t="n">
        <v>0</v>
      </c>
      <c r="L455" s="7" t="n">
        <v>0</v>
      </c>
      <c r="M455" s="7" t="n">
        <v>0</v>
      </c>
      <c r="N455" s="7" t="n">
        <v>0</v>
      </c>
      <c r="O455" s="7" t="n">
        <v>0</v>
      </c>
      <c r="P455" s="7" t="n">
        <v>3</v>
      </c>
      <c r="Q455" s="7" t="n">
        <v>0</v>
      </c>
      <c r="R455" s="7" t="n">
        <v>0</v>
      </c>
    </row>
    <row r="456" customFormat="false" ht="15" hidden="false" customHeight="true" outlineLevel="0" collapsed="false">
      <c r="A456" s="7" t="n">
        <v>4930</v>
      </c>
      <c r="B456" s="7" t="s">
        <v>45</v>
      </c>
      <c r="C456" s="7" t="s">
        <v>890</v>
      </c>
      <c r="D456" s="7" t="s">
        <v>934</v>
      </c>
      <c r="E456" s="7" t="s">
        <v>144</v>
      </c>
      <c r="F456" s="7" t="n">
        <v>0</v>
      </c>
      <c r="G456" s="7" t="n">
        <v>0</v>
      </c>
      <c r="H456" s="7" t="n">
        <v>0</v>
      </c>
      <c r="I456" s="7" t="n">
        <v>0</v>
      </c>
      <c r="J456" s="7" t="n">
        <v>0</v>
      </c>
      <c r="K456" s="7" t="n">
        <v>0</v>
      </c>
      <c r="L456" s="7" t="n">
        <v>0</v>
      </c>
      <c r="M456" s="7" t="n">
        <v>0</v>
      </c>
      <c r="N456" s="7" t="n">
        <v>0</v>
      </c>
      <c r="O456" s="7" t="n">
        <v>0</v>
      </c>
      <c r="P456" s="7" t="n">
        <v>0</v>
      </c>
      <c r="Q456" s="7" t="n">
        <v>0</v>
      </c>
      <c r="R456" s="7" t="n">
        <v>0</v>
      </c>
    </row>
    <row r="457" customFormat="false" ht="15" hidden="false" customHeight="true" outlineLevel="0" collapsed="false">
      <c r="A457" s="7" t="n">
        <v>5688</v>
      </c>
      <c r="B457" s="7" t="s">
        <v>45</v>
      </c>
      <c r="C457" s="7" t="s">
        <v>898</v>
      </c>
      <c r="D457" s="7" t="s">
        <v>935</v>
      </c>
      <c r="E457" s="7" t="s">
        <v>745</v>
      </c>
      <c r="F457" s="7" t="n">
        <v>17</v>
      </c>
      <c r="G457" s="7" t="n">
        <v>5.74</v>
      </c>
      <c r="H457" s="7" t="n">
        <v>5.85</v>
      </c>
      <c r="I457" s="7" t="n">
        <v>1</v>
      </c>
      <c r="J457" s="7" t="n">
        <v>0</v>
      </c>
      <c r="K457" s="7" t="n">
        <v>0</v>
      </c>
      <c r="L457" s="7" t="n">
        <v>1</v>
      </c>
      <c r="M457" s="7" t="n">
        <v>1</v>
      </c>
      <c r="N457" s="7" t="n">
        <v>0</v>
      </c>
      <c r="O457" s="7" t="n">
        <v>0</v>
      </c>
      <c r="P457" s="7" t="n">
        <v>3</v>
      </c>
      <c r="Q457" s="7" t="n">
        <v>0</v>
      </c>
      <c r="R457" s="7" t="n">
        <v>0</v>
      </c>
    </row>
    <row r="458" customFormat="false" ht="15" hidden="false" customHeight="true" outlineLevel="0" collapsed="false">
      <c r="A458" s="7" t="n">
        <v>6486</v>
      </c>
      <c r="B458" s="7" t="s">
        <v>45</v>
      </c>
      <c r="C458" s="7" t="s">
        <v>898</v>
      </c>
      <c r="D458" s="7" t="s">
        <v>936</v>
      </c>
      <c r="E458" s="7" t="s">
        <v>745</v>
      </c>
      <c r="F458" s="7" t="n">
        <v>10</v>
      </c>
      <c r="G458" s="7" t="n">
        <v>5.75</v>
      </c>
      <c r="H458" s="7" t="n">
        <v>5.6</v>
      </c>
      <c r="I458" s="7" t="n">
        <v>0</v>
      </c>
      <c r="J458" s="7" t="n">
        <v>0</v>
      </c>
      <c r="K458" s="7" t="n">
        <v>0</v>
      </c>
      <c r="L458" s="7" t="n">
        <v>0</v>
      </c>
      <c r="M458" s="7" t="n">
        <v>0</v>
      </c>
      <c r="N458" s="7" t="n">
        <v>0</v>
      </c>
      <c r="O458" s="7" t="n">
        <v>0</v>
      </c>
      <c r="P458" s="7" t="n">
        <v>1</v>
      </c>
      <c r="Q458" s="7" t="n">
        <v>1</v>
      </c>
      <c r="R458" s="7" t="n">
        <v>0</v>
      </c>
    </row>
    <row r="459" customFormat="false" ht="15" hidden="false" customHeight="true" outlineLevel="0" collapsed="false">
      <c r="A459" s="7" t="n">
        <v>7203</v>
      </c>
      <c r="B459" s="7" t="s">
        <v>45</v>
      </c>
      <c r="C459" s="7" t="s">
        <v>45</v>
      </c>
      <c r="D459" s="7" t="s">
        <v>484</v>
      </c>
      <c r="E459" s="7" t="s">
        <v>121</v>
      </c>
      <c r="F459" s="7" t="n">
        <v>12</v>
      </c>
      <c r="G459" s="7" t="n">
        <v>5.71</v>
      </c>
      <c r="H459" s="7" t="n">
        <v>5.79</v>
      </c>
      <c r="I459" s="7" t="n">
        <v>0</v>
      </c>
      <c r="J459" s="7" t="n">
        <v>0</v>
      </c>
      <c r="K459" s="7" t="n">
        <v>0</v>
      </c>
      <c r="L459" s="7" t="n">
        <v>0</v>
      </c>
      <c r="M459" s="7" t="n">
        <v>0</v>
      </c>
      <c r="N459" s="7" t="n">
        <v>0</v>
      </c>
      <c r="O459" s="7" t="n">
        <v>1</v>
      </c>
      <c r="P459" s="7" t="n">
        <v>0</v>
      </c>
      <c r="Q459" s="7" t="n">
        <v>0</v>
      </c>
      <c r="R459" s="7" t="n">
        <v>0</v>
      </c>
    </row>
    <row r="460" customFormat="false" ht="15" hidden="false" customHeight="true" outlineLevel="0" collapsed="false">
      <c r="A460" s="7" t="n">
        <v>6218</v>
      </c>
      <c r="B460" s="7" t="s">
        <v>45</v>
      </c>
      <c r="C460" s="7" t="s">
        <v>937</v>
      </c>
      <c r="D460" s="7" t="s">
        <v>427</v>
      </c>
      <c r="E460" s="7" t="s">
        <v>141</v>
      </c>
      <c r="F460" s="7" t="n">
        <v>18</v>
      </c>
      <c r="G460" s="7" t="n">
        <v>5.78</v>
      </c>
      <c r="H460" s="7" t="n">
        <v>5.92</v>
      </c>
      <c r="I460" s="7" t="n">
        <v>1</v>
      </c>
      <c r="J460" s="7" t="n">
        <v>0</v>
      </c>
      <c r="K460" s="7" t="n">
        <v>0</v>
      </c>
      <c r="L460" s="7" t="n">
        <v>0</v>
      </c>
      <c r="M460" s="7" t="n">
        <v>0</v>
      </c>
      <c r="N460" s="7" t="n">
        <v>0</v>
      </c>
      <c r="O460" s="7" t="n">
        <v>0</v>
      </c>
      <c r="P460" s="7" t="n">
        <v>1</v>
      </c>
      <c r="Q460" s="7" t="n">
        <v>0</v>
      </c>
      <c r="R460" s="7" t="n">
        <v>0</v>
      </c>
    </row>
    <row r="461" customFormat="false" ht="15" hidden="false" customHeight="true" outlineLevel="0" collapsed="false">
      <c r="A461" s="7" t="n">
        <v>6575</v>
      </c>
      <c r="B461" s="7" t="s">
        <v>45</v>
      </c>
      <c r="C461" s="7" t="s">
        <v>894</v>
      </c>
      <c r="D461" s="7" t="s">
        <v>938</v>
      </c>
      <c r="E461" s="7" t="s">
        <v>113</v>
      </c>
      <c r="F461" s="7" t="n">
        <v>3</v>
      </c>
      <c r="G461" s="7" t="n">
        <v>5.83</v>
      </c>
      <c r="H461" s="7" t="n">
        <v>6</v>
      </c>
      <c r="I461" s="7" t="n">
        <v>0</v>
      </c>
      <c r="J461" s="7" t="n">
        <v>0</v>
      </c>
      <c r="K461" s="7" t="n">
        <v>0</v>
      </c>
      <c r="L461" s="7" t="n">
        <v>0</v>
      </c>
      <c r="M461" s="7" t="n">
        <v>0</v>
      </c>
      <c r="N461" s="7" t="n">
        <v>0</v>
      </c>
      <c r="O461" s="7" t="n">
        <v>1</v>
      </c>
      <c r="P461" s="7" t="n">
        <v>1</v>
      </c>
      <c r="Q461" s="7" t="n">
        <v>0</v>
      </c>
      <c r="R461" s="7" t="n">
        <v>0</v>
      </c>
    </row>
    <row r="462" customFormat="false" ht="15" hidden="false" customHeight="true" outlineLevel="0" collapsed="false">
      <c r="A462" s="7" t="n">
        <v>6225</v>
      </c>
      <c r="B462" s="7" t="s">
        <v>45</v>
      </c>
      <c r="C462" s="7" t="s">
        <v>890</v>
      </c>
      <c r="D462" s="7" t="s">
        <v>939</v>
      </c>
      <c r="E462" s="7" t="s">
        <v>127</v>
      </c>
      <c r="F462" s="7" t="n">
        <v>0</v>
      </c>
      <c r="G462" s="7" t="n">
        <v>0</v>
      </c>
      <c r="H462" s="7" t="n">
        <v>0</v>
      </c>
      <c r="I462" s="7" t="n">
        <v>0</v>
      </c>
      <c r="J462" s="7" t="n">
        <v>0</v>
      </c>
      <c r="K462" s="7" t="n">
        <v>0</v>
      </c>
      <c r="L462" s="7" t="n">
        <v>0</v>
      </c>
      <c r="M462" s="7" t="n">
        <v>0</v>
      </c>
      <c r="N462" s="7" t="n">
        <v>0</v>
      </c>
      <c r="O462" s="7" t="n">
        <v>0</v>
      </c>
      <c r="P462" s="7" t="n">
        <v>0</v>
      </c>
      <c r="Q462" s="7" t="n">
        <v>0</v>
      </c>
      <c r="R462" s="7" t="n">
        <v>0</v>
      </c>
    </row>
    <row r="463" customFormat="false" ht="15" hidden="false" customHeight="true" outlineLevel="0" collapsed="false">
      <c r="A463" s="7" t="n">
        <v>4284</v>
      </c>
      <c r="B463" s="7" t="s">
        <v>45</v>
      </c>
      <c r="C463" s="7" t="s">
        <v>890</v>
      </c>
      <c r="D463" s="7" t="s">
        <v>940</v>
      </c>
      <c r="E463" s="7" t="s">
        <v>119</v>
      </c>
      <c r="F463" s="7" t="n">
        <v>13</v>
      </c>
      <c r="G463" s="7" t="n">
        <v>5.85</v>
      </c>
      <c r="H463" s="7" t="n">
        <v>5.73</v>
      </c>
      <c r="I463" s="7" t="n">
        <v>0</v>
      </c>
      <c r="J463" s="7" t="n">
        <v>0</v>
      </c>
      <c r="K463" s="7" t="n">
        <v>0</v>
      </c>
      <c r="L463" s="7" t="n">
        <v>0</v>
      </c>
      <c r="M463" s="7" t="n">
        <v>0</v>
      </c>
      <c r="N463" s="7" t="n">
        <v>0</v>
      </c>
      <c r="O463" s="7" t="n">
        <v>0</v>
      </c>
      <c r="P463" s="7" t="n">
        <v>3</v>
      </c>
      <c r="Q463" s="7" t="n">
        <v>0</v>
      </c>
      <c r="R463" s="7" t="n">
        <v>0</v>
      </c>
    </row>
    <row r="464" customFormat="false" ht="15" hidden="false" customHeight="true" outlineLevel="0" collapsed="false">
      <c r="A464" s="7" t="n">
        <v>5863</v>
      </c>
      <c r="B464" s="7" t="s">
        <v>45</v>
      </c>
      <c r="C464" s="7" t="s">
        <v>890</v>
      </c>
      <c r="D464" s="7" t="s">
        <v>941</v>
      </c>
      <c r="E464" s="7" t="s">
        <v>743</v>
      </c>
      <c r="F464" s="7" t="n">
        <v>0</v>
      </c>
      <c r="G464" s="7" t="n">
        <v>0</v>
      </c>
      <c r="H464" s="7" t="n">
        <v>0</v>
      </c>
      <c r="I464" s="7" t="n">
        <v>0</v>
      </c>
      <c r="J464" s="7" t="n">
        <v>0</v>
      </c>
      <c r="K464" s="7" t="n">
        <v>0</v>
      </c>
      <c r="L464" s="7" t="n">
        <v>0</v>
      </c>
      <c r="M464" s="7" t="n">
        <v>0</v>
      </c>
      <c r="N464" s="7" t="n">
        <v>0</v>
      </c>
      <c r="O464" s="7" t="n">
        <v>0</v>
      </c>
      <c r="P464" s="7" t="n">
        <v>0</v>
      </c>
      <c r="Q464" s="7" t="n">
        <v>0</v>
      </c>
      <c r="R464" s="7" t="n">
        <v>0</v>
      </c>
    </row>
    <row r="465" customFormat="false" ht="15" hidden="false" customHeight="true" outlineLevel="0" collapsed="false">
      <c r="A465" s="7" t="n">
        <v>6010</v>
      </c>
      <c r="B465" s="7" t="s">
        <v>45</v>
      </c>
      <c r="C465" s="7" t="s">
        <v>888</v>
      </c>
      <c r="D465" s="7" t="s">
        <v>419</v>
      </c>
      <c r="E465" s="7" t="s">
        <v>123</v>
      </c>
      <c r="F465" s="7" t="n">
        <v>12</v>
      </c>
      <c r="G465" s="7" t="n">
        <v>5.88</v>
      </c>
      <c r="H465" s="7" t="n">
        <v>5.83</v>
      </c>
      <c r="I465" s="7" t="n">
        <v>0</v>
      </c>
      <c r="J465" s="7" t="n">
        <v>0</v>
      </c>
      <c r="K465" s="7" t="n">
        <v>0</v>
      </c>
      <c r="L465" s="7" t="n">
        <v>0</v>
      </c>
      <c r="M465" s="7" t="n">
        <v>0</v>
      </c>
      <c r="N465" s="7" t="n">
        <v>0</v>
      </c>
      <c r="O465" s="7" t="n">
        <v>0</v>
      </c>
      <c r="P465" s="7" t="n">
        <v>2</v>
      </c>
      <c r="Q465" s="7" t="n">
        <v>0</v>
      </c>
      <c r="R465" s="7" t="n">
        <v>0</v>
      </c>
    </row>
    <row r="466" customFormat="false" ht="15" hidden="false" customHeight="true" outlineLevel="0" collapsed="false">
      <c r="A466" s="7" t="n">
        <v>4911</v>
      </c>
      <c r="B466" s="7" t="s">
        <v>45</v>
      </c>
      <c r="C466" s="7" t="s">
        <v>45</v>
      </c>
      <c r="D466" s="7" t="s">
        <v>480</v>
      </c>
      <c r="E466" s="7" t="s">
        <v>131</v>
      </c>
      <c r="F466" s="7" t="n">
        <v>0</v>
      </c>
      <c r="G466" s="7" t="n">
        <v>0</v>
      </c>
      <c r="H466" s="7" t="n">
        <v>0</v>
      </c>
      <c r="I466" s="7" t="n">
        <v>0</v>
      </c>
      <c r="J466" s="7" t="n">
        <v>0</v>
      </c>
      <c r="K466" s="7" t="n">
        <v>0</v>
      </c>
      <c r="L466" s="7" t="n">
        <v>0</v>
      </c>
      <c r="M466" s="7" t="n">
        <v>0</v>
      </c>
      <c r="N466" s="7" t="n">
        <v>0</v>
      </c>
      <c r="O466" s="7" t="n">
        <v>0</v>
      </c>
      <c r="P466" s="7" t="n">
        <v>0</v>
      </c>
      <c r="Q466" s="7" t="n">
        <v>0</v>
      </c>
      <c r="R466" s="7" t="n">
        <v>0</v>
      </c>
    </row>
    <row r="467" customFormat="false" ht="15" hidden="false" customHeight="true" outlineLevel="0" collapsed="false">
      <c r="A467" s="7" t="n">
        <v>6191</v>
      </c>
      <c r="B467" s="7" t="s">
        <v>45</v>
      </c>
      <c r="C467" s="7" t="s">
        <v>890</v>
      </c>
      <c r="D467" s="7" t="s">
        <v>525</v>
      </c>
      <c r="E467" s="7" t="s">
        <v>133</v>
      </c>
      <c r="F467" s="7" t="n">
        <v>11</v>
      </c>
      <c r="G467" s="7" t="n">
        <v>5.77</v>
      </c>
      <c r="H467" s="7" t="n">
        <v>5.82</v>
      </c>
      <c r="I467" s="7" t="n">
        <v>0</v>
      </c>
      <c r="J467" s="7" t="n">
        <v>0</v>
      </c>
      <c r="K467" s="7" t="n">
        <v>0</v>
      </c>
      <c r="L467" s="7" t="n">
        <v>0</v>
      </c>
      <c r="M467" s="7" t="n">
        <v>0</v>
      </c>
      <c r="N467" s="7" t="n">
        <v>0</v>
      </c>
      <c r="O467" s="7" t="n">
        <v>2</v>
      </c>
      <c r="P467" s="7" t="n">
        <v>1</v>
      </c>
      <c r="Q467" s="7" t="n">
        <v>1</v>
      </c>
      <c r="R467" s="7" t="n">
        <v>0</v>
      </c>
    </row>
    <row r="468" customFormat="false" ht="15" hidden="false" customHeight="true" outlineLevel="0" collapsed="false">
      <c r="A468" s="7" t="n">
        <v>6410</v>
      </c>
      <c r="B468" s="7" t="s">
        <v>45</v>
      </c>
      <c r="C468" s="7" t="s">
        <v>890</v>
      </c>
      <c r="D468" s="7" t="s">
        <v>528</v>
      </c>
      <c r="E468" s="7" t="s">
        <v>139</v>
      </c>
      <c r="F468" s="7" t="n">
        <v>11</v>
      </c>
      <c r="G468" s="7" t="n">
        <v>5.77</v>
      </c>
      <c r="H468" s="7" t="n">
        <v>5.73</v>
      </c>
      <c r="I468" s="7" t="n">
        <v>0</v>
      </c>
      <c r="J468" s="7" t="n">
        <v>0</v>
      </c>
      <c r="K468" s="7" t="n">
        <v>0</v>
      </c>
      <c r="L468" s="7" t="n">
        <v>0</v>
      </c>
      <c r="M468" s="7" t="n">
        <v>0</v>
      </c>
      <c r="N468" s="7" t="n">
        <v>0</v>
      </c>
      <c r="O468" s="7" t="n">
        <v>0</v>
      </c>
      <c r="P468" s="7" t="n">
        <v>1</v>
      </c>
      <c r="Q468" s="7" t="n">
        <v>0</v>
      </c>
      <c r="R468" s="7" t="n">
        <v>0</v>
      </c>
    </row>
    <row r="469" customFormat="false" ht="15" hidden="false" customHeight="true" outlineLevel="0" collapsed="false">
      <c r="A469" s="7" t="n">
        <v>6634</v>
      </c>
      <c r="B469" s="7" t="s">
        <v>45</v>
      </c>
      <c r="C469" s="7" t="s">
        <v>892</v>
      </c>
      <c r="D469" s="7" t="s">
        <v>942</v>
      </c>
      <c r="E469" s="7" t="s">
        <v>139</v>
      </c>
      <c r="F469" s="7" t="n">
        <v>15</v>
      </c>
      <c r="G469" s="7" t="n">
        <v>5.57</v>
      </c>
      <c r="H469" s="7" t="n">
        <v>5.57</v>
      </c>
      <c r="I469" s="7" t="n">
        <v>0</v>
      </c>
      <c r="J469" s="7" t="n">
        <v>0</v>
      </c>
      <c r="K469" s="7" t="n">
        <v>0</v>
      </c>
      <c r="L469" s="7" t="n">
        <v>0</v>
      </c>
      <c r="M469" s="7" t="n">
        <v>0</v>
      </c>
      <c r="N469" s="7" t="n">
        <v>0</v>
      </c>
      <c r="O469" s="7" t="n">
        <v>1</v>
      </c>
      <c r="P469" s="7" t="n">
        <v>2</v>
      </c>
      <c r="Q469" s="7" t="n">
        <v>0</v>
      </c>
      <c r="R469" s="7" t="n">
        <v>0</v>
      </c>
    </row>
    <row r="470" customFormat="false" ht="15" hidden="false" customHeight="true" outlineLevel="0" collapsed="false">
      <c r="A470" s="7" t="n">
        <v>6984</v>
      </c>
      <c r="B470" s="7" t="s">
        <v>45</v>
      </c>
      <c r="C470" s="7" t="s">
        <v>894</v>
      </c>
      <c r="D470" s="7" t="s">
        <v>461</v>
      </c>
      <c r="E470" s="7" t="s">
        <v>141</v>
      </c>
      <c r="F470" s="7" t="n">
        <v>15</v>
      </c>
      <c r="G470" s="7" t="n">
        <v>5.7</v>
      </c>
      <c r="H470" s="7" t="n">
        <v>5.63</v>
      </c>
      <c r="I470" s="7" t="n">
        <v>0</v>
      </c>
      <c r="J470" s="7" t="n">
        <v>0</v>
      </c>
      <c r="K470" s="7" t="n">
        <v>0</v>
      </c>
      <c r="L470" s="7" t="n">
        <v>0</v>
      </c>
      <c r="M470" s="7" t="n">
        <v>0</v>
      </c>
      <c r="N470" s="7" t="n">
        <v>0</v>
      </c>
      <c r="O470" s="7" t="n">
        <v>0</v>
      </c>
      <c r="P470" s="7" t="n">
        <v>2</v>
      </c>
      <c r="Q470" s="7" t="n">
        <v>0</v>
      </c>
      <c r="R470" s="7" t="n">
        <v>0</v>
      </c>
    </row>
    <row r="471" customFormat="false" ht="15" hidden="false" customHeight="true" outlineLevel="0" collapsed="false">
      <c r="A471" s="7" t="n">
        <v>7147</v>
      </c>
      <c r="B471" s="7" t="s">
        <v>45</v>
      </c>
      <c r="C471" s="7" t="s">
        <v>890</v>
      </c>
      <c r="D471" s="7" t="s">
        <v>943</v>
      </c>
      <c r="E471" s="7" t="s">
        <v>748</v>
      </c>
      <c r="F471" s="7" t="n">
        <v>15</v>
      </c>
      <c r="G471" s="7" t="n">
        <v>5.57</v>
      </c>
      <c r="H471" s="7" t="n">
        <v>5.5</v>
      </c>
      <c r="I471" s="7" t="n">
        <v>0</v>
      </c>
      <c r="J471" s="7" t="n">
        <v>0</v>
      </c>
      <c r="K471" s="7" t="n">
        <v>0</v>
      </c>
      <c r="L471" s="7" t="n">
        <v>0</v>
      </c>
      <c r="M471" s="7" t="n">
        <v>0</v>
      </c>
      <c r="N471" s="7" t="n">
        <v>0</v>
      </c>
      <c r="O471" s="7" t="n">
        <v>0</v>
      </c>
      <c r="P471" s="7" t="n">
        <v>2</v>
      </c>
      <c r="Q471" s="7" t="n">
        <v>0</v>
      </c>
      <c r="R471" s="7" t="n">
        <v>0</v>
      </c>
    </row>
    <row r="472" customFormat="false" ht="15" hidden="false" customHeight="true" outlineLevel="0" collapsed="false">
      <c r="A472" s="7" t="n">
        <v>7150</v>
      </c>
      <c r="B472" s="7" t="s">
        <v>45</v>
      </c>
      <c r="C472" s="7" t="s">
        <v>45</v>
      </c>
      <c r="D472" s="7" t="s">
        <v>944</v>
      </c>
      <c r="E472" s="7" t="s">
        <v>748</v>
      </c>
      <c r="F472" s="7" t="n">
        <v>14</v>
      </c>
      <c r="G472" s="7" t="n">
        <v>5.79</v>
      </c>
      <c r="H472" s="7" t="n">
        <v>5.64</v>
      </c>
      <c r="I472" s="7" t="n">
        <v>0</v>
      </c>
      <c r="J472" s="7" t="n">
        <v>0</v>
      </c>
      <c r="K472" s="7" t="n">
        <v>0</v>
      </c>
      <c r="L472" s="7" t="n">
        <v>0</v>
      </c>
      <c r="M472" s="7" t="n">
        <v>0</v>
      </c>
      <c r="N472" s="7" t="n">
        <v>0</v>
      </c>
      <c r="O472" s="7" t="n">
        <v>0</v>
      </c>
      <c r="P472" s="7" t="n">
        <v>4</v>
      </c>
      <c r="Q472" s="7" t="n">
        <v>0</v>
      </c>
      <c r="R472" s="7" t="n">
        <v>0</v>
      </c>
    </row>
    <row r="473" customFormat="false" ht="15" hidden="false" customHeight="true" outlineLevel="0" collapsed="false">
      <c r="A473" s="7" t="n">
        <v>7157</v>
      </c>
      <c r="B473" s="7" t="s">
        <v>45</v>
      </c>
      <c r="C473" s="7" t="s">
        <v>45</v>
      </c>
      <c r="D473" s="7" t="s">
        <v>531</v>
      </c>
      <c r="E473" s="7" t="s">
        <v>144</v>
      </c>
      <c r="F473" s="7" t="n">
        <v>5</v>
      </c>
      <c r="G473" s="7" t="n">
        <v>6</v>
      </c>
      <c r="H473" s="7" t="n">
        <v>6.5</v>
      </c>
      <c r="I473" s="7" t="n">
        <v>1</v>
      </c>
      <c r="J473" s="7" t="n">
        <v>0</v>
      </c>
      <c r="K473" s="7" t="n">
        <v>0</v>
      </c>
      <c r="L473" s="7" t="n">
        <v>0</v>
      </c>
      <c r="M473" s="7" t="n">
        <v>0</v>
      </c>
      <c r="N473" s="7" t="n">
        <v>0</v>
      </c>
      <c r="O473" s="7" t="n">
        <v>0</v>
      </c>
      <c r="P473" s="7" t="n">
        <v>3</v>
      </c>
      <c r="Q473" s="7" t="n">
        <v>0</v>
      </c>
      <c r="R473" s="7" t="n">
        <v>0</v>
      </c>
    </row>
    <row r="474" customFormat="false" ht="15" hidden="false" customHeight="true" outlineLevel="0" collapsed="false">
      <c r="A474" s="7" t="n">
        <v>6212</v>
      </c>
      <c r="B474" s="7" t="s">
        <v>45</v>
      </c>
      <c r="C474" s="7" t="s">
        <v>890</v>
      </c>
      <c r="D474" s="7" t="s">
        <v>535</v>
      </c>
      <c r="E474" s="7" t="s">
        <v>135</v>
      </c>
      <c r="F474" s="7" t="n">
        <v>10</v>
      </c>
      <c r="G474" s="7" t="n">
        <v>5.75</v>
      </c>
      <c r="H474" s="7" t="n">
        <v>5.7</v>
      </c>
      <c r="I474" s="7" t="n">
        <v>0</v>
      </c>
      <c r="J474" s="7" t="n">
        <v>0</v>
      </c>
      <c r="K474" s="7" t="n">
        <v>0</v>
      </c>
      <c r="L474" s="7" t="n">
        <v>0</v>
      </c>
      <c r="M474" s="7" t="n">
        <v>0</v>
      </c>
      <c r="N474" s="7" t="n">
        <v>0</v>
      </c>
      <c r="O474" s="7" t="n">
        <v>0</v>
      </c>
      <c r="P474" s="7" t="n">
        <v>2</v>
      </c>
      <c r="Q474" s="7" t="n">
        <v>0</v>
      </c>
      <c r="R474" s="7" t="n">
        <v>0</v>
      </c>
    </row>
    <row r="475" customFormat="false" ht="15" hidden="false" customHeight="true" outlineLevel="0" collapsed="false">
      <c r="A475" s="7" t="n">
        <v>5850</v>
      </c>
      <c r="B475" s="7" t="s">
        <v>45</v>
      </c>
      <c r="C475" s="7" t="s">
        <v>45</v>
      </c>
      <c r="D475" s="7" t="s">
        <v>945</v>
      </c>
      <c r="E475" s="7" t="s">
        <v>745</v>
      </c>
      <c r="F475" s="7" t="n">
        <v>10</v>
      </c>
      <c r="G475" s="7" t="n">
        <v>5.75</v>
      </c>
      <c r="H475" s="7" t="n">
        <v>5.75</v>
      </c>
      <c r="I475" s="7" t="n">
        <v>0</v>
      </c>
      <c r="J475" s="7" t="n">
        <v>0</v>
      </c>
      <c r="K475" s="7" t="n">
        <v>0</v>
      </c>
      <c r="L475" s="7" t="n">
        <v>0</v>
      </c>
      <c r="M475" s="7" t="n">
        <v>0</v>
      </c>
      <c r="N475" s="7" t="n">
        <v>0</v>
      </c>
      <c r="O475" s="7" t="n">
        <v>1</v>
      </c>
      <c r="P475" s="7" t="n">
        <v>2</v>
      </c>
      <c r="Q475" s="7" t="n">
        <v>0</v>
      </c>
      <c r="R475" s="7" t="n">
        <v>0</v>
      </c>
    </row>
    <row r="476" customFormat="false" ht="15" hidden="false" customHeight="true" outlineLevel="0" collapsed="false">
      <c r="A476" s="7" t="n">
        <v>7254</v>
      </c>
      <c r="B476" s="7" t="s">
        <v>45</v>
      </c>
      <c r="C476" s="7" t="s">
        <v>889</v>
      </c>
      <c r="D476" s="7" t="s">
        <v>946</v>
      </c>
      <c r="E476" s="7" t="s">
        <v>748</v>
      </c>
      <c r="F476" s="7" t="n">
        <v>4</v>
      </c>
      <c r="G476" s="7" t="n">
        <v>5.88</v>
      </c>
      <c r="H476" s="7" t="n">
        <v>6.62</v>
      </c>
      <c r="I476" s="7" t="n">
        <v>1</v>
      </c>
      <c r="J476" s="7" t="n">
        <v>0</v>
      </c>
      <c r="K476" s="7" t="n">
        <v>0</v>
      </c>
      <c r="L476" s="7" t="n">
        <v>0</v>
      </c>
      <c r="M476" s="7" t="n">
        <v>0</v>
      </c>
      <c r="N476" s="7" t="n">
        <v>0</v>
      </c>
      <c r="O476" s="7" t="n">
        <v>0</v>
      </c>
      <c r="P476" s="7" t="n">
        <v>0</v>
      </c>
      <c r="Q476" s="7" t="n">
        <v>0</v>
      </c>
      <c r="R476" s="7" t="n">
        <v>0</v>
      </c>
    </row>
    <row r="477" customFormat="false" ht="15" hidden="false" customHeight="true" outlineLevel="0" collapsed="false">
      <c r="A477" s="7" t="n">
        <v>6528</v>
      </c>
      <c r="B477" s="7" t="s">
        <v>45</v>
      </c>
      <c r="C477" s="7" t="s">
        <v>898</v>
      </c>
      <c r="D477" s="7" t="s">
        <v>947</v>
      </c>
      <c r="E477" s="7" t="s">
        <v>743</v>
      </c>
      <c r="F477" s="7" t="n">
        <v>5</v>
      </c>
      <c r="G477" s="7" t="n">
        <v>5.9</v>
      </c>
      <c r="H477" s="7" t="n">
        <v>5.9</v>
      </c>
      <c r="I477" s="7" t="n">
        <v>0</v>
      </c>
      <c r="J477" s="7" t="n">
        <v>0</v>
      </c>
      <c r="K477" s="7" t="n">
        <v>0</v>
      </c>
      <c r="L477" s="7" t="n">
        <v>0</v>
      </c>
      <c r="M477" s="7" t="n">
        <v>0</v>
      </c>
      <c r="N477" s="7" t="n">
        <v>0</v>
      </c>
      <c r="O477" s="7" t="n">
        <v>0</v>
      </c>
      <c r="P477" s="7" t="n">
        <v>0</v>
      </c>
      <c r="Q477" s="7" t="n">
        <v>0</v>
      </c>
      <c r="R477" s="7" t="n">
        <v>0</v>
      </c>
    </row>
    <row r="478" customFormat="false" ht="15" hidden="false" customHeight="true" outlineLevel="0" collapsed="false">
      <c r="A478" s="7" t="n">
        <v>6112</v>
      </c>
      <c r="B478" s="7" t="s">
        <v>45</v>
      </c>
      <c r="C478" s="7" t="s">
        <v>897</v>
      </c>
      <c r="D478" s="7" t="s">
        <v>948</v>
      </c>
      <c r="E478" s="7" t="s">
        <v>748</v>
      </c>
      <c r="F478" s="7" t="n">
        <v>3</v>
      </c>
      <c r="G478" s="7" t="n">
        <v>5.83</v>
      </c>
      <c r="H478" s="7" t="n">
        <v>5.83</v>
      </c>
      <c r="I478" s="7" t="n">
        <v>0</v>
      </c>
      <c r="J478" s="7" t="n">
        <v>0</v>
      </c>
      <c r="K478" s="7" t="n">
        <v>0</v>
      </c>
      <c r="L478" s="7" t="n">
        <v>0</v>
      </c>
      <c r="M478" s="7" t="n">
        <v>0</v>
      </c>
      <c r="N478" s="7" t="n">
        <v>0</v>
      </c>
      <c r="O478" s="7" t="n">
        <v>0</v>
      </c>
      <c r="P478" s="7" t="n">
        <v>0</v>
      </c>
      <c r="Q478" s="7" t="n">
        <v>0</v>
      </c>
      <c r="R478" s="7" t="n">
        <v>0</v>
      </c>
    </row>
    <row r="479" customFormat="false" ht="15" hidden="false" customHeight="true" outlineLevel="0" collapsed="false">
      <c r="A479" s="7" t="n">
        <v>6676</v>
      </c>
      <c r="B479" s="7" t="s">
        <v>45</v>
      </c>
      <c r="C479" s="7" t="s">
        <v>890</v>
      </c>
      <c r="D479" s="7" t="s">
        <v>949</v>
      </c>
      <c r="E479" s="7" t="s">
        <v>119</v>
      </c>
      <c r="F479" s="7" t="n">
        <v>0</v>
      </c>
      <c r="G479" s="7" t="n">
        <v>0</v>
      </c>
      <c r="H479" s="7" t="n">
        <v>0</v>
      </c>
      <c r="I479" s="7" t="n">
        <v>0</v>
      </c>
      <c r="J479" s="7" t="n">
        <v>0</v>
      </c>
      <c r="K479" s="7" t="n">
        <v>0</v>
      </c>
      <c r="L479" s="7" t="n">
        <v>0</v>
      </c>
      <c r="M479" s="7" t="n">
        <v>0</v>
      </c>
      <c r="N479" s="7" t="n">
        <v>0</v>
      </c>
      <c r="O479" s="7" t="n">
        <v>0</v>
      </c>
      <c r="P479" s="7" t="n">
        <v>0</v>
      </c>
      <c r="Q479" s="7" t="n">
        <v>0</v>
      </c>
      <c r="R479" s="7" t="n">
        <v>0</v>
      </c>
    </row>
    <row r="480" customFormat="false" ht="15" hidden="false" customHeight="true" outlineLevel="0" collapsed="false">
      <c r="A480" s="7" t="n">
        <v>7132</v>
      </c>
      <c r="B480" s="7" t="s">
        <v>45</v>
      </c>
      <c r="C480" s="7" t="s">
        <v>890</v>
      </c>
      <c r="D480" s="7" t="s">
        <v>950</v>
      </c>
      <c r="E480" s="7" t="s">
        <v>743</v>
      </c>
      <c r="F480" s="7" t="n">
        <v>5</v>
      </c>
      <c r="G480" s="7" t="n">
        <v>5.9</v>
      </c>
      <c r="H480" s="7" t="n">
        <v>5.8</v>
      </c>
      <c r="I480" s="7" t="n">
        <v>0</v>
      </c>
      <c r="J480" s="7" t="n">
        <v>0</v>
      </c>
      <c r="K480" s="7" t="n">
        <v>0</v>
      </c>
      <c r="L480" s="7" t="n">
        <v>0</v>
      </c>
      <c r="M480" s="7" t="n">
        <v>0</v>
      </c>
      <c r="N480" s="7" t="n">
        <v>0</v>
      </c>
      <c r="O480" s="7" t="n">
        <v>0</v>
      </c>
      <c r="P480" s="7" t="n">
        <v>1</v>
      </c>
      <c r="Q480" s="7" t="n">
        <v>0</v>
      </c>
      <c r="R480" s="7" t="n">
        <v>0</v>
      </c>
    </row>
    <row r="481" customFormat="false" ht="15" hidden="false" customHeight="true" outlineLevel="0" collapsed="false">
      <c r="A481" s="7" t="n">
        <v>5857</v>
      </c>
      <c r="B481" s="7" t="s">
        <v>45</v>
      </c>
      <c r="C481" s="7" t="s">
        <v>890</v>
      </c>
      <c r="D481" s="7" t="s">
        <v>951</v>
      </c>
      <c r="E481" s="7" t="s">
        <v>743</v>
      </c>
      <c r="F481" s="7" t="n">
        <v>0</v>
      </c>
      <c r="G481" s="7" t="n">
        <v>0</v>
      </c>
      <c r="H481" s="7" t="n">
        <v>0</v>
      </c>
      <c r="I481" s="7" t="n">
        <v>0</v>
      </c>
      <c r="J481" s="7" t="n">
        <v>0</v>
      </c>
      <c r="K481" s="7" t="n">
        <v>0</v>
      </c>
      <c r="L481" s="7" t="n">
        <v>0</v>
      </c>
      <c r="M481" s="7" t="n">
        <v>0</v>
      </c>
      <c r="N481" s="7" t="n">
        <v>0</v>
      </c>
      <c r="O481" s="7" t="n">
        <v>0</v>
      </c>
      <c r="P481" s="7" t="n">
        <v>0</v>
      </c>
      <c r="Q481" s="7" t="n">
        <v>0</v>
      </c>
      <c r="R481" s="7" t="n">
        <v>0</v>
      </c>
    </row>
    <row r="482" customFormat="false" ht="15" hidden="false" customHeight="true" outlineLevel="0" collapsed="false">
      <c r="A482" s="7" t="n">
        <v>6804</v>
      </c>
      <c r="B482" s="7" t="s">
        <v>45</v>
      </c>
      <c r="C482" s="7" t="s">
        <v>890</v>
      </c>
      <c r="D482" s="7" t="s">
        <v>952</v>
      </c>
      <c r="E482" s="7" t="s">
        <v>123</v>
      </c>
      <c r="F482" s="7" t="n">
        <v>1</v>
      </c>
      <c r="G482" s="7" t="n">
        <v>5.5</v>
      </c>
      <c r="H482" s="7" t="n">
        <v>5.5</v>
      </c>
      <c r="I482" s="7" t="n">
        <v>0</v>
      </c>
      <c r="J482" s="7" t="n">
        <v>0</v>
      </c>
      <c r="K482" s="7" t="n">
        <v>0</v>
      </c>
      <c r="L482" s="7" t="n">
        <v>0</v>
      </c>
      <c r="M482" s="7" t="n">
        <v>0</v>
      </c>
      <c r="N482" s="7" t="n">
        <v>0</v>
      </c>
      <c r="O482" s="7" t="n">
        <v>0</v>
      </c>
      <c r="P482" s="7" t="n">
        <v>0</v>
      </c>
      <c r="Q482" s="7" t="n">
        <v>0</v>
      </c>
      <c r="R482" s="7" t="n">
        <v>0</v>
      </c>
    </row>
    <row r="483" customFormat="false" ht="15" hidden="false" customHeight="true" outlineLevel="0" collapsed="false">
      <c r="A483" s="7" t="n">
        <v>5788</v>
      </c>
      <c r="B483" s="7" t="s">
        <v>45</v>
      </c>
      <c r="C483" s="7" t="s">
        <v>889</v>
      </c>
      <c r="D483" s="7" t="s">
        <v>953</v>
      </c>
      <c r="E483" s="7" t="s">
        <v>123</v>
      </c>
      <c r="F483" s="7" t="n">
        <v>1</v>
      </c>
      <c r="G483" s="7" t="n">
        <v>5.5</v>
      </c>
      <c r="H483" s="7" t="n">
        <v>5.5</v>
      </c>
      <c r="I483" s="7" t="n">
        <v>0</v>
      </c>
      <c r="J483" s="7" t="n">
        <v>0</v>
      </c>
      <c r="K483" s="7" t="n">
        <v>0</v>
      </c>
      <c r="L483" s="7" t="n">
        <v>0</v>
      </c>
      <c r="M483" s="7" t="n">
        <v>0</v>
      </c>
      <c r="N483" s="7" t="n">
        <v>0</v>
      </c>
      <c r="O483" s="7" t="n">
        <v>0</v>
      </c>
      <c r="P483" s="7" t="n">
        <v>0</v>
      </c>
      <c r="Q483" s="7" t="n">
        <v>0</v>
      </c>
      <c r="R483" s="7" t="n">
        <v>0</v>
      </c>
    </row>
    <row r="484" customFormat="false" ht="15" hidden="false" customHeight="true" outlineLevel="0" collapsed="false">
      <c r="A484" s="7" t="n">
        <v>6980</v>
      </c>
      <c r="B484" s="7" t="s">
        <v>45</v>
      </c>
      <c r="C484" s="7" t="s">
        <v>892</v>
      </c>
      <c r="D484" s="7" t="s">
        <v>512</v>
      </c>
      <c r="E484" s="7" t="s">
        <v>113</v>
      </c>
      <c r="F484" s="7" t="n">
        <v>7</v>
      </c>
      <c r="G484" s="7" t="n">
        <v>5.86</v>
      </c>
      <c r="H484" s="7" t="n">
        <v>5.86</v>
      </c>
      <c r="I484" s="7" t="n">
        <v>0</v>
      </c>
      <c r="J484" s="7" t="n">
        <v>0</v>
      </c>
      <c r="K484" s="7" t="n">
        <v>0</v>
      </c>
      <c r="L484" s="7" t="n">
        <v>0</v>
      </c>
      <c r="M484" s="7" t="n">
        <v>0</v>
      </c>
      <c r="N484" s="7" t="n">
        <v>0</v>
      </c>
      <c r="O484" s="7" t="n">
        <v>0</v>
      </c>
      <c r="P484" s="7" t="n">
        <v>0</v>
      </c>
      <c r="Q484" s="7" t="n">
        <v>0</v>
      </c>
      <c r="R484" s="7" t="n">
        <v>0</v>
      </c>
    </row>
    <row r="485" customFormat="false" ht="15" hidden="false" customHeight="true" outlineLevel="0" collapsed="false">
      <c r="A485" s="7" t="n">
        <v>6722</v>
      </c>
      <c r="B485" s="7" t="s">
        <v>45</v>
      </c>
      <c r="C485" s="7" t="s">
        <v>898</v>
      </c>
      <c r="D485" s="7" t="s">
        <v>954</v>
      </c>
      <c r="E485" s="7" t="s">
        <v>137</v>
      </c>
      <c r="F485" s="7" t="n">
        <v>2</v>
      </c>
      <c r="G485" s="7" t="n">
        <v>5.5</v>
      </c>
      <c r="H485" s="7" t="n">
        <v>5.25</v>
      </c>
      <c r="I485" s="7" t="n">
        <v>0</v>
      </c>
      <c r="J485" s="7" t="n">
        <v>0</v>
      </c>
      <c r="K485" s="7" t="n">
        <v>0</v>
      </c>
      <c r="L485" s="7" t="n">
        <v>0</v>
      </c>
      <c r="M485" s="7" t="n">
        <v>0</v>
      </c>
      <c r="N485" s="7" t="n">
        <v>0</v>
      </c>
      <c r="O485" s="7" t="n">
        <v>0</v>
      </c>
      <c r="P485" s="7" t="n">
        <v>1</v>
      </c>
      <c r="Q485" s="7" t="n">
        <v>0</v>
      </c>
      <c r="R485" s="7" t="n">
        <v>0</v>
      </c>
    </row>
    <row r="486" customFormat="false" ht="15" hidden="false" customHeight="true" outlineLevel="0" collapsed="false">
      <c r="A486" s="7" t="n">
        <v>5719</v>
      </c>
      <c r="B486" s="7" t="s">
        <v>45</v>
      </c>
      <c r="C486" s="7" t="s">
        <v>890</v>
      </c>
      <c r="D486" s="7" t="s">
        <v>955</v>
      </c>
      <c r="E486" s="7" t="s">
        <v>184</v>
      </c>
      <c r="F486" s="7" t="n">
        <v>14</v>
      </c>
      <c r="G486" s="7" t="n">
        <v>5.57</v>
      </c>
      <c r="H486" s="7" t="n">
        <v>5.25</v>
      </c>
      <c r="I486" s="7" t="n">
        <v>0</v>
      </c>
      <c r="J486" s="7" t="n">
        <v>0</v>
      </c>
      <c r="K486" s="7" t="n">
        <v>0</v>
      </c>
      <c r="L486" s="7" t="n">
        <v>1</v>
      </c>
      <c r="M486" s="7" t="n">
        <v>0</v>
      </c>
      <c r="N486" s="7" t="n">
        <v>1</v>
      </c>
      <c r="O486" s="7" t="n">
        <v>0</v>
      </c>
      <c r="P486" s="7" t="n">
        <v>3</v>
      </c>
      <c r="Q486" s="7" t="n">
        <v>0</v>
      </c>
      <c r="R486" s="7" t="n">
        <v>0</v>
      </c>
    </row>
    <row r="487" customFormat="false" ht="15" hidden="false" customHeight="true" outlineLevel="0" collapsed="false">
      <c r="A487" s="7" t="n">
        <v>4459</v>
      </c>
      <c r="B487" s="7" t="s">
        <v>45</v>
      </c>
      <c r="C487" s="7" t="s">
        <v>890</v>
      </c>
      <c r="D487" s="7" t="s">
        <v>438</v>
      </c>
      <c r="E487" s="7" t="s">
        <v>133</v>
      </c>
      <c r="F487" s="7" t="n">
        <v>11</v>
      </c>
      <c r="G487" s="7" t="n">
        <v>5.73</v>
      </c>
      <c r="H487" s="7" t="n">
        <v>5.64</v>
      </c>
      <c r="I487" s="7" t="n">
        <v>0</v>
      </c>
      <c r="J487" s="7" t="n">
        <v>0</v>
      </c>
      <c r="K487" s="7" t="n">
        <v>0</v>
      </c>
      <c r="L487" s="7" t="n">
        <v>0</v>
      </c>
      <c r="M487" s="7" t="n">
        <v>0</v>
      </c>
      <c r="N487" s="7" t="n">
        <v>0</v>
      </c>
      <c r="O487" s="7" t="n">
        <v>1</v>
      </c>
      <c r="P487" s="7" t="n">
        <v>2</v>
      </c>
      <c r="Q487" s="7" t="n">
        <v>1</v>
      </c>
      <c r="R487" s="7" t="n">
        <v>0</v>
      </c>
    </row>
    <row r="488" customFormat="false" ht="15" hidden="false" customHeight="true" outlineLevel="0" collapsed="false">
      <c r="A488" s="7" t="n">
        <v>5872</v>
      </c>
      <c r="B488" s="7" t="s">
        <v>45</v>
      </c>
      <c r="C488" s="7" t="s">
        <v>888</v>
      </c>
      <c r="D488" s="7" t="s">
        <v>507</v>
      </c>
      <c r="E488" s="7" t="s">
        <v>139</v>
      </c>
      <c r="F488" s="7" t="n">
        <v>4</v>
      </c>
      <c r="G488" s="7" t="n">
        <v>5.62</v>
      </c>
      <c r="H488" s="7" t="n">
        <v>5.62</v>
      </c>
      <c r="I488" s="7" t="n">
        <v>0</v>
      </c>
      <c r="J488" s="7" t="n">
        <v>0</v>
      </c>
      <c r="K488" s="7" t="n">
        <v>0</v>
      </c>
      <c r="L488" s="7" t="n">
        <v>0</v>
      </c>
      <c r="M488" s="7" t="n">
        <v>0</v>
      </c>
      <c r="N488" s="7" t="n">
        <v>0</v>
      </c>
      <c r="O488" s="7" t="n">
        <v>0</v>
      </c>
      <c r="P488" s="7" t="n">
        <v>0</v>
      </c>
      <c r="Q488" s="7" t="n">
        <v>0</v>
      </c>
      <c r="R488" s="7" t="n">
        <v>0</v>
      </c>
    </row>
    <row r="489" customFormat="false" ht="15" hidden="false" customHeight="true" outlineLevel="0" collapsed="false">
      <c r="A489" s="7" t="n">
        <v>4423</v>
      </c>
      <c r="B489" s="7" t="s">
        <v>45</v>
      </c>
      <c r="C489" s="7" t="s">
        <v>45</v>
      </c>
      <c r="D489" s="7" t="s">
        <v>956</v>
      </c>
      <c r="E489" s="7" t="s">
        <v>141</v>
      </c>
      <c r="F489" s="7" t="n">
        <v>3</v>
      </c>
      <c r="G489" s="7" t="n">
        <v>5.67</v>
      </c>
      <c r="H489" s="7" t="n">
        <v>5.67</v>
      </c>
      <c r="I489" s="7" t="n">
        <v>0</v>
      </c>
      <c r="J489" s="7" t="n">
        <v>0</v>
      </c>
      <c r="K489" s="7" t="n">
        <v>0</v>
      </c>
      <c r="L489" s="7" t="n">
        <v>0</v>
      </c>
      <c r="M489" s="7" t="n">
        <v>0</v>
      </c>
      <c r="N489" s="7" t="n">
        <v>0</v>
      </c>
      <c r="O489" s="7" t="n">
        <v>0</v>
      </c>
      <c r="P489" s="7" t="n">
        <v>0</v>
      </c>
      <c r="Q489" s="7" t="n">
        <v>0</v>
      </c>
      <c r="R489" s="7" t="n">
        <v>0</v>
      </c>
    </row>
    <row r="490" customFormat="false" ht="15" hidden="false" customHeight="true" outlineLevel="0" collapsed="false">
      <c r="A490" s="7" t="n">
        <v>7149</v>
      </c>
      <c r="B490" s="7" t="s">
        <v>45</v>
      </c>
      <c r="C490" s="7" t="s">
        <v>890</v>
      </c>
      <c r="D490" s="7" t="s">
        <v>957</v>
      </c>
      <c r="E490" s="7" t="s">
        <v>748</v>
      </c>
      <c r="F490" s="7" t="n">
        <v>20</v>
      </c>
      <c r="G490" s="7" t="n">
        <v>5.88</v>
      </c>
      <c r="H490" s="7" t="n">
        <v>5.7</v>
      </c>
      <c r="I490" s="7" t="n">
        <v>0</v>
      </c>
      <c r="J490" s="7" t="n">
        <v>0</v>
      </c>
      <c r="K490" s="7" t="n">
        <v>0</v>
      </c>
      <c r="L490" s="7" t="n">
        <v>0</v>
      </c>
      <c r="M490" s="7" t="n">
        <v>0</v>
      </c>
      <c r="N490" s="7" t="n">
        <v>0</v>
      </c>
      <c r="O490" s="7" t="n">
        <v>0</v>
      </c>
      <c r="P490" s="7" t="n">
        <v>7</v>
      </c>
      <c r="Q490" s="7" t="n">
        <v>0</v>
      </c>
      <c r="R490" s="7" t="n">
        <v>0</v>
      </c>
    </row>
    <row r="491" customFormat="false" ht="15" hidden="false" customHeight="true" outlineLevel="0" collapsed="false">
      <c r="A491" s="7" t="n">
        <v>6219</v>
      </c>
      <c r="B491" s="7" t="s">
        <v>45</v>
      </c>
      <c r="C491" s="7" t="s">
        <v>890</v>
      </c>
      <c r="D491" s="7" t="s">
        <v>517</v>
      </c>
      <c r="E491" s="7" t="s">
        <v>144</v>
      </c>
      <c r="F491" s="7" t="n">
        <v>2</v>
      </c>
      <c r="G491" s="7" t="n">
        <v>5.75</v>
      </c>
      <c r="H491" s="7" t="n">
        <v>5.75</v>
      </c>
      <c r="I491" s="7" t="n">
        <v>0</v>
      </c>
      <c r="J491" s="7" t="n">
        <v>0</v>
      </c>
      <c r="K491" s="7" t="n">
        <v>0</v>
      </c>
      <c r="L491" s="7" t="n">
        <v>0</v>
      </c>
      <c r="M491" s="7" t="n">
        <v>0</v>
      </c>
      <c r="N491" s="7" t="n">
        <v>0</v>
      </c>
      <c r="O491" s="7" t="n">
        <v>0</v>
      </c>
      <c r="P491" s="7" t="n">
        <v>0</v>
      </c>
      <c r="Q491" s="7" t="n">
        <v>0</v>
      </c>
      <c r="R491" s="7" t="n">
        <v>0</v>
      </c>
    </row>
    <row r="492" customFormat="false" ht="15" hidden="false" customHeight="true" outlineLevel="0" collapsed="false">
      <c r="A492" s="7" t="n">
        <v>6889</v>
      </c>
      <c r="B492" s="7" t="s">
        <v>45</v>
      </c>
      <c r="C492" s="7" t="s">
        <v>888</v>
      </c>
      <c r="D492" s="7" t="s">
        <v>533</v>
      </c>
      <c r="E492" s="7" t="s">
        <v>184</v>
      </c>
      <c r="F492" s="7" t="n">
        <v>9</v>
      </c>
      <c r="G492" s="7" t="n">
        <v>5.78</v>
      </c>
      <c r="H492" s="7" t="n">
        <v>5.72</v>
      </c>
      <c r="I492" s="7" t="n">
        <v>0</v>
      </c>
      <c r="J492" s="7" t="n">
        <v>0</v>
      </c>
      <c r="K492" s="7" t="n">
        <v>0</v>
      </c>
      <c r="L492" s="7" t="n">
        <v>0</v>
      </c>
      <c r="M492" s="7" t="n">
        <v>0</v>
      </c>
      <c r="N492" s="7" t="n">
        <v>0</v>
      </c>
      <c r="O492" s="7" t="n">
        <v>0</v>
      </c>
      <c r="P492" s="7" t="n">
        <v>1</v>
      </c>
      <c r="Q492" s="7" t="n">
        <v>0</v>
      </c>
      <c r="R492" s="7" t="n">
        <v>0</v>
      </c>
    </row>
    <row r="493" customFormat="false" ht="15" hidden="false" customHeight="true" outlineLevel="0" collapsed="false">
      <c r="A493" s="7" t="n">
        <v>5540</v>
      </c>
      <c r="B493" s="7" t="s">
        <v>45</v>
      </c>
      <c r="C493" s="7" t="s">
        <v>890</v>
      </c>
      <c r="D493" s="7" t="s">
        <v>958</v>
      </c>
      <c r="E493" s="7" t="s">
        <v>745</v>
      </c>
      <c r="F493" s="7" t="n">
        <v>16</v>
      </c>
      <c r="G493" s="7" t="n">
        <v>5.69</v>
      </c>
      <c r="H493" s="7" t="n">
        <v>5.72</v>
      </c>
      <c r="I493" s="7" t="n">
        <v>0</v>
      </c>
      <c r="J493" s="7" t="n">
        <v>0</v>
      </c>
      <c r="K493" s="7" t="n">
        <v>0</v>
      </c>
      <c r="L493" s="7" t="n">
        <v>0</v>
      </c>
      <c r="M493" s="7" t="n">
        <v>0</v>
      </c>
      <c r="N493" s="7" t="n">
        <v>0</v>
      </c>
      <c r="O493" s="7" t="n">
        <v>1</v>
      </c>
      <c r="P493" s="7" t="n">
        <v>1</v>
      </c>
      <c r="Q493" s="7" t="n">
        <v>0</v>
      </c>
      <c r="R493" s="7" t="n">
        <v>0</v>
      </c>
    </row>
    <row r="494" customFormat="false" ht="15" hidden="false" customHeight="true" outlineLevel="0" collapsed="false">
      <c r="A494" s="7" t="n">
        <v>6506</v>
      </c>
      <c r="B494" s="7" t="s">
        <v>45</v>
      </c>
      <c r="C494" s="7" t="s">
        <v>897</v>
      </c>
      <c r="D494" s="7" t="s">
        <v>959</v>
      </c>
      <c r="E494" s="7" t="s">
        <v>137</v>
      </c>
      <c r="F494" s="7" t="n">
        <v>1</v>
      </c>
      <c r="G494" s="7" t="n">
        <v>5.5</v>
      </c>
      <c r="H494" s="7" t="n">
        <v>5.5</v>
      </c>
      <c r="I494" s="7" t="n">
        <v>0</v>
      </c>
      <c r="J494" s="7" t="n">
        <v>0</v>
      </c>
      <c r="K494" s="7" t="n">
        <v>0</v>
      </c>
      <c r="L494" s="7" t="n">
        <v>0</v>
      </c>
      <c r="M494" s="7" t="n">
        <v>0</v>
      </c>
      <c r="N494" s="7" t="n">
        <v>0</v>
      </c>
      <c r="O494" s="7" t="n">
        <v>0</v>
      </c>
      <c r="P494" s="7" t="n">
        <v>0</v>
      </c>
      <c r="Q494" s="7" t="n">
        <v>0</v>
      </c>
      <c r="R494" s="7" t="n">
        <v>0</v>
      </c>
    </row>
    <row r="495" customFormat="false" ht="15" hidden="false" customHeight="true" outlineLevel="0" collapsed="false">
      <c r="A495" s="7" t="n">
        <v>7248</v>
      </c>
      <c r="B495" s="7" t="s">
        <v>45</v>
      </c>
      <c r="C495" s="7" t="s">
        <v>890</v>
      </c>
      <c r="D495" s="7" t="s">
        <v>527</v>
      </c>
      <c r="E495" s="7" t="s">
        <v>139</v>
      </c>
      <c r="F495" s="7" t="n">
        <v>1</v>
      </c>
      <c r="G495" s="7" t="n">
        <v>5.5</v>
      </c>
      <c r="H495" s="7" t="n">
        <v>5.5</v>
      </c>
      <c r="I495" s="7" t="n">
        <v>0</v>
      </c>
      <c r="J495" s="7" t="n">
        <v>0</v>
      </c>
      <c r="K495" s="7" t="n">
        <v>0</v>
      </c>
      <c r="L495" s="7" t="n">
        <v>0</v>
      </c>
      <c r="M495" s="7" t="n">
        <v>0</v>
      </c>
      <c r="N495" s="7" t="n">
        <v>0</v>
      </c>
      <c r="O495" s="7" t="n">
        <v>0</v>
      </c>
      <c r="P495" s="7" t="n">
        <v>0</v>
      </c>
      <c r="Q495" s="7" t="n">
        <v>0</v>
      </c>
      <c r="R495" s="7" t="n">
        <v>0</v>
      </c>
    </row>
    <row r="496" customFormat="false" ht="15" hidden="false" customHeight="true" outlineLevel="0" collapsed="false">
      <c r="A496" s="7" t="n">
        <v>7010</v>
      </c>
      <c r="B496" s="7" t="s">
        <v>45</v>
      </c>
      <c r="C496" s="7" t="s">
        <v>890</v>
      </c>
      <c r="D496" s="7" t="s">
        <v>960</v>
      </c>
      <c r="E496" s="7" t="s">
        <v>745</v>
      </c>
      <c r="F496" s="7" t="n">
        <v>14</v>
      </c>
      <c r="G496" s="7" t="n">
        <v>5.71</v>
      </c>
      <c r="H496" s="7" t="n">
        <v>5.57</v>
      </c>
      <c r="I496" s="7" t="n">
        <v>0</v>
      </c>
      <c r="J496" s="7" t="n">
        <v>0</v>
      </c>
      <c r="K496" s="7" t="n">
        <v>0</v>
      </c>
      <c r="L496" s="7" t="n">
        <v>0</v>
      </c>
      <c r="M496" s="7" t="n">
        <v>0</v>
      </c>
      <c r="N496" s="7" t="n">
        <v>0</v>
      </c>
      <c r="O496" s="7" t="n">
        <v>1</v>
      </c>
      <c r="P496" s="7" t="n">
        <v>4</v>
      </c>
      <c r="Q496" s="7" t="n">
        <v>1</v>
      </c>
      <c r="R496" s="7" t="n">
        <v>0</v>
      </c>
    </row>
    <row r="497" customFormat="false" ht="15" hidden="false" customHeight="true" outlineLevel="0" collapsed="false">
      <c r="A497" s="7" t="n">
        <v>4677</v>
      </c>
      <c r="B497" s="7" t="s">
        <v>45</v>
      </c>
      <c r="C497" s="7" t="s">
        <v>892</v>
      </c>
      <c r="D497" s="7" t="s">
        <v>961</v>
      </c>
      <c r="E497" s="7" t="s">
        <v>137</v>
      </c>
      <c r="F497" s="7" t="n">
        <v>5</v>
      </c>
      <c r="G497" s="7" t="n">
        <v>5.1</v>
      </c>
      <c r="H497" s="7" t="n">
        <v>4.5</v>
      </c>
      <c r="I497" s="7" t="n">
        <v>0</v>
      </c>
      <c r="J497" s="7" t="n">
        <v>0</v>
      </c>
      <c r="K497" s="7" t="n">
        <v>0</v>
      </c>
      <c r="L497" s="7" t="n">
        <v>1</v>
      </c>
      <c r="M497" s="7" t="n">
        <v>0</v>
      </c>
      <c r="N497" s="7" t="n">
        <v>1</v>
      </c>
      <c r="O497" s="7" t="n">
        <v>0</v>
      </c>
      <c r="P497" s="7" t="n">
        <v>0</v>
      </c>
      <c r="Q497" s="7" t="n">
        <v>0</v>
      </c>
      <c r="R497" s="7" t="n">
        <v>0</v>
      </c>
    </row>
    <row r="498" customFormat="false" ht="15" hidden="false" customHeight="true" outlineLevel="0" collapsed="false">
      <c r="A498" s="7" t="n">
        <v>7036</v>
      </c>
      <c r="B498" s="7" t="s">
        <v>45</v>
      </c>
      <c r="C498" s="7" t="s">
        <v>888</v>
      </c>
      <c r="D498" s="7" t="s">
        <v>465</v>
      </c>
      <c r="E498" s="7" t="s">
        <v>144</v>
      </c>
      <c r="F498" s="7" t="n">
        <v>3</v>
      </c>
      <c r="G498" s="7" t="n">
        <v>6.17</v>
      </c>
      <c r="H498" s="7" t="n">
        <v>6.17</v>
      </c>
      <c r="I498" s="7" t="n">
        <v>0</v>
      </c>
      <c r="J498" s="7" t="n">
        <v>0</v>
      </c>
      <c r="K498" s="7" t="n">
        <v>0</v>
      </c>
      <c r="L498" s="7" t="n">
        <v>0</v>
      </c>
      <c r="M498" s="7" t="n">
        <v>0</v>
      </c>
      <c r="N498" s="7" t="n">
        <v>0</v>
      </c>
      <c r="O498" s="7" t="n">
        <v>0</v>
      </c>
      <c r="P498" s="7" t="n">
        <v>0</v>
      </c>
      <c r="Q498" s="7" t="n">
        <v>0</v>
      </c>
      <c r="R498" s="7" t="n">
        <v>0</v>
      </c>
    </row>
    <row r="499" customFormat="false" ht="15" hidden="false" customHeight="true" outlineLevel="0" collapsed="false">
      <c r="A499" s="7" t="n">
        <v>7165</v>
      </c>
      <c r="B499" s="7" t="s">
        <v>45</v>
      </c>
      <c r="C499" s="7" t="s">
        <v>890</v>
      </c>
      <c r="D499" s="7" t="s">
        <v>521</v>
      </c>
      <c r="E499" s="7" t="s">
        <v>129</v>
      </c>
      <c r="F499" s="7" t="n">
        <v>4</v>
      </c>
      <c r="G499" s="7" t="n">
        <v>5.75</v>
      </c>
      <c r="H499" s="7" t="n">
        <v>5.75</v>
      </c>
      <c r="I499" s="7" t="n">
        <v>0</v>
      </c>
      <c r="J499" s="7" t="n">
        <v>0</v>
      </c>
      <c r="K499" s="7" t="n">
        <v>0</v>
      </c>
      <c r="L499" s="7" t="n">
        <v>0</v>
      </c>
      <c r="M499" s="7" t="n">
        <v>0</v>
      </c>
      <c r="N499" s="7" t="n">
        <v>0</v>
      </c>
      <c r="O499" s="7" t="n">
        <v>0</v>
      </c>
      <c r="P499" s="7" t="n">
        <v>0</v>
      </c>
      <c r="Q499" s="7" t="n">
        <v>0</v>
      </c>
      <c r="R499" s="7" t="n">
        <v>0</v>
      </c>
    </row>
    <row r="500" customFormat="false" ht="15" hidden="false" customHeight="true" outlineLevel="0" collapsed="false">
      <c r="A500" s="7" t="n">
        <v>6656</v>
      </c>
      <c r="B500" s="7" t="s">
        <v>45</v>
      </c>
      <c r="C500" s="7" t="s">
        <v>890</v>
      </c>
      <c r="D500" s="7" t="s">
        <v>962</v>
      </c>
      <c r="E500" s="7" t="s">
        <v>119</v>
      </c>
      <c r="F500" s="7" t="n">
        <v>0</v>
      </c>
      <c r="G500" s="7" t="n">
        <v>0</v>
      </c>
      <c r="H500" s="7" t="n">
        <v>0</v>
      </c>
      <c r="I500" s="7" t="n">
        <v>0</v>
      </c>
      <c r="J500" s="7" t="n">
        <v>0</v>
      </c>
      <c r="K500" s="7" t="n">
        <v>0</v>
      </c>
      <c r="L500" s="7" t="n">
        <v>0</v>
      </c>
      <c r="M500" s="7" t="n">
        <v>0</v>
      </c>
      <c r="N500" s="7" t="n">
        <v>0</v>
      </c>
      <c r="O500" s="7" t="n">
        <v>0</v>
      </c>
      <c r="P500" s="7" t="n">
        <v>0</v>
      </c>
      <c r="Q500" s="7" t="n">
        <v>0</v>
      </c>
      <c r="R500" s="7" t="n">
        <v>0</v>
      </c>
    </row>
    <row r="501" customFormat="false" ht="15" hidden="false" customHeight="true" outlineLevel="0" collapsed="false">
      <c r="A501" s="7" t="n">
        <v>2553</v>
      </c>
      <c r="B501" s="7" t="s">
        <v>45</v>
      </c>
      <c r="C501" s="7" t="s">
        <v>889</v>
      </c>
      <c r="D501" s="7" t="s">
        <v>963</v>
      </c>
      <c r="E501" s="7" t="s">
        <v>119</v>
      </c>
      <c r="F501" s="7" t="n">
        <v>0</v>
      </c>
      <c r="G501" s="7" t="n">
        <v>0</v>
      </c>
      <c r="H501" s="7" t="n">
        <v>0</v>
      </c>
      <c r="I501" s="7" t="n">
        <v>0</v>
      </c>
      <c r="J501" s="7" t="n">
        <v>0</v>
      </c>
      <c r="K501" s="7" t="n">
        <v>0</v>
      </c>
      <c r="L501" s="7" t="n">
        <v>0</v>
      </c>
      <c r="M501" s="7" t="n">
        <v>0</v>
      </c>
      <c r="N501" s="7" t="n">
        <v>0</v>
      </c>
      <c r="O501" s="7" t="n">
        <v>0</v>
      </c>
      <c r="P501" s="7" t="n">
        <v>0</v>
      </c>
      <c r="Q501" s="7" t="n">
        <v>0</v>
      </c>
      <c r="R501" s="7" t="n">
        <v>0</v>
      </c>
    </row>
    <row r="502" customFormat="false" ht="15" hidden="false" customHeight="true" outlineLevel="0" collapsed="false">
      <c r="A502" s="7" t="n">
        <v>2274</v>
      </c>
      <c r="B502" s="7" t="s">
        <v>45</v>
      </c>
      <c r="C502" s="7" t="s">
        <v>888</v>
      </c>
      <c r="D502" s="7" t="s">
        <v>964</v>
      </c>
      <c r="E502" s="7" t="s">
        <v>743</v>
      </c>
      <c r="F502" s="7" t="n">
        <v>0</v>
      </c>
      <c r="G502" s="7" t="n">
        <v>0</v>
      </c>
      <c r="H502" s="7" t="n">
        <v>0</v>
      </c>
      <c r="I502" s="7" t="n">
        <v>0</v>
      </c>
      <c r="J502" s="7" t="n">
        <v>0</v>
      </c>
      <c r="K502" s="7" t="n">
        <v>0</v>
      </c>
      <c r="L502" s="7" t="n">
        <v>0</v>
      </c>
      <c r="M502" s="7" t="n">
        <v>0</v>
      </c>
      <c r="N502" s="7" t="n">
        <v>0</v>
      </c>
      <c r="O502" s="7" t="n">
        <v>0</v>
      </c>
      <c r="P502" s="7" t="n">
        <v>0</v>
      </c>
      <c r="Q502" s="7" t="n">
        <v>0</v>
      </c>
      <c r="R502" s="7" t="n">
        <v>0</v>
      </c>
    </row>
    <row r="503" customFormat="false" ht="15" hidden="false" customHeight="true" outlineLevel="0" collapsed="false">
      <c r="A503" s="7" t="n">
        <v>5516</v>
      </c>
      <c r="B503" s="7" t="s">
        <v>45</v>
      </c>
      <c r="C503" s="7" t="s">
        <v>890</v>
      </c>
      <c r="D503" s="7" t="s">
        <v>965</v>
      </c>
      <c r="E503" s="7" t="s">
        <v>123</v>
      </c>
      <c r="F503" s="7" t="n">
        <v>0</v>
      </c>
      <c r="G503" s="7" t="n">
        <v>0</v>
      </c>
      <c r="H503" s="7" t="n">
        <v>0</v>
      </c>
      <c r="I503" s="7" t="n">
        <v>0</v>
      </c>
      <c r="J503" s="7" t="n">
        <v>0</v>
      </c>
      <c r="K503" s="7" t="n">
        <v>0</v>
      </c>
      <c r="L503" s="7" t="n">
        <v>0</v>
      </c>
      <c r="M503" s="7" t="n">
        <v>0</v>
      </c>
      <c r="N503" s="7" t="n">
        <v>0</v>
      </c>
      <c r="O503" s="7" t="n">
        <v>0</v>
      </c>
      <c r="P503" s="7" t="n">
        <v>0</v>
      </c>
      <c r="Q503" s="7" t="n">
        <v>0</v>
      </c>
      <c r="R503" s="7" t="n">
        <v>0</v>
      </c>
    </row>
    <row r="504" customFormat="false" ht="15" hidden="false" customHeight="true" outlineLevel="0" collapsed="false">
      <c r="A504" s="7" t="n">
        <v>7135</v>
      </c>
      <c r="B504" s="7" t="s">
        <v>45</v>
      </c>
      <c r="C504" s="7" t="s">
        <v>888</v>
      </c>
      <c r="D504" s="7" t="s">
        <v>966</v>
      </c>
      <c r="E504" s="7" t="s">
        <v>137</v>
      </c>
      <c r="F504" s="7" t="n">
        <v>4</v>
      </c>
      <c r="G504" s="7" t="n">
        <v>5.5</v>
      </c>
      <c r="H504" s="7" t="n">
        <v>4.75</v>
      </c>
      <c r="I504" s="7" t="n">
        <v>0</v>
      </c>
      <c r="J504" s="7" t="n">
        <v>0</v>
      </c>
      <c r="K504" s="7" t="n">
        <v>0</v>
      </c>
      <c r="L504" s="7" t="n">
        <v>1</v>
      </c>
      <c r="M504" s="7" t="n">
        <v>0</v>
      </c>
      <c r="N504" s="7" t="n">
        <v>1</v>
      </c>
      <c r="O504" s="7" t="n">
        <v>0</v>
      </c>
      <c r="P504" s="7" t="n">
        <v>0</v>
      </c>
      <c r="Q504" s="7" t="n">
        <v>0</v>
      </c>
      <c r="R504" s="7" t="n">
        <v>0</v>
      </c>
    </row>
    <row r="505" customFormat="false" ht="15" hidden="false" customHeight="true" outlineLevel="0" collapsed="false">
      <c r="A505" s="7" t="n">
        <v>6633</v>
      </c>
      <c r="B505" s="7" t="s">
        <v>45</v>
      </c>
      <c r="C505" s="7" t="s">
        <v>890</v>
      </c>
      <c r="D505" s="7" t="s">
        <v>967</v>
      </c>
      <c r="E505" s="7" t="s">
        <v>139</v>
      </c>
      <c r="F505" s="7" t="n">
        <v>1</v>
      </c>
      <c r="G505" s="7" t="n">
        <v>6</v>
      </c>
      <c r="H505" s="7" t="n">
        <v>6</v>
      </c>
      <c r="I505" s="7" t="n">
        <v>0</v>
      </c>
      <c r="J505" s="7" t="n">
        <v>0</v>
      </c>
      <c r="K505" s="7" t="n">
        <v>0</v>
      </c>
      <c r="L505" s="7" t="n">
        <v>0</v>
      </c>
      <c r="M505" s="7" t="n">
        <v>0</v>
      </c>
      <c r="N505" s="7" t="n">
        <v>0</v>
      </c>
      <c r="O505" s="7" t="n">
        <v>0</v>
      </c>
      <c r="P505" s="7" t="n">
        <v>0</v>
      </c>
      <c r="Q505" s="7" t="n">
        <v>0</v>
      </c>
      <c r="R505" s="7" t="n">
        <v>0</v>
      </c>
    </row>
    <row r="506" customFormat="false" ht="15" hidden="false" customHeight="true" outlineLevel="0" collapsed="false">
      <c r="A506" s="7" t="n">
        <v>6222</v>
      </c>
      <c r="B506" s="7" t="s">
        <v>45</v>
      </c>
      <c r="C506" s="7" t="s">
        <v>888</v>
      </c>
      <c r="D506" s="7" t="s">
        <v>968</v>
      </c>
      <c r="E506" s="7" t="s">
        <v>139</v>
      </c>
      <c r="F506" s="7" t="n">
        <v>0</v>
      </c>
      <c r="G506" s="7" t="n">
        <v>0</v>
      </c>
      <c r="H506" s="7" t="n">
        <v>0</v>
      </c>
      <c r="I506" s="7" t="n">
        <v>0</v>
      </c>
      <c r="J506" s="7" t="n">
        <v>0</v>
      </c>
      <c r="K506" s="7" t="n">
        <v>0</v>
      </c>
      <c r="L506" s="7" t="n">
        <v>0</v>
      </c>
      <c r="M506" s="7" t="n">
        <v>0</v>
      </c>
      <c r="N506" s="7" t="n">
        <v>0</v>
      </c>
      <c r="O506" s="7" t="n">
        <v>0</v>
      </c>
      <c r="P506" s="7" t="n">
        <v>0</v>
      </c>
      <c r="Q506" s="7" t="n">
        <v>0</v>
      </c>
      <c r="R506" s="7" t="n">
        <v>0</v>
      </c>
    </row>
    <row r="507" customFormat="false" ht="15" hidden="false" customHeight="true" outlineLevel="0" collapsed="false">
      <c r="A507" s="7" t="n">
        <v>6645</v>
      </c>
      <c r="B507" s="7" t="s">
        <v>45</v>
      </c>
      <c r="C507" s="7" t="s">
        <v>889</v>
      </c>
      <c r="D507" s="7" t="s">
        <v>969</v>
      </c>
      <c r="E507" s="7" t="s">
        <v>139</v>
      </c>
      <c r="F507" s="7" t="n">
        <v>0</v>
      </c>
      <c r="G507" s="7" t="n">
        <v>0</v>
      </c>
      <c r="H507" s="7" t="n">
        <v>0</v>
      </c>
      <c r="I507" s="7" t="n">
        <v>0</v>
      </c>
      <c r="J507" s="7" t="n">
        <v>0</v>
      </c>
      <c r="K507" s="7" t="n">
        <v>0</v>
      </c>
      <c r="L507" s="7" t="n">
        <v>0</v>
      </c>
      <c r="M507" s="7" t="n">
        <v>0</v>
      </c>
      <c r="N507" s="7" t="n">
        <v>0</v>
      </c>
      <c r="O507" s="7" t="n">
        <v>0</v>
      </c>
      <c r="P507" s="7" t="n">
        <v>0</v>
      </c>
      <c r="Q507" s="7" t="n">
        <v>0</v>
      </c>
      <c r="R507" s="7" t="n">
        <v>0</v>
      </c>
    </row>
    <row r="508" customFormat="false" ht="15" hidden="false" customHeight="true" outlineLevel="0" collapsed="false">
      <c r="A508" s="7" t="n">
        <v>6678</v>
      </c>
      <c r="B508" s="7" t="s">
        <v>45</v>
      </c>
      <c r="C508" s="7" t="s">
        <v>898</v>
      </c>
      <c r="D508" s="7" t="s">
        <v>434</v>
      </c>
      <c r="E508" s="7" t="s">
        <v>121</v>
      </c>
      <c r="F508" s="7" t="n">
        <v>0</v>
      </c>
      <c r="G508" s="7" t="n">
        <v>0</v>
      </c>
      <c r="H508" s="7" t="n">
        <v>0</v>
      </c>
      <c r="I508" s="7" t="n">
        <v>0</v>
      </c>
      <c r="J508" s="7" t="n">
        <v>0</v>
      </c>
      <c r="K508" s="7" t="n">
        <v>0</v>
      </c>
      <c r="L508" s="7" t="n">
        <v>0</v>
      </c>
      <c r="M508" s="7" t="n">
        <v>0</v>
      </c>
      <c r="N508" s="7" t="n">
        <v>0</v>
      </c>
      <c r="O508" s="7" t="n">
        <v>0</v>
      </c>
      <c r="P508" s="7" t="n">
        <v>0</v>
      </c>
      <c r="Q508" s="7" t="n">
        <v>0</v>
      </c>
      <c r="R508" s="7" t="n">
        <v>0</v>
      </c>
    </row>
    <row r="509" customFormat="false" ht="15" hidden="false" customHeight="true" outlineLevel="0" collapsed="false">
      <c r="A509" s="7" t="n">
        <v>7151</v>
      </c>
      <c r="B509" s="7" t="s">
        <v>45</v>
      </c>
      <c r="C509" s="7" t="s">
        <v>898</v>
      </c>
      <c r="D509" s="7" t="s">
        <v>970</v>
      </c>
      <c r="E509" s="7" t="s">
        <v>748</v>
      </c>
      <c r="F509" s="7" t="n">
        <v>0</v>
      </c>
      <c r="G509" s="7" t="n">
        <v>0</v>
      </c>
      <c r="H509" s="7" t="n">
        <v>0</v>
      </c>
      <c r="I509" s="7" t="n">
        <v>0</v>
      </c>
      <c r="J509" s="7" t="n">
        <v>0</v>
      </c>
      <c r="K509" s="7" t="n">
        <v>0</v>
      </c>
      <c r="L509" s="7" t="n">
        <v>0</v>
      </c>
      <c r="M509" s="7" t="n">
        <v>0</v>
      </c>
      <c r="N509" s="7" t="n">
        <v>0</v>
      </c>
      <c r="O509" s="7" t="n">
        <v>0</v>
      </c>
      <c r="P509" s="7" t="n">
        <v>0</v>
      </c>
      <c r="Q509" s="7" t="n">
        <v>0</v>
      </c>
      <c r="R509" s="7" t="n">
        <v>0</v>
      </c>
    </row>
    <row r="510" customFormat="false" ht="15" hidden="false" customHeight="true" outlineLevel="0" collapsed="false">
      <c r="A510" s="7" t="n">
        <v>4890</v>
      </c>
      <c r="B510" s="7" t="s">
        <v>45</v>
      </c>
      <c r="C510" s="7" t="s">
        <v>890</v>
      </c>
      <c r="D510" s="7" t="s">
        <v>971</v>
      </c>
      <c r="E510" s="7" t="s">
        <v>184</v>
      </c>
      <c r="F510" s="7" t="n">
        <v>17</v>
      </c>
      <c r="G510" s="7" t="n">
        <v>5.65</v>
      </c>
      <c r="H510" s="7" t="n">
        <v>5.59</v>
      </c>
      <c r="I510" s="7" t="n">
        <v>0</v>
      </c>
      <c r="J510" s="7" t="n">
        <v>0</v>
      </c>
      <c r="K510" s="7" t="n">
        <v>0</v>
      </c>
      <c r="L510" s="7" t="n">
        <v>0</v>
      </c>
      <c r="M510" s="7" t="n">
        <v>0</v>
      </c>
      <c r="N510" s="7" t="n">
        <v>0</v>
      </c>
      <c r="O510" s="7" t="n">
        <v>0</v>
      </c>
      <c r="P510" s="7" t="n">
        <v>3</v>
      </c>
      <c r="Q510" s="7" t="n">
        <v>0</v>
      </c>
      <c r="R510" s="7" t="n">
        <v>0</v>
      </c>
    </row>
    <row r="511" customFormat="false" ht="15" hidden="false" customHeight="true" outlineLevel="0" collapsed="false">
      <c r="A511" s="7" t="n">
        <v>5007</v>
      </c>
      <c r="B511" s="7" t="s">
        <v>45</v>
      </c>
      <c r="C511" s="7" t="s">
        <v>45</v>
      </c>
      <c r="D511" s="7" t="s">
        <v>532</v>
      </c>
      <c r="E511" s="7" t="s">
        <v>184</v>
      </c>
      <c r="F511" s="7" t="n">
        <v>8</v>
      </c>
      <c r="G511" s="7" t="n">
        <v>6</v>
      </c>
      <c r="H511" s="7" t="n">
        <v>5.88</v>
      </c>
      <c r="I511" s="7" t="n">
        <v>0</v>
      </c>
      <c r="J511" s="7" t="n">
        <v>0</v>
      </c>
      <c r="K511" s="7" t="n">
        <v>0</v>
      </c>
      <c r="L511" s="7" t="n">
        <v>0</v>
      </c>
      <c r="M511" s="7" t="n">
        <v>0</v>
      </c>
      <c r="N511" s="7" t="n">
        <v>0</v>
      </c>
      <c r="O511" s="7" t="n">
        <v>0</v>
      </c>
      <c r="P511" s="7" t="n">
        <v>2</v>
      </c>
      <c r="Q511" s="7" t="n">
        <v>0</v>
      </c>
      <c r="R511" s="7" t="n">
        <v>0</v>
      </c>
    </row>
    <row r="512" customFormat="false" ht="15" hidden="false" customHeight="true" outlineLevel="0" collapsed="false">
      <c r="A512" s="7" t="n">
        <v>5824</v>
      </c>
      <c r="B512" s="7" t="s">
        <v>45</v>
      </c>
      <c r="C512" s="7" t="s">
        <v>887</v>
      </c>
      <c r="D512" s="7" t="s">
        <v>972</v>
      </c>
      <c r="E512" s="7" t="s">
        <v>135</v>
      </c>
      <c r="F512" s="7" t="n">
        <v>0</v>
      </c>
      <c r="G512" s="7" t="n">
        <v>0</v>
      </c>
      <c r="H512" s="7" t="n">
        <v>0</v>
      </c>
      <c r="I512" s="7" t="n">
        <v>0</v>
      </c>
      <c r="J512" s="7" t="n">
        <v>0</v>
      </c>
      <c r="K512" s="7" t="n">
        <v>0</v>
      </c>
      <c r="L512" s="7" t="n">
        <v>0</v>
      </c>
      <c r="M512" s="7" t="n">
        <v>0</v>
      </c>
      <c r="N512" s="7" t="n">
        <v>0</v>
      </c>
      <c r="O512" s="7" t="n">
        <v>0</v>
      </c>
      <c r="P512" s="7" t="n">
        <v>0</v>
      </c>
      <c r="Q512" s="7" t="n">
        <v>0</v>
      </c>
      <c r="R512" s="7" t="n">
        <v>0</v>
      </c>
    </row>
    <row r="513" customFormat="false" ht="15" hidden="false" customHeight="true" outlineLevel="0" collapsed="false">
      <c r="A513" s="7" t="n">
        <v>7177</v>
      </c>
      <c r="B513" s="7" t="s">
        <v>45</v>
      </c>
      <c r="C513" s="7" t="s">
        <v>45</v>
      </c>
      <c r="D513" s="7" t="s">
        <v>973</v>
      </c>
      <c r="E513" s="7" t="s">
        <v>745</v>
      </c>
      <c r="F513" s="7" t="n">
        <v>0</v>
      </c>
      <c r="G513" s="7" t="n">
        <v>0</v>
      </c>
      <c r="H513" s="7" t="n">
        <v>0</v>
      </c>
      <c r="I513" s="7" t="n">
        <v>0</v>
      </c>
      <c r="J513" s="7" t="n">
        <v>0</v>
      </c>
      <c r="K513" s="7" t="n">
        <v>0</v>
      </c>
      <c r="L513" s="7" t="n">
        <v>0</v>
      </c>
      <c r="M513" s="7" t="n">
        <v>0</v>
      </c>
      <c r="N513" s="7" t="n">
        <v>0</v>
      </c>
      <c r="O513" s="7" t="n">
        <v>0</v>
      </c>
      <c r="P513" s="7" t="n">
        <v>0</v>
      </c>
      <c r="Q513" s="7" t="n">
        <v>0</v>
      </c>
      <c r="R513" s="7" t="n">
        <v>0</v>
      </c>
    </row>
    <row r="514" customFormat="false" ht="15" hidden="false" customHeight="true" outlineLevel="0" collapsed="false">
      <c r="A514" s="7" t="n">
        <v>2117</v>
      </c>
      <c r="B514" s="7" t="s">
        <v>45</v>
      </c>
      <c r="C514" s="7" t="s">
        <v>888</v>
      </c>
      <c r="D514" s="7" t="s">
        <v>974</v>
      </c>
      <c r="E514" s="7" t="s">
        <v>745</v>
      </c>
      <c r="F514" s="7" t="n">
        <v>1</v>
      </c>
      <c r="G514" s="7" t="n">
        <v>6</v>
      </c>
      <c r="H514" s="7" t="n">
        <v>6</v>
      </c>
      <c r="I514" s="7" t="n">
        <v>0</v>
      </c>
      <c r="J514" s="7" t="n">
        <v>0</v>
      </c>
      <c r="K514" s="7" t="n">
        <v>0</v>
      </c>
      <c r="L514" s="7" t="n">
        <v>0</v>
      </c>
      <c r="M514" s="7" t="n">
        <v>0</v>
      </c>
      <c r="N514" s="7" t="n">
        <v>0</v>
      </c>
      <c r="O514" s="7" t="n">
        <v>0</v>
      </c>
      <c r="P514" s="7" t="n">
        <v>0</v>
      </c>
      <c r="Q514" s="7" t="n">
        <v>0</v>
      </c>
      <c r="R514" s="7" t="n">
        <v>0</v>
      </c>
    </row>
    <row r="515" customFormat="false" ht="15" hidden="false" customHeight="true" outlineLevel="0" collapsed="false">
      <c r="A515" s="7" t="n">
        <v>6618</v>
      </c>
      <c r="B515" s="7" t="s">
        <v>45</v>
      </c>
      <c r="C515" s="7" t="s">
        <v>898</v>
      </c>
      <c r="D515" s="7" t="s">
        <v>975</v>
      </c>
      <c r="E515" s="7" t="s">
        <v>745</v>
      </c>
      <c r="F515" s="7" t="n">
        <v>0</v>
      </c>
      <c r="G515" s="7" t="n">
        <v>0</v>
      </c>
      <c r="H515" s="7" t="n">
        <v>0</v>
      </c>
      <c r="I515" s="7" t="n">
        <v>0</v>
      </c>
      <c r="J515" s="7" t="n">
        <v>0</v>
      </c>
      <c r="K515" s="7" t="n">
        <v>0</v>
      </c>
      <c r="L515" s="7" t="n">
        <v>0</v>
      </c>
      <c r="M515" s="7" t="n">
        <v>0</v>
      </c>
      <c r="N515" s="7" t="n">
        <v>0</v>
      </c>
      <c r="O515" s="7" t="n">
        <v>0</v>
      </c>
      <c r="P515" s="7" t="n">
        <v>0</v>
      </c>
      <c r="Q515" s="7" t="n">
        <v>0</v>
      </c>
      <c r="R515" s="7" t="n">
        <v>0</v>
      </c>
    </row>
    <row r="516" customFormat="false" ht="15" hidden="false" customHeight="true" outlineLevel="0" collapsed="false">
      <c r="A516" s="7" t="n">
        <v>2076</v>
      </c>
      <c r="B516" s="7" t="s">
        <v>45</v>
      </c>
      <c r="C516" s="7" t="s">
        <v>890</v>
      </c>
      <c r="D516" s="7" t="s">
        <v>976</v>
      </c>
      <c r="E516" s="7" t="s">
        <v>129</v>
      </c>
      <c r="F516" s="7" t="n">
        <v>0</v>
      </c>
      <c r="G516" s="7" t="n">
        <v>0</v>
      </c>
      <c r="H516" s="7" t="n">
        <v>0</v>
      </c>
      <c r="I516" s="7" t="n">
        <v>0</v>
      </c>
      <c r="J516" s="7" t="n">
        <v>0</v>
      </c>
      <c r="K516" s="7" t="n">
        <v>0</v>
      </c>
      <c r="L516" s="7" t="n">
        <v>0</v>
      </c>
      <c r="M516" s="7" t="n">
        <v>0</v>
      </c>
      <c r="N516" s="7" t="n">
        <v>0</v>
      </c>
      <c r="O516" s="7" t="n">
        <v>0</v>
      </c>
      <c r="P516" s="7" t="n">
        <v>0</v>
      </c>
      <c r="Q516" s="7" t="n">
        <v>0</v>
      </c>
      <c r="R516" s="7" t="n">
        <v>0</v>
      </c>
    </row>
    <row r="517" customFormat="false" ht="15" hidden="false" customHeight="true" outlineLevel="0" collapsed="false">
      <c r="A517" s="7" t="n">
        <v>6677</v>
      </c>
      <c r="B517" s="7" t="s">
        <v>45</v>
      </c>
      <c r="C517" s="7" t="s">
        <v>888</v>
      </c>
      <c r="D517" s="7" t="s">
        <v>464</v>
      </c>
      <c r="E517" s="7" t="s">
        <v>131</v>
      </c>
      <c r="F517" s="7" t="n">
        <v>4</v>
      </c>
      <c r="G517" s="7" t="n">
        <v>6.12</v>
      </c>
      <c r="H517" s="7" t="n">
        <v>6.88</v>
      </c>
      <c r="I517" s="7" t="n">
        <v>1</v>
      </c>
      <c r="J517" s="7" t="n">
        <v>0</v>
      </c>
      <c r="K517" s="7" t="n">
        <v>0</v>
      </c>
      <c r="L517" s="7" t="n">
        <v>0</v>
      </c>
      <c r="M517" s="7" t="n">
        <v>0</v>
      </c>
      <c r="N517" s="7" t="n">
        <v>0</v>
      </c>
      <c r="O517" s="7" t="n">
        <v>0</v>
      </c>
      <c r="P517" s="7" t="n">
        <v>0</v>
      </c>
      <c r="Q517" s="7" t="n">
        <v>0</v>
      </c>
      <c r="R517" s="7" t="n">
        <v>0</v>
      </c>
    </row>
    <row r="518" customFormat="false" ht="15" hidden="false" customHeight="true" outlineLevel="0" collapsed="false">
      <c r="A518" s="7" t="n">
        <v>7025</v>
      </c>
      <c r="B518" s="7" t="s">
        <v>45</v>
      </c>
      <c r="C518" s="7" t="s">
        <v>898</v>
      </c>
      <c r="D518" s="7" t="s">
        <v>977</v>
      </c>
      <c r="E518" s="7" t="s">
        <v>137</v>
      </c>
      <c r="F518" s="7" t="n">
        <v>0</v>
      </c>
      <c r="G518" s="7" t="n">
        <v>0</v>
      </c>
      <c r="H518" s="7" t="n">
        <v>0</v>
      </c>
      <c r="I518" s="7" t="n">
        <v>0</v>
      </c>
      <c r="J518" s="7" t="n">
        <v>0</v>
      </c>
      <c r="K518" s="7" t="n">
        <v>0</v>
      </c>
      <c r="L518" s="7" t="n">
        <v>0</v>
      </c>
      <c r="M518" s="7" t="n">
        <v>0</v>
      </c>
      <c r="N518" s="7" t="n">
        <v>0</v>
      </c>
      <c r="O518" s="7" t="n">
        <v>0</v>
      </c>
      <c r="P518" s="7" t="n">
        <v>0</v>
      </c>
      <c r="Q518" s="7" t="n">
        <v>0</v>
      </c>
      <c r="R518" s="7" t="n">
        <v>0</v>
      </c>
    </row>
    <row r="519" customFormat="false" ht="15" hidden="false" customHeight="true" outlineLevel="0" collapsed="false">
      <c r="A519" s="7" t="n">
        <v>5610</v>
      </c>
      <c r="B519" s="7" t="s">
        <v>45</v>
      </c>
      <c r="C519" s="7" t="s">
        <v>890</v>
      </c>
      <c r="D519" s="7" t="s">
        <v>978</v>
      </c>
      <c r="E519" s="7" t="s">
        <v>144</v>
      </c>
      <c r="F519" s="7" t="n">
        <v>14</v>
      </c>
      <c r="G519" s="7" t="n">
        <v>5.64</v>
      </c>
      <c r="H519" s="7" t="n">
        <v>5.57</v>
      </c>
      <c r="I519" s="7" t="n">
        <v>0</v>
      </c>
      <c r="J519" s="7" t="n">
        <v>0</v>
      </c>
      <c r="K519" s="7" t="n">
        <v>0</v>
      </c>
      <c r="L519" s="7" t="n">
        <v>0</v>
      </c>
      <c r="M519" s="7" t="n">
        <v>0</v>
      </c>
      <c r="N519" s="7" t="n">
        <v>0</v>
      </c>
      <c r="O519" s="7" t="n">
        <v>0</v>
      </c>
      <c r="P519" s="7" t="n">
        <v>2</v>
      </c>
      <c r="Q519" s="7" t="n">
        <v>0</v>
      </c>
      <c r="R519" s="7" t="n">
        <v>0</v>
      </c>
    </row>
    <row r="520" customFormat="false" ht="15" hidden="false" customHeight="true" outlineLevel="0" collapsed="false">
      <c r="A520" s="7" t="n">
        <v>7246</v>
      </c>
      <c r="B520" s="7" t="s">
        <v>45</v>
      </c>
      <c r="C520" s="7" t="s">
        <v>45</v>
      </c>
      <c r="D520" s="7" t="s">
        <v>979</v>
      </c>
      <c r="E520" s="7" t="s">
        <v>139</v>
      </c>
      <c r="F520" s="7" t="n">
        <v>4</v>
      </c>
      <c r="G520" s="7" t="n">
        <v>5.75</v>
      </c>
      <c r="H520" s="7" t="n">
        <v>6</v>
      </c>
      <c r="I520" s="7" t="n">
        <v>0</v>
      </c>
      <c r="J520" s="7" t="n">
        <v>0</v>
      </c>
      <c r="K520" s="7" t="n">
        <v>0</v>
      </c>
      <c r="L520" s="7" t="n">
        <v>0</v>
      </c>
      <c r="M520" s="7" t="n">
        <v>0</v>
      </c>
      <c r="N520" s="7" t="n">
        <v>0</v>
      </c>
      <c r="O520" s="7" t="n">
        <v>1</v>
      </c>
      <c r="P520" s="7" t="n">
        <v>0</v>
      </c>
      <c r="Q520" s="7" t="n">
        <v>0</v>
      </c>
      <c r="R520" s="7" t="n">
        <v>0</v>
      </c>
    </row>
    <row r="521" customFormat="false" ht="15" hidden="false" customHeight="true" outlineLevel="0" collapsed="false">
      <c r="A521" s="7" t="n">
        <v>5561</v>
      </c>
      <c r="B521" s="7" t="s">
        <v>45</v>
      </c>
      <c r="C521" s="7" t="s">
        <v>898</v>
      </c>
      <c r="D521" s="7" t="s">
        <v>980</v>
      </c>
      <c r="E521" s="7" t="s">
        <v>748</v>
      </c>
      <c r="F521" s="7" t="n">
        <v>1</v>
      </c>
      <c r="G521" s="7" t="n">
        <v>5.5</v>
      </c>
      <c r="H521" s="7" t="n">
        <v>5.5</v>
      </c>
      <c r="I521" s="7" t="n">
        <v>0</v>
      </c>
      <c r="J521" s="7" t="n">
        <v>0</v>
      </c>
      <c r="K521" s="7" t="n">
        <v>0</v>
      </c>
      <c r="L521" s="7" t="n">
        <v>0</v>
      </c>
      <c r="M521" s="7" t="n">
        <v>0</v>
      </c>
      <c r="N521" s="7" t="n">
        <v>0</v>
      </c>
      <c r="O521" s="7" t="n">
        <v>0</v>
      </c>
      <c r="P521" s="7" t="n">
        <v>0</v>
      </c>
      <c r="Q521" s="7" t="n">
        <v>0</v>
      </c>
      <c r="R521" s="7" t="n">
        <v>0</v>
      </c>
    </row>
    <row r="522" customFormat="false" ht="15" hidden="false" customHeight="true" outlineLevel="0" collapsed="false">
      <c r="A522" s="7" t="n">
        <v>6538</v>
      </c>
      <c r="B522" s="7" t="s">
        <v>45</v>
      </c>
      <c r="C522" s="7" t="s">
        <v>890</v>
      </c>
      <c r="D522" s="7" t="s">
        <v>981</v>
      </c>
      <c r="E522" s="7" t="s">
        <v>137</v>
      </c>
      <c r="F522" s="7" t="n">
        <v>2</v>
      </c>
      <c r="G522" s="7" t="n">
        <v>5.75</v>
      </c>
      <c r="H522" s="7" t="n">
        <v>5.75</v>
      </c>
      <c r="I522" s="7" t="n">
        <v>0</v>
      </c>
      <c r="J522" s="7" t="n">
        <v>0</v>
      </c>
      <c r="K522" s="7" t="n">
        <v>0</v>
      </c>
      <c r="L522" s="7" t="n">
        <v>0</v>
      </c>
      <c r="M522" s="7" t="n">
        <v>0</v>
      </c>
      <c r="N522" s="7" t="n">
        <v>0</v>
      </c>
      <c r="O522" s="7" t="n">
        <v>0</v>
      </c>
      <c r="P522" s="7" t="n">
        <v>0</v>
      </c>
      <c r="Q522" s="7" t="n">
        <v>0</v>
      </c>
      <c r="R522" s="7" t="n">
        <v>0</v>
      </c>
    </row>
    <row r="523" customFormat="false" ht="15" hidden="false" customHeight="true" outlineLevel="0" collapsed="false">
      <c r="A523" s="7" t="n">
        <v>7276</v>
      </c>
      <c r="B523" s="7" t="s">
        <v>45</v>
      </c>
      <c r="C523" s="7" t="s">
        <v>45</v>
      </c>
      <c r="D523" s="7" t="s">
        <v>530</v>
      </c>
      <c r="E523" s="7" t="s">
        <v>141</v>
      </c>
      <c r="F523" s="7" t="n">
        <v>1</v>
      </c>
      <c r="G523" s="7" t="n">
        <v>6</v>
      </c>
      <c r="H523" s="7" t="n">
        <v>6</v>
      </c>
      <c r="I523" s="7" t="n">
        <v>0</v>
      </c>
      <c r="J523" s="7" t="n">
        <v>0</v>
      </c>
      <c r="K523" s="7" t="n">
        <v>0</v>
      </c>
      <c r="L523" s="7" t="n">
        <v>0</v>
      </c>
      <c r="M523" s="7" t="n">
        <v>0</v>
      </c>
      <c r="N523" s="7" t="n">
        <v>0</v>
      </c>
      <c r="O523" s="7" t="n">
        <v>0</v>
      </c>
      <c r="P523" s="7" t="n">
        <v>0</v>
      </c>
      <c r="Q523" s="7" t="n">
        <v>0</v>
      </c>
      <c r="R523" s="7" t="n">
        <v>0</v>
      </c>
    </row>
    <row r="524" customFormat="false" ht="15" hidden="false" customHeight="true" outlineLevel="0" collapsed="false">
      <c r="A524" s="7" t="n">
        <v>7319</v>
      </c>
      <c r="B524" s="7" t="s">
        <v>45</v>
      </c>
      <c r="C524" s="7" t="s">
        <v>890</v>
      </c>
      <c r="D524" s="7" t="s">
        <v>529</v>
      </c>
      <c r="E524" s="7" t="s">
        <v>139</v>
      </c>
      <c r="F524" s="7" t="n">
        <v>2</v>
      </c>
      <c r="G524" s="7" t="n">
        <v>5.5</v>
      </c>
      <c r="H524" s="7" t="n">
        <v>5.5</v>
      </c>
      <c r="I524" s="7" t="n">
        <v>0</v>
      </c>
      <c r="J524" s="7" t="n">
        <v>0</v>
      </c>
      <c r="K524" s="7" t="n">
        <v>0</v>
      </c>
      <c r="L524" s="7" t="n">
        <v>0</v>
      </c>
      <c r="M524" s="7" t="n">
        <v>0</v>
      </c>
      <c r="N524" s="7" t="n">
        <v>0</v>
      </c>
      <c r="O524" s="7" t="n">
        <v>0</v>
      </c>
      <c r="P524" s="7" t="n">
        <v>0</v>
      </c>
      <c r="Q524" s="7" t="n">
        <v>0</v>
      </c>
      <c r="R524" s="7" t="n">
        <v>0</v>
      </c>
    </row>
    <row r="525" customFormat="false" ht="15" hidden="false" customHeight="true" outlineLevel="0" collapsed="false">
      <c r="A525" s="7" t="n">
        <v>7345</v>
      </c>
      <c r="B525" s="7" t="s">
        <v>45</v>
      </c>
      <c r="C525" s="7" t="s">
        <v>898</v>
      </c>
      <c r="D525" s="7" t="s">
        <v>526</v>
      </c>
      <c r="E525" s="7" t="s">
        <v>133</v>
      </c>
      <c r="F525" s="7" t="n">
        <v>0</v>
      </c>
      <c r="G525" s="7" t="n">
        <v>0</v>
      </c>
      <c r="H525" s="7" t="n">
        <v>0</v>
      </c>
      <c r="I525" s="7" t="n">
        <v>0</v>
      </c>
      <c r="J525" s="7" t="n">
        <v>0</v>
      </c>
      <c r="K525" s="7" t="n">
        <v>0</v>
      </c>
      <c r="L525" s="7" t="n">
        <v>0</v>
      </c>
      <c r="M525" s="7" t="n">
        <v>0</v>
      </c>
      <c r="N525" s="7" t="n">
        <v>0</v>
      </c>
      <c r="O525" s="7" t="n">
        <v>0</v>
      </c>
      <c r="P525" s="7" t="n">
        <v>0</v>
      </c>
      <c r="Q525" s="7" t="n">
        <v>0</v>
      </c>
      <c r="R525" s="7" t="n">
        <v>0</v>
      </c>
    </row>
    <row r="526" customFormat="false" ht="15" hidden="false" customHeight="true" outlineLevel="0" collapsed="false">
      <c r="A526" s="7" t="n">
        <v>7357</v>
      </c>
      <c r="B526" s="7" t="s">
        <v>45</v>
      </c>
      <c r="C526" s="7" t="s">
        <v>888</v>
      </c>
      <c r="D526" s="7" t="s">
        <v>522</v>
      </c>
      <c r="E526" s="7" t="s">
        <v>119</v>
      </c>
      <c r="F526" s="7" t="n">
        <v>0</v>
      </c>
      <c r="G526" s="7" t="n">
        <v>0</v>
      </c>
      <c r="H526" s="7" t="n">
        <v>0</v>
      </c>
      <c r="I526" s="7" t="n">
        <v>0</v>
      </c>
      <c r="J526" s="7" t="n">
        <v>0</v>
      </c>
      <c r="K526" s="7" t="n">
        <v>0</v>
      </c>
      <c r="L526" s="7" t="n">
        <v>0</v>
      </c>
      <c r="M526" s="7" t="n">
        <v>0</v>
      </c>
      <c r="N526" s="7" t="n">
        <v>0</v>
      </c>
      <c r="O526" s="7" t="n">
        <v>0</v>
      </c>
      <c r="P526" s="7" t="n">
        <v>0</v>
      </c>
      <c r="Q526" s="7" t="n">
        <v>0</v>
      </c>
      <c r="R526" s="7" t="n">
        <v>0</v>
      </c>
    </row>
    <row r="527" customFormat="false" ht="15" hidden="false" customHeight="true" outlineLevel="0" collapsed="false">
      <c r="A527" s="7" t="n">
        <v>2764</v>
      </c>
      <c r="B527" s="7" t="s">
        <v>46</v>
      </c>
      <c r="C527" s="7" t="s">
        <v>982</v>
      </c>
      <c r="D527" s="7" t="s">
        <v>538</v>
      </c>
      <c r="E527" s="7" t="s">
        <v>115</v>
      </c>
      <c r="F527" s="7" t="n">
        <v>30</v>
      </c>
      <c r="G527" s="7" t="n">
        <v>6.42</v>
      </c>
      <c r="H527" s="7" t="n">
        <v>8.25</v>
      </c>
      <c r="I527" s="7" t="n">
        <v>17</v>
      </c>
      <c r="J527" s="7" t="n">
        <v>0</v>
      </c>
      <c r="K527" s="7" t="n">
        <v>0</v>
      </c>
      <c r="L527" s="7" t="n">
        <v>0</v>
      </c>
      <c r="M527" s="7" t="n">
        <v>0</v>
      </c>
      <c r="N527" s="7" t="n">
        <v>0</v>
      </c>
      <c r="O527" s="7" t="n">
        <v>6</v>
      </c>
      <c r="P527" s="7" t="n">
        <v>4</v>
      </c>
      <c r="Q527" s="7" t="n">
        <v>0</v>
      </c>
      <c r="R527" s="7" t="n">
        <v>0</v>
      </c>
    </row>
    <row r="528" customFormat="false" ht="15" hidden="false" customHeight="true" outlineLevel="0" collapsed="false">
      <c r="A528" s="7" t="n">
        <v>4871</v>
      </c>
      <c r="B528" s="7" t="s">
        <v>46</v>
      </c>
      <c r="C528" s="7" t="s">
        <v>982</v>
      </c>
      <c r="D528" s="7" t="s">
        <v>540</v>
      </c>
      <c r="E528" s="7" t="s">
        <v>115</v>
      </c>
      <c r="F528" s="7" t="n">
        <v>29</v>
      </c>
      <c r="G528" s="7" t="n">
        <v>6.43</v>
      </c>
      <c r="H528" s="7" t="n">
        <v>7.95</v>
      </c>
      <c r="I528" s="7" t="n">
        <v>13</v>
      </c>
      <c r="J528" s="7" t="n">
        <v>0</v>
      </c>
      <c r="K528" s="7" t="n">
        <v>0</v>
      </c>
      <c r="L528" s="7" t="n">
        <v>0</v>
      </c>
      <c r="M528" s="7" t="n">
        <v>0</v>
      </c>
      <c r="N528" s="7" t="n">
        <v>0</v>
      </c>
      <c r="O528" s="7" t="n">
        <v>6</v>
      </c>
      <c r="P528" s="7" t="n">
        <v>2</v>
      </c>
      <c r="Q528" s="7" t="n">
        <v>0</v>
      </c>
      <c r="R528" s="7" t="n">
        <v>0</v>
      </c>
    </row>
    <row r="529" customFormat="false" ht="15" hidden="false" customHeight="true" outlineLevel="0" collapsed="false">
      <c r="A529" s="7" t="n">
        <v>6052</v>
      </c>
      <c r="B529" s="7" t="s">
        <v>46</v>
      </c>
      <c r="C529" s="7" t="s">
        <v>982</v>
      </c>
      <c r="D529" s="7" t="s">
        <v>541</v>
      </c>
      <c r="E529" s="7" t="s">
        <v>125</v>
      </c>
      <c r="F529" s="7" t="n">
        <v>33</v>
      </c>
      <c r="G529" s="7" t="n">
        <v>6.21</v>
      </c>
      <c r="H529" s="7" t="n">
        <v>7.44</v>
      </c>
      <c r="I529" s="7" t="n">
        <v>12</v>
      </c>
      <c r="J529" s="7" t="n">
        <v>0</v>
      </c>
      <c r="K529" s="7" t="n">
        <v>0</v>
      </c>
      <c r="L529" s="7" t="n">
        <v>1</v>
      </c>
      <c r="M529" s="7" t="n">
        <v>1</v>
      </c>
      <c r="N529" s="7" t="n">
        <v>0</v>
      </c>
      <c r="O529" s="7" t="n">
        <v>5</v>
      </c>
      <c r="P529" s="7" t="n">
        <v>1</v>
      </c>
      <c r="Q529" s="7" t="n">
        <v>0</v>
      </c>
      <c r="R529" s="7" t="n">
        <v>0</v>
      </c>
    </row>
    <row r="530" customFormat="false" ht="15" hidden="false" customHeight="true" outlineLevel="0" collapsed="false">
      <c r="A530" s="7" t="n">
        <v>7017</v>
      </c>
      <c r="B530" s="7" t="s">
        <v>46</v>
      </c>
      <c r="C530" s="7" t="s">
        <v>982</v>
      </c>
      <c r="D530" s="7" t="s">
        <v>546</v>
      </c>
      <c r="E530" s="7" t="s">
        <v>119</v>
      </c>
      <c r="F530" s="7" t="n">
        <v>36</v>
      </c>
      <c r="G530" s="7" t="n">
        <v>6.18</v>
      </c>
      <c r="H530" s="7" t="n">
        <v>7.38</v>
      </c>
      <c r="I530" s="7" t="n">
        <v>14</v>
      </c>
      <c r="J530" s="7" t="n">
        <v>0</v>
      </c>
      <c r="K530" s="7" t="n">
        <v>0</v>
      </c>
      <c r="L530" s="7" t="n">
        <v>1</v>
      </c>
      <c r="M530" s="7" t="n">
        <v>1</v>
      </c>
      <c r="N530" s="7" t="n">
        <v>0</v>
      </c>
      <c r="O530" s="7" t="n">
        <v>1</v>
      </c>
      <c r="P530" s="7" t="n">
        <v>0</v>
      </c>
      <c r="Q530" s="7" t="n">
        <v>0</v>
      </c>
      <c r="R530" s="7" t="n">
        <v>0</v>
      </c>
    </row>
    <row r="531" customFormat="false" ht="15" hidden="false" customHeight="true" outlineLevel="0" collapsed="false">
      <c r="A531" s="7" t="n">
        <v>6434</v>
      </c>
      <c r="B531" s="7" t="s">
        <v>46</v>
      </c>
      <c r="C531" s="7" t="s">
        <v>46</v>
      </c>
      <c r="D531" s="7" t="s">
        <v>545</v>
      </c>
      <c r="E531" s="7" t="s">
        <v>131</v>
      </c>
      <c r="F531" s="7" t="n">
        <v>35</v>
      </c>
      <c r="G531" s="7" t="n">
        <v>6.39</v>
      </c>
      <c r="H531" s="7" t="n">
        <v>7.3</v>
      </c>
      <c r="I531" s="7" t="n">
        <v>10</v>
      </c>
      <c r="J531" s="7" t="n">
        <v>0</v>
      </c>
      <c r="K531" s="7" t="n">
        <v>0</v>
      </c>
      <c r="L531" s="7" t="n">
        <v>2</v>
      </c>
      <c r="M531" s="7" t="n">
        <v>1</v>
      </c>
      <c r="N531" s="7" t="n">
        <v>1</v>
      </c>
      <c r="O531" s="7" t="n">
        <v>6</v>
      </c>
      <c r="P531" s="7" t="n">
        <v>2</v>
      </c>
      <c r="Q531" s="7" t="n">
        <v>0</v>
      </c>
      <c r="R531" s="7" t="n">
        <v>0</v>
      </c>
    </row>
    <row r="532" customFormat="false" ht="15" hidden="false" customHeight="true" outlineLevel="0" collapsed="false">
      <c r="A532" s="7" t="n">
        <v>531</v>
      </c>
      <c r="B532" s="7" t="s">
        <v>46</v>
      </c>
      <c r="C532" s="7" t="s">
        <v>46</v>
      </c>
      <c r="D532" s="7" t="s">
        <v>551</v>
      </c>
      <c r="E532" s="7" t="s">
        <v>144</v>
      </c>
      <c r="F532" s="7" t="n">
        <v>26</v>
      </c>
      <c r="G532" s="7" t="n">
        <v>6.31</v>
      </c>
      <c r="H532" s="7" t="n">
        <v>7.19</v>
      </c>
      <c r="I532" s="7" t="n">
        <v>8</v>
      </c>
      <c r="J532" s="7" t="n">
        <v>0</v>
      </c>
      <c r="K532" s="7" t="n">
        <v>0</v>
      </c>
      <c r="L532" s="7" t="n">
        <v>3</v>
      </c>
      <c r="M532" s="7" t="n">
        <v>2</v>
      </c>
      <c r="N532" s="7" t="n">
        <v>1</v>
      </c>
      <c r="O532" s="7" t="n">
        <v>4</v>
      </c>
      <c r="P532" s="7" t="n">
        <v>2</v>
      </c>
      <c r="Q532" s="7" t="n">
        <v>1</v>
      </c>
      <c r="R532" s="7" t="n">
        <v>0</v>
      </c>
    </row>
    <row r="533" customFormat="false" ht="15" hidden="false" customHeight="true" outlineLevel="0" collapsed="false">
      <c r="A533" s="7" t="n">
        <v>5585</v>
      </c>
      <c r="B533" s="7" t="s">
        <v>46</v>
      </c>
      <c r="C533" s="7" t="s">
        <v>46</v>
      </c>
      <c r="D533" s="7" t="s">
        <v>539</v>
      </c>
      <c r="E533" s="7" t="s">
        <v>113</v>
      </c>
      <c r="F533" s="7" t="n">
        <v>18</v>
      </c>
      <c r="G533" s="7" t="n">
        <v>6.72</v>
      </c>
      <c r="H533" s="7" t="n">
        <v>8.97</v>
      </c>
      <c r="I533" s="7" t="n">
        <v>14</v>
      </c>
      <c r="J533" s="7" t="n">
        <v>0</v>
      </c>
      <c r="K533" s="7" t="n">
        <v>0</v>
      </c>
      <c r="L533" s="7" t="n">
        <v>4</v>
      </c>
      <c r="M533" s="7" t="n">
        <v>3</v>
      </c>
      <c r="N533" s="7" t="n">
        <v>1</v>
      </c>
      <c r="O533" s="7" t="n">
        <v>2</v>
      </c>
      <c r="P533" s="7" t="n">
        <v>1</v>
      </c>
      <c r="Q533" s="7" t="n">
        <v>0</v>
      </c>
      <c r="R533" s="7" t="n">
        <v>0</v>
      </c>
    </row>
    <row r="534" customFormat="false" ht="15" hidden="false" customHeight="true" outlineLevel="0" collapsed="false">
      <c r="A534" s="7" t="n">
        <v>6435</v>
      </c>
      <c r="B534" s="7" t="s">
        <v>46</v>
      </c>
      <c r="C534" s="7" t="s">
        <v>982</v>
      </c>
      <c r="D534" s="7" t="s">
        <v>549</v>
      </c>
      <c r="E534" s="7" t="s">
        <v>117</v>
      </c>
      <c r="F534" s="7" t="n">
        <v>32</v>
      </c>
      <c r="G534" s="7" t="n">
        <v>6.16</v>
      </c>
      <c r="H534" s="7" t="n">
        <v>7.19</v>
      </c>
      <c r="I534" s="7" t="n">
        <v>10</v>
      </c>
      <c r="J534" s="7" t="n">
        <v>0</v>
      </c>
      <c r="K534" s="7" t="n">
        <v>0</v>
      </c>
      <c r="L534" s="7" t="n">
        <v>0</v>
      </c>
      <c r="M534" s="7" t="n">
        <v>0</v>
      </c>
      <c r="N534" s="7" t="n">
        <v>0</v>
      </c>
      <c r="O534" s="7" t="n">
        <v>5</v>
      </c>
      <c r="P534" s="7" t="n">
        <v>4</v>
      </c>
      <c r="Q534" s="7" t="n">
        <v>0</v>
      </c>
      <c r="R534" s="7" t="n">
        <v>0</v>
      </c>
    </row>
    <row r="535" customFormat="false" ht="15" hidden="false" customHeight="true" outlineLevel="0" collapsed="false">
      <c r="A535" s="7" t="n">
        <v>5637</v>
      </c>
      <c r="B535" s="7" t="s">
        <v>46</v>
      </c>
      <c r="C535" s="7" t="s">
        <v>982</v>
      </c>
      <c r="D535" s="7" t="s">
        <v>548</v>
      </c>
      <c r="E535" s="7" t="s">
        <v>135</v>
      </c>
      <c r="F535" s="7" t="n">
        <v>30</v>
      </c>
      <c r="G535" s="7" t="n">
        <v>6.32</v>
      </c>
      <c r="H535" s="7" t="n">
        <v>7.37</v>
      </c>
      <c r="I535" s="7" t="n">
        <v>10</v>
      </c>
      <c r="J535" s="7" t="n">
        <v>0</v>
      </c>
      <c r="K535" s="7" t="n">
        <v>0</v>
      </c>
      <c r="L535" s="7" t="n">
        <v>4</v>
      </c>
      <c r="M535" s="7" t="n">
        <v>4</v>
      </c>
      <c r="N535" s="7" t="n">
        <v>0</v>
      </c>
      <c r="O535" s="7" t="n">
        <v>4</v>
      </c>
      <c r="P535" s="7" t="n">
        <v>5</v>
      </c>
      <c r="Q535" s="7" t="n">
        <v>0</v>
      </c>
      <c r="R535" s="7" t="n">
        <v>0</v>
      </c>
    </row>
    <row r="536" customFormat="false" ht="15" hidden="false" customHeight="true" outlineLevel="0" collapsed="false">
      <c r="A536" s="7" t="n">
        <v>2137</v>
      </c>
      <c r="B536" s="7" t="s">
        <v>46</v>
      </c>
      <c r="C536" s="7" t="s">
        <v>982</v>
      </c>
      <c r="D536" s="7" t="s">
        <v>547</v>
      </c>
      <c r="E536" s="7" t="s">
        <v>117</v>
      </c>
      <c r="F536" s="7" t="n">
        <v>22</v>
      </c>
      <c r="G536" s="7" t="n">
        <v>6.18</v>
      </c>
      <c r="H536" s="7" t="n">
        <v>7.55</v>
      </c>
      <c r="I536" s="7" t="n">
        <v>10</v>
      </c>
      <c r="J536" s="7" t="n">
        <v>0</v>
      </c>
      <c r="K536" s="7" t="n">
        <v>0</v>
      </c>
      <c r="L536" s="7" t="n">
        <v>2</v>
      </c>
      <c r="M536" s="7" t="n">
        <v>2</v>
      </c>
      <c r="N536" s="7" t="n">
        <v>0</v>
      </c>
      <c r="O536" s="7" t="n">
        <v>1</v>
      </c>
      <c r="P536" s="7" t="n">
        <v>2</v>
      </c>
      <c r="Q536" s="7" t="n">
        <v>0</v>
      </c>
      <c r="R536" s="7" t="n">
        <v>0</v>
      </c>
    </row>
    <row r="537" customFormat="false" ht="15" hidden="false" customHeight="true" outlineLevel="0" collapsed="false">
      <c r="A537" s="7" t="n">
        <v>505</v>
      </c>
      <c r="B537" s="7" t="s">
        <v>46</v>
      </c>
      <c r="C537" s="7" t="s">
        <v>46</v>
      </c>
      <c r="D537" s="7" t="s">
        <v>983</v>
      </c>
      <c r="E537" s="7" t="s">
        <v>743</v>
      </c>
      <c r="F537" s="7" t="n">
        <v>35</v>
      </c>
      <c r="G537" s="7" t="n">
        <v>6.16</v>
      </c>
      <c r="H537" s="7" t="n">
        <v>7.01</v>
      </c>
      <c r="I537" s="7" t="n">
        <v>10</v>
      </c>
      <c r="J537" s="7" t="n">
        <v>0</v>
      </c>
      <c r="K537" s="7" t="n">
        <v>0</v>
      </c>
      <c r="L537" s="7" t="n">
        <v>3</v>
      </c>
      <c r="M537" s="7" t="n">
        <v>3</v>
      </c>
      <c r="N537" s="7" t="n">
        <v>0</v>
      </c>
      <c r="O537" s="7" t="n">
        <v>2</v>
      </c>
      <c r="P537" s="7" t="n">
        <v>4</v>
      </c>
      <c r="Q537" s="7" t="n">
        <v>0</v>
      </c>
      <c r="R537" s="7" t="n">
        <v>0</v>
      </c>
    </row>
    <row r="538" customFormat="false" ht="15" hidden="false" customHeight="true" outlineLevel="0" collapsed="false">
      <c r="A538" s="7" t="n">
        <v>7071</v>
      </c>
      <c r="B538" s="7" t="s">
        <v>46</v>
      </c>
      <c r="C538" s="7" t="s">
        <v>982</v>
      </c>
      <c r="D538" s="7" t="s">
        <v>554</v>
      </c>
      <c r="E538" s="7" t="s">
        <v>115</v>
      </c>
      <c r="F538" s="7" t="n">
        <v>31</v>
      </c>
      <c r="G538" s="7" t="n">
        <v>6.26</v>
      </c>
      <c r="H538" s="7" t="n">
        <v>7.02</v>
      </c>
      <c r="I538" s="7" t="n">
        <v>7</v>
      </c>
      <c r="J538" s="7" t="n">
        <v>0</v>
      </c>
      <c r="K538" s="7" t="n">
        <v>0</v>
      </c>
      <c r="L538" s="7" t="n">
        <v>0</v>
      </c>
      <c r="M538" s="7" t="n">
        <v>0</v>
      </c>
      <c r="N538" s="7" t="n">
        <v>0</v>
      </c>
      <c r="O538" s="7" t="n">
        <v>3</v>
      </c>
      <c r="P538" s="7" t="n">
        <v>1</v>
      </c>
      <c r="Q538" s="7" t="n">
        <v>0</v>
      </c>
      <c r="R538" s="7" t="n">
        <v>0</v>
      </c>
    </row>
    <row r="539" customFormat="false" ht="15" hidden="false" customHeight="true" outlineLevel="0" collapsed="false">
      <c r="A539" s="7" t="n">
        <v>2061</v>
      </c>
      <c r="B539" s="7" t="s">
        <v>46</v>
      </c>
      <c r="C539" s="7" t="s">
        <v>982</v>
      </c>
      <c r="D539" s="7" t="s">
        <v>557</v>
      </c>
      <c r="E539" s="7" t="s">
        <v>184</v>
      </c>
      <c r="F539" s="7" t="n">
        <v>32</v>
      </c>
      <c r="G539" s="7" t="n">
        <v>6.08</v>
      </c>
      <c r="H539" s="7" t="n">
        <v>7.09</v>
      </c>
      <c r="I539" s="7" t="n">
        <v>11</v>
      </c>
      <c r="J539" s="7" t="n">
        <v>0</v>
      </c>
      <c r="K539" s="7" t="n">
        <v>0</v>
      </c>
      <c r="L539" s="7" t="n">
        <v>0</v>
      </c>
      <c r="M539" s="7" t="n">
        <v>0</v>
      </c>
      <c r="N539" s="7" t="n">
        <v>0</v>
      </c>
      <c r="O539" s="7" t="n">
        <v>0</v>
      </c>
      <c r="P539" s="7" t="n">
        <v>1</v>
      </c>
      <c r="Q539" s="7" t="n">
        <v>0</v>
      </c>
      <c r="R539" s="7" t="n">
        <v>0</v>
      </c>
    </row>
    <row r="540" customFormat="false" ht="15" hidden="false" customHeight="true" outlineLevel="0" collapsed="false">
      <c r="A540" s="7" t="n">
        <v>4463</v>
      </c>
      <c r="B540" s="7" t="s">
        <v>46</v>
      </c>
      <c r="C540" s="7" t="s">
        <v>46</v>
      </c>
      <c r="D540" s="7" t="s">
        <v>562</v>
      </c>
      <c r="E540" s="7" t="s">
        <v>129</v>
      </c>
      <c r="F540" s="7" t="n">
        <v>36</v>
      </c>
      <c r="G540" s="7" t="n">
        <v>6.26</v>
      </c>
      <c r="H540" s="7" t="n">
        <v>6.88</v>
      </c>
      <c r="I540" s="7" t="n">
        <v>7</v>
      </c>
      <c r="J540" s="7" t="n">
        <v>0</v>
      </c>
      <c r="K540" s="7" t="n">
        <v>0</v>
      </c>
      <c r="L540" s="7" t="n">
        <v>1</v>
      </c>
      <c r="M540" s="7" t="n">
        <v>1</v>
      </c>
      <c r="N540" s="7" t="n">
        <v>0</v>
      </c>
      <c r="O540" s="7" t="n">
        <v>4</v>
      </c>
      <c r="P540" s="7" t="n">
        <v>6</v>
      </c>
      <c r="Q540" s="7" t="n">
        <v>0</v>
      </c>
      <c r="R540" s="7" t="n">
        <v>0</v>
      </c>
    </row>
    <row r="541" customFormat="false" ht="15" hidden="false" customHeight="true" outlineLevel="0" collapsed="false">
      <c r="A541" s="7" t="n">
        <v>6060</v>
      </c>
      <c r="B541" s="7" t="s">
        <v>46</v>
      </c>
      <c r="C541" s="7" t="s">
        <v>46</v>
      </c>
      <c r="D541" s="7" t="s">
        <v>556</v>
      </c>
      <c r="E541" s="7" t="s">
        <v>144</v>
      </c>
      <c r="F541" s="7" t="n">
        <v>37</v>
      </c>
      <c r="G541" s="7" t="n">
        <v>6.23</v>
      </c>
      <c r="H541" s="7" t="n">
        <v>6.99</v>
      </c>
      <c r="I541" s="7" t="n">
        <v>7</v>
      </c>
      <c r="J541" s="7" t="n">
        <v>0</v>
      </c>
      <c r="K541" s="7" t="n">
        <v>0</v>
      </c>
      <c r="L541" s="7" t="n">
        <v>0</v>
      </c>
      <c r="M541" s="7" t="n">
        <v>0</v>
      </c>
      <c r="N541" s="7" t="n">
        <v>0</v>
      </c>
      <c r="O541" s="7" t="n">
        <v>9</v>
      </c>
      <c r="P541" s="7" t="n">
        <v>4</v>
      </c>
      <c r="Q541" s="7" t="n">
        <v>0</v>
      </c>
      <c r="R541" s="7" t="n">
        <v>0</v>
      </c>
    </row>
    <row r="542" customFormat="false" ht="15" hidden="false" customHeight="true" outlineLevel="0" collapsed="false">
      <c r="A542" s="7" t="n">
        <v>6669</v>
      </c>
      <c r="B542" s="7" t="s">
        <v>46</v>
      </c>
      <c r="C542" s="7" t="s">
        <v>982</v>
      </c>
      <c r="D542" s="7" t="s">
        <v>584</v>
      </c>
      <c r="E542" s="7" t="s">
        <v>115</v>
      </c>
      <c r="F542" s="7" t="n">
        <v>27</v>
      </c>
      <c r="G542" s="7" t="n">
        <v>6.15</v>
      </c>
      <c r="H542" s="7" t="n">
        <v>6.83</v>
      </c>
      <c r="I542" s="7" t="n">
        <v>5</v>
      </c>
      <c r="J542" s="7" t="n">
        <v>0</v>
      </c>
      <c r="K542" s="7" t="n">
        <v>0</v>
      </c>
      <c r="L542" s="7" t="n">
        <v>0</v>
      </c>
      <c r="M542" s="7" t="n">
        <v>0</v>
      </c>
      <c r="N542" s="7" t="n">
        <v>0</v>
      </c>
      <c r="O542" s="7" t="n">
        <v>4</v>
      </c>
      <c r="P542" s="7" t="n">
        <v>1</v>
      </c>
      <c r="Q542" s="7" t="n">
        <v>0</v>
      </c>
      <c r="R542" s="7" t="n">
        <v>0</v>
      </c>
    </row>
    <row r="543" customFormat="false" ht="15" hidden="false" customHeight="true" outlineLevel="0" collapsed="false">
      <c r="A543" s="7" t="n">
        <v>4510</v>
      </c>
      <c r="B543" s="7" t="s">
        <v>46</v>
      </c>
      <c r="C543" s="7" t="s">
        <v>46</v>
      </c>
      <c r="D543" s="7" t="s">
        <v>550</v>
      </c>
      <c r="E543" s="7" t="s">
        <v>121</v>
      </c>
      <c r="F543" s="7" t="n">
        <v>28</v>
      </c>
      <c r="G543" s="7" t="n">
        <v>5.88</v>
      </c>
      <c r="H543" s="7" t="n">
        <v>6.86</v>
      </c>
      <c r="I543" s="7" t="n">
        <v>9</v>
      </c>
      <c r="J543" s="7" t="n">
        <v>0</v>
      </c>
      <c r="K543" s="7" t="n">
        <v>0</v>
      </c>
      <c r="L543" s="7" t="n">
        <v>2</v>
      </c>
      <c r="M543" s="7" t="n">
        <v>2</v>
      </c>
      <c r="N543" s="7" t="n">
        <v>0</v>
      </c>
      <c r="O543" s="7" t="n">
        <v>3</v>
      </c>
      <c r="P543" s="7" t="n">
        <v>5</v>
      </c>
      <c r="Q543" s="7" t="n">
        <v>0</v>
      </c>
      <c r="R543" s="7" t="n">
        <v>0</v>
      </c>
    </row>
    <row r="544" customFormat="false" ht="15" hidden="false" customHeight="true" outlineLevel="0" collapsed="false">
      <c r="A544" s="7" t="n">
        <v>5734</v>
      </c>
      <c r="B544" s="7" t="s">
        <v>46</v>
      </c>
      <c r="C544" s="7" t="s">
        <v>46</v>
      </c>
      <c r="D544" s="7" t="s">
        <v>565</v>
      </c>
      <c r="E544" s="7" t="s">
        <v>113</v>
      </c>
      <c r="F544" s="7" t="n">
        <v>32</v>
      </c>
      <c r="G544" s="7" t="n">
        <v>6.12</v>
      </c>
      <c r="H544" s="7" t="n">
        <v>6.83</v>
      </c>
      <c r="I544" s="7" t="n">
        <v>6</v>
      </c>
      <c r="J544" s="7" t="n">
        <v>0</v>
      </c>
      <c r="K544" s="7" t="n">
        <v>0</v>
      </c>
      <c r="L544" s="7" t="n">
        <v>0</v>
      </c>
      <c r="M544" s="7" t="n">
        <v>0</v>
      </c>
      <c r="N544" s="7" t="n">
        <v>0</v>
      </c>
      <c r="O544" s="7" t="n">
        <v>5</v>
      </c>
      <c r="P544" s="7" t="n">
        <v>1</v>
      </c>
      <c r="Q544" s="7" t="n">
        <v>0</v>
      </c>
      <c r="R544" s="7" t="n">
        <v>0</v>
      </c>
    </row>
    <row r="545" customFormat="false" ht="15" hidden="false" customHeight="true" outlineLevel="0" collapsed="false">
      <c r="A545" s="7" t="n">
        <v>6226</v>
      </c>
      <c r="B545" s="7" t="s">
        <v>46</v>
      </c>
      <c r="C545" s="7" t="s">
        <v>982</v>
      </c>
      <c r="D545" s="7" t="s">
        <v>984</v>
      </c>
      <c r="E545" s="7" t="s">
        <v>133</v>
      </c>
      <c r="F545" s="7" t="n">
        <v>11</v>
      </c>
      <c r="G545" s="7" t="n">
        <v>6.09</v>
      </c>
      <c r="H545" s="7" t="n">
        <v>6.82</v>
      </c>
      <c r="I545" s="7" t="n">
        <v>2</v>
      </c>
      <c r="J545" s="7" t="n">
        <v>0</v>
      </c>
      <c r="K545" s="7" t="n">
        <v>0</v>
      </c>
      <c r="L545" s="7" t="n">
        <v>0</v>
      </c>
      <c r="M545" s="7" t="n">
        <v>0</v>
      </c>
      <c r="N545" s="7" t="n">
        <v>0</v>
      </c>
      <c r="O545" s="7" t="n">
        <v>3</v>
      </c>
      <c r="P545" s="7" t="n">
        <v>2</v>
      </c>
      <c r="Q545" s="7" t="n">
        <v>0</v>
      </c>
      <c r="R545" s="7" t="n">
        <v>0</v>
      </c>
    </row>
    <row r="546" customFormat="false" ht="15" hidden="false" customHeight="true" outlineLevel="0" collapsed="false">
      <c r="A546" s="7" t="n">
        <v>7023</v>
      </c>
      <c r="B546" s="7" t="s">
        <v>46</v>
      </c>
      <c r="C546" s="7" t="s">
        <v>982</v>
      </c>
      <c r="D546" s="7" t="s">
        <v>555</v>
      </c>
      <c r="E546" s="7" t="s">
        <v>141</v>
      </c>
      <c r="F546" s="7" t="n">
        <v>37</v>
      </c>
      <c r="G546" s="7" t="n">
        <v>5.99</v>
      </c>
      <c r="H546" s="7" t="n">
        <v>6.65</v>
      </c>
      <c r="I546" s="7" t="n">
        <v>9</v>
      </c>
      <c r="J546" s="7" t="n">
        <v>0</v>
      </c>
      <c r="K546" s="7" t="n">
        <v>0</v>
      </c>
      <c r="L546" s="7" t="n">
        <v>1</v>
      </c>
      <c r="M546" s="7" t="n">
        <v>1</v>
      </c>
      <c r="N546" s="7" t="n">
        <v>0</v>
      </c>
      <c r="O546" s="7" t="n">
        <v>0</v>
      </c>
      <c r="P546" s="7" t="n">
        <v>5</v>
      </c>
      <c r="Q546" s="7" t="n">
        <v>0</v>
      </c>
      <c r="R546" s="7" t="n">
        <v>0</v>
      </c>
    </row>
    <row r="547" customFormat="false" ht="15" hidden="false" customHeight="true" outlineLevel="0" collapsed="false">
      <c r="A547" s="7" t="n">
        <v>4728</v>
      </c>
      <c r="B547" s="7" t="s">
        <v>46</v>
      </c>
      <c r="C547" s="7" t="s">
        <v>46</v>
      </c>
      <c r="D547" s="7" t="s">
        <v>563</v>
      </c>
      <c r="E547" s="7" t="s">
        <v>121</v>
      </c>
      <c r="F547" s="7" t="n">
        <v>26</v>
      </c>
      <c r="G547" s="7" t="n">
        <v>5.94</v>
      </c>
      <c r="H547" s="7" t="n">
        <v>6.87</v>
      </c>
      <c r="I547" s="7" t="n">
        <v>7</v>
      </c>
      <c r="J547" s="7" t="n">
        <v>0</v>
      </c>
      <c r="K547" s="7" t="n">
        <v>0</v>
      </c>
      <c r="L547" s="7" t="n">
        <v>5</v>
      </c>
      <c r="M547" s="7" t="n">
        <v>5</v>
      </c>
      <c r="N547" s="7" t="n">
        <v>0</v>
      </c>
      <c r="O547" s="7" t="n">
        <v>3</v>
      </c>
      <c r="P547" s="7" t="n">
        <v>0</v>
      </c>
      <c r="Q547" s="7" t="n">
        <v>0</v>
      </c>
      <c r="R547" s="7" t="n">
        <v>0</v>
      </c>
    </row>
    <row r="548" customFormat="false" ht="15" hidden="false" customHeight="true" outlineLevel="0" collapsed="false">
      <c r="A548" s="7" t="n">
        <v>6572</v>
      </c>
      <c r="B548" s="7" t="s">
        <v>46</v>
      </c>
      <c r="C548" s="7" t="s">
        <v>982</v>
      </c>
      <c r="D548" s="7" t="s">
        <v>560</v>
      </c>
      <c r="E548" s="7" t="s">
        <v>127</v>
      </c>
      <c r="F548" s="7" t="n">
        <v>35</v>
      </c>
      <c r="G548" s="7" t="n">
        <v>5.93</v>
      </c>
      <c r="H548" s="7" t="n">
        <v>6.51</v>
      </c>
      <c r="I548" s="7" t="n">
        <v>7</v>
      </c>
      <c r="J548" s="7" t="n">
        <v>0</v>
      </c>
      <c r="K548" s="7" t="n">
        <v>0</v>
      </c>
      <c r="L548" s="7" t="n">
        <v>0</v>
      </c>
      <c r="M548" s="7" t="n">
        <v>0</v>
      </c>
      <c r="N548" s="7" t="n">
        <v>0</v>
      </c>
      <c r="O548" s="7" t="n">
        <v>1</v>
      </c>
      <c r="P548" s="7" t="n">
        <v>3</v>
      </c>
      <c r="Q548" s="7" t="n">
        <v>0</v>
      </c>
      <c r="R548" s="7" t="n">
        <v>0</v>
      </c>
    </row>
    <row r="549" customFormat="false" ht="15" hidden="false" customHeight="true" outlineLevel="0" collapsed="false">
      <c r="A549" s="7" t="n">
        <v>5995</v>
      </c>
      <c r="B549" s="7" t="s">
        <v>46</v>
      </c>
      <c r="C549" s="7" t="s">
        <v>46</v>
      </c>
      <c r="D549" s="7" t="s">
        <v>552</v>
      </c>
      <c r="E549" s="7" t="s">
        <v>117</v>
      </c>
      <c r="F549" s="7" t="n">
        <v>31</v>
      </c>
      <c r="G549" s="7" t="n">
        <v>6.21</v>
      </c>
      <c r="H549" s="7" t="n">
        <v>6.6</v>
      </c>
      <c r="I549" s="7" t="n">
        <v>3</v>
      </c>
      <c r="J549" s="7" t="n">
        <v>0</v>
      </c>
      <c r="K549" s="7" t="n">
        <v>0</v>
      </c>
      <c r="L549" s="7" t="n">
        <v>0</v>
      </c>
      <c r="M549" s="7" t="n">
        <v>0</v>
      </c>
      <c r="N549" s="7" t="n">
        <v>0</v>
      </c>
      <c r="O549" s="7" t="n">
        <v>5</v>
      </c>
      <c r="P549" s="7" t="n">
        <v>4</v>
      </c>
      <c r="Q549" s="7" t="n">
        <v>0</v>
      </c>
      <c r="R549" s="7" t="n">
        <v>0</v>
      </c>
    </row>
    <row r="550" customFormat="false" ht="15" hidden="false" customHeight="true" outlineLevel="0" collapsed="false">
      <c r="A550" s="7" t="n">
        <v>2097</v>
      </c>
      <c r="B550" s="7" t="s">
        <v>46</v>
      </c>
      <c r="C550" s="7" t="s">
        <v>982</v>
      </c>
      <c r="D550" s="7" t="s">
        <v>544</v>
      </c>
      <c r="E550" s="7" t="s">
        <v>123</v>
      </c>
      <c r="F550" s="7" t="n">
        <v>26</v>
      </c>
      <c r="G550" s="7" t="n">
        <v>5.88</v>
      </c>
      <c r="H550" s="7" t="n">
        <v>6.77</v>
      </c>
      <c r="I550" s="7" t="n">
        <v>8</v>
      </c>
      <c r="J550" s="7" t="n">
        <v>0</v>
      </c>
      <c r="K550" s="7" t="n">
        <v>0</v>
      </c>
      <c r="L550" s="7" t="n">
        <v>2</v>
      </c>
      <c r="M550" s="7" t="n">
        <v>2</v>
      </c>
      <c r="N550" s="7" t="n">
        <v>0</v>
      </c>
      <c r="O550" s="7" t="n">
        <v>1</v>
      </c>
      <c r="P550" s="7" t="n">
        <v>4</v>
      </c>
      <c r="Q550" s="7" t="n">
        <v>0</v>
      </c>
      <c r="R550" s="7" t="n">
        <v>0</v>
      </c>
    </row>
    <row r="551" customFormat="false" ht="15" hidden="false" customHeight="true" outlineLevel="0" collapsed="false">
      <c r="A551" s="7" t="n">
        <v>2841</v>
      </c>
      <c r="B551" s="7" t="s">
        <v>46</v>
      </c>
      <c r="C551" s="7" t="s">
        <v>982</v>
      </c>
      <c r="D551" s="7" t="s">
        <v>985</v>
      </c>
      <c r="E551" s="7" t="s">
        <v>131</v>
      </c>
      <c r="F551" s="7" t="n">
        <v>18</v>
      </c>
      <c r="G551" s="7" t="n">
        <v>6.14</v>
      </c>
      <c r="H551" s="7" t="n">
        <v>7.31</v>
      </c>
      <c r="I551" s="7" t="n">
        <v>7</v>
      </c>
      <c r="J551" s="7" t="n">
        <v>0</v>
      </c>
      <c r="K551" s="7" t="n">
        <v>0</v>
      </c>
      <c r="L551" s="7" t="n">
        <v>1</v>
      </c>
      <c r="M551" s="7" t="n">
        <v>1</v>
      </c>
      <c r="N551" s="7" t="n">
        <v>0</v>
      </c>
      <c r="O551" s="7" t="n">
        <v>0</v>
      </c>
      <c r="P551" s="7" t="n">
        <v>0</v>
      </c>
      <c r="Q551" s="7" t="n">
        <v>0</v>
      </c>
      <c r="R551" s="7" t="n">
        <v>0</v>
      </c>
    </row>
    <row r="552" customFormat="false" ht="15" hidden="false" customHeight="true" outlineLevel="0" collapsed="false">
      <c r="A552" s="7" t="n">
        <v>2489</v>
      </c>
      <c r="B552" s="7" t="s">
        <v>46</v>
      </c>
      <c r="C552" s="7" t="s">
        <v>46</v>
      </c>
      <c r="D552" s="7" t="s">
        <v>986</v>
      </c>
      <c r="E552" s="7" t="s">
        <v>133</v>
      </c>
      <c r="F552" s="7" t="n">
        <v>23</v>
      </c>
      <c r="G552" s="7" t="n">
        <v>6.13</v>
      </c>
      <c r="H552" s="7" t="n">
        <v>6.78</v>
      </c>
      <c r="I552" s="7" t="n">
        <v>5</v>
      </c>
      <c r="J552" s="7" t="n">
        <v>0</v>
      </c>
      <c r="K552" s="7" t="n">
        <v>0</v>
      </c>
      <c r="L552" s="7" t="n">
        <v>2</v>
      </c>
      <c r="M552" s="7" t="n">
        <v>2</v>
      </c>
      <c r="N552" s="7" t="n">
        <v>0</v>
      </c>
      <c r="O552" s="7" t="n">
        <v>2</v>
      </c>
      <c r="P552" s="7" t="n">
        <v>4</v>
      </c>
      <c r="Q552" s="7" t="n">
        <v>0</v>
      </c>
      <c r="R552" s="7" t="n">
        <v>0</v>
      </c>
    </row>
    <row r="553" customFormat="false" ht="15" hidden="false" customHeight="true" outlineLevel="0" collapsed="false">
      <c r="A553" s="7" t="n">
        <v>5455</v>
      </c>
      <c r="B553" s="7" t="s">
        <v>46</v>
      </c>
      <c r="C553" s="7" t="s">
        <v>46</v>
      </c>
      <c r="D553" s="7" t="s">
        <v>987</v>
      </c>
      <c r="E553" s="7" t="s">
        <v>748</v>
      </c>
      <c r="F553" s="7" t="n">
        <v>35</v>
      </c>
      <c r="G553" s="7" t="n">
        <v>5.99</v>
      </c>
      <c r="H553" s="7" t="n">
        <v>6.56</v>
      </c>
      <c r="I553" s="7" t="n">
        <v>7</v>
      </c>
      <c r="J553" s="7" t="n">
        <v>0</v>
      </c>
      <c r="K553" s="7" t="n">
        <v>0</v>
      </c>
      <c r="L553" s="7" t="n">
        <v>2</v>
      </c>
      <c r="M553" s="7" t="n">
        <v>2</v>
      </c>
      <c r="N553" s="7" t="n">
        <v>0</v>
      </c>
      <c r="O553" s="7" t="n">
        <v>0</v>
      </c>
      <c r="P553" s="7" t="n">
        <v>2</v>
      </c>
      <c r="Q553" s="7" t="n">
        <v>0</v>
      </c>
      <c r="R553" s="7" t="n">
        <v>0</v>
      </c>
    </row>
    <row r="554" customFormat="false" ht="15" hidden="false" customHeight="true" outlineLevel="0" collapsed="false">
      <c r="A554" s="7" t="n">
        <v>2038</v>
      </c>
      <c r="B554" s="7" t="s">
        <v>46</v>
      </c>
      <c r="C554" s="7" t="s">
        <v>982</v>
      </c>
      <c r="D554" s="7" t="s">
        <v>564</v>
      </c>
      <c r="E554" s="7" t="s">
        <v>144</v>
      </c>
      <c r="F554" s="7" t="n">
        <v>34</v>
      </c>
      <c r="G554" s="7" t="n">
        <v>5.88</v>
      </c>
      <c r="H554" s="7" t="n">
        <v>6.62</v>
      </c>
      <c r="I554" s="7" t="n">
        <v>9</v>
      </c>
      <c r="J554" s="7" t="n">
        <v>0</v>
      </c>
      <c r="K554" s="7" t="n">
        <v>0</v>
      </c>
      <c r="L554" s="7" t="n">
        <v>1</v>
      </c>
      <c r="M554" s="7" t="n">
        <v>0</v>
      </c>
      <c r="N554" s="7" t="n">
        <v>1</v>
      </c>
      <c r="O554" s="7" t="n">
        <v>3</v>
      </c>
      <c r="P554" s="7" t="n">
        <v>2</v>
      </c>
      <c r="Q554" s="7" t="n">
        <v>1</v>
      </c>
      <c r="R554" s="7" t="n">
        <v>0</v>
      </c>
    </row>
    <row r="555" customFormat="false" ht="15" hidden="false" customHeight="true" outlineLevel="0" collapsed="false">
      <c r="A555" s="7" t="n">
        <v>6646</v>
      </c>
      <c r="B555" s="7" t="s">
        <v>46</v>
      </c>
      <c r="C555" s="7" t="s">
        <v>46</v>
      </c>
      <c r="D555" s="7" t="s">
        <v>577</v>
      </c>
      <c r="E555" s="7" t="s">
        <v>184</v>
      </c>
      <c r="F555" s="7" t="n">
        <v>32</v>
      </c>
      <c r="G555" s="7" t="n">
        <v>5.98</v>
      </c>
      <c r="H555" s="7" t="n">
        <v>6.64</v>
      </c>
      <c r="I555" s="7" t="n">
        <v>6</v>
      </c>
      <c r="J555" s="7" t="n">
        <v>0</v>
      </c>
      <c r="K555" s="7" t="n">
        <v>0</v>
      </c>
      <c r="L555" s="7" t="n">
        <v>0</v>
      </c>
      <c r="M555" s="7" t="n">
        <v>0</v>
      </c>
      <c r="N555" s="7" t="n">
        <v>0</v>
      </c>
      <c r="O555" s="7" t="n">
        <v>3</v>
      </c>
      <c r="P555" s="7" t="n">
        <v>0</v>
      </c>
      <c r="Q555" s="7" t="n">
        <v>0</v>
      </c>
      <c r="R555" s="7" t="n">
        <v>0</v>
      </c>
    </row>
    <row r="556" customFormat="false" ht="15" hidden="false" customHeight="true" outlineLevel="0" collapsed="false">
      <c r="A556" s="7" t="n">
        <v>2369</v>
      </c>
      <c r="B556" s="7" t="s">
        <v>46</v>
      </c>
      <c r="C556" s="7" t="s">
        <v>46</v>
      </c>
      <c r="D556" s="7" t="s">
        <v>988</v>
      </c>
      <c r="E556" s="7" t="s">
        <v>135</v>
      </c>
      <c r="F556" s="7" t="n">
        <v>0</v>
      </c>
      <c r="G556" s="7" t="n">
        <v>0</v>
      </c>
      <c r="H556" s="7" t="n">
        <v>0</v>
      </c>
      <c r="I556" s="7" t="n">
        <v>0</v>
      </c>
      <c r="J556" s="7" t="n">
        <v>0</v>
      </c>
      <c r="K556" s="7" t="n">
        <v>0</v>
      </c>
      <c r="L556" s="7" t="n">
        <v>0</v>
      </c>
      <c r="M556" s="7" t="n">
        <v>0</v>
      </c>
      <c r="N556" s="7" t="n">
        <v>0</v>
      </c>
      <c r="O556" s="7" t="n">
        <v>0</v>
      </c>
      <c r="P556" s="7" t="n">
        <v>0</v>
      </c>
      <c r="Q556" s="7" t="n">
        <v>0</v>
      </c>
      <c r="R556" s="7" t="n">
        <v>0</v>
      </c>
    </row>
    <row r="557" customFormat="false" ht="15" hidden="false" customHeight="true" outlineLevel="0" collapsed="false">
      <c r="A557" s="7" t="n">
        <v>2499</v>
      </c>
      <c r="B557" s="7" t="s">
        <v>46</v>
      </c>
      <c r="C557" s="7" t="s">
        <v>982</v>
      </c>
      <c r="D557" s="7" t="s">
        <v>989</v>
      </c>
      <c r="E557" s="7" t="s">
        <v>743</v>
      </c>
      <c r="F557" s="7" t="n">
        <v>29</v>
      </c>
      <c r="G557" s="7" t="n">
        <v>5.95</v>
      </c>
      <c r="H557" s="7" t="n">
        <v>6.62</v>
      </c>
      <c r="I557" s="7" t="n">
        <v>7</v>
      </c>
      <c r="J557" s="7" t="n">
        <v>0</v>
      </c>
      <c r="K557" s="7" t="n">
        <v>0</v>
      </c>
      <c r="L557" s="7" t="n">
        <v>0</v>
      </c>
      <c r="M557" s="7" t="n">
        <v>0</v>
      </c>
      <c r="N557" s="7" t="n">
        <v>0</v>
      </c>
      <c r="O557" s="7" t="n">
        <v>1</v>
      </c>
      <c r="P557" s="7" t="n">
        <v>5</v>
      </c>
      <c r="Q557" s="7" t="n">
        <v>0</v>
      </c>
      <c r="R557" s="7" t="n">
        <v>0</v>
      </c>
    </row>
    <row r="558" customFormat="false" ht="15" hidden="false" customHeight="true" outlineLevel="0" collapsed="false">
      <c r="A558" s="7" t="n">
        <v>7129</v>
      </c>
      <c r="B558" s="7" t="s">
        <v>46</v>
      </c>
      <c r="C558" s="7" t="s">
        <v>894</v>
      </c>
      <c r="D558" s="7" t="s">
        <v>385</v>
      </c>
      <c r="E558" s="7" t="s">
        <v>119</v>
      </c>
      <c r="F558" s="7" t="n">
        <v>28</v>
      </c>
      <c r="G558" s="7" t="n">
        <v>6.25</v>
      </c>
      <c r="H558" s="7" t="n">
        <v>6.66</v>
      </c>
      <c r="I558" s="7" t="n">
        <v>2</v>
      </c>
      <c r="J558" s="7" t="n">
        <v>0</v>
      </c>
      <c r="K558" s="7" t="n">
        <v>0</v>
      </c>
      <c r="L558" s="7" t="n">
        <v>0</v>
      </c>
      <c r="M558" s="7" t="n">
        <v>0</v>
      </c>
      <c r="N558" s="7" t="n">
        <v>0</v>
      </c>
      <c r="O558" s="7" t="n">
        <v>8</v>
      </c>
      <c r="P558" s="7" t="n">
        <v>3</v>
      </c>
      <c r="Q558" s="7" t="n">
        <v>1</v>
      </c>
      <c r="R558" s="7" t="n">
        <v>0</v>
      </c>
    </row>
    <row r="559" customFormat="false" ht="15" hidden="false" customHeight="true" outlineLevel="0" collapsed="false">
      <c r="A559" s="7" t="n">
        <v>6001</v>
      </c>
      <c r="B559" s="7" t="s">
        <v>46</v>
      </c>
      <c r="C559" s="7" t="s">
        <v>894</v>
      </c>
      <c r="D559" s="7" t="s">
        <v>990</v>
      </c>
      <c r="E559" s="7" t="s">
        <v>139</v>
      </c>
      <c r="F559" s="7" t="n">
        <v>32</v>
      </c>
      <c r="G559" s="7" t="n">
        <v>6.08</v>
      </c>
      <c r="H559" s="7" t="n">
        <v>6.55</v>
      </c>
      <c r="I559" s="7" t="n">
        <v>5</v>
      </c>
      <c r="J559" s="7" t="n">
        <v>0</v>
      </c>
      <c r="K559" s="7" t="n">
        <v>0</v>
      </c>
      <c r="L559" s="7" t="n">
        <v>0</v>
      </c>
      <c r="M559" s="7" t="n">
        <v>0</v>
      </c>
      <c r="N559" s="7" t="n">
        <v>0</v>
      </c>
      <c r="O559" s="7" t="n">
        <v>4</v>
      </c>
      <c r="P559" s="7" t="n">
        <v>6</v>
      </c>
      <c r="Q559" s="7" t="n">
        <v>1</v>
      </c>
      <c r="R559" s="7" t="n">
        <v>0</v>
      </c>
    </row>
    <row r="560" customFormat="false" ht="15" hidden="false" customHeight="true" outlineLevel="0" collapsed="false">
      <c r="A560" s="7" t="n">
        <v>4371</v>
      </c>
      <c r="B560" s="7" t="s">
        <v>46</v>
      </c>
      <c r="C560" s="7" t="s">
        <v>46</v>
      </c>
      <c r="D560" s="7" t="s">
        <v>561</v>
      </c>
      <c r="E560" s="7" t="s">
        <v>117</v>
      </c>
      <c r="F560" s="7" t="n">
        <v>13</v>
      </c>
      <c r="G560" s="7" t="n">
        <v>6.12</v>
      </c>
      <c r="H560" s="7" t="n">
        <v>6.88</v>
      </c>
      <c r="I560" s="7" t="n">
        <v>3</v>
      </c>
      <c r="J560" s="7" t="n">
        <v>0</v>
      </c>
      <c r="K560" s="7" t="n">
        <v>0</v>
      </c>
      <c r="L560" s="7" t="n">
        <v>0</v>
      </c>
      <c r="M560" s="7" t="n">
        <v>0</v>
      </c>
      <c r="N560" s="7" t="n">
        <v>0</v>
      </c>
      <c r="O560" s="7" t="n">
        <v>1</v>
      </c>
      <c r="P560" s="7" t="n">
        <v>0</v>
      </c>
      <c r="Q560" s="7" t="n">
        <v>0</v>
      </c>
      <c r="R560" s="7" t="n">
        <v>0</v>
      </c>
    </row>
    <row r="561" customFormat="false" ht="15" hidden="false" customHeight="true" outlineLevel="0" collapsed="false">
      <c r="A561" s="7" t="n">
        <v>2531</v>
      </c>
      <c r="B561" s="7" t="s">
        <v>46</v>
      </c>
      <c r="C561" s="7" t="s">
        <v>982</v>
      </c>
      <c r="D561" s="7" t="s">
        <v>571</v>
      </c>
      <c r="E561" s="7" t="s">
        <v>125</v>
      </c>
      <c r="F561" s="7" t="n">
        <v>1</v>
      </c>
      <c r="G561" s="7" t="n">
        <v>7</v>
      </c>
      <c r="H561" s="7" t="n">
        <v>9.5</v>
      </c>
      <c r="I561" s="7" t="n">
        <v>1</v>
      </c>
      <c r="J561" s="7" t="n">
        <v>0</v>
      </c>
      <c r="K561" s="7" t="n">
        <v>0</v>
      </c>
      <c r="L561" s="7" t="n">
        <v>0</v>
      </c>
      <c r="M561" s="7" t="n">
        <v>0</v>
      </c>
      <c r="N561" s="7" t="n">
        <v>0</v>
      </c>
      <c r="O561" s="7" t="n">
        <v>0</v>
      </c>
      <c r="P561" s="7" t="n">
        <v>1</v>
      </c>
      <c r="Q561" s="7" t="n">
        <v>0</v>
      </c>
      <c r="R561" s="7" t="n">
        <v>0</v>
      </c>
    </row>
    <row r="562" customFormat="false" ht="15" hidden="false" customHeight="true" outlineLevel="0" collapsed="false">
      <c r="A562" s="7" t="n">
        <v>4730</v>
      </c>
      <c r="B562" s="7" t="s">
        <v>46</v>
      </c>
      <c r="C562" s="7" t="s">
        <v>46</v>
      </c>
      <c r="D562" s="7" t="s">
        <v>991</v>
      </c>
      <c r="E562" s="7" t="s">
        <v>117</v>
      </c>
      <c r="F562" s="7" t="n">
        <v>10</v>
      </c>
      <c r="G562" s="7" t="n">
        <v>5.8</v>
      </c>
      <c r="H562" s="7" t="n">
        <v>6.4</v>
      </c>
      <c r="I562" s="7" t="n">
        <v>2</v>
      </c>
      <c r="J562" s="7" t="n">
        <v>0</v>
      </c>
      <c r="K562" s="7" t="n">
        <v>0</v>
      </c>
      <c r="L562" s="7" t="n">
        <v>0</v>
      </c>
      <c r="M562" s="7" t="n">
        <v>0</v>
      </c>
      <c r="N562" s="7" t="n">
        <v>0</v>
      </c>
      <c r="O562" s="7" t="n">
        <v>0</v>
      </c>
      <c r="P562" s="7" t="n">
        <v>0</v>
      </c>
      <c r="Q562" s="7" t="n">
        <v>0</v>
      </c>
      <c r="R562" s="7" t="n">
        <v>0</v>
      </c>
    </row>
    <row r="563" customFormat="false" ht="15" hidden="false" customHeight="true" outlineLevel="0" collapsed="false">
      <c r="A563" s="7" t="n">
        <v>4923</v>
      </c>
      <c r="B563" s="7" t="s">
        <v>46</v>
      </c>
      <c r="C563" s="7" t="s">
        <v>982</v>
      </c>
      <c r="D563" s="7" t="s">
        <v>568</v>
      </c>
      <c r="E563" s="7" t="s">
        <v>137</v>
      </c>
      <c r="F563" s="7" t="n">
        <v>37</v>
      </c>
      <c r="G563" s="7" t="n">
        <v>5.92</v>
      </c>
      <c r="H563" s="7" t="n">
        <v>6.41</v>
      </c>
      <c r="I563" s="7" t="n">
        <v>7</v>
      </c>
      <c r="J563" s="7" t="n">
        <v>0</v>
      </c>
      <c r="K563" s="7" t="n">
        <v>0</v>
      </c>
      <c r="L563" s="7" t="n">
        <v>2</v>
      </c>
      <c r="M563" s="7" t="n">
        <v>1</v>
      </c>
      <c r="N563" s="7" t="n">
        <v>1</v>
      </c>
      <c r="O563" s="7" t="n">
        <v>1</v>
      </c>
      <c r="P563" s="7" t="n">
        <v>2</v>
      </c>
      <c r="Q563" s="7" t="n">
        <v>0</v>
      </c>
      <c r="R563" s="7" t="n">
        <v>0</v>
      </c>
    </row>
    <row r="564" customFormat="false" ht="15" hidden="false" customHeight="true" outlineLevel="0" collapsed="false">
      <c r="A564" s="7" t="n">
        <v>6556</v>
      </c>
      <c r="B564" s="7" t="s">
        <v>46</v>
      </c>
      <c r="C564" s="7" t="s">
        <v>46</v>
      </c>
      <c r="D564" s="7" t="s">
        <v>590</v>
      </c>
      <c r="E564" s="7" t="s">
        <v>133</v>
      </c>
      <c r="F564" s="7" t="n">
        <v>23</v>
      </c>
      <c r="G564" s="7" t="n">
        <v>6.02</v>
      </c>
      <c r="H564" s="7" t="n">
        <v>6.5</v>
      </c>
      <c r="I564" s="7" t="n">
        <v>4</v>
      </c>
      <c r="J564" s="7" t="n">
        <v>0</v>
      </c>
      <c r="K564" s="7" t="n">
        <v>0</v>
      </c>
      <c r="L564" s="7" t="n">
        <v>0</v>
      </c>
      <c r="M564" s="7" t="n">
        <v>0</v>
      </c>
      <c r="N564" s="7" t="n">
        <v>0</v>
      </c>
      <c r="O564" s="7" t="n">
        <v>2</v>
      </c>
      <c r="P564" s="7" t="n">
        <v>4</v>
      </c>
      <c r="Q564" s="7" t="n">
        <v>1</v>
      </c>
      <c r="R564" s="7" t="n">
        <v>0</v>
      </c>
    </row>
    <row r="565" customFormat="false" ht="15" hidden="false" customHeight="true" outlineLevel="0" collapsed="false">
      <c r="A565" s="7" t="n">
        <v>6552</v>
      </c>
      <c r="B565" s="7" t="s">
        <v>46</v>
      </c>
      <c r="C565" s="7" t="s">
        <v>982</v>
      </c>
      <c r="D565" s="7" t="s">
        <v>992</v>
      </c>
      <c r="E565" s="7" t="s">
        <v>745</v>
      </c>
      <c r="F565" s="7" t="n">
        <v>28</v>
      </c>
      <c r="G565" s="7" t="n">
        <v>5.82</v>
      </c>
      <c r="H565" s="7" t="n">
        <v>6.54</v>
      </c>
      <c r="I565" s="7" t="n">
        <v>7</v>
      </c>
      <c r="J565" s="7" t="n">
        <v>0</v>
      </c>
      <c r="K565" s="7" t="n">
        <v>0</v>
      </c>
      <c r="L565" s="7" t="n">
        <v>2</v>
      </c>
      <c r="M565" s="7" t="n">
        <v>2</v>
      </c>
      <c r="N565" s="7" t="n">
        <v>0</v>
      </c>
      <c r="O565" s="7" t="n">
        <v>2</v>
      </c>
      <c r="P565" s="7" t="n">
        <v>4</v>
      </c>
      <c r="Q565" s="7" t="n">
        <v>1</v>
      </c>
      <c r="R565" s="7" t="n">
        <v>0</v>
      </c>
    </row>
    <row r="566" customFormat="false" ht="15" hidden="false" customHeight="true" outlineLevel="0" collapsed="false">
      <c r="A566" s="7" t="n">
        <v>6164</v>
      </c>
      <c r="B566" s="7" t="s">
        <v>46</v>
      </c>
      <c r="C566" s="7" t="s">
        <v>982</v>
      </c>
      <c r="D566" s="7" t="s">
        <v>580</v>
      </c>
      <c r="E566" s="7" t="s">
        <v>137</v>
      </c>
      <c r="F566" s="7" t="n">
        <v>31</v>
      </c>
      <c r="G566" s="7" t="n">
        <v>5.95</v>
      </c>
      <c r="H566" s="7" t="n">
        <v>6.39</v>
      </c>
      <c r="I566" s="7" t="n">
        <v>5</v>
      </c>
      <c r="J566" s="7" t="n">
        <v>0</v>
      </c>
      <c r="K566" s="7" t="n">
        <v>0</v>
      </c>
      <c r="L566" s="7" t="n">
        <v>0</v>
      </c>
      <c r="M566" s="7" t="n">
        <v>0</v>
      </c>
      <c r="N566" s="7" t="n">
        <v>0</v>
      </c>
      <c r="O566" s="7" t="n">
        <v>1</v>
      </c>
      <c r="P566" s="7" t="n">
        <v>5</v>
      </c>
      <c r="Q566" s="7" t="n">
        <v>0</v>
      </c>
      <c r="R566" s="7" t="n">
        <v>0</v>
      </c>
    </row>
    <row r="567" customFormat="false" ht="15" hidden="false" customHeight="true" outlineLevel="0" collapsed="false">
      <c r="A567" s="7" t="n">
        <v>5544</v>
      </c>
      <c r="B567" s="7" t="s">
        <v>46</v>
      </c>
      <c r="C567" s="7" t="s">
        <v>982</v>
      </c>
      <c r="D567" s="7" t="s">
        <v>574</v>
      </c>
      <c r="E567" s="7" t="s">
        <v>131</v>
      </c>
      <c r="F567" s="7" t="n">
        <v>30</v>
      </c>
      <c r="G567" s="7" t="n">
        <v>5.77</v>
      </c>
      <c r="H567" s="7" t="n">
        <v>6.33</v>
      </c>
      <c r="I567" s="7" t="n">
        <v>6</v>
      </c>
      <c r="J567" s="7" t="n">
        <v>0</v>
      </c>
      <c r="K567" s="7" t="n">
        <v>0</v>
      </c>
      <c r="L567" s="7" t="n">
        <v>1</v>
      </c>
      <c r="M567" s="7" t="n">
        <v>0</v>
      </c>
      <c r="N567" s="7" t="n">
        <v>1</v>
      </c>
      <c r="O567" s="7" t="n">
        <v>2</v>
      </c>
      <c r="P567" s="7" t="n">
        <v>0</v>
      </c>
      <c r="Q567" s="7" t="n">
        <v>0</v>
      </c>
      <c r="R567" s="7" t="n">
        <v>0</v>
      </c>
    </row>
    <row r="568" customFormat="false" ht="15" hidden="false" customHeight="true" outlineLevel="0" collapsed="false">
      <c r="A568" s="7" t="n">
        <v>7120</v>
      </c>
      <c r="B568" s="7" t="s">
        <v>46</v>
      </c>
      <c r="C568" s="7" t="s">
        <v>46</v>
      </c>
      <c r="D568" s="7" t="s">
        <v>610</v>
      </c>
      <c r="E568" s="7" t="s">
        <v>125</v>
      </c>
      <c r="F568" s="7" t="n">
        <v>14</v>
      </c>
      <c r="G568" s="7" t="n">
        <v>6.04</v>
      </c>
      <c r="H568" s="7" t="n">
        <v>6.32</v>
      </c>
      <c r="I568" s="7" t="n">
        <v>1</v>
      </c>
      <c r="J568" s="7" t="n">
        <v>0</v>
      </c>
      <c r="K568" s="7" t="n">
        <v>0</v>
      </c>
      <c r="L568" s="7" t="n">
        <v>0</v>
      </c>
      <c r="M568" s="7" t="n">
        <v>0</v>
      </c>
      <c r="N568" s="7" t="n">
        <v>0</v>
      </c>
      <c r="O568" s="7" t="n">
        <v>2</v>
      </c>
      <c r="P568" s="7" t="n">
        <v>2</v>
      </c>
      <c r="Q568" s="7" t="n">
        <v>0</v>
      </c>
      <c r="R568" s="7" t="n">
        <v>0</v>
      </c>
    </row>
    <row r="569" customFormat="false" ht="15" hidden="false" customHeight="true" outlineLevel="0" collapsed="false">
      <c r="A569" s="7" t="n">
        <v>309</v>
      </c>
      <c r="B569" s="7" t="s">
        <v>46</v>
      </c>
      <c r="C569" s="7" t="s">
        <v>46</v>
      </c>
      <c r="D569" s="7" t="s">
        <v>559</v>
      </c>
      <c r="E569" s="7" t="s">
        <v>113</v>
      </c>
      <c r="F569" s="7" t="n">
        <v>21</v>
      </c>
      <c r="G569" s="7" t="n">
        <v>6.26</v>
      </c>
      <c r="H569" s="7" t="n">
        <v>6.74</v>
      </c>
      <c r="I569" s="7" t="n">
        <v>2</v>
      </c>
      <c r="J569" s="7" t="n">
        <v>0</v>
      </c>
      <c r="K569" s="7" t="n">
        <v>0</v>
      </c>
      <c r="L569" s="7" t="n">
        <v>1</v>
      </c>
      <c r="M569" s="7" t="n">
        <v>0</v>
      </c>
      <c r="N569" s="7" t="n">
        <v>1</v>
      </c>
      <c r="O569" s="7" t="n">
        <v>7</v>
      </c>
      <c r="P569" s="7" t="n">
        <v>0</v>
      </c>
      <c r="Q569" s="7" t="n">
        <v>0</v>
      </c>
      <c r="R569" s="7" t="n">
        <v>0</v>
      </c>
    </row>
    <row r="570" customFormat="false" ht="15" hidden="false" customHeight="true" outlineLevel="0" collapsed="false">
      <c r="A570" s="7" t="n">
        <v>7162</v>
      </c>
      <c r="B570" s="7" t="s">
        <v>46</v>
      </c>
      <c r="C570" s="7" t="s">
        <v>46</v>
      </c>
      <c r="D570" s="7" t="s">
        <v>603</v>
      </c>
      <c r="E570" s="7" t="s">
        <v>125</v>
      </c>
      <c r="F570" s="7" t="n">
        <v>31</v>
      </c>
      <c r="G570" s="7" t="n">
        <v>6</v>
      </c>
      <c r="H570" s="7" t="n">
        <v>6.45</v>
      </c>
      <c r="I570" s="7" t="n">
        <v>3</v>
      </c>
      <c r="J570" s="7" t="n">
        <v>0</v>
      </c>
      <c r="K570" s="7" t="n">
        <v>0</v>
      </c>
      <c r="L570" s="7" t="n">
        <v>0</v>
      </c>
      <c r="M570" s="7" t="n">
        <v>0</v>
      </c>
      <c r="N570" s="7" t="n">
        <v>0</v>
      </c>
      <c r="O570" s="7" t="n">
        <v>6</v>
      </c>
      <c r="P570" s="7" t="n">
        <v>2</v>
      </c>
      <c r="Q570" s="7" t="n">
        <v>0</v>
      </c>
      <c r="R570" s="7" t="n">
        <v>0</v>
      </c>
    </row>
    <row r="571" customFormat="false" ht="15" hidden="false" customHeight="true" outlineLevel="0" collapsed="false">
      <c r="A571" s="7" t="n">
        <v>7199</v>
      </c>
      <c r="B571" s="7" t="s">
        <v>46</v>
      </c>
      <c r="C571" s="7" t="s">
        <v>46</v>
      </c>
      <c r="D571" s="7" t="s">
        <v>993</v>
      </c>
      <c r="E571" s="7" t="s">
        <v>129</v>
      </c>
      <c r="F571" s="7" t="n">
        <v>16</v>
      </c>
      <c r="G571" s="7" t="n">
        <v>6.03</v>
      </c>
      <c r="H571" s="7" t="n">
        <v>6.78</v>
      </c>
      <c r="I571" s="7" t="n">
        <v>4</v>
      </c>
      <c r="J571" s="7" t="n">
        <v>0</v>
      </c>
      <c r="K571" s="7" t="n">
        <v>0</v>
      </c>
      <c r="L571" s="7" t="n">
        <v>0</v>
      </c>
      <c r="M571" s="7" t="n">
        <v>0</v>
      </c>
      <c r="N571" s="7" t="n">
        <v>0</v>
      </c>
      <c r="O571" s="7" t="n">
        <v>0</v>
      </c>
      <c r="P571" s="7" t="n">
        <v>1</v>
      </c>
      <c r="Q571" s="7" t="n">
        <v>0</v>
      </c>
      <c r="R571" s="7" t="n">
        <v>0</v>
      </c>
    </row>
    <row r="572" customFormat="false" ht="15" hidden="false" customHeight="true" outlineLevel="0" collapsed="false">
      <c r="A572" s="7" t="n">
        <v>4436</v>
      </c>
      <c r="B572" s="7" t="s">
        <v>46</v>
      </c>
      <c r="C572" s="7" t="s">
        <v>46</v>
      </c>
      <c r="D572" s="7" t="s">
        <v>408</v>
      </c>
      <c r="E572" s="7" t="s">
        <v>127</v>
      </c>
      <c r="F572" s="7" t="n">
        <v>24</v>
      </c>
      <c r="G572" s="7" t="n">
        <v>5.98</v>
      </c>
      <c r="H572" s="7" t="n">
        <v>6.42</v>
      </c>
      <c r="I572" s="7" t="n">
        <v>3</v>
      </c>
      <c r="J572" s="7" t="n">
        <v>0</v>
      </c>
      <c r="K572" s="7" t="n">
        <v>0</v>
      </c>
      <c r="L572" s="7" t="n">
        <v>0</v>
      </c>
      <c r="M572" s="7" t="n">
        <v>0</v>
      </c>
      <c r="N572" s="7" t="n">
        <v>0</v>
      </c>
      <c r="O572" s="7" t="n">
        <v>4</v>
      </c>
      <c r="P572" s="7" t="n">
        <v>3</v>
      </c>
      <c r="Q572" s="7" t="n">
        <v>1</v>
      </c>
      <c r="R572" s="7" t="n">
        <v>0</v>
      </c>
    </row>
    <row r="573" customFormat="false" ht="15" hidden="false" customHeight="true" outlineLevel="0" collapsed="false">
      <c r="A573" s="7" t="n">
        <v>6967</v>
      </c>
      <c r="B573" s="7" t="s">
        <v>46</v>
      </c>
      <c r="C573" s="7" t="s">
        <v>894</v>
      </c>
      <c r="D573" s="7" t="s">
        <v>567</v>
      </c>
      <c r="E573" s="7" t="s">
        <v>119</v>
      </c>
      <c r="F573" s="7" t="n">
        <v>16</v>
      </c>
      <c r="G573" s="7" t="n">
        <v>6</v>
      </c>
      <c r="H573" s="7" t="n">
        <v>6.38</v>
      </c>
      <c r="I573" s="7" t="n">
        <v>2</v>
      </c>
      <c r="J573" s="7" t="n">
        <v>0</v>
      </c>
      <c r="K573" s="7" t="n">
        <v>0</v>
      </c>
      <c r="L573" s="7" t="n">
        <v>0</v>
      </c>
      <c r="M573" s="7" t="n">
        <v>0</v>
      </c>
      <c r="N573" s="7" t="n">
        <v>0</v>
      </c>
      <c r="O573" s="7" t="n">
        <v>1</v>
      </c>
      <c r="P573" s="7" t="n">
        <v>2</v>
      </c>
      <c r="Q573" s="7" t="n">
        <v>0</v>
      </c>
      <c r="R573" s="7" t="n">
        <v>0</v>
      </c>
    </row>
    <row r="574" customFormat="false" ht="15" hidden="false" customHeight="true" outlineLevel="0" collapsed="false">
      <c r="A574" s="7" t="n">
        <v>5506</v>
      </c>
      <c r="B574" s="7" t="s">
        <v>46</v>
      </c>
      <c r="C574" s="7" t="s">
        <v>46</v>
      </c>
      <c r="D574" s="7" t="s">
        <v>994</v>
      </c>
      <c r="E574" s="7" t="s">
        <v>137</v>
      </c>
      <c r="F574" s="7" t="n">
        <v>28</v>
      </c>
      <c r="G574" s="7" t="n">
        <v>5.96</v>
      </c>
      <c r="H574" s="7" t="n">
        <v>6.43</v>
      </c>
      <c r="I574" s="7" t="n">
        <v>4</v>
      </c>
      <c r="J574" s="7" t="n">
        <v>0</v>
      </c>
      <c r="K574" s="7" t="n">
        <v>0</v>
      </c>
      <c r="L574" s="7" t="n">
        <v>0</v>
      </c>
      <c r="M574" s="7" t="n">
        <v>0</v>
      </c>
      <c r="N574" s="7" t="n">
        <v>0</v>
      </c>
      <c r="O574" s="7" t="n">
        <v>1</v>
      </c>
      <c r="P574" s="7" t="n">
        <v>0</v>
      </c>
      <c r="Q574" s="7" t="n">
        <v>0</v>
      </c>
      <c r="R574" s="7" t="n">
        <v>0</v>
      </c>
    </row>
    <row r="575" customFormat="false" ht="15" hidden="false" customHeight="true" outlineLevel="0" collapsed="false">
      <c r="A575" s="7" t="n">
        <v>7008</v>
      </c>
      <c r="B575" s="7" t="s">
        <v>46</v>
      </c>
      <c r="C575" s="7" t="s">
        <v>982</v>
      </c>
      <c r="D575" s="7" t="s">
        <v>591</v>
      </c>
      <c r="E575" s="7" t="s">
        <v>121</v>
      </c>
      <c r="F575" s="7" t="n">
        <v>15</v>
      </c>
      <c r="G575" s="7" t="n">
        <v>5.5</v>
      </c>
      <c r="H575" s="7" t="n">
        <v>5.53</v>
      </c>
      <c r="I575" s="7" t="n">
        <v>0</v>
      </c>
      <c r="J575" s="7" t="n">
        <v>0</v>
      </c>
      <c r="K575" s="7" t="n">
        <v>0</v>
      </c>
      <c r="L575" s="7" t="n">
        <v>0</v>
      </c>
      <c r="M575" s="7" t="n">
        <v>0</v>
      </c>
      <c r="N575" s="7" t="n">
        <v>0</v>
      </c>
      <c r="O575" s="7" t="n">
        <v>1</v>
      </c>
      <c r="P575" s="7" t="n">
        <v>2</v>
      </c>
      <c r="Q575" s="7" t="n">
        <v>0</v>
      </c>
      <c r="R575" s="7" t="n">
        <v>0</v>
      </c>
    </row>
    <row r="576" customFormat="false" ht="15" hidden="false" customHeight="true" outlineLevel="0" collapsed="false">
      <c r="A576" s="7" t="n">
        <v>6243</v>
      </c>
      <c r="B576" s="7" t="s">
        <v>46</v>
      </c>
      <c r="C576" s="7" t="s">
        <v>982</v>
      </c>
      <c r="D576" s="7" t="s">
        <v>598</v>
      </c>
      <c r="E576" s="7" t="s">
        <v>129</v>
      </c>
      <c r="F576" s="7" t="n">
        <v>26</v>
      </c>
      <c r="G576" s="7" t="n">
        <v>5.92</v>
      </c>
      <c r="H576" s="7" t="n">
        <v>6.46</v>
      </c>
      <c r="I576" s="7" t="n">
        <v>5</v>
      </c>
      <c r="J576" s="7" t="n">
        <v>0</v>
      </c>
      <c r="K576" s="7" t="n">
        <v>0</v>
      </c>
      <c r="L576" s="7" t="n">
        <v>0</v>
      </c>
      <c r="M576" s="7" t="n">
        <v>0</v>
      </c>
      <c r="N576" s="7" t="n">
        <v>0</v>
      </c>
      <c r="O576" s="7" t="n">
        <v>1</v>
      </c>
      <c r="P576" s="7" t="n">
        <v>4</v>
      </c>
      <c r="Q576" s="7" t="n">
        <v>0</v>
      </c>
      <c r="R576" s="7" t="n">
        <v>0</v>
      </c>
    </row>
    <row r="577" customFormat="false" ht="15" hidden="false" customHeight="true" outlineLevel="0" collapsed="false">
      <c r="A577" s="7" t="n">
        <v>4179</v>
      </c>
      <c r="B577" s="7" t="s">
        <v>46</v>
      </c>
      <c r="C577" s="7" t="s">
        <v>894</v>
      </c>
      <c r="D577" s="7" t="s">
        <v>995</v>
      </c>
      <c r="E577" s="7" t="s">
        <v>131</v>
      </c>
      <c r="F577" s="7" t="n">
        <v>0</v>
      </c>
      <c r="G577" s="7" t="n">
        <v>0</v>
      </c>
      <c r="H577" s="7" t="n">
        <v>0</v>
      </c>
      <c r="I577" s="7" t="n">
        <v>0</v>
      </c>
      <c r="J577" s="7" t="n">
        <v>0</v>
      </c>
      <c r="K577" s="7" t="n">
        <v>0</v>
      </c>
      <c r="L577" s="7" t="n">
        <v>0</v>
      </c>
      <c r="M577" s="7" t="n">
        <v>0</v>
      </c>
      <c r="N577" s="7" t="n">
        <v>0</v>
      </c>
      <c r="O577" s="7" t="n">
        <v>0</v>
      </c>
      <c r="P577" s="7" t="n">
        <v>0</v>
      </c>
      <c r="Q577" s="7" t="n">
        <v>0</v>
      </c>
      <c r="R577" s="7" t="n">
        <v>0</v>
      </c>
    </row>
    <row r="578" customFormat="false" ht="15" hidden="false" customHeight="true" outlineLevel="0" collapsed="false">
      <c r="A578" s="7" t="n">
        <v>5500</v>
      </c>
      <c r="B578" s="7" t="s">
        <v>46</v>
      </c>
      <c r="C578" s="7" t="s">
        <v>894</v>
      </c>
      <c r="D578" s="7" t="s">
        <v>404</v>
      </c>
      <c r="E578" s="7" t="s">
        <v>133</v>
      </c>
      <c r="F578" s="7" t="n">
        <v>28</v>
      </c>
      <c r="G578" s="7" t="n">
        <v>5.93</v>
      </c>
      <c r="H578" s="7" t="n">
        <v>6.29</v>
      </c>
      <c r="I578" s="7" t="n">
        <v>4</v>
      </c>
      <c r="J578" s="7" t="n">
        <v>0</v>
      </c>
      <c r="K578" s="7" t="n">
        <v>0</v>
      </c>
      <c r="L578" s="7" t="n">
        <v>0</v>
      </c>
      <c r="M578" s="7" t="n">
        <v>0</v>
      </c>
      <c r="N578" s="7" t="n">
        <v>0</v>
      </c>
      <c r="O578" s="7" t="n">
        <v>1</v>
      </c>
      <c r="P578" s="7" t="n">
        <v>6</v>
      </c>
      <c r="Q578" s="7" t="n">
        <v>0</v>
      </c>
      <c r="R578" s="7" t="n">
        <v>0</v>
      </c>
    </row>
    <row r="579" customFormat="false" ht="15" hidden="false" customHeight="true" outlineLevel="0" collapsed="false">
      <c r="A579" s="7" t="n">
        <v>6439</v>
      </c>
      <c r="B579" s="7" t="s">
        <v>46</v>
      </c>
      <c r="C579" s="7" t="s">
        <v>982</v>
      </c>
      <c r="D579" s="7" t="s">
        <v>996</v>
      </c>
      <c r="E579" s="7" t="s">
        <v>139</v>
      </c>
      <c r="F579" s="7" t="n">
        <v>24</v>
      </c>
      <c r="G579" s="7" t="n">
        <v>5.81</v>
      </c>
      <c r="H579" s="7" t="n">
        <v>6.31</v>
      </c>
      <c r="I579" s="7" t="n">
        <v>4</v>
      </c>
      <c r="J579" s="7" t="n">
        <v>0</v>
      </c>
      <c r="K579" s="7" t="n">
        <v>0</v>
      </c>
      <c r="L579" s="7" t="n">
        <v>0</v>
      </c>
      <c r="M579" s="7" t="n">
        <v>0</v>
      </c>
      <c r="N579" s="7" t="n">
        <v>0</v>
      </c>
      <c r="O579" s="7" t="n">
        <v>1</v>
      </c>
      <c r="P579" s="7" t="n">
        <v>3</v>
      </c>
      <c r="Q579" s="7" t="n">
        <v>0</v>
      </c>
      <c r="R579" s="7" t="n">
        <v>0</v>
      </c>
    </row>
    <row r="580" customFormat="false" ht="15" hidden="false" customHeight="true" outlineLevel="0" collapsed="false">
      <c r="A580" s="7" t="n">
        <v>2832</v>
      </c>
      <c r="B580" s="7" t="s">
        <v>46</v>
      </c>
      <c r="C580" s="7" t="s">
        <v>894</v>
      </c>
      <c r="D580" s="7" t="s">
        <v>589</v>
      </c>
      <c r="E580" s="7" t="s">
        <v>131</v>
      </c>
      <c r="F580" s="7" t="n">
        <v>13</v>
      </c>
      <c r="G580" s="7" t="n">
        <v>6.19</v>
      </c>
      <c r="H580" s="7" t="n">
        <v>7.15</v>
      </c>
      <c r="I580" s="7" t="n">
        <v>4</v>
      </c>
      <c r="J580" s="7" t="n">
        <v>0</v>
      </c>
      <c r="K580" s="7" t="n">
        <v>0</v>
      </c>
      <c r="L580" s="7" t="n">
        <v>0</v>
      </c>
      <c r="M580" s="7" t="n">
        <v>0</v>
      </c>
      <c r="N580" s="7" t="n">
        <v>0</v>
      </c>
      <c r="O580" s="7" t="n">
        <v>1</v>
      </c>
      <c r="P580" s="7" t="n">
        <v>1</v>
      </c>
      <c r="Q580" s="7" t="n">
        <v>0</v>
      </c>
      <c r="R580" s="7" t="n">
        <v>0</v>
      </c>
    </row>
    <row r="581" customFormat="false" ht="15" hidden="false" customHeight="true" outlineLevel="0" collapsed="false">
      <c r="A581" s="7" t="n">
        <v>5515</v>
      </c>
      <c r="B581" s="7" t="s">
        <v>46</v>
      </c>
      <c r="C581" s="7" t="s">
        <v>46</v>
      </c>
      <c r="D581" s="7" t="s">
        <v>997</v>
      </c>
      <c r="E581" s="7" t="s">
        <v>743</v>
      </c>
      <c r="F581" s="7" t="n">
        <v>10</v>
      </c>
      <c r="G581" s="7" t="n">
        <v>5.9</v>
      </c>
      <c r="H581" s="7" t="n">
        <v>6.5</v>
      </c>
      <c r="I581" s="7" t="n">
        <v>2</v>
      </c>
      <c r="J581" s="7" t="n">
        <v>0</v>
      </c>
      <c r="K581" s="7" t="n">
        <v>0</v>
      </c>
      <c r="L581" s="7" t="n">
        <v>0</v>
      </c>
      <c r="M581" s="7" t="n">
        <v>0</v>
      </c>
      <c r="N581" s="7" t="n">
        <v>0</v>
      </c>
      <c r="O581" s="7" t="n">
        <v>0</v>
      </c>
      <c r="P581" s="7" t="n">
        <v>0</v>
      </c>
      <c r="Q581" s="7" t="n">
        <v>0</v>
      </c>
      <c r="R581" s="7" t="n">
        <v>0</v>
      </c>
    </row>
    <row r="582" customFormat="false" ht="15" hidden="false" customHeight="true" outlineLevel="0" collapsed="false">
      <c r="A582" s="7" t="n">
        <v>6822</v>
      </c>
      <c r="B582" s="7" t="s">
        <v>46</v>
      </c>
      <c r="C582" s="7" t="s">
        <v>46</v>
      </c>
      <c r="D582" s="7" t="s">
        <v>607</v>
      </c>
      <c r="E582" s="7" t="s">
        <v>137</v>
      </c>
      <c r="F582" s="7" t="n">
        <v>25</v>
      </c>
      <c r="G582" s="7" t="n">
        <v>5.96</v>
      </c>
      <c r="H582" s="7" t="n">
        <v>6.28</v>
      </c>
      <c r="I582" s="7" t="n">
        <v>3</v>
      </c>
      <c r="J582" s="7" t="n">
        <v>0</v>
      </c>
      <c r="K582" s="7" t="n">
        <v>0</v>
      </c>
      <c r="L582" s="7" t="n">
        <v>0</v>
      </c>
      <c r="M582" s="7" t="n">
        <v>0</v>
      </c>
      <c r="N582" s="7" t="n">
        <v>0</v>
      </c>
      <c r="O582" s="7" t="n">
        <v>0</v>
      </c>
      <c r="P582" s="7" t="n">
        <v>3</v>
      </c>
      <c r="Q582" s="7" t="n">
        <v>0</v>
      </c>
      <c r="R582" s="7" t="n">
        <v>0</v>
      </c>
    </row>
    <row r="583" customFormat="false" ht="15" hidden="false" customHeight="true" outlineLevel="0" collapsed="false">
      <c r="A583" s="7" t="n">
        <v>6675</v>
      </c>
      <c r="B583" s="7" t="s">
        <v>46</v>
      </c>
      <c r="C583" s="7" t="s">
        <v>982</v>
      </c>
      <c r="D583" s="7" t="s">
        <v>553</v>
      </c>
      <c r="E583" s="7" t="s">
        <v>113</v>
      </c>
      <c r="F583" s="7" t="n">
        <v>13</v>
      </c>
      <c r="G583" s="7" t="n">
        <v>6</v>
      </c>
      <c r="H583" s="7" t="n">
        <v>6.77</v>
      </c>
      <c r="I583" s="7" t="n">
        <v>3</v>
      </c>
      <c r="J583" s="7" t="n">
        <v>0</v>
      </c>
      <c r="K583" s="7" t="n">
        <v>0</v>
      </c>
      <c r="L583" s="7" t="n">
        <v>0</v>
      </c>
      <c r="M583" s="7" t="n">
        <v>0</v>
      </c>
      <c r="N583" s="7" t="n">
        <v>0</v>
      </c>
      <c r="O583" s="7" t="n">
        <v>1</v>
      </c>
      <c r="P583" s="7" t="n">
        <v>0</v>
      </c>
      <c r="Q583" s="7" t="n">
        <v>0</v>
      </c>
      <c r="R583" s="7" t="n">
        <v>0</v>
      </c>
    </row>
    <row r="584" customFormat="false" ht="15" hidden="false" customHeight="true" outlineLevel="0" collapsed="false">
      <c r="A584" s="7" t="n">
        <v>6365</v>
      </c>
      <c r="B584" s="7" t="s">
        <v>46</v>
      </c>
      <c r="C584" s="7" t="s">
        <v>982</v>
      </c>
      <c r="D584" s="7" t="s">
        <v>998</v>
      </c>
      <c r="E584" s="7" t="s">
        <v>113</v>
      </c>
      <c r="F584" s="7" t="n">
        <v>14</v>
      </c>
      <c r="G584" s="7" t="n">
        <v>6.11</v>
      </c>
      <c r="H584" s="7" t="n">
        <v>6.86</v>
      </c>
      <c r="I584" s="7" t="n">
        <v>3</v>
      </c>
      <c r="J584" s="7" t="n">
        <v>0</v>
      </c>
      <c r="K584" s="7" t="n">
        <v>0</v>
      </c>
      <c r="L584" s="7" t="n">
        <v>0</v>
      </c>
      <c r="M584" s="7" t="n">
        <v>0</v>
      </c>
      <c r="N584" s="7" t="n">
        <v>0</v>
      </c>
      <c r="O584" s="7" t="n">
        <v>2</v>
      </c>
      <c r="P584" s="7" t="n">
        <v>1</v>
      </c>
      <c r="Q584" s="7" t="n">
        <v>0</v>
      </c>
      <c r="R584" s="7" t="n">
        <v>0</v>
      </c>
    </row>
    <row r="585" customFormat="false" ht="15" hidden="false" customHeight="true" outlineLevel="0" collapsed="false">
      <c r="A585" s="7" t="n">
        <v>5336</v>
      </c>
      <c r="B585" s="7" t="s">
        <v>46</v>
      </c>
      <c r="C585" s="7" t="s">
        <v>982</v>
      </c>
      <c r="D585" s="7" t="s">
        <v>999</v>
      </c>
      <c r="E585" s="7" t="s">
        <v>144</v>
      </c>
      <c r="F585" s="7" t="n">
        <v>27</v>
      </c>
      <c r="G585" s="7" t="n">
        <v>5.96</v>
      </c>
      <c r="H585" s="7" t="n">
        <v>6.26</v>
      </c>
      <c r="I585" s="7" t="n">
        <v>4</v>
      </c>
      <c r="J585" s="7" t="n">
        <v>0</v>
      </c>
      <c r="K585" s="7" t="n">
        <v>0</v>
      </c>
      <c r="L585" s="7" t="n">
        <v>3</v>
      </c>
      <c r="M585" s="7" t="n">
        <v>2</v>
      </c>
      <c r="N585" s="7" t="n">
        <v>1</v>
      </c>
      <c r="O585" s="7" t="n">
        <v>1</v>
      </c>
      <c r="P585" s="7" t="n">
        <v>2</v>
      </c>
      <c r="Q585" s="7" t="n">
        <v>1</v>
      </c>
      <c r="R585" s="7" t="n">
        <v>0</v>
      </c>
    </row>
    <row r="586" customFormat="false" ht="15" hidden="false" customHeight="true" outlineLevel="0" collapsed="false">
      <c r="A586" s="7" t="n">
        <v>2678</v>
      </c>
      <c r="B586" s="7" t="s">
        <v>46</v>
      </c>
      <c r="C586" s="7" t="s">
        <v>982</v>
      </c>
      <c r="D586" s="7" t="s">
        <v>1000</v>
      </c>
      <c r="E586" s="7" t="s">
        <v>121</v>
      </c>
      <c r="F586" s="7" t="n">
        <v>19</v>
      </c>
      <c r="G586" s="7" t="n">
        <v>5.76</v>
      </c>
      <c r="H586" s="7" t="n">
        <v>5.76</v>
      </c>
      <c r="I586" s="7" t="n">
        <v>1</v>
      </c>
      <c r="J586" s="7" t="n">
        <v>0</v>
      </c>
      <c r="K586" s="7" t="n">
        <v>0</v>
      </c>
      <c r="L586" s="7" t="n">
        <v>1</v>
      </c>
      <c r="M586" s="7" t="n">
        <v>0</v>
      </c>
      <c r="N586" s="7" t="n">
        <v>1</v>
      </c>
      <c r="O586" s="7" t="n">
        <v>0</v>
      </c>
      <c r="P586" s="7" t="n">
        <v>0</v>
      </c>
      <c r="Q586" s="7" t="n">
        <v>0</v>
      </c>
      <c r="R586" s="7" t="n">
        <v>0</v>
      </c>
    </row>
    <row r="587" customFormat="false" ht="15" hidden="false" customHeight="true" outlineLevel="0" collapsed="false">
      <c r="A587" s="7" t="n">
        <v>7316</v>
      </c>
      <c r="B587" s="7" t="s">
        <v>46</v>
      </c>
      <c r="C587" s="7" t="s">
        <v>982</v>
      </c>
      <c r="D587" s="7" t="s">
        <v>1001</v>
      </c>
      <c r="E587" s="7" t="s">
        <v>748</v>
      </c>
      <c r="F587" s="7" t="n">
        <v>10</v>
      </c>
      <c r="G587" s="7" t="n">
        <v>5.7</v>
      </c>
      <c r="H587" s="7" t="n">
        <v>6</v>
      </c>
      <c r="I587" s="7" t="n">
        <v>1</v>
      </c>
      <c r="J587" s="7" t="n">
        <v>0</v>
      </c>
      <c r="K587" s="7" t="n">
        <v>0</v>
      </c>
      <c r="L587" s="7" t="n">
        <v>0</v>
      </c>
      <c r="M587" s="7" t="n">
        <v>0</v>
      </c>
      <c r="N587" s="7" t="n">
        <v>0</v>
      </c>
      <c r="O587" s="7" t="n">
        <v>1</v>
      </c>
      <c r="P587" s="7" t="n">
        <v>1</v>
      </c>
      <c r="Q587" s="7" t="n">
        <v>1</v>
      </c>
      <c r="R587" s="7" t="n">
        <v>0</v>
      </c>
    </row>
    <row r="588" customFormat="false" ht="15" hidden="false" customHeight="true" outlineLevel="0" collapsed="false">
      <c r="A588" s="7" t="n">
        <v>7347</v>
      </c>
      <c r="B588" s="7" t="s">
        <v>46</v>
      </c>
      <c r="C588" s="7" t="s">
        <v>46</v>
      </c>
      <c r="D588" s="7" t="s">
        <v>572</v>
      </c>
      <c r="E588" s="7" t="s">
        <v>745</v>
      </c>
      <c r="F588" s="7" t="n">
        <v>14</v>
      </c>
      <c r="G588" s="7" t="n">
        <v>5.96</v>
      </c>
      <c r="H588" s="7" t="n">
        <v>6.79</v>
      </c>
      <c r="I588" s="7" t="n">
        <v>4</v>
      </c>
      <c r="J588" s="7" t="n">
        <v>0</v>
      </c>
      <c r="K588" s="7" t="n">
        <v>0</v>
      </c>
      <c r="L588" s="7" t="n">
        <v>0</v>
      </c>
      <c r="M588" s="7" t="n">
        <v>0</v>
      </c>
      <c r="N588" s="7" t="n">
        <v>0</v>
      </c>
      <c r="O588" s="7" t="n">
        <v>0</v>
      </c>
      <c r="P588" s="7" t="n">
        <v>1</v>
      </c>
      <c r="Q588" s="7" t="n">
        <v>0</v>
      </c>
      <c r="R588" s="7" t="n">
        <v>0</v>
      </c>
    </row>
    <row r="589" customFormat="false" ht="15" hidden="false" customHeight="true" outlineLevel="0" collapsed="false">
      <c r="A589" s="7" t="n">
        <v>5918</v>
      </c>
      <c r="B589" s="7" t="s">
        <v>46</v>
      </c>
      <c r="C589" s="7" t="s">
        <v>46</v>
      </c>
      <c r="D589" s="7" t="s">
        <v>587</v>
      </c>
      <c r="E589" s="7" t="s">
        <v>117</v>
      </c>
      <c r="F589" s="7" t="n">
        <v>21</v>
      </c>
      <c r="G589" s="7" t="n">
        <v>6</v>
      </c>
      <c r="H589" s="7" t="n">
        <v>6.24</v>
      </c>
      <c r="I589" s="7" t="n">
        <v>2</v>
      </c>
      <c r="J589" s="7" t="n">
        <v>0</v>
      </c>
      <c r="K589" s="7" t="n">
        <v>0</v>
      </c>
      <c r="L589" s="7" t="n">
        <v>0</v>
      </c>
      <c r="M589" s="7" t="n">
        <v>0</v>
      </c>
      <c r="N589" s="7" t="n">
        <v>0</v>
      </c>
      <c r="O589" s="7" t="n">
        <v>1</v>
      </c>
      <c r="P589" s="7" t="n">
        <v>4</v>
      </c>
      <c r="Q589" s="7" t="n">
        <v>0</v>
      </c>
      <c r="R589" s="7" t="n">
        <v>0</v>
      </c>
    </row>
    <row r="590" customFormat="false" ht="15" hidden="false" customHeight="true" outlineLevel="0" collapsed="false">
      <c r="A590" s="7" t="n">
        <v>4359</v>
      </c>
      <c r="B590" s="7" t="s">
        <v>46</v>
      </c>
      <c r="C590" s="7" t="s">
        <v>982</v>
      </c>
      <c r="D590" s="7" t="s">
        <v>579</v>
      </c>
      <c r="E590" s="7" t="s">
        <v>123</v>
      </c>
      <c r="F590" s="7" t="n">
        <v>27</v>
      </c>
      <c r="G590" s="7" t="n">
        <v>5.78</v>
      </c>
      <c r="H590" s="7" t="n">
        <v>6.24</v>
      </c>
      <c r="I590" s="7" t="n">
        <v>4</v>
      </c>
      <c r="J590" s="7" t="n">
        <v>0</v>
      </c>
      <c r="K590" s="7" t="n">
        <v>0</v>
      </c>
      <c r="L590" s="7" t="n">
        <v>0</v>
      </c>
      <c r="M590" s="7" t="n">
        <v>0</v>
      </c>
      <c r="N590" s="7" t="n">
        <v>0</v>
      </c>
      <c r="O590" s="7" t="n">
        <v>1</v>
      </c>
      <c r="P590" s="7" t="n">
        <v>1</v>
      </c>
      <c r="Q590" s="7" t="n">
        <v>0</v>
      </c>
      <c r="R590" s="7" t="n">
        <v>0</v>
      </c>
    </row>
    <row r="591" customFormat="false" ht="15" hidden="false" customHeight="true" outlineLevel="0" collapsed="false">
      <c r="A591" s="7" t="n">
        <v>6145</v>
      </c>
      <c r="B591" s="7" t="s">
        <v>46</v>
      </c>
      <c r="C591" s="7" t="s">
        <v>46</v>
      </c>
      <c r="D591" s="7" t="s">
        <v>1002</v>
      </c>
      <c r="E591" s="7" t="s">
        <v>184</v>
      </c>
      <c r="F591" s="7" t="n">
        <v>17</v>
      </c>
      <c r="G591" s="7" t="n">
        <v>5.82</v>
      </c>
      <c r="H591" s="7" t="n">
        <v>6</v>
      </c>
      <c r="I591" s="7" t="n">
        <v>1</v>
      </c>
      <c r="J591" s="7" t="n">
        <v>0</v>
      </c>
      <c r="K591" s="7" t="n">
        <v>0</v>
      </c>
      <c r="L591" s="7" t="n">
        <v>0</v>
      </c>
      <c r="M591" s="7" t="n">
        <v>0</v>
      </c>
      <c r="N591" s="7" t="n">
        <v>0</v>
      </c>
      <c r="O591" s="7" t="n">
        <v>1</v>
      </c>
      <c r="P591" s="7" t="n">
        <v>2</v>
      </c>
      <c r="Q591" s="7" t="n">
        <v>0</v>
      </c>
      <c r="R591" s="7" t="n">
        <v>0</v>
      </c>
    </row>
    <row r="592" customFormat="false" ht="15" hidden="false" customHeight="true" outlineLevel="0" collapsed="false">
      <c r="A592" s="7" t="n">
        <v>7313</v>
      </c>
      <c r="B592" s="7" t="s">
        <v>46</v>
      </c>
      <c r="C592" s="7" t="s">
        <v>982</v>
      </c>
      <c r="D592" s="7" t="s">
        <v>570</v>
      </c>
      <c r="E592" s="7" t="s">
        <v>133</v>
      </c>
      <c r="F592" s="7" t="n">
        <v>7</v>
      </c>
      <c r="G592" s="7" t="n">
        <v>5.64</v>
      </c>
      <c r="H592" s="7" t="n">
        <v>5.64</v>
      </c>
      <c r="I592" s="7" t="n">
        <v>0</v>
      </c>
      <c r="J592" s="7" t="n">
        <v>0</v>
      </c>
      <c r="K592" s="7" t="n">
        <v>0</v>
      </c>
      <c r="L592" s="7" t="n">
        <v>0</v>
      </c>
      <c r="M592" s="7" t="n">
        <v>0</v>
      </c>
      <c r="N592" s="7" t="n">
        <v>0</v>
      </c>
      <c r="O592" s="7" t="n">
        <v>0</v>
      </c>
      <c r="P592" s="7" t="n">
        <v>0</v>
      </c>
      <c r="Q592" s="7" t="n">
        <v>0</v>
      </c>
      <c r="R592" s="7" t="n">
        <v>0</v>
      </c>
    </row>
    <row r="593" customFormat="false" ht="15" hidden="false" customHeight="true" outlineLevel="0" collapsed="false">
      <c r="A593" s="7" t="n">
        <v>6667</v>
      </c>
      <c r="B593" s="7" t="s">
        <v>46</v>
      </c>
      <c r="C593" s="7" t="s">
        <v>46</v>
      </c>
      <c r="D593" s="7" t="s">
        <v>1003</v>
      </c>
      <c r="E593" s="7" t="s">
        <v>141</v>
      </c>
      <c r="F593" s="7" t="n">
        <v>10</v>
      </c>
      <c r="G593" s="7" t="n">
        <v>5.95</v>
      </c>
      <c r="H593" s="7" t="n">
        <v>6.3</v>
      </c>
      <c r="I593" s="7" t="n">
        <v>1</v>
      </c>
      <c r="J593" s="7" t="n">
        <v>0</v>
      </c>
      <c r="K593" s="7" t="n">
        <v>0</v>
      </c>
      <c r="L593" s="7" t="n">
        <v>1</v>
      </c>
      <c r="M593" s="7" t="n">
        <v>1</v>
      </c>
      <c r="N593" s="7" t="n">
        <v>0</v>
      </c>
      <c r="O593" s="7" t="n">
        <v>1</v>
      </c>
      <c r="P593" s="7" t="n">
        <v>1</v>
      </c>
      <c r="Q593" s="7" t="n">
        <v>0</v>
      </c>
      <c r="R593" s="7" t="n">
        <v>0</v>
      </c>
    </row>
    <row r="594" customFormat="false" ht="15" hidden="false" customHeight="true" outlineLevel="0" collapsed="false">
      <c r="A594" s="7" t="n">
        <v>608</v>
      </c>
      <c r="B594" s="7" t="s">
        <v>46</v>
      </c>
      <c r="C594" s="7" t="s">
        <v>982</v>
      </c>
      <c r="D594" s="7" t="s">
        <v>586</v>
      </c>
      <c r="E594" s="7" t="s">
        <v>184</v>
      </c>
      <c r="F594" s="7" t="n">
        <v>23</v>
      </c>
      <c r="G594" s="7" t="n">
        <v>5.83</v>
      </c>
      <c r="H594" s="7" t="n">
        <v>6.13</v>
      </c>
      <c r="I594" s="7" t="n">
        <v>3</v>
      </c>
      <c r="J594" s="7" t="n">
        <v>0</v>
      </c>
      <c r="K594" s="7" t="n">
        <v>0</v>
      </c>
      <c r="L594" s="7" t="n">
        <v>1</v>
      </c>
      <c r="M594" s="7" t="n">
        <v>0</v>
      </c>
      <c r="N594" s="7" t="n">
        <v>1</v>
      </c>
      <c r="O594" s="7" t="n">
        <v>1</v>
      </c>
      <c r="P594" s="7" t="n">
        <v>0</v>
      </c>
      <c r="Q594" s="7" t="n">
        <v>0</v>
      </c>
      <c r="R594" s="7" t="n">
        <v>0</v>
      </c>
    </row>
    <row r="595" customFormat="false" ht="15" hidden="false" customHeight="true" outlineLevel="0" collapsed="false">
      <c r="A595" s="7" t="n">
        <v>7252</v>
      </c>
      <c r="B595" s="7" t="s">
        <v>46</v>
      </c>
      <c r="C595" s="7" t="s">
        <v>982</v>
      </c>
      <c r="D595" s="7" t="s">
        <v>585</v>
      </c>
      <c r="E595" s="7" t="s">
        <v>139</v>
      </c>
      <c r="F595" s="7" t="n">
        <v>30</v>
      </c>
      <c r="G595" s="7" t="n">
        <v>5.73</v>
      </c>
      <c r="H595" s="7" t="n">
        <v>6.12</v>
      </c>
      <c r="I595" s="7" t="n">
        <v>4</v>
      </c>
      <c r="J595" s="7" t="n">
        <v>0</v>
      </c>
      <c r="K595" s="7" t="n">
        <v>0</v>
      </c>
      <c r="L595" s="7" t="n">
        <v>1</v>
      </c>
      <c r="M595" s="7" t="n">
        <v>1</v>
      </c>
      <c r="N595" s="7" t="n">
        <v>0</v>
      </c>
      <c r="O595" s="7" t="n">
        <v>0</v>
      </c>
      <c r="P595" s="7" t="n">
        <v>1</v>
      </c>
      <c r="Q595" s="7" t="n">
        <v>0</v>
      </c>
      <c r="R595" s="7" t="n">
        <v>0</v>
      </c>
    </row>
    <row r="596" customFormat="false" ht="15" hidden="false" customHeight="true" outlineLevel="0" collapsed="false">
      <c r="A596" s="7" t="n">
        <v>6380</v>
      </c>
      <c r="B596" s="7" t="s">
        <v>46</v>
      </c>
      <c r="C596" s="7" t="s">
        <v>894</v>
      </c>
      <c r="D596" s="7" t="s">
        <v>1004</v>
      </c>
      <c r="E596" s="7" t="s">
        <v>123</v>
      </c>
      <c r="F596" s="7" t="n">
        <v>13</v>
      </c>
      <c r="G596" s="7" t="n">
        <v>5.96</v>
      </c>
      <c r="H596" s="7" t="n">
        <v>6.46</v>
      </c>
      <c r="I596" s="7" t="n">
        <v>2</v>
      </c>
      <c r="J596" s="7" t="n">
        <v>0</v>
      </c>
      <c r="K596" s="7" t="n">
        <v>0</v>
      </c>
      <c r="L596" s="7" t="n">
        <v>0</v>
      </c>
      <c r="M596" s="7" t="n">
        <v>0</v>
      </c>
      <c r="N596" s="7" t="n">
        <v>0</v>
      </c>
      <c r="O596" s="7" t="n">
        <v>1</v>
      </c>
      <c r="P596" s="7" t="n">
        <v>1</v>
      </c>
      <c r="Q596" s="7" t="n">
        <v>0</v>
      </c>
      <c r="R596" s="7" t="n">
        <v>0</v>
      </c>
    </row>
    <row r="597" customFormat="false" ht="15" hidden="false" customHeight="true" outlineLevel="0" collapsed="false">
      <c r="A597" s="7" t="n">
        <v>6981</v>
      </c>
      <c r="B597" s="7" t="s">
        <v>46</v>
      </c>
      <c r="C597" s="7" t="s">
        <v>982</v>
      </c>
      <c r="D597" s="7" t="s">
        <v>618</v>
      </c>
      <c r="E597" s="7" t="s">
        <v>113</v>
      </c>
      <c r="F597" s="7" t="n">
        <v>7</v>
      </c>
      <c r="G597" s="7" t="n">
        <v>5.93</v>
      </c>
      <c r="H597" s="7" t="n">
        <v>6.36</v>
      </c>
      <c r="I597" s="7" t="n">
        <v>1</v>
      </c>
      <c r="J597" s="7" t="n">
        <v>0</v>
      </c>
      <c r="K597" s="7" t="n">
        <v>0</v>
      </c>
      <c r="L597" s="7" t="n">
        <v>0</v>
      </c>
      <c r="M597" s="7" t="n">
        <v>0</v>
      </c>
      <c r="N597" s="7" t="n">
        <v>0</v>
      </c>
      <c r="O597" s="7" t="n">
        <v>0</v>
      </c>
      <c r="P597" s="7" t="n">
        <v>0</v>
      </c>
      <c r="Q597" s="7" t="n">
        <v>0</v>
      </c>
      <c r="R597" s="7" t="n">
        <v>0</v>
      </c>
    </row>
    <row r="598" customFormat="false" ht="15" hidden="false" customHeight="true" outlineLevel="0" collapsed="false">
      <c r="A598" s="7" t="n">
        <v>6229</v>
      </c>
      <c r="B598" s="7" t="s">
        <v>46</v>
      </c>
      <c r="C598" s="7" t="s">
        <v>982</v>
      </c>
      <c r="D598" s="7" t="s">
        <v>1005</v>
      </c>
      <c r="E598" s="7" t="s">
        <v>117</v>
      </c>
      <c r="F598" s="7" t="n">
        <v>0</v>
      </c>
      <c r="G598" s="7" t="n">
        <v>0</v>
      </c>
      <c r="H598" s="7" t="n">
        <v>0</v>
      </c>
      <c r="I598" s="7" t="n">
        <v>0</v>
      </c>
      <c r="J598" s="7" t="n">
        <v>0</v>
      </c>
      <c r="K598" s="7" t="n">
        <v>0</v>
      </c>
      <c r="L598" s="7" t="n">
        <v>0</v>
      </c>
      <c r="M598" s="7" t="n">
        <v>0</v>
      </c>
      <c r="N598" s="7" t="n">
        <v>0</v>
      </c>
      <c r="O598" s="7" t="n">
        <v>0</v>
      </c>
      <c r="P598" s="7" t="n">
        <v>0</v>
      </c>
      <c r="Q598" s="7" t="n">
        <v>0</v>
      </c>
      <c r="R598" s="7" t="n">
        <v>0</v>
      </c>
    </row>
    <row r="599" customFormat="false" ht="15" hidden="false" customHeight="true" outlineLevel="0" collapsed="false">
      <c r="A599" s="7" t="n">
        <v>5496</v>
      </c>
      <c r="B599" s="7" t="s">
        <v>46</v>
      </c>
      <c r="C599" s="7" t="s">
        <v>46</v>
      </c>
      <c r="D599" s="7" t="s">
        <v>1006</v>
      </c>
      <c r="E599" s="7" t="s">
        <v>743</v>
      </c>
      <c r="F599" s="7" t="n">
        <v>9</v>
      </c>
      <c r="G599" s="7" t="n">
        <v>5.83</v>
      </c>
      <c r="H599" s="7" t="n">
        <v>6.28</v>
      </c>
      <c r="I599" s="7" t="n">
        <v>1</v>
      </c>
      <c r="J599" s="7" t="n">
        <v>0</v>
      </c>
      <c r="K599" s="7" t="n">
        <v>0</v>
      </c>
      <c r="L599" s="7" t="n">
        <v>0</v>
      </c>
      <c r="M599" s="7" t="n">
        <v>0</v>
      </c>
      <c r="N599" s="7" t="n">
        <v>0</v>
      </c>
      <c r="O599" s="7" t="n">
        <v>1</v>
      </c>
      <c r="P599" s="7" t="n">
        <v>0</v>
      </c>
      <c r="Q599" s="7" t="n">
        <v>0</v>
      </c>
      <c r="R599" s="7" t="n">
        <v>0</v>
      </c>
    </row>
    <row r="600" customFormat="false" ht="15" hidden="false" customHeight="true" outlineLevel="0" collapsed="false">
      <c r="A600" s="7" t="n">
        <v>7001</v>
      </c>
      <c r="B600" s="7" t="s">
        <v>46</v>
      </c>
      <c r="C600" s="7" t="s">
        <v>894</v>
      </c>
      <c r="D600" s="7" t="s">
        <v>608</v>
      </c>
      <c r="E600" s="7" t="s">
        <v>139</v>
      </c>
      <c r="F600" s="7" t="n">
        <v>17</v>
      </c>
      <c r="G600" s="7" t="n">
        <v>5.82</v>
      </c>
      <c r="H600" s="7" t="n">
        <v>6.09</v>
      </c>
      <c r="I600" s="7" t="n">
        <v>2</v>
      </c>
      <c r="J600" s="7" t="n">
        <v>0</v>
      </c>
      <c r="K600" s="7" t="n">
        <v>0</v>
      </c>
      <c r="L600" s="7" t="n">
        <v>0</v>
      </c>
      <c r="M600" s="7" t="n">
        <v>0</v>
      </c>
      <c r="N600" s="7" t="n">
        <v>0</v>
      </c>
      <c r="O600" s="7" t="n">
        <v>0</v>
      </c>
      <c r="P600" s="7" t="n">
        <v>3</v>
      </c>
      <c r="Q600" s="7" t="n">
        <v>0</v>
      </c>
      <c r="R600" s="7" t="n">
        <v>0</v>
      </c>
    </row>
    <row r="601" customFormat="false" ht="15" hidden="false" customHeight="true" outlineLevel="0" collapsed="false">
      <c r="A601" s="7" t="n">
        <v>7249</v>
      </c>
      <c r="B601" s="7" t="s">
        <v>46</v>
      </c>
      <c r="C601" s="7" t="s">
        <v>982</v>
      </c>
      <c r="D601" s="7" t="s">
        <v>1007</v>
      </c>
      <c r="E601" s="7" t="s">
        <v>135</v>
      </c>
      <c r="F601" s="7" t="n">
        <v>21</v>
      </c>
      <c r="G601" s="7" t="n">
        <v>5.88</v>
      </c>
      <c r="H601" s="7" t="n">
        <v>6.24</v>
      </c>
      <c r="I601" s="7" t="n">
        <v>3</v>
      </c>
      <c r="J601" s="7" t="n">
        <v>0</v>
      </c>
      <c r="K601" s="7" t="n">
        <v>0</v>
      </c>
      <c r="L601" s="7" t="n">
        <v>0</v>
      </c>
      <c r="M601" s="7" t="n">
        <v>0</v>
      </c>
      <c r="N601" s="7" t="n">
        <v>0</v>
      </c>
      <c r="O601" s="7" t="n">
        <v>0</v>
      </c>
      <c r="P601" s="7" t="n">
        <v>3</v>
      </c>
      <c r="Q601" s="7" t="n">
        <v>0</v>
      </c>
      <c r="R601" s="7" t="n">
        <v>0</v>
      </c>
    </row>
    <row r="602" customFormat="false" ht="15" hidden="false" customHeight="true" outlineLevel="0" collapsed="false">
      <c r="A602" s="7" t="n">
        <v>6643</v>
      </c>
      <c r="B602" s="7" t="s">
        <v>46</v>
      </c>
      <c r="C602" s="7" t="s">
        <v>982</v>
      </c>
      <c r="D602" s="7" t="s">
        <v>578</v>
      </c>
      <c r="E602" s="7" t="s">
        <v>127</v>
      </c>
      <c r="F602" s="7" t="n">
        <v>19</v>
      </c>
      <c r="G602" s="7" t="n">
        <v>5.82</v>
      </c>
      <c r="H602" s="7" t="n">
        <v>6.13</v>
      </c>
      <c r="I602" s="7" t="n">
        <v>2</v>
      </c>
      <c r="J602" s="7" t="n">
        <v>0</v>
      </c>
      <c r="K602" s="7" t="n">
        <v>0</v>
      </c>
      <c r="L602" s="7" t="n">
        <v>0</v>
      </c>
      <c r="M602" s="7" t="n">
        <v>0</v>
      </c>
      <c r="N602" s="7" t="n">
        <v>0</v>
      </c>
      <c r="O602" s="7" t="n">
        <v>1</v>
      </c>
      <c r="P602" s="7" t="n">
        <v>2</v>
      </c>
      <c r="Q602" s="7" t="n">
        <v>0</v>
      </c>
      <c r="R602" s="7" t="n">
        <v>0</v>
      </c>
    </row>
    <row r="603" customFormat="false" ht="15" hidden="false" customHeight="true" outlineLevel="0" collapsed="false">
      <c r="A603" s="7" t="n">
        <v>7127</v>
      </c>
      <c r="B603" s="7" t="s">
        <v>46</v>
      </c>
      <c r="C603" s="7" t="s">
        <v>894</v>
      </c>
      <c r="D603" s="7" t="s">
        <v>450</v>
      </c>
      <c r="E603" s="7" t="s">
        <v>119</v>
      </c>
      <c r="F603" s="7" t="n">
        <v>12</v>
      </c>
      <c r="G603" s="7" t="n">
        <v>5.96</v>
      </c>
      <c r="H603" s="7" t="n">
        <v>6.54</v>
      </c>
      <c r="I603" s="7" t="n">
        <v>3</v>
      </c>
      <c r="J603" s="7" t="n">
        <v>0</v>
      </c>
      <c r="K603" s="7" t="n">
        <v>0</v>
      </c>
      <c r="L603" s="7" t="n">
        <v>0</v>
      </c>
      <c r="M603" s="7" t="n">
        <v>0</v>
      </c>
      <c r="N603" s="7" t="n">
        <v>0</v>
      </c>
      <c r="O603" s="7" t="n">
        <v>0</v>
      </c>
      <c r="P603" s="7" t="n">
        <v>4</v>
      </c>
      <c r="Q603" s="7" t="n">
        <v>0</v>
      </c>
      <c r="R603" s="7" t="n">
        <v>0</v>
      </c>
    </row>
    <row r="604" customFormat="false" ht="15" hidden="false" customHeight="true" outlineLevel="0" collapsed="false">
      <c r="A604" s="7" t="n">
        <v>2155</v>
      </c>
      <c r="B604" s="7" t="s">
        <v>46</v>
      </c>
      <c r="C604" s="7" t="s">
        <v>982</v>
      </c>
      <c r="D604" s="7" t="s">
        <v>576</v>
      </c>
      <c r="E604" s="7" t="s">
        <v>141</v>
      </c>
      <c r="F604" s="7" t="n">
        <v>14</v>
      </c>
      <c r="G604" s="7" t="n">
        <v>5.71</v>
      </c>
      <c r="H604" s="7" t="n">
        <v>5.93</v>
      </c>
      <c r="I604" s="7" t="n">
        <v>1</v>
      </c>
      <c r="J604" s="7" t="n">
        <v>0</v>
      </c>
      <c r="K604" s="7" t="n">
        <v>0</v>
      </c>
      <c r="L604" s="7" t="n">
        <v>0</v>
      </c>
      <c r="M604" s="7" t="n">
        <v>0</v>
      </c>
      <c r="N604" s="7" t="n">
        <v>0</v>
      </c>
      <c r="O604" s="7" t="n">
        <v>0</v>
      </c>
      <c r="P604" s="7" t="n">
        <v>0</v>
      </c>
      <c r="Q604" s="7" t="n">
        <v>0</v>
      </c>
      <c r="R604" s="7" t="n">
        <v>0</v>
      </c>
    </row>
    <row r="605" customFormat="false" ht="15" hidden="false" customHeight="true" outlineLevel="0" collapsed="false">
      <c r="A605" s="7" t="n">
        <v>6409</v>
      </c>
      <c r="B605" s="7" t="s">
        <v>46</v>
      </c>
      <c r="C605" s="7" t="s">
        <v>46</v>
      </c>
      <c r="D605" s="7" t="s">
        <v>1008</v>
      </c>
      <c r="E605" s="7" t="s">
        <v>123</v>
      </c>
      <c r="F605" s="7" t="n">
        <v>0</v>
      </c>
      <c r="G605" s="7" t="n">
        <v>0</v>
      </c>
      <c r="H605" s="7" t="n">
        <v>0</v>
      </c>
      <c r="I605" s="7" t="n">
        <v>0</v>
      </c>
      <c r="J605" s="7" t="n">
        <v>0</v>
      </c>
      <c r="K605" s="7" t="n">
        <v>0</v>
      </c>
      <c r="L605" s="7" t="n">
        <v>0</v>
      </c>
      <c r="M605" s="7" t="n">
        <v>0</v>
      </c>
      <c r="N605" s="7" t="n">
        <v>0</v>
      </c>
      <c r="O605" s="7" t="n">
        <v>0</v>
      </c>
      <c r="P605" s="7" t="n">
        <v>0</v>
      </c>
      <c r="Q605" s="7" t="n">
        <v>0</v>
      </c>
      <c r="R605" s="7" t="n">
        <v>0</v>
      </c>
    </row>
    <row r="606" customFormat="false" ht="15" hidden="false" customHeight="true" outlineLevel="0" collapsed="false">
      <c r="A606" s="7" t="n">
        <v>5672</v>
      </c>
      <c r="B606" s="7" t="s">
        <v>46</v>
      </c>
      <c r="C606" s="7" t="s">
        <v>982</v>
      </c>
      <c r="D606" s="7" t="s">
        <v>569</v>
      </c>
      <c r="E606" s="7" t="s">
        <v>133</v>
      </c>
      <c r="F606" s="7" t="n">
        <v>25</v>
      </c>
      <c r="G606" s="7" t="n">
        <v>5.68</v>
      </c>
      <c r="H606" s="7" t="n">
        <v>5.86</v>
      </c>
      <c r="I606" s="7" t="n">
        <v>1</v>
      </c>
      <c r="J606" s="7" t="n">
        <v>0</v>
      </c>
      <c r="K606" s="7" t="n">
        <v>0</v>
      </c>
      <c r="L606" s="7" t="n">
        <v>0</v>
      </c>
      <c r="M606" s="7" t="n">
        <v>0</v>
      </c>
      <c r="N606" s="7" t="n">
        <v>0</v>
      </c>
      <c r="O606" s="7" t="n">
        <v>2</v>
      </c>
      <c r="P606" s="7" t="n">
        <v>1</v>
      </c>
      <c r="Q606" s="7" t="n">
        <v>0</v>
      </c>
      <c r="R606" s="7" t="n">
        <v>0</v>
      </c>
    </row>
    <row r="607" customFormat="false" ht="15" hidden="false" customHeight="true" outlineLevel="0" collapsed="false">
      <c r="A607" s="7" t="n">
        <v>6827</v>
      </c>
      <c r="B607" s="7" t="s">
        <v>46</v>
      </c>
      <c r="C607" s="7" t="s">
        <v>46</v>
      </c>
      <c r="D607" s="7" t="s">
        <v>491</v>
      </c>
      <c r="E607" s="7" t="s">
        <v>184</v>
      </c>
      <c r="F607" s="7" t="n">
        <v>10</v>
      </c>
      <c r="G607" s="7" t="n">
        <v>5.8</v>
      </c>
      <c r="H607" s="7" t="n">
        <v>6.15</v>
      </c>
      <c r="I607" s="7" t="n">
        <v>1</v>
      </c>
      <c r="J607" s="7" t="n">
        <v>0</v>
      </c>
      <c r="K607" s="7" t="n">
        <v>0</v>
      </c>
      <c r="L607" s="7" t="n">
        <v>0</v>
      </c>
      <c r="M607" s="7" t="n">
        <v>0</v>
      </c>
      <c r="N607" s="7" t="n">
        <v>0</v>
      </c>
      <c r="O607" s="7" t="n">
        <v>1</v>
      </c>
      <c r="P607" s="7" t="n">
        <v>2</v>
      </c>
      <c r="Q607" s="7" t="n">
        <v>0</v>
      </c>
      <c r="R607" s="7" t="n">
        <v>0</v>
      </c>
    </row>
    <row r="608" customFormat="false" ht="15" hidden="false" customHeight="true" outlineLevel="0" collapsed="false">
      <c r="A608" s="7" t="n">
        <v>2475</v>
      </c>
      <c r="B608" s="7" t="s">
        <v>46</v>
      </c>
      <c r="C608" s="7" t="s">
        <v>46</v>
      </c>
      <c r="D608" s="7" t="s">
        <v>1009</v>
      </c>
      <c r="E608" s="7" t="s">
        <v>135</v>
      </c>
      <c r="F608" s="7" t="n">
        <v>0</v>
      </c>
      <c r="G608" s="7" t="n">
        <v>0</v>
      </c>
      <c r="H608" s="7" t="n">
        <v>0</v>
      </c>
      <c r="I608" s="7" t="n">
        <v>0</v>
      </c>
      <c r="J608" s="7" t="n">
        <v>0</v>
      </c>
      <c r="K608" s="7" t="n">
        <v>0</v>
      </c>
      <c r="L608" s="7" t="n">
        <v>0</v>
      </c>
      <c r="M608" s="7" t="n">
        <v>0</v>
      </c>
      <c r="N608" s="7" t="n">
        <v>0</v>
      </c>
      <c r="O608" s="7" t="n">
        <v>0</v>
      </c>
      <c r="P608" s="7" t="n">
        <v>0</v>
      </c>
      <c r="Q608" s="7" t="n">
        <v>0</v>
      </c>
      <c r="R608" s="7" t="n">
        <v>0</v>
      </c>
    </row>
    <row r="609" customFormat="false" ht="15" hidden="false" customHeight="true" outlineLevel="0" collapsed="false">
      <c r="A609" s="7" t="n">
        <v>7342</v>
      </c>
      <c r="B609" s="7" t="s">
        <v>46</v>
      </c>
      <c r="C609" s="7" t="s">
        <v>982</v>
      </c>
      <c r="D609" s="7" t="s">
        <v>612</v>
      </c>
      <c r="E609" s="7" t="s">
        <v>141</v>
      </c>
      <c r="F609" s="7" t="n">
        <v>8</v>
      </c>
      <c r="G609" s="7" t="n">
        <v>6</v>
      </c>
      <c r="H609" s="7" t="n">
        <v>6.88</v>
      </c>
      <c r="I609" s="7" t="n">
        <v>2</v>
      </c>
      <c r="J609" s="7" t="n">
        <v>0</v>
      </c>
      <c r="K609" s="7" t="n">
        <v>0</v>
      </c>
      <c r="L609" s="7" t="n">
        <v>0</v>
      </c>
      <c r="M609" s="7" t="n">
        <v>0</v>
      </c>
      <c r="N609" s="7" t="n">
        <v>0</v>
      </c>
      <c r="O609" s="7" t="n">
        <v>1</v>
      </c>
      <c r="P609" s="7" t="n">
        <v>0</v>
      </c>
      <c r="Q609" s="7" t="n">
        <v>0</v>
      </c>
      <c r="R609" s="7" t="n">
        <v>0</v>
      </c>
    </row>
    <row r="610" customFormat="false" ht="15" hidden="false" customHeight="true" outlineLevel="0" collapsed="false">
      <c r="A610" s="7" t="n">
        <v>7128</v>
      </c>
      <c r="B610" s="7" t="s">
        <v>46</v>
      </c>
      <c r="C610" s="7" t="s">
        <v>894</v>
      </c>
      <c r="D610" s="7" t="s">
        <v>606</v>
      </c>
      <c r="E610" s="7" t="s">
        <v>119</v>
      </c>
      <c r="F610" s="7" t="n">
        <v>14</v>
      </c>
      <c r="G610" s="7" t="n">
        <v>5.96</v>
      </c>
      <c r="H610" s="7" t="n">
        <v>6.25</v>
      </c>
      <c r="I610" s="7" t="n">
        <v>1</v>
      </c>
      <c r="J610" s="7" t="n">
        <v>0</v>
      </c>
      <c r="K610" s="7" t="n">
        <v>0</v>
      </c>
      <c r="L610" s="7" t="n">
        <v>0</v>
      </c>
      <c r="M610" s="7" t="n">
        <v>0</v>
      </c>
      <c r="N610" s="7" t="n">
        <v>0</v>
      </c>
      <c r="O610" s="7" t="n">
        <v>1</v>
      </c>
      <c r="P610" s="7" t="n">
        <v>0</v>
      </c>
      <c r="Q610" s="7" t="n">
        <v>0</v>
      </c>
      <c r="R610" s="7" t="n">
        <v>0</v>
      </c>
    </row>
    <row r="611" customFormat="false" ht="15" hidden="false" customHeight="true" outlineLevel="0" collapsed="false">
      <c r="A611" s="7" t="n">
        <v>6215</v>
      </c>
      <c r="B611" s="7" t="s">
        <v>46</v>
      </c>
      <c r="C611" s="7" t="s">
        <v>982</v>
      </c>
      <c r="D611" s="7" t="s">
        <v>611</v>
      </c>
      <c r="E611" s="7" t="s">
        <v>125</v>
      </c>
      <c r="F611" s="7" t="n">
        <v>9</v>
      </c>
      <c r="G611" s="7" t="n">
        <v>5.72</v>
      </c>
      <c r="H611" s="7" t="n">
        <v>6</v>
      </c>
      <c r="I611" s="7" t="n">
        <v>1</v>
      </c>
      <c r="J611" s="7" t="n">
        <v>0</v>
      </c>
      <c r="K611" s="7" t="n">
        <v>0</v>
      </c>
      <c r="L611" s="7" t="n">
        <v>0</v>
      </c>
      <c r="M611" s="7" t="n">
        <v>0</v>
      </c>
      <c r="N611" s="7" t="n">
        <v>0</v>
      </c>
      <c r="O611" s="7" t="n">
        <v>0</v>
      </c>
      <c r="P611" s="7" t="n">
        <v>1</v>
      </c>
      <c r="Q611" s="7" t="n">
        <v>0</v>
      </c>
      <c r="R611" s="7" t="n">
        <v>0</v>
      </c>
    </row>
    <row r="612" customFormat="false" ht="15" hidden="false" customHeight="true" outlineLevel="0" collapsed="false">
      <c r="A612" s="7" t="n">
        <v>5471</v>
      </c>
      <c r="B612" s="7" t="s">
        <v>46</v>
      </c>
      <c r="C612" s="7" t="s">
        <v>982</v>
      </c>
      <c r="D612" s="7" t="s">
        <v>1010</v>
      </c>
      <c r="E612" s="7" t="s">
        <v>743</v>
      </c>
      <c r="F612" s="7" t="n">
        <v>9</v>
      </c>
      <c r="G612" s="7" t="n">
        <v>6</v>
      </c>
      <c r="H612" s="7" t="n">
        <v>6</v>
      </c>
      <c r="I612" s="7" t="n">
        <v>0</v>
      </c>
      <c r="J612" s="7" t="n">
        <v>0</v>
      </c>
      <c r="K612" s="7" t="n">
        <v>0</v>
      </c>
      <c r="L612" s="7" t="n">
        <v>0</v>
      </c>
      <c r="M612" s="7" t="n">
        <v>0</v>
      </c>
      <c r="N612" s="7" t="n">
        <v>0</v>
      </c>
      <c r="O612" s="7" t="n">
        <v>1</v>
      </c>
      <c r="P612" s="7" t="n">
        <v>2</v>
      </c>
      <c r="Q612" s="7" t="n">
        <v>0</v>
      </c>
      <c r="R612" s="7" t="n">
        <v>0</v>
      </c>
    </row>
    <row r="613" customFormat="false" ht="15" hidden="false" customHeight="true" outlineLevel="0" collapsed="false">
      <c r="A613" s="7" t="n">
        <v>6836</v>
      </c>
      <c r="B613" s="7" t="s">
        <v>46</v>
      </c>
      <c r="C613" s="7" t="s">
        <v>982</v>
      </c>
      <c r="D613" s="7" t="s">
        <v>1011</v>
      </c>
      <c r="E613" s="7" t="s">
        <v>748</v>
      </c>
      <c r="F613" s="7" t="n">
        <v>27</v>
      </c>
      <c r="G613" s="7" t="n">
        <v>5.65</v>
      </c>
      <c r="H613" s="7" t="n">
        <v>5.83</v>
      </c>
      <c r="I613" s="7" t="n">
        <v>2</v>
      </c>
      <c r="J613" s="7" t="n">
        <v>0</v>
      </c>
      <c r="K613" s="7" t="n">
        <v>0</v>
      </c>
      <c r="L613" s="7" t="n">
        <v>0</v>
      </c>
      <c r="M613" s="7" t="n">
        <v>0</v>
      </c>
      <c r="N613" s="7" t="n">
        <v>0</v>
      </c>
      <c r="O613" s="7" t="n">
        <v>0</v>
      </c>
      <c r="P613" s="7" t="n">
        <v>2</v>
      </c>
      <c r="Q613" s="7" t="n">
        <v>0</v>
      </c>
      <c r="R613" s="7" t="n">
        <v>0</v>
      </c>
    </row>
    <row r="614" customFormat="false" ht="15" hidden="false" customHeight="true" outlineLevel="0" collapsed="false">
      <c r="A614" s="7" t="n">
        <v>6205</v>
      </c>
      <c r="B614" s="7" t="s">
        <v>46</v>
      </c>
      <c r="C614" s="7" t="s">
        <v>982</v>
      </c>
      <c r="D614" s="7" t="s">
        <v>1012</v>
      </c>
      <c r="E614" s="7" t="s">
        <v>144</v>
      </c>
      <c r="F614" s="7" t="n">
        <v>0</v>
      </c>
      <c r="G614" s="7" t="n">
        <v>0</v>
      </c>
      <c r="H614" s="7" t="n">
        <v>0</v>
      </c>
      <c r="I614" s="7" t="n">
        <v>0</v>
      </c>
      <c r="J614" s="7" t="n">
        <v>0</v>
      </c>
      <c r="K614" s="7" t="n">
        <v>0</v>
      </c>
      <c r="L614" s="7" t="n">
        <v>0</v>
      </c>
      <c r="M614" s="7" t="n">
        <v>0</v>
      </c>
      <c r="N614" s="7" t="n">
        <v>0</v>
      </c>
      <c r="O614" s="7" t="n">
        <v>0</v>
      </c>
      <c r="P614" s="7" t="n">
        <v>0</v>
      </c>
      <c r="Q614" s="7" t="n">
        <v>0</v>
      </c>
      <c r="R614" s="7" t="n">
        <v>0</v>
      </c>
    </row>
    <row r="615" customFormat="false" ht="15" hidden="false" customHeight="true" outlineLevel="0" collapsed="false">
      <c r="A615" s="7" t="n">
        <v>441</v>
      </c>
      <c r="B615" s="7" t="s">
        <v>46</v>
      </c>
      <c r="C615" s="7" t="s">
        <v>982</v>
      </c>
      <c r="D615" s="7" t="s">
        <v>1013</v>
      </c>
      <c r="E615" s="7" t="s">
        <v>129</v>
      </c>
      <c r="F615" s="7" t="n">
        <v>4</v>
      </c>
      <c r="G615" s="7" t="n">
        <v>6.12</v>
      </c>
      <c r="H615" s="7" t="n">
        <v>7.62</v>
      </c>
      <c r="I615" s="7" t="n">
        <v>2</v>
      </c>
      <c r="J615" s="7" t="n">
        <v>0</v>
      </c>
      <c r="K615" s="7" t="n">
        <v>0</v>
      </c>
      <c r="L615" s="7" t="n">
        <v>1</v>
      </c>
      <c r="M615" s="7" t="n">
        <v>1</v>
      </c>
      <c r="N615" s="7" t="n">
        <v>0</v>
      </c>
      <c r="O615" s="7" t="n">
        <v>0</v>
      </c>
      <c r="P615" s="7" t="n">
        <v>0</v>
      </c>
      <c r="Q615" s="7" t="n">
        <v>0</v>
      </c>
      <c r="R615" s="7" t="n">
        <v>0</v>
      </c>
    </row>
    <row r="616" customFormat="false" ht="15" hidden="false" customHeight="true" outlineLevel="0" collapsed="false">
      <c r="A616" s="7" t="n">
        <v>7272</v>
      </c>
      <c r="B616" s="7" t="s">
        <v>46</v>
      </c>
      <c r="C616" s="7" t="s">
        <v>982</v>
      </c>
      <c r="D616" s="7" t="s">
        <v>605</v>
      </c>
      <c r="E616" s="7" t="s">
        <v>135</v>
      </c>
      <c r="F616" s="7" t="n">
        <v>13</v>
      </c>
      <c r="G616" s="7" t="n">
        <v>5.77</v>
      </c>
      <c r="H616" s="7" t="n">
        <v>5.92</v>
      </c>
      <c r="I616" s="7" t="n">
        <v>1</v>
      </c>
      <c r="J616" s="7" t="n">
        <v>0</v>
      </c>
      <c r="K616" s="7" t="n">
        <v>0</v>
      </c>
      <c r="L616" s="7" t="n">
        <v>0</v>
      </c>
      <c r="M616" s="7" t="n">
        <v>0</v>
      </c>
      <c r="N616" s="7" t="n">
        <v>0</v>
      </c>
      <c r="O616" s="7" t="n">
        <v>0</v>
      </c>
      <c r="P616" s="7" t="n">
        <v>2</v>
      </c>
      <c r="Q616" s="7" t="n">
        <v>0</v>
      </c>
      <c r="R616" s="7" t="n">
        <v>0</v>
      </c>
    </row>
    <row r="617" customFormat="false" ht="15" hidden="false" customHeight="true" outlineLevel="0" collapsed="false">
      <c r="A617" s="7" t="n">
        <v>7374</v>
      </c>
      <c r="B617" s="7" t="s">
        <v>46</v>
      </c>
      <c r="C617" s="7" t="s">
        <v>982</v>
      </c>
      <c r="D617" s="7" t="s">
        <v>599</v>
      </c>
      <c r="E617" s="7" t="s">
        <v>129</v>
      </c>
      <c r="F617" s="7" t="n">
        <v>8</v>
      </c>
      <c r="G617" s="7" t="n">
        <v>5.94</v>
      </c>
      <c r="H617" s="7" t="n">
        <v>6.62</v>
      </c>
      <c r="I617" s="7" t="n">
        <v>2</v>
      </c>
      <c r="J617" s="7" t="n">
        <v>0</v>
      </c>
      <c r="K617" s="7" t="n">
        <v>0</v>
      </c>
      <c r="L617" s="7" t="n">
        <v>0</v>
      </c>
      <c r="M617" s="7" t="n">
        <v>0</v>
      </c>
      <c r="N617" s="7" t="n">
        <v>0</v>
      </c>
      <c r="O617" s="7" t="n">
        <v>0</v>
      </c>
      <c r="P617" s="7" t="n">
        <v>1</v>
      </c>
      <c r="Q617" s="7" t="n">
        <v>0</v>
      </c>
      <c r="R617" s="7" t="n">
        <v>0</v>
      </c>
    </row>
    <row r="618" customFormat="false" ht="15" hidden="false" customHeight="true" outlineLevel="0" collapsed="false">
      <c r="A618" s="7" t="n">
        <v>785</v>
      </c>
      <c r="B618" s="7" t="s">
        <v>46</v>
      </c>
      <c r="C618" s="7" t="s">
        <v>982</v>
      </c>
      <c r="D618" s="7" t="s">
        <v>1014</v>
      </c>
      <c r="E618" s="7" t="s">
        <v>127</v>
      </c>
      <c r="F618" s="7" t="n">
        <v>6</v>
      </c>
      <c r="G618" s="7" t="n">
        <v>5.58</v>
      </c>
      <c r="H618" s="7" t="n">
        <v>5.5</v>
      </c>
      <c r="I618" s="7" t="n">
        <v>0</v>
      </c>
      <c r="J618" s="7" t="n">
        <v>0</v>
      </c>
      <c r="K618" s="7" t="n">
        <v>0</v>
      </c>
      <c r="L618" s="7" t="n">
        <v>0</v>
      </c>
      <c r="M618" s="7" t="n">
        <v>0</v>
      </c>
      <c r="N618" s="7" t="n">
        <v>0</v>
      </c>
      <c r="O618" s="7" t="n">
        <v>0</v>
      </c>
      <c r="P618" s="7" t="n">
        <v>1</v>
      </c>
      <c r="Q618" s="7" t="n">
        <v>0</v>
      </c>
      <c r="R618" s="7" t="n">
        <v>0</v>
      </c>
    </row>
    <row r="619" customFormat="false" ht="15" hidden="false" customHeight="true" outlineLevel="0" collapsed="false">
      <c r="A619" s="7" t="n">
        <v>6628</v>
      </c>
      <c r="B619" s="7" t="s">
        <v>46</v>
      </c>
      <c r="C619" s="7" t="s">
        <v>982</v>
      </c>
      <c r="D619" s="7" t="s">
        <v>1015</v>
      </c>
      <c r="E619" s="7" t="s">
        <v>115</v>
      </c>
      <c r="F619" s="7" t="n">
        <v>0</v>
      </c>
      <c r="G619" s="7" t="n">
        <v>0</v>
      </c>
      <c r="H619" s="7" t="n">
        <v>0</v>
      </c>
      <c r="I619" s="7" t="n">
        <v>0</v>
      </c>
      <c r="J619" s="7" t="n">
        <v>0</v>
      </c>
      <c r="K619" s="7" t="n">
        <v>0</v>
      </c>
      <c r="L619" s="7" t="n">
        <v>0</v>
      </c>
      <c r="M619" s="7" t="n">
        <v>0</v>
      </c>
      <c r="N619" s="7" t="n">
        <v>0</v>
      </c>
      <c r="O619" s="7" t="n">
        <v>0</v>
      </c>
      <c r="P619" s="7" t="n">
        <v>0</v>
      </c>
      <c r="Q619" s="7" t="n">
        <v>0</v>
      </c>
      <c r="R619" s="7" t="n">
        <v>0</v>
      </c>
    </row>
    <row r="620" customFormat="false" ht="15" hidden="false" customHeight="true" outlineLevel="0" collapsed="false">
      <c r="A620" s="7" t="n">
        <v>6227</v>
      </c>
      <c r="B620" s="7" t="s">
        <v>46</v>
      </c>
      <c r="C620" s="7" t="s">
        <v>46</v>
      </c>
      <c r="D620" s="7" t="s">
        <v>1016</v>
      </c>
      <c r="E620" s="7" t="s">
        <v>121</v>
      </c>
      <c r="F620" s="7" t="n">
        <v>0</v>
      </c>
      <c r="G620" s="7" t="n">
        <v>0</v>
      </c>
      <c r="H620" s="7" t="n">
        <v>0</v>
      </c>
      <c r="I620" s="7" t="n">
        <v>0</v>
      </c>
      <c r="J620" s="7" t="n">
        <v>0</v>
      </c>
      <c r="K620" s="7" t="n">
        <v>0</v>
      </c>
      <c r="L620" s="7" t="n">
        <v>0</v>
      </c>
      <c r="M620" s="7" t="n">
        <v>0</v>
      </c>
      <c r="N620" s="7" t="n">
        <v>0</v>
      </c>
      <c r="O620" s="7" t="n">
        <v>0</v>
      </c>
      <c r="P620" s="7" t="n">
        <v>0</v>
      </c>
      <c r="Q620" s="7" t="n">
        <v>0</v>
      </c>
      <c r="R620" s="7" t="n">
        <v>0</v>
      </c>
    </row>
    <row r="621" customFormat="false" ht="15" hidden="false" customHeight="true" outlineLevel="0" collapsed="false">
      <c r="A621" s="7" t="n">
        <v>7153</v>
      </c>
      <c r="B621" s="7" t="s">
        <v>46</v>
      </c>
      <c r="C621" s="7" t="s">
        <v>982</v>
      </c>
      <c r="D621" s="7" t="s">
        <v>1017</v>
      </c>
      <c r="E621" s="7" t="s">
        <v>748</v>
      </c>
      <c r="F621" s="7" t="n">
        <v>0</v>
      </c>
      <c r="G621" s="7" t="n">
        <v>0</v>
      </c>
      <c r="H621" s="7" t="n">
        <v>0</v>
      </c>
      <c r="I621" s="7" t="n">
        <v>0</v>
      </c>
      <c r="J621" s="7" t="n">
        <v>0</v>
      </c>
      <c r="K621" s="7" t="n">
        <v>0</v>
      </c>
      <c r="L621" s="7" t="n">
        <v>0</v>
      </c>
      <c r="M621" s="7" t="n">
        <v>0</v>
      </c>
      <c r="N621" s="7" t="n">
        <v>0</v>
      </c>
      <c r="O621" s="7" t="n">
        <v>0</v>
      </c>
      <c r="P621" s="7" t="n">
        <v>0</v>
      </c>
      <c r="Q621" s="7" t="n">
        <v>0</v>
      </c>
      <c r="R621" s="7" t="n">
        <v>0</v>
      </c>
    </row>
    <row r="622" customFormat="false" ht="15" hidden="false" customHeight="true" outlineLevel="0" collapsed="false">
      <c r="A622" s="7" t="n">
        <v>479</v>
      </c>
      <c r="B622" s="7" t="s">
        <v>46</v>
      </c>
      <c r="C622" s="7" t="s">
        <v>982</v>
      </c>
      <c r="D622" s="7" t="s">
        <v>1018</v>
      </c>
      <c r="E622" s="7" t="s">
        <v>743</v>
      </c>
      <c r="F622" s="7" t="n">
        <v>23</v>
      </c>
      <c r="G622" s="7" t="n">
        <v>5.76</v>
      </c>
      <c r="H622" s="7" t="n">
        <v>5.89</v>
      </c>
      <c r="I622" s="7" t="n">
        <v>1</v>
      </c>
      <c r="J622" s="7" t="n">
        <v>0</v>
      </c>
      <c r="K622" s="7" t="n">
        <v>0</v>
      </c>
      <c r="L622" s="7" t="n">
        <v>0</v>
      </c>
      <c r="M622" s="7" t="n">
        <v>0</v>
      </c>
      <c r="N622" s="7" t="n">
        <v>0</v>
      </c>
      <c r="O622" s="7" t="n">
        <v>1</v>
      </c>
      <c r="P622" s="7" t="n">
        <v>2</v>
      </c>
      <c r="Q622" s="7" t="n">
        <v>0</v>
      </c>
      <c r="R622" s="7" t="n">
        <v>0</v>
      </c>
    </row>
    <row r="623" customFormat="false" ht="15" hidden="false" customHeight="true" outlineLevel="0" collapsed="false">
      <c r="A623" s="7" t="n">
        <v>6653</v>
      </c>
      <c r="B623" s="7" t="s">
        <v>46</v>
      </c>
      <c r="C623" s="7" t="s">
        <v>46</v>
      </c>
      <c r="D623" s="7" t="s">
        <v>1019</v>
      </c>
      <c r="E623" s="7" t="s">
        <v>135</v>
      </c>
      <c r="F623" s="7" t="n">
        <v>4</v>
      </c>
      <c r="G623" s="7" t="n">
        <v>6</v>
      </c>
      <c r="H623" s="7" t="n">
        <v>6.62</v>
      </c>
      <c r="I623" s="7" t="n">
        <v>1</v>
      </c>
      <c r="J623" s="7" t="n">
        <v>0</v>
      </c>
      <c r="K623" s="7" t="n">
        <v>0</v>
      </c>
      <c r="L623" s="7" t="n">
        <v>0</v>
      </c>
      <c r="M623" s="7" t="n">
        <v>0</v>
      </c>
      <c r="N623" s="7" t="n">
        <v>0</v>
      </c>
      <c r="O623" s="7" t="n">
        <v>0</v>
      </c>
      <c r="P623" s="7" t="n">
        <v>1</v>
      </c>
      <c r="Q623" s="7" t="n">
        <v>0</v>
      </c>
      <c r="R623" s="7" t="n">
        <v>0</v>
      </c>
    </row>
    <row r="624" customFormat="false" ht="15" hidden="false" customHeight="true" outlineLevel="0" collapsed="false">
      <c r="A624" s="7" t="n">
        <v>6159</v>
      </c>
      <c r="B624" s="7" t="s">
        <v>46</v>
      </c>
      <c r="C624" s="7" t="s">
        <v>46</v>
      </c>
      <c r="D624" s="7" t="s">
        <v>1020</v>
      </c>
      <c r="E624" s="7" t="s">
        <v>745</v>
      </c>
      <c r="F624" s="7" t="n">
        <v>29</v>
      </c>
      <c r="G624" s="7" t="n">
        <v>5.67</v>
      </c>
      <c r="H624" s="7" t="n">
        <v>5.64</v>
      </c>
      <c r="I624" s="7" t="n">
        <v>0</v>
      </c>
      <c r="J624" s="7" t="n">
        <v>0</v>
      </c>
      <c r="K624" s="7" t="n">
        <v>0</v>
      </c>
      <c r="L624" s="7" t="n">
        <v>0</v>
      </c>
      <c r="M624" s="7" t="n">
        <v>0</v>
      </c>
      <c r="N624" s="7" t="n">
        <v>0</v>
      </c>
      <c r="O624" s="7" t="n">
        <v>0</v>
      </c>
      <c r="P624" s="7" t="n">
        <v>0</v>
      </c>
      <c r="Q624" s="7" t="n">
        <v>1</v>
      </c>
      <c r="R624" s="7" t="n">
        <v>0</v>
      </c>
    </row>
    <row r="625" customFormat="false" ht="15" hidden="false" customHeight="true" outlineLevel="0" collapsed="false">
      <c r="A625" s="7" t="n">
        <v>6630</v>
      </c>
      <c r="B625" s="7" t="s">
        <v>46</v>
      </c>
      <c r="C625" s="7" t="s">
        <v>982</v>
      </c>
      <c r="D625" s="7" t="s">
        <v>1021</v>
      </c>
      <c r="E625" s="7" t="s">
        <v>745</v>
      </c>
      <c r="F625" s="7" t="n">
        <v>14</v>
      </c>
      <c r="G625" s="7" t="n">
        <v>5.96</v>
      </c>
      <c r="H625" s="7" t="n">
        <v>6.07</v>
      </c>
      <c r="I625" s="7" t="n">
        <v>0</v>
      </c>
      <c r="J625" s="7" t="n">
        <v>0</v>
      </c>
      <c r="K625" s="7" t="n">
        <v>0</v>
      </c>
      <c r="L625" s="7" t="n">
        <v>0</v>
      </c>
      <c r="M625" s="7" t="n">
        <v>0</v>
      </c>
      <c r="N625" s="7" t="n">
        <v>0</v>
      </c>
      <c r="O625" s="7" t="n">
        <v>2</v>
      </c>
      <c r="P625" s="7" t="n">
        <v>1</v>
      </c>
      <c r="Q625" s="7" t="n">
        <v>0</v>
      </c>
      <c r="R625" s="7" t="n">
        <v>0</v>
      </c>
    </row>
    <row r="626" customFormat="false" ht="15" hidden="false" customHeight="true" outlineLevel="0" collapsed="false">
      <c r="A626" s="7" t="n">
        <v>6314</v>
      </c>
      <c r="B626" s="7" t="s">
        <v>46</v>
      </c>
      <c r="C626" s="7" t="s">
        <v>982</v>
      </c>
      <c r="D626" s="7" t="s">
        <v>1022</v>
      </c>
      <c r="E626" s="7" t="s">
        <v>131</v>
      </c>
      <c r="F626" s="7" t="n">
        <v>14</v>
      </c>
      <c r="G626" s="7" t="n">
        <v>5.79</v>
      </c>
      <c r="H626" s="7" t="n">
        <v>6</v>
      </c>
      <c r="I626" s="7" t="n">
        <v>1</v>
      </c>
      <c r="J626" s="7" t="n">
        <v>0</v>
      </c>
      <c r="K626" s="7" t="n">
        <v>0</v>
      </c>
      <c r="L626" s="7" t="n">
        <v>0</v>
      </c>
      <c r="M626" s="7" t="n">
        <v>0</v>
      </c>
      <c r="N626" s="7" t="n">
        <v>0</v>
      </c>
      <c r="O626" s="7" t="n">
        <v>0</v>
      </c>
      <c r="P626" s="7" t="n">
        <v>0</v>
      </c>
      <c r="Q626" s="7" t="n">
        <v>0</v>
      </c>
      <c r="R626" s="7" t="n">
        <v>0</v>
      </c>
    </row>
    <row r="627" customFormat="false" ht="15" hidden="false" customHeight="true" outlineLevel="0" collapsed="false">
      <c r="A627" s="7" t="n">
        <v>7344</v>
      </c>
      <c r="B627" s="7" t="s">
        <v>46</v>
      </c>
      <c r="C627" s="7" t="s">
        <v>982</v>
      </c>
      <c r="D627" s="7" t="s">
        <v>1023</v>
      </c>
      <c r="E627" s="7" t="s">
        <v>748</v>
      </c>
      <c r="F627" s="7" t="n">
        <v>12</v>
      </c>
      <c r="G627" s="7" t="n">
        <v>5.58</v>
      </c>
      <c r="H627" s="7" t="n">
        <v>5.58</v>
      </c>
      <c r="I627" s="7" t="n">
        <v>0</v>
      </c>
      <c r="J627" s="7" t="n">
        <v>0</v>
      </c>
      <c r="K627" s="7" t="n">
        <v>0</v>
      </c>
      <c r="L627" s="7" t="n">
        <v>0</v>
      </c>
      <c r="M627" s="7" t="n">
        <v>0</v>
      </c>
      <c r="N627" s="7" t="n">
        <v>0</v>
      </c>
      <c r="O627" s="7" t="n">
        <v>0</v>
      </c>
      <c r="P627" s="7" t="n">
        <v>0</v>
      </c>
      <c r="Q627" s="7" t="n">
        <v>0</v>
      </c>
      <c r="R627" s="7" t="n">
        <v>0</v>
      </c>
    </row>
    <row r="628" customFormat="false" ht="15" hidden="false" customHeight="true" outlineLevel="0" collapsed="false">
      <c r="A628" s="7" t="n">
        <v>7349</v>
      </c>
      <c r="B628" s="7" t="s">
        <v>46</v>
      </c>
      <c r="C628" s="7" t="s">
        <v>982</v>
      </c>
      <c r="D628" s="7" t="s">
        <v>604</v>
      </c>
      <c r="E628" s="7" t="s">
        <v>184</v>
      </c>
      <c r="F628" s="7" t="n">
        <v>7</v>
      </c>
      <c r="G628" s="7" t="n">
        <v>5.71</v>
      </c>
      <c r="H628" s="7" t="n">
        <v>5.79</v>
      </c>
      <c r="I628" s="7" t="n">
        <v>0</v>
      </c>
      <c r="J628" s="7" t="n">
        <v>0</v>
      </c>
      <c r="K628" s="7" t="n">
        <v>0</v>
      </c>
      <c r="L628" s="7" t="n">
        <v>0</v>
      </c>
      <c r="M628" s="7" t="n">
        <v>0</v>
      </c>
      <c r="N628" s="7" t="n">
        <v>0</v>
      </c>
      <c r="O628" s="7" t="n">
        <v>1</v>
      </c>
      <c r="P628" s="7" t="n">
        <v>2</v>
      </c>
      <c r="Q628" s="7" t="n">
        <v>0</v>
      </c>
      <c r="R628" s="7" t="n">
        <v>0</v>
      </c>
    </row>
    <row r="629" customFormat="false" ht="15" hidden="false" customHeight="true" outlineLevel="0" collapsed="false">
      <c r="A629" s="7" t="n">
        <v>6895</v>
      </c>
      <c r="B629" s="7" t="s">
        <v>46</v>
      </c>
      <c r="C629" s="7" t="s">
        <v>894</v>
      </c>
      <c r="D629" s="7" t="s">
        <v>493</v>
      </c>
      <c r="E629" s="7" t="s">
        <v>127</v>
      </c>
      <c r="F629" s="7" t="n">
        <v>12</v>
      </c>
      <c r="G629" s="7" t="n">
        <v>5.83</v>
      </c>
      <c r="H629" s="7" t="n">
        <v>6.04</v>
      </c>
      <c r="I629" s="7" t="n">
        <v>0</v>
      </c>
      <c r="J629" s="7" t="n">
        <v>0</v>
      </c>
      <c r="K629" s="7" t="n">
        <v>0</v>
      </c>
      <c r="L629" s="7" t="n">
        <v>0</v>
      </c>
      <c r="M629" s="7" t="n">
        <v>0</v>
      </c>
      <c r="N629" s="7" t="n">
        <v>0</v>
      </c>
      <c r="O629" s="7" t="n">
        <v>3</v>
      </c>
      <c r="P629" s="7" t="n">
        <v>1</v>
      </c>
      <c r="Q629" s="7" t="n">
        <v>0</v>
      </c>
      <c r="R629" s="7" t="n">
        <v>0</v>
      </c>
    </row>
    <row r="630" customFormat="false" ht="15" hidden="false" customHeight="true" outlineLevel="0" collapsed="false">
      <c r="A630" s="7" t="n">
        <v>6459</v>
      </c>
      <c r="B630" s="7" t="s">
        <v>46</v>
      </c>
      <c r="C630" s="7" t="s">
        <v>894</v>
      </c>
      <c r="D630" s="7" t="s">
        <v>1024</v>
      </c>
      <c r="E630" s="7" t="s">
        <v>127</v>
      </c>
      <c r="F630" s="7" t="n">
        <v>0</v>
      </c>
      <c r="G630" s="7" t="n">
        <v>0</v>
      </c>
      <c r="H630" s="7" t="n">
        <v>0</v>
      </c>
      <c r="I630" s="7" t="n">
        <v>0</v>
      </c>
      <c r="J630" s="7" t="n">
        <v>0</v>
      </c>
      <c r="K630" s="7" t="n">
        <v>0</v>
      </c>
      <c r="L630" s="7" t="n">
        <v>0</v>
      </c>
      <c r="M630" s="7" t="n">
        <v>0</v>
      </c>
      <c r="N630" s="7" t="n">
        <v>0</v>
      </c>
      <c r="O630" s="7" t="n">
        <v>0</v>
      </c>
      <c r="P630" s="7" t="n">
        <v>0</v>
      </c>
      <c r="Q630" s="7" t="n">
        <v>0</v>
      </c>
      <c r="R630" s="7" t="n">
        <v>0</v>
      </c>
    </row>
    <row r="631" customFormat="false" ht="15" hidden="false" customHeight="true" outlineLevel="0" collapsed="false">
      <c r="A631" s="7" t="n">
        <v>5297</v>
      </c>
      <c r="B631" s="7" t="s">
        <v>46</v>
      </c>
      <c r="C631" s="7" t="s">
        <v>46</v>
      </c>
      <c r="D631" s="7" t="s">
        <v>1025</v>
      </c>
      <c r="E631" s="7" t="s">
        <v>129</v>
      </c>
      <c r="F631" s="7" t="n">
        <v>10</v>
      </c>
      <c r="G631" s="7" t="n">
        <v>5.8</v>
      </c>
      <c r="H631" s="7" t="n">
        <v>5.8</v>
      </c>
      <c r="I631" s="7" t="n">
        <v>0</v>
      </c>
      <c r="J631" s="7" t="n">
        <v>0</v>
      </c>
      <c r="K631" s="7" t="n">
        <v>0</v>
      </c>
      <c r="L631" s="7" t="n">
        <v>0</v>
      </c>
      <c r="M631" s="7" t="n">
        <v>0</v>
      </c>
      <c r="N631" s="7" t="n">
        <v>0</v>
      </c>
      <c r="O631" s="7" t="n">
        <v>0</v>
      </c>
      <c r="P631" s="7" t="n">
        <v>0</v>
      </c>
      <c r="Q631" s="7" t="n">
        <v>0</v>
      </c>
      <c r="R631" s="7" t="n">
        <v>0</v>
      </c>
    </row>
    <row r="632" customFormat="false" ht="15" hidden="false" customHeight="true" outlineLevel="0" collapsed="false">
      <c r="A632" s="7" t="n">
        <v>247</v>
      </c>
      <c r="B632" s="7" t="s">
        <v>46</v>
      </c>
      <c r="C632" s="7" t="s">
        <v>982</v>
      </c>
      <c r="D632" s="7" t="s">
        <v>1026</v>
      </c>
      <c r="E632" s="7" t="s">
        <v>129</v>
      </c>
      <c r="F632" s="7" t="n">
        <v>6</v>
      </c>
      <c r="G632" s="7" t="n">
        <v>6</v>
      </c>
      <c r="H632" s="7" t="n">
        <v>6.42</v>
      </c>
      <c r="I632" s="7" t="n">
        <v>1</v>
      </c>
      <c r="J632" s="7" t="n">
        <v>0</v>
      </c>
      <c r="K632" s="7" t="n">
        <v>0</v>
      </c>
      <c r="L632" s="7" t="n">
        <v>0</v>
      </c>
      <c r="M632" s="7" t="n">
        <v>0</v>
      </c>
      <c r="N632" s="7" t="n">
        <v>0</v>
      </c>
      <c r="O632" s="7" t="n">
        <v>0</v>
      </c>
      <c r="P632" s="7" t="n">
        <v>1</v>
      </c>
      <c r="Q632" s="7" t="n">
        <v>0</v>
      </c>
      <c r="R632" s="7" t="n">
        <v>0</v>
      </c>
    </row>
    <row r="633" customFormat="false" ht="15" hidden="false" customHeight="true" outlineLevel="0" collapsed="false">
      <c r="A633" s="7" t="n">
        <v>5512</v>
      </c>
      <c r="B633" s="7" t="s">
        <v>46</v>
      </c>
      <c r="C633" s="7" t="s">
        <v>982</v>
      </c>
      <c r="D633" s="7" t="s">
        <v>1027</v>
      </c>
      <c r="E633" s="7" t="s">
        <v>743</v>
      </c>
      <c r="F633" s="7" t="n">
        <v>1</v>
      </c>
      <c r="G633" s="7" t="n">
        <v>7</v>
      </c>
      <c r="H633" s="7" t="n">
        <v>10</v>
      </c>
      <c r="I633" s="7" t="n">
        <v>1</v>
      </c>
      <c r="J633" s="7" t="n">
        <v>0</v>
      </c>
      <c r="K633" s="7" t="n">
        <v>0</v>
      </c>
      <c r="L633" s="7" t="n">
        <v>1</v>
      </c>
      <c r="M633" s="7" t="n">
        <v>1</v>
      </c>
      <c r="N633" s="7" t="n">
        <v>0</v>
      </c>
      <c r="O633" s="7" t="n">
        <v>0</v>
      </c>
      <c r="P633" s="7" t="n">
        <v>0</v>
      </c>
      <c r="Q633" s="7" t="n">
        <v>0</v>
      </c>
      <c r="R633" s="7" t="n">
        <v>0</v>
      </c>
    </row>
    <row r="634" customFormat="false" ht="15" hidden="false" customHeight="true" outlineLevel="0" collapsed="false">
      <c r="A634" s="7" t="n">
        <v>647</v>
      </c>
      <c r="B634" s="7" t="s">
        <v>46</v>
      </c>
      <c r="C634" s="7" t="s">
        <v>982</v>
      </c>
      <c r="D634" s="7" t="s">
        <v>1028</v>
      </c>
      <c r="E634" s="7" t="s">
        <v>123</v>
      </c>
      <c r="F634" s="7" t="n">
        <v>8</v>
      </c>
      <c r="G634" s="7" t="n">
        <v>5.62</v>
      </c>
      <c r="H634" s="7" t="n">
        <v>5.56</v>
      </c>
      <c r="I634" s="7" t="n">
        <v>0</v>
      </c>
      <c r="J634" s="7" t="n">
        <v>0</v>
      </c>
      <c r="K634" s="7" t="n">
        <v>0</v>
      </c>
      <c r="L634" s="7" t="n">
        <v>0</v>
      </c>
      <c r="M634" s="7" t="n">
        <v>0</v>
      </c>
      <c r="N634" s="7" t="n">
        <v>0</v>
      </c>
      <c r="O634" s="7" t="n">
        <v>0</v>
      </c>
      <c r="P634" s="7" t="n">
        <v>1</v>
      </c>
      <c r="Q634" s="7" t="n">
        <v>0</v>
      </c>
      <c r="R634" s="7" t="n">
        <v>0</v>
      </c>
    </row>
    <row r="635" customFormat="false" ht="15" hidden="false" customHeight="true" outlineLevel="0" collapsed="false">
      <c r="A635" s="7" t="n">
        <v>6207</v>
      </c>
      <c r="B635" s="7" t="s">
        <v>46</v>
      </c>
      <c r="C635" s="7" t="s">
        <v>894</v>
      </c>
      <c r="D635" s="7" t="s">
        <v>487</v>
      </c>
      <c r="E635" s="7" t="s">
        <v>141</v>
      </c>
      <c r="F635" s="7" t="n">
        <v>9</v>
      </c>
      <c r="G635" s="7" t="n">
        <v>5.94</v>
      </c>
      <c r="H635" s="7" t="n">
        <v>6.06</v>
      </c>
      <c r="I635" s="7" t="n">
        <v>0</v>
      </c>
      <c r="J635" s="7" t="n">
        <v>0</v>
      </c>
      <c r="K635" s="7" t="n">
        <v>0</v>
      </c>
      <c r="L635" s="7" t="n">
        <v>0</v>
      </c>
      <c r="M635" s="7" t="n">
        <v>0</v>
      </c>
      <c r="N635" s="7" t="n">
        <v>0</v>
      </c>
      <c r="O635" s="7" t="n">
        <v>1</v>
      </c>
      <c r="P635" s="7" t="n">
        <v>0</v>
      </c>
      <c r="Q635" s="7" t="n">
        <v>0</v>
      </c>
      <c r="R635" s="7" t="n">
        <v>0</v>
      </c>
    </row>
    <row r="636" customFormat="false" ht="15" hidden="false" customHeight="true" outlineLevel="0" collapsed="false">
      <c r="A636" s="7" t="n">
        <v>6213</v>
      </c>
      <c r="B636" s="7" t="s">
        <v>46</v>
      </c>
      <c r="C636" s="7" t="s">
        <v>46</v>
      </c>
      <c r="D636" s="7" t="s">
        <v>1029</v>
      </c>
      <c r="E636" s="7" t="s">
        <v>135</v>
      </c>
      <c r="F636" s="7" t="n">
        <v>0</v>
      </c>
      <c r="G636" s="7" t="n">
        <v>0</v>
      </c>
      <c r="H636" s="7" t="n">
        <v>0</v>
      </c>
      <c r="I636" s="7" t="n">
        <v>0</v>
      </c>
      <c r="J636" s="7" t="n">
        <v>0</v>
      </c>
      <c r="K636" s="7" t="n">
        <v>0</v>
      </c>
      <c r="L636" s="7" t="n">
        <v>0</v>
      </c>
      <c r="M636" s="7" t="n">
        <v>0</v>
      </c>
      <c r="N636" s="7" t="n">
        <v>0</v>
      </c>
      <c r="O636" s="7" t="n">
        <v>0</v>
      </c>
      <c r="P636" s="7" t="n">
        <v>0</v>
      </c>
      <c r="Q636" s="7" t="n">
        <v>0</v>
      </c>
      <c r="R636" s="7" t="n">
        <v>0</v>
      </c>
    </row>
    <row r="637" customFormat="false" ht="15" hidden="false" customHeight="true" outlineLevel="0" collapsed="false">
      <c r="A637" s="7" t="n">
        <v>6644</v>
      </c>
      <c r="B637" s="7" t="s">
        <v>46</v>
      </c>
      <c r="C637" s="7" t="s">
        <v>982</v>
      </c>
      <c r="D637" s="7" t="s">
        <v>1030</v>
      </c>
      <c r="E637" s="7" t="s">
        <v>745</v>
      </c>
      <c r="F637" s="7" t="n">
        <v>0</v>
      </c>
      <c r="G637" s="7" t="n">
        <v>0</v>
      </c>
      <c r="H637" s="7" t="n">
        <v>0</v>
      </c>
      <c r="I637" s="7" t="n">
        <v>0</v>
      </c>
      <c r="J637" s="7" t="n">
        <v>0</v>
      </c>
      <c r="K637" s="7" t="n">
        <v>0</v>
      </c>
      <c r="L637" s="7" t="n">
        <v>0</v>
      </c>
      <c r="M637" s="7" t="n">
        <v>0</v>
      </c>
      <c r="N637" s="7" t="n">
        <v>0</v>
      </c>
      <c r="O637" s="7" t="n">
        <v>0</v>
      </c>
      <c r="P637" s="7" t="n">
        <v>0</v>
      </c>
      <c r="Q637" s="7" t="n">
        <v>0</v>
      </c>
      <c r="R637" s="7" t="n">
        <v>0</v>
      </c>
    </row>
    <row r="638" customFormat="false" ht="15" hidden="false" customHeight="true" outlineLevel="0" collapsed="false">
      <c r="A638" s="7" t="n">
        <v>6519</v>
      </c>
      <c r="B638" s="7" t="s">
        <v>46</v>
      </c>
      <c r="C638" s="7" t="s">
        <v>982</v>
      </c>
      <c r="D638" s="7" t="s">
        <v>594</v>
      </c>
      <c r="E638" s="7" t="s">
        <v>139</v>
      </c>
      <c r="F638" s="7" t="n">
        <v>18</v>
      </c>
      <c r="G638" s="7" t="n">
        <v>5.67</v>
      </c>
      <c r="H638" s="7" t="n">
        <v>5.64</v>
      </c>
      <c r="I638" s="7" t="n">
        <v>1</v>
      </c>
      <c r="J638" s="7" t="n">
        <v>0</v>
      </c>
      <c r="K638" s="7" t="n">
        <v>0</v>
      </c>
      <c r="L638" s="7" t="n">
        <v>1</v>
      </c>
      <c r="M638" s="7" t="n">
        <v>0</v>
      </c>
      <c r="N638" s="7" t="n">
        <v>1</v>
      </c>
      <c r="O638" s="7" t="n">
        <v>0</v>
      </c>
      <c r="P638" s="7" t="n">
        <v>1</v>
      </c>
      <c r="Q638" s="7" t="n">
        <v>0</v>
      </c>
      <c r="R638" s="7" t="n">
        <v>0</v>
      </c>
    </row>
    <row r="639" customFormat="false" ht="15" hidden="false" customHeight="true" outlineLevel="0" collapsed="false">
      <c r="A639" s="7" t="n">
        <v>1842</v>
      </c>
      <c r="B639" s="7" t="s">
        <v>46</v>
      </c>
      <c r="C639" s="7" t="s">
        <v>46</v>
      </c>
      <c r="D639" s="7" t="s">
        <v>1031</v>
      </c>
      <c r="E639" s="7" t="s">
        <v>144</v>
      </c>
      <c r="F639" s="7" t="n">
        <v>4</v>
      </c>
      <c r="G639" s="7" t="n">
        <v>6</v>
      </c>
      <c r="H639" s="7" t="n">
        <v>5.88</v>
      </c>
      <c r="I639" s="7" t="n">
        <v>0</v>
      </c>
      <c r="J639" s="7" t="n">
        <v>0</v>
      </c>
      <c r="K639" s="7" t="n">
        <v>0</v>
      </c>
      <c r="L639" s="7" t="n">
        <v>0</v>
      </c>
      <c r="M639" s="7" t="n">
        <v>0</v>
      </c>
      <c r="N639" s="7" t="n">
        <v>0</v>
      </c>
      <c r="O639" s="7" t="n">
        <v>0</v>
      </c>
      <c r="P639" s="7" t="n">
        <v>1</v>
      </c>
      <c r="Q639" s="7" t="n">
        <v>0</v>
      </c>
      <c r="R639" s="7" t="n">
        <v>0</v>
      </c>
    </row>
    <row r="640" customFormat="false" ht="15" hidden="false" customHeight="true" outlineLevel="0" collapsed="false">
      <c r="A640" s="7" t="n">
        <v>5845</v>
      </c>
      <c r="B640" s="7" t="s">
        <v>46</v>
      </c>
      <c r="C640" s="7" t="s">
        <v>982</v>
      </c>
      <c r="D640" s="7" t="s">
        <v>1032</v>
      </c>
      <c r="E640" s="7" t="s">
        <v>144</v>
      </c>
      <c r="F640" s="7" t="n">
        <v>0</v>
      </c>
      <c r="G640" s="7" t="n">
        <v>0</v>
      </c>
      <c r="H640" s="7" t="n">
        <v>0</v>
      </c>
      <c r="I640" s="7" t="n">
        <v>0</v>
      </c>
      <c r="J640" s="7" t="n">
        <v>0</v>
      </c>
      <c r="K640" s="7" t="n">
        <v>0</v>
      </c>
      <c r="L640" s="7" t="n">
        <v>0</v>
      </c>
      <c r="M640" s="7" t="n">
        <v>0</v>
      </c>
      <c r="N640" s="7" t="n">
        <v>0</v>
      </c>
      <c r="O640" s="7" t="n">
        <v>0</v>
      </c>
      <c r="P640" s="7" t="n">
        <v>0</v>
      </c>
      <c r="Q640" s="7" t="n">
        <v>0</v>
      </c>
      <c r="R640" s="7" t="n">
        <v>0</v>
      </c>
    </row>
    <row r="641" customFormat="false" ht="15" hidden="false" customHeight="true" outlineLevel="0" collapsed="false">
      <c r="A641" s="7" t="n">
        <v>7161</v>
      </c>
      <c r="B641" s="7" t="s">
        <v>46</v>
      </c>
      <c r="C641" s="7" t="s">
        <v>982</v>
      </c>
      <c r="D641" s="7" t="s">
        <v>620</v>
      </c>
      <c r="E641" s="7" t="s">
        <v>135</v>
      </c>
      <c r="F641" s="7" t="n">
        <v>12</v>
      </c>
      <c r="G641" s="7" t="n">
        <v>5.75</v>
      </c>
      <c r="H641" s="7" t="n">
        <v>5.83</v>
      </c>
      <c r="I641" s="7" t="n">
        <v>0</v>
      </c>
      <c r="J641" s="7" t="n">
        <v>0</v>
      </c>
      <c r="K641" s="7" t="n">
        <v>0</v>
      </c>
      <c r="L641" s="7" t="n">
        <v>0</v>
      </c>
      <c r="M641" s="7" t="n">
        <v>0</v>
      </c>
      <c r="N641" s="7" t="n">
        <v>0</v>
      </c>
      <c r="O641" s="7" t="n">
        <v>1</v>
      </c>
      <c r="P641" s="7" t="n">
        <v>0</v>
      </c>
      <c r="Q641" s="7" t="n">
        <v>0</v>
      </c>
      <c r="R641" s="7" t="n">
        <v>0</v>
      </c>
    </row>
    <row r="642" customFormat="false" ht="15" hidden="false" customHeight="true" outlineLevel="0" collapsed="false">
      <c r="A642" s="7" t="n">
        <v>313</v>
      </c>
      <c r="B642" s="7" t="s">
        <v>46</v>
      </c>
      <c r="C642" s="7" t="s">
        <v>982</v>
      </c>
      <c r="D642" s="7" t="s">
        <v>600</v>
      </c>
      <c r="E642" s="7" t="s">
        <v>119</v>
      </c>
      <c r="F642" s="7" t="n">
        <v>17</v>
      </c>
      <c r="G642" s="7" t="n">
        <v>5.5</v>
      </c>
      <c r="H642" s="7" t="n">
        <v>5.21</v>
      </c>
      <c r="I642" s="7" t="n">
        <v>0</v>
      </c>
      <c r="J642" s="7" t="n">
        <v>0</v>
      </c>
      <c r="K642" s="7" t="n">
        <v>0</v>
      </c>
      <c r="L642" s="7" t="n">
        <v>1</v>
      </c>
      <c r="M642" s="7" t="n">
        <v>0</v>
      </c>
      <c r="N642" s="7" t="n">
        <v>1</v>
      </c>
      <c r="O642" s="7" t="n">
        <v>0</v>
      </c>
      <c r="P642" s="7" t="n">
        <v>2</v>
      </c>
      <c r="Q642" s="7" t="n">
        <v>1</v>
      </c>
      <c r="R642" s="7" t="n">
        <v>0</v>
      </c>
    </row>
    <row r="643" customFormat="false" ht="15" hidden="false" customHeight="true" outlineLevel="0" collapsed="false">
      <c r="A643" s="7" t="n">
        <v>7239</v>
      </c>
      <c r="B643" s="7" t="s">
        <v>46</v>
      </c>
      <c r="C643" s="7" t="s">
        <v>982</v>
      </c>
      <c r="D643" s="7" t="s">
        <v>1033</v>
      </c>
      <c r="E643" s="7" t="s">
        <v>123</v>
      </c>
      <c r="F643" s="7" t="n">
        <v>2</v>
      </c>
      <c r="G643" s="7" t="n">
        <v>5.75</v>
      </c>
      <c r="H643" s="7" t="n">
        <v>5.75</v>
      </c>
      <c r="I643" s="7" t="n">
        <v>0</v>
      </c>
      <c r="J643" s="7" t="n">
        <v>0</v>
      </c>
      <c r="K643" s="7" t="n">
        <v>0</v>
      </c>
      <c r="L643" s="7" t="n">
        <v>0</v>
      </c>
      <c r="M643" s="7" t="n">
        <v>0</v>
      </c>
      <c r="N643" s="7" t="n">
        <v>0</v>
      </c>
      <c r="O643" s="7" t="n">
        <v>0</v>
      </c>
      <c r="P643" s="7" t="n">
        <v>0</v>
      </c>
      <c r="Q643" s="7" t="n">
        <v>0</v>
      </c>
      <c r="R643" s="7" t="n">
        <v>0</v>
      </c>
    </row>
    <row r="644" customFormat="false" ht="15" hidden="false" customHeight="true" outlineLevel="0" collapsed="false">
      <c r="A644" s="7" t="n">
        <v>7264</v>
      </c>
      <c r="B644" s="7" t="s">
        <v>46</v>
      </c>
      <c r="C644" s="7" t="s">
        <v>982</v>
      </c>
      <c r="D644" s="7" t="s">
        <v>1034</v>
      </c>
      <c r="E644" s="7" t="s">
        <v>125</v>
      </c>
      <c r="F644" s="7" t="n">
        <v>1</v>
      </c>
      <c r="G644" s="7" t="n">
        <v>5.5</v>
      </c>
      <c r="H644" s="7" t="n">
        <v>5.5</v>
      </c>
      <c r="I644" s="7" t="n">
        <v>0</v>
      </c>
      <c r="J644" s="7" t="n">
        <v>0</v>
      </c>
      <c r="K644" s="7" t="n">
        <v>0</v>
      </c>
      <c r="L644" s="7" t="n">
        <v>0</v>
      </c>
      <c r="M644" s="7" t="n">
        <v>0</v>
      </c>
      <c r="N644" s="7" t="n">
        <v>0</v>
      </c>
      <c r="O644" s="7" t="n">
        <v>0</v>
      </c>
      <c r="P644" s="7" t="n">
        <v>0</v>
      </c>
      <c r="Q644" s="7" t="n">
        <v>0</v>
      </c>
      <c r="R644" s="7" t="n">
        <v>0</v>
      </c>
    </row>
    <row r="645" customFormat="false" ht="15" hidden="false" customHeight="true" outlineLevel="0" collapsed="false">
      <c r="A645" s="7" t="n">
        <v>6555</v>
      </c>
      <c r="B645" s="7" t="s">
        <v>46</v>
      </c>
      <c r="C645" s="7" t="s">
        <v>982</v>
      </c>
      <c r="D645" s="7" t="s">
        <v>1035</v>
      </c>
      <c r="E645" s="7" t="s">
        <v>743</v>
      </c>
      <c r="F645" s="7" t="n">
        <v>5</v>
      </c>
      <c r="G645" s="7" t="n">
        <v>5.6</v>
      </c>
      <c r="H645" s="7" t="n">
        <v>5.6</v>
      </c>
      <c r="I645" s="7" t="n">
        <v>0</v>
      </c>
      <c r="J645" s="7" t="n">
        <v>0</v>
      </c>
      <c r="K645" s="7" t="n">
        <v>0</v>
      </c>
      <c r="L645" s="7" t="n">
        <v>0</v>
      </c>
      <c r="M645" s="7" t="n">
        <v>0</v>
      </c>
      <c r="N645" s="7" t="n">
        <v>0</v>
      </c>
      <c r="O645" s="7" t="n">
        <v>0</v>
      </c>
      <c r="P645" s="7" t="n">
        <v>0</v>
      </c>
      <c r="Q645" s="7" t="n">
        <v>0</v>
      </c>
      <c r="R645" s="7" t="n">
        <v>0</v>
      </c>
    </row>
    <row r="646" customFormat="false" ht="15" hidden="false" customHeight="true" outlineLevel="0" collapsed="false">
      <c r="A646" s="7" t="n">
        <v>7338</v>
      </c>
      <c r="B646" s="7" t="s">
        <v>46</v>
      </c>
      <c r="C646" s="7" t="s">
        <v>46</v>
      </c>
      <c r="D646" s="7" t="s">
        <v>615</v>
      </c>
      <c r="E646" s="7" t="s">
        <v>129</v>
      </c>
      <c r="F646" s="7" t="n">
        <v>2</v>
      </c>
      <c r="G646" s="7" t="n">
        <v>6</v>
      </c>
      <c r="H646" s="7" t="n">
        <v>6</v>
      </c>
      <c r="I646" s="7" t="n">
        <v>0</v>
      </c>
      <c r="J646" s="7" t="n">
        <v>0</v>
      </c>
      <c r="K646" s="7" t="n">
        <v>0</v>
      </c>
      <c r="L646" s="7" t="n">
        <v>0</v>
      </c>
      <c r="M646" s="7" t="n">
        <v>0</v>
      </c>
      <c r="N646" s="7" t="n">
        <v>0</v>
      </c>
      <c r="O646" s="7" t="n">
        <v>0</v>
      </c>
      <c r="P646" s="7" t="n">
        <v>0</v>
      </c>
      <c r="Q646" s="7" t="n">
        <v>0</v>
      </c>
      <c r="R646" s="7" t="n">
        <v>0</v>
      </c>
    </row>
    <row r="647" customFormat="false" ht="15" hidden="false" customHeight="true" outlineLevel="0" collapsed="false">
      <c r="A647" s="7" t="n">
        <v>7381</v>
      </c>
      <c r="B647" s="7" t="s">
        <v>46</v>
      </c>
      <c r="C647" s="7" t="s">
        <v>982</v>
      </c>
      <c r="D647" s="7" t="s">
        <v>1036</v>
      </c>
      <c r="E647" s="7" t="s">
        <v>141</v>
      </c>
      <c r="F647" s="7" t="n">
        <v>1</v>
      </c>
      <c r="G647" s="7" t="n">
        <v>6</v>
      </c>
      <c r="H647" s="7" t="n">
        <v>6</v>
      </c>
      <c r="I647" s="7" t="n">
        <v>0</v>
      </c>
      <c r="J647" s="7" t="n">
        <v>0</v>
      </c>
      <c r="K647" s="7" t="n">
        <v>0</v>
      </c>
      <c r="L647" s="7" t="n">
        <v>0</v>
      </c>
      <c r="M647" s="7" t="n">
        <v>0</v>
      </c>
      <c r="N647" s="7" t="n">
        <v>0</v>
      </c>
      <c r="O647" s="7" t="n">
        <v>0</v>
      </c>
      <c r="P647" s="7" t="n">
        <v>0</v>
      </c>
      <c r="Q647" s="7" t="n">
        <v>0</v>
      </c>
      <c r="R647" s="7" t="n">
        <v>0</v>
      </c>
    </row>
    <row r="648" customFormat="false" ht="15" hidden="false" customHeight="true" outlineLevel="0" collapsed="false">
      <c r="A648" s="7" t="n">
        <v>7027</v>
      </c>
      <c r="B648" s="7" t="s">
        <v>46</v>
      </c>
      <c r="C648" s="7" t="s">
        <v>982</v>
      </c>
      <c r="D648" s="7" t="s">
        <v>617</v>
      </c>
      <c r="E648" s="7" t="s">
        <v>119</v>
      </c>
      <c r="F648" s="7" t="n">
        <v>0</v>
      </c>
      <c r="G648" s="7" t="n">
        <v>0</v>
      </c>
      <c r="H648" s="7" t="n">
        <v>0</v>
      </c>
      <c r="I648" s="7" t="n">
        <v>0</v>
      </c>
      <c r="J648" s="7" t="n">
        <v>0</v>
      </c>
      <c r="K648" s="7" t="n">
        <v>0</v>
      </c>
      <c r="L648" s="7" t="n">
        <v>0</v>
      </c>
      <c r="M648" s="7" t="n">
        <v>0</v>
      </c>
      <c r="N648" s="7" t="n">
        <v>0</v>
      </c>
      <c r="O648" s="7" t="n">
        <v>0</v>
      </c>
      <c r="P648" s="7" t="n">
        <v>0</v>
      </c>
      <c r="Q648" s="7" t="n">
        <v>0</v>
      </c>
      <c r="R648" s="7" t="n">
        <v>0</v>
      </c>
    </row>
    <row r="649" customFormat="false" ht="15" hidden="false" customHeight="true" outlineLevel="0" collapsed="false">
      <c r="A649" s="7" t="n">
        <v>6657</v>
      </c>
      <c r="B649" s="7" t="s">
        <v>46</v>
      </c>
      <c r="C649" s="7" t="s">
        <v>982</v>
      </c>
      <c r="D649" s="7" t="s">
        <v>1037</v>
      </c>
      <c r="E649" s="7" t="s">
        <v>119</v>
      </c>
      <c r="F649" s="7" t="n">
        <v>0</v>
      </c>
      <c r="G649" s="7" t="n">
        <v>0</v>
      </c>
      <c r="H649" s="7" t="n">
        <v>0</v>
      </c>
      <c r="I649" s="7" t="n">
        <v>0</v>
      </c>
      <c r="J649" s="7" t="n">
        <v>0</v>
      </c>
      <c r="K649" s="7" t="n">
        <v>0</v>
      </c>
      <c r="L649" s="7" t="n">
        <v>0</v>
      </c>
      <c r="M649" s="7" t="n">
        <v>0</v>
      </c>
      <c r="N649" s="7" t="n">
        <v>0</v>
      </c>
      <c r="O649" s="7" t="n">
        <v>0</v>
      </c>
      <c r="P649" s="7" t="n">
        <v>0</v>
      </c>
      <c r="Q649" s="7" t="n">
        <v>0</v>
      </c>
      <c r="R649" s="7" t="n">
        <v>0</v>
      </c>
    </row>
    <row r="650" customFormat="false" ht="15" hidden="false" customHeight="true" outlineLevel="0" collapsed="false">
      <c r="A650" s="7" t="n">
        <v>7134</v>
      </c>
      <c r="B650" s="7" t="s">
        <v>46</v>
      </c>
      <c r="C650" s="7" t="s">
        <v>982</v>
      </c>
      <c r="D650" s="7" t="s">
        <v>1038</v>
      </c>
      <c r="E650" s="7" t="s">
        <v>743</v>
      </c>
      <c r="F650" s="7" t="n">
        <v>0</v>
      </c>
      <c r="G650" s="7" t="n">
        <v>0</v>
      </c>
      <c r="H650" s="7" t="n">
        <v>0</v>
      </c>
      <c r="I650" s="7" t="n">
        <v>0</v>
      </c>
      <c r="J650" s="7" t="n">
        <v>0</v>
      </c>
      <c r="K650" s="7" t="n">
        <v>0</v>
      </c>
      <c r="L650" s="7" t="n">
        <v>0</v>
      </c>
      <c r="M650" s="7" t="n">
        <v>0</v>
      </c>
      <c r="N650" s="7" t="n">
        <v>0</v>
      </c>
      <c r="O650" s="7" t="n">
        <v>0</v>
      </c>
      <c r="P650" s="7" t="n">
        <v>0</v>
      </c>
      <c r="Q650" s="7" t="n">
        <v>0</v>
      </c>
      <c r="R650" s="7" t="n">
        <v>0</v>
      </c>
    </row>
    <row r="651" customFormat="false" ht="15" hidden="false" customHeight="true" outlineLevel="0" collapsed="false">
      <c r="A651" s="7" t="n">
        <v>2012</v>
      </c>
      <c r="B651" s="7" t="s">
        <v>46</v>
      </c>
      <c r="C651" s="7" t="s">
        <v>982</v>
      </c>
      <c r="D651" s="7" t="s">
        <v>1039</v>
      </c>
      <c r="E651" s="7" t="s">
        <v>131</v>
      </c>
      <c r="F651" s="7" t="n">
        <v>2</v>
      </c>
      <c r="G651" s="7" t="n">
        <v>6</v>
      </c>
      <c r="H651" s="7" t="n">
        <v>6</v>
      </c>
      <c r="I651" s="7" t="n">
        <v>0</v>
      </c>
      <c r="J651" s="7" t="n">
        <v>0</v>
      </c>
      <c r="K651" s="7" t="n">
        <v>0</v>
      </c>
      <c r="L651" s="7" t="n">
        <v>0</v>
      </c>
      <c r="M651" s="7" t="n">
        <v>0</v>
      </c>
      <c r="N651" s="7" t="n">
        <v>0</v>
      </c>
      <c r="O651" s="7" t="n">
        <v>0</v>
      </c>
      <c r="P651" s="7" t="n">
        <v>0</v>
      </c>
      <c r="Q651" s="7" t="n">
        <v>0</v>
      </c>
      <c r="R651" s="7" t="n">
        <v>0</v>
      </c>
    </row>
    <row r="652" customFormat="false" ht="15" hidden="false" customHeight="true" outlineLevel="0" collapsed="false">
      <c r="A652" s="7" t="n">
        <v>7171</v>
      </c>
      <c r="B652" s="7" t="s">
        <v>46</v>
      </c>
      <c r="C652" s="7" t="s">
        <v>46</v>
      </c>
      <c r="D652" s="7" t="s">
        <v>1040</v>
      </c>
      <c r="E652" s="7" t="s">
        <v>748</v>
      </c>
      <c r="F652" s="7" t="n">
        <v>0</v>
      </c>
      <c r="G652" s="7" t="n">
        <v>0</v>
      </c>
      <c r="H652" s="7" t="n">
        <v>0</v>
      </c>
      <c r="I652" s="7" t="n">
        <v>0</v>
      </c>
      <c r="J652" s="7" t="n">
        <v>0</v>
      </c>
      <c r="K652" s="7" t="n">
        <v>0</v>
      </c>
      <c r="L652" s="7" t="n">
        <v>0</v>
      </c>
      <c r="M652" s="7" t="n">
        <v>0</v>
      </c>
      <c r="N652" s="7" t="n">
        <v>0</v>
      </c>
      <c r="O652" s="7" t="n">
        <v>0</v>
      </c>
      <c r="P652" s="7" t="n">
        <v>0</v>
      </c>
      <c r="Q652" s="7" t="n">
        <v>0</v>
      </c>
      <c r="R652" s="7" t="n">
        <v>0</v>
      </c>
    </row>
    <row r="653" customFormat="false" ht="15" hidden="false" customHeight="true" outlineLevel="0" collapsed="false">
      <c r="A653" s="7" t="n">
        <v>7152</v>
      </c>
      <c r="B653" s="7" t="s">
        <v>46</v>
      </c>
      <c r="C653" s="7" t="s">
        <v>982</v>
      </c>
      <c r="D653" s="7" t="s">
        <v>1041</v>
      </c>
      <c r="E653" s="7" t="s">
        <v>748</v>
      </c>
      <c r="F653" s="7" t="n">
        <v>0</v>
      </c>
      <c r="G653" s="7" t="n">
        <v>0</v>
      </c>
      <c r="H653" s="7" t="n">
        <v>0</v>
      </c>
      <c r="I653" s="7" t="n">
        <v>0</v>
      </c>
      <c r="J653" s="7" t="n">
        <v>0</v>
      </c>
      <c r="K653" s="7" t="n">
        <v>0</v>
      </c>
      <c r="L653" s="7" t="n">
        <v>0</v>
      </c>
      <c r="M653" s="7" t="n">
        <v>0</v>
      </c>
      <c r="N653" s="7" t="n">
        <v>0</v>
      </c>
      <c r="O653" s="7" t="n">
        <v>0</v>
      </c>
      <c r="P653" s="7" t="n">
        <v>0</v>
      </c>
      <c r="Q653" s="7" t="n">
        <v>0</v>
      </c>
      <c r="R653" s="7" t="n">
        <v>0</v>
      </c>
    </row>
    <row r="654" customFormat="false" ht="15" hidden="false" customHeight="true" outlineLevel="0" collapsed="false">
      <c r="A654" s="7" t="n">
        <v>7158</v>
      </c>
      <c r="B654" s="7" t="s">
        <v>46</v>
      </c>
      <c r="C654" s="7" t="s">
        <v>982</v>
      </c>
      <c r="D654" s="7" t="s">
        <v>619</v>
      </c>
      <c r="E654" s="7" t="s">
        <v>144</v>
      </c>
      <c r="F654" s="7" t="n">
        <v>6</v>
      </c>
      <c r="G654" s="7" t="n">
        <v>5.58</v>
      </c>
      <c r="H654" s="7" t="n">
        <v>5.5</v>
      </c>
      <c r="I654" s="7" t="n">
        <v>0</v>
      </c>
      <c r="J654" s="7" t="n">
        <v>0</v>
      </c>
      <c r="K654" s="7" t="n">
        <v>0</v>
      </c>
      <c r="L654" s="7" t="n">
        <v>0</v>
      </c>
      <c r="M654" s="7" t="n">
        <v>0</v>
      </c>
      <c r="N654" s="7" t="n">
        <v>0</v>
      </c>
      <c r="O654" s="7" t="n">
        <v>0</v>
      </c>
      <c r="P654" s="7" t="n">
        <v>1</v>
      </c>
      <c r="Q654" s="7" t="n">
        <v>0</v>
      </c>
      <c r="R654" s="7" t="n">
        <v>0</v>
      </c>
    </row>
    <row r="655" customFormat="false" ht="15" hidden="false" customHeight="true" outlineLevel="0" collapsed="false">
      <c r="A655" s="7" t="n">
        <v>7159</v>
      </c>
      <c r="B655" s="7" t="s">
        <v>46</v>
      </c>
      <c r="C655" s="7" t="s">
        <v>982</v>
      </c>
      <c r="D655" s="7" t="s">
        <v>1042</v>
      </c>
      <c r="E655" s="7" t="s">
        <v>144</v>
      </c>
      <c r="F655" s="7" t="n">
        <v>0</v>
      </c>
      <c r="G655" s="7" t="n">
        <v>0</v>
      </c>
      <c r="H655" s="7" t="n">
        <v>0</v>
      </c>
      <c r="I655" s="7" t="n">
        <v>0</v>
      </c>
      <c r="J655" s="7" t="n">
        <v>0</v>
      </c>
      <c r="K655" s="7" t="n">
        <v>0</v>
      </c>
      <c r="L655" s="7" t="n">
        <v>0</v>
      </c>
      <c r="M655" s="7" t="n">
        <v>0</v>
      </c>
      <c r="N655" s="7" t="n">
        <v>0</v>
      </c>
      <c r="O655" s="7" t="n">
        <v>0</v>
      </c>
      <c r="P655" s="7" t="n">
        <v>0</v>
      </c>
      <c r="Q655" s="7" t="n">
        <v>0</v>
      </c>
      <c r="R655" s="7" t="n">
        <v>0</v>
      </c>
    </row>
    <row r="656" customFormat="false" ht="15" hidden="false" customHeight="true" outlineLevel="0" collapsed="false">
      <c r="A656" s="7" t="n">
        <v>6635</v>
      </c>
      <c r="B656" s="7" t="s">
        <v>46</v>
      </c>
      <c r="C656" s="7" t="s">
        <v>982</v>
      </c>
      <c r="D656" s="7" t="s">
        <v>1043</v>
      </c>
      <c r="E656" s="7" t="s">
        <v>135</v>
      </c>
      <c r="F656" s="7" t="n">
        <v>0</v>
      </c>
      <c r="G656" s="7" t="n">
        <v>0</v>
      </c>
      <c r="H656" s="7" t="n">
        <v>0</v>
      </c>
      <c r="I656" s="7" t="n">
        <v>0</v>
      </c>
      <c r="J656" s="7" t="n">
        <v>0</v>
      </c>
      <c r="K656" s="7" t="n">
        <v>0</v>
      </c>
      <c r="L656" s="7" t="n">
        <v>0</v>
      </c>
      <c r="M656" s="7" t="n">
        <v>0</v>
      </c>
      <c r="N656" s="7" t="n">
        <v>0</v>
      </c>
      <c r="O656" s="7" t="n">
        <v>0</v>
      </c>
      <c r="P656" s="7" t="n">
        <v>0</v>
      </c>
      <c r="Q656" s="7" t="n">
        <v>0</v>
      </c>
      <c r="R656" s="7" t="n">
        <v>0</v>
      </c>
    </row>
    <row r="657" customFormat="false" ht="15" hidden="false" customHeight="true" outlineLevel="0" collapsed="false">
      <c r="A657" s="7" t="n">
        <v>7183</v>
      </c>
      <c r="B657" s="7" t="s">
        <v>46</v>
      </c>
      <c r="C657" s="7" t="s">
        <v>46</v>
      </c>
      <c r="D657" s="7" t="s">
        <v>505</v>
      </c>
      <c r="E657" s="7" t="s">
        <v>184</v>
      </c>
      <c r="F657" s="7" t="n">
        <v>11</v>
      </c>
      <c r="G657" s="7" t="n">
        <v>5.77</v>
      </c>
      <c r="H657" s="7" t="n">
        <v>5.64</v>
      </c>
      <c r="I657" s="7" t="n">
        <v>0</v>
      </c>
      <c r="J657" s="7" t="n">
        <v>0</v>
      </c>
      <c r="K657" s="7" t="n">
        <v>0</v>
      </c>
      <c r="L657" s="7" t="n">
        <v>0</v>
      </c>
      <c r="M657" s="7" t="n">
        <v>0</v>
      </c>
      <c r="N657" s="7" t="n">
        <v>0</v>
      </c>
      <c r="O657" s="7" t="n">
        <v>0</v>
      </c>
      <c r="P657" s="7" t="n">
        <v>4</v>
      </c>
      <c r="Q657" s="7" t="n">
        <v>0</v>
      </c>
      <c r="R657" s="7" t="n">
        <v>0</v>
      </c>
    </row>
    <row r="658" customFormat="false" ht="15" hidden="false" customHeight="true" outlineLevel="0" collapsed="false">
      <c r="A658" s="7" t="n">
        <v>7213</v>
      </c>
      <c r="B658" s="7" t="s">
        <v>46</v>
      </c>
      <c r="C658" s="7" t="s">
        <v>982</v>
      </c>
      <c r="D658" s="7" t="s">
        <v>596</v>
      </c>
      <c r="E658" s="7" t="s">
        <v>141</v>
      </c>
      <c r="F658" s="7" t="n">
        <v>0</v>
      </c>
      <c r="G658" s="7" t="n">
        <v>0</v>
      </c>
      <c r="H658" s="7" t="n">
        <v>0</v>
      </c>
      <c r="I658" s="7" t="n">
        <v>0</v>
      </c>
      <c r="J658" s="7" t="n">
        <v>0</v>
      </c>
      <c r="K658" s="7" t="n">
        <v>0</v>
      </c>
      <c r="L658" s="7" t="n">
        <v>0</v>
      </c>
      <c r="M658" s="7" t="n">
        <v>0</v>
      </c>
      <c r="N658" s="7" t="n">
        <v>0</v>
      </c>
      <c r="O658" s="7" t="n">
        <v>0</v>
      </c>
      <c r="P658" s="7" t="n">
        <v>0</v>
      </c>
      <c r="Q658" s="7" t="n">
        <v>0</v>
      </c>
      <c r="R658" s="7" t="n">
        <v>0</v>
      </c>
    </row>
    <row r="659" customFormat="false" ht="15" hidden="false" customHeight="true" outlineLevel="0" collapsed="false">
      <c r="A659" s="7" t="n">
        <v>2762</v>
      </c>
      <c r="B659" s="7" t="s">
        <v>46</v>
      </c>
      <c r="C659" s="7" t="s">
        <v>46</v>
      </c>
      <c r="D659" s="7" t="s">
        <v>1044</v>
      </c>
      <c r="E659" s="7" t="s">
        <v>123</v>
      </c>
      <c r="F659" s="7" t="n">
        <v>1</v>
      </c>
      <c r="G659" s="7" t="n">
        <v>6</v>
      </c>
      <c r="H659" s="7" t="n">
        <v>6</v>
      </c>
      <c r="I659" s="7" t="n">
        <v>0</v>
      </c>
      <c r="J659" s="7" t="n">
        <v>0</v>
      </c>
      <c r="K659" s="7" t="n">
        <v>0</v>
      </c>
      <c r="L659" s="7" t="n">
        <v>0</v>
      </c>
      <c r="M659" s="7" t="n">
        <v>0</v>
      </c>
      <c r="N659" s="7" t="n">
        <v>0</v>
      </c>
      <c r="O659" s="7" t="n">
        <v>0</v>
      </c>
      <c r="P659" s="7" t="n">
        <v>0</v>
      </c>
      <c r="Q659" s="7" t="n">
        <v>0</v>
      </c>
      <c r="R659" s="7" t="n">
        <v>0</v>
      </c>
    </row>
    <row r="660" customFormat="false" ht="15" hidden="false" customHeight="true" outlineLevel="0" collapsed="false">
      <c r="A660" s="7" t="n">
        <v>7262</v>
      </c>
      <c r="B660" s="7" t="s">
        <v>46</v>
      </c>
      <c r="C660" s="7" t="s">
        <v>46</v>
      </c>
      <c r="D660" s="7" t="s">
        <v>1045</v>
      </c>
      <c r="E660" s="7" t="s">
        <v>121</v>
      </c>
      <c r="F660" s="7" t="n">
        <v>0</v>
      </c>
      <c r="G660" s="7" t="n">
        <v>0</v>
      </c>
      <c r="H660" s="7" t="n">
        <v>0</v>
      </c>
      <c r="I660" s="7" t="n">
        <v>0</v>
      </c>
      <c r="J660" s="7" t="n">
        <v>0</v>
      </c>
      <c r="K660" s="7" t="n">
        <v>0</v>
      </c>
      <c r="L660" s="7" t="n">
        <v>0</v>
      </c>
      <c r="M660" s="7" t="n">
        <v>0</v>
      </c>
      <c r="N660" s="7" t="n">
        <v>0</v>
      </c>
      <c r="O660" s="7" t="n">
        <v>0</v>
      </c>
      <c r="P660" s="7" t="n">
        <v>0</v>
      </c>
      <c r="Q660" s="7" t="n">
        <v>0</v>
      </c>
      <c r="R660" s="7" t="n">
        <v>0</v>
      </c>
    </row>
    <row r="661" customFormat="false" ht="15" hidden="false" customHeight="true" outlineLevel="0" collapsed="false">
      <c r="A661" s="7" t="n">
        <v>7277</v>
      </c>
      <c r="B661" s="7" t="s">
        <v>46</v>
      </c>
      <c r="C661" s="7" t="s">
        <v>982</v>
      </c>
      <c r="D661" s="7" t="s">
        <v>1046</v>
      </c>
      <c r="E661" s="7" t="s">
        <v>113</v>
      </c>
      <c r="F661" s="7" t="n">
        <v>1</v>
      </c>
      <c r="G661" s="7" t="n">
        <v>6</v>
      </c>
      <c r="H661" s="7" t="n">
        <v>6</v>
      </c>
      <c r="I661" s="7" t="n">
        <v>0</v>
      </c>
      <c r="J661" s="7" t="n">
        <v>0</v>
      </c>
      <c r="K661" s="7" t="n">
        <v>0</v>
      </c>
      <c r="L661" s="7" t="n">
        <v>0</v>
      </c>
      <c r="M661" s="7" t="n">
        <v>0</v>
      </c>
      <c r="N661" s="7" t="n">
        <v>0</v>
      </c>
      <c r="O661" s="7" t="n">
        <v>0</v>
      </c>
      <c r="P661" s="7" t="n">
        <v>0</v>
      </c>
      <c r="Q661" s="7" t="n">
        <v>0</v>
      </c>
      <c r="R661" s="7" t="n">
        <v>0</v>
      </c>
    </row>
    <row r="662" customFormat="false" ht="15" hidden="false" customHeight="true" outlineLevel="0" collapsed="false">
      <c r="A662" s="7" t="n">
        <v>7309</v>
      </c>
      <c r="B662" s="7" t="s">
        <v>46</v>
      </c>
      <c r="C662" s="7" t="s">
        <v>982</v>
      </c>
      <c r="D662" s="7" t="s">
        <v>1047</v>
      </c>
      <c r="E662" s="7" t="s">
        <v>745</v>
      </c>
      <c r="F662" s="7" t="n">
        <v>1</v>
      </c>
      <c r="G662" s="7" t="n">
        <v>6</v>
      </c>
      <c r="H662" s="7" t="n">
        <v>6</v>
      </c>
      <c r="I662" s="7" t="n">
        <v>0</v>
      </c>
      <c r="J662" s="7" t="n">
        <v>0</v>
      </c>
      <c r="K662" s="7" t="n">
        <v>0</v>
      </c>
      <c r="L662" s="7" t="n">
        <v>0</v>
      </c>
      <c r="M662" s="7" t="n">
        <v>0</v>
      </c>
      <c r="N662" s="7" t="n">
        <v>0</v>
      </c>
      <c r="O662" s="7" t="n">
        <v>0</v>
      </c>
      <c r="P662" s="7" t="n">
        <v>0</v>
      </c>
      <c r="Q662" s="7" t="n">
        <v>0</v>
      </c>
      <c r="R662" s="7" t="n">
        <v>0</v>
      </c>
    </row>
    <row r="663" customFormat="false" ht="15" hidden="false" customHeight="true" outlineLevel="0" collapsed="false">
      <c r="A663" s="7" t="n">
        <v>7317</v>
      </c>
      <c r="B663" s="7" t="s">
        <v>46</v>
      </c>
      <c r="C663" s="7" t="s">
        <v>982</v>
      </c>
      <c r="D663" s="7" t="s">
        <v>616</v>
      </c>
      <c r="E663" s="7" t="s">
        <v>129</v>
      </c>
      <c r="F663" s="7" t="n">
        <v>3</v>
      </c>
      <c r="G663" s="7" t="n">
        <v>5.67</v>
      </c>
      <c r="H663" s="7" t="n">
        <v>5.67</v>
      </c>
      <c r="I663" s="7" t="n">
        <v>0</v>
      </c>
      <c r="J663" s="7" t="n">
        <v>0</v>
      </c>
      <c r="K663" s="7" t="n">
        <v>0</v>
      </c>
      <c r="L663" s="7" t="n">
        <v>0</v>
      </c>
      <c r="M663" s="7" t="n">
        <v>0</v>
      </c>
      <c r="N663" s="7" t="n">
        <v>0</v>
      </c>
      <c r="O663" s="7" t="n">
        <v>0</v>
      </c>
      <c r="P663" s="7" t="n">
        <v>0</v>
      </c>
      <c r="Q663" s="7" t="n">
        <v>0</v>
      </c>
      <c r="R663" s="7" t="n">
        <v>0</v>
      </c>
    </row>
    <row r="664" customFormat="false" ht="15" hidden="false" customHeight="true" outlineLevel="0" collapsed="false">
      <c r="A664" s="7" t="n">
        <v>7368</v>
      </c>
      <c r="B664" s="7" t="s">
        <v>46</v>
      </c>
      <c r="C664" s="7" t="s">
        <v>982</v>
      </c>
      <c r="D664" s="7" t="s">
        <v>1048</v>
      </c>
      <c r="E664" s="7" t="s">
        <v>745</v>
      </c>
      <c r="F664" s="7" t="n">
        <v>1</v>
      </c>
      <c r="G664" s="7" t="n">
        <v>6.5</v>
      </c>
      <c r="H664" s="7" t="n">
        <v>6.5</v>
      </c>
      <c r="I664" s="7" t="n">
        <v>0</v>
      </c>
      <c r="J664" s="7" t="n">
        <v>0</v>
      </c>
      <c r="K664" s="7" t="n">
        <v>0</v>
      </c>
      <c r="L664" s="7" t="n">
        <v>0</v>
      </c>
      <c r="M664" s="7" t="n">
        <v>0</v>
      </c>
      <c r="N664" s="7" t="n">
        <v>0</v>
      </c>
      <c r="O664" s="7" t="n">
        <v>0</v>
      </c>
      <c r="P664" s="7" t="n">
        <v>0</v>
      </c>
      <c r="Q664" s="7" t="n">
        <v>0</v>
      </c>
      <c r="R664" s="7" t="n">
        <v>0</v>
      </c>
    </row>
    <row r="665" customFormat="false" ht="15" hidden="false" customHeight="true" outlineLevel="0" collapsed="false">
      <c r="A665" s="7" t="n">
        <v>7388</v>
      </c>
      <c r="B665" s="7" t="s">
        <v>46</v>
      </c>
      <c r="C665" s="7" t="s">
        <v>46</v>
      </c>
      <c r="D665" s="7" t="s">
        <v>1049</v>
      </c>
      <c r="E665" s="7" t="s">
        <v>115</v>
      </c>
      <c r="F665" s="7" t="n">
        <v>0</v>
      </c>
      <c r="G665" s="7" t="n">
        <v>0</v>
      </c>
      <c r="H665" s="7" t="n">
        <v>0</v>
      </c>
      <c r="I665" s="7" t="n">
        <v>0</v>
      </c>
      <c r="J665" s="7" t="n">
        <v>0</v>
      </c>
      <c r="K665" s="7" t="n">
        <v>0</v>
      </c>
      <c r="L665" s="7" t="n">
        <v>0</v>
      </c>
      <c r="M665" s="7" t="n">
        <v>0</v>
      </c>
      <c r="N665" s="7" t="n">
        <v>0</v>
      </c>
      <c r="O665" s="7" t="n">
        <v>0</v>
      </c>
      <c r="P665" s="7" t="n">
        <v>0</v>
      </c>
      <c r="Q665" s="7" t="n">
        <v>0</v>
      </c>
      <c r="R665" s="7" t="n">
        <v>0</v>
      </c>
    </row>
  </sheetData>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Salvatore Nocerino</dc:creator>
  <dc:description/>
  <dc:language>en-US</dc:language>
  <cp:lastModifiedBy>Salvatore Nocerino</cp:lastModifiedBy>
  <dcterms:modified xsi:type="dcterms:W3CDTF">2026-08-10T18:31:25Z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